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24" tabRatio="814" firstSheet="1" activeTab="2"/>
  </bookViews>
  <sheets>
    <sheet name="Instructions" sheetId="1" r:id="rId1"/>
    <sheet name="SupplierBaseInput" sheetId="2" r:id="rId2"/>
    <sheet name="Price Summary" sheetId="3" r:id="rId3"/>
    <sheet name="Cleansheet" sheetId="4" r:id="rId4"/>
    <sheet name="Equipment List" sheetId="5" r:id="rId5"/>
    <sheet name="Consumables" sheetId="6" r:id="rId6"/>
    <sheet name="SMT Process Flow" sheetId="7" r:id="rId7"/>
    <sheet name="BB Process Flow" sheetId="9" r:id="rId8"/>
  </sheets>
  <externalReferences>
    <externalReference r:id="rId14"/>
  </externalReferences>
  <definedNames>
    <definedName name="\\" localSheetId="7" hidden="1">{#N/A,#N/A,FALSE,"Summary";#N/A,#N/A,FALSE,"Details";#N/A,#N/A,FALSE,"Month-Hd";#N/A,#N/A,FALSE,"YTD-Hd";#N/A,#N/A,FALSE,"Capital"}</definedName>
    <definedName name="\\" localSheetId="3" hidden="1">{#N/A,#N/A,FALSE,"Summary";#N/A,#N/A,FALSE,"Details";#N/A,#N/A,FALSE,"Month-Hd";#N/A,#N/A,FALSE,"YTD-Hd";#N/A,#N/A,FALSE,"Capital"}</definedName>
    <definedName name="\\" localSheetId="5" hidden="1">{#N/A,#N/A,FALSE,"Summary";#N/A,#N/A,FALSE,"Details";#N/A,#N/A,FALSE,"Month-Hd";#N/A,#N/A,FALSE,"YTD-Hd";#N/A,#N/A,FALSE,"Capital"}</definedName>
    <definedName name="\\" localSheetId="4" hidden="1">{#N/A,#N/A,FALSE,"Summary";#N/A,#N/A,FALSE,"Details";#N/A,#N/A,FALSE,"Month-Hd";#N/A,#N/A,FALSE,"YTD-Hd";#N/A,#N/A,FALSE,"Capital"}</definedName>
    <definedName name="\\" localSheetId="6" hidden="1">{#N/A,#N/A,FALSE,"Summary";#N/A,#N/A,FALSE,"Details";#N/A,#N/A,FALSE,"Month-Hd";#N/A,#N/A,FALSE,"YTD-Hd";#N/A,#N/A,FALSE,"Capital"}</definedName>
    <definedName name="\\" hidden="1">{#N/A,#N/A,FALSE,"Summary";#N/A,#N/A,FALSE,"Details";#N/A,#N/A,FALSE,"Month-Hd";#N/A,#N/A,FALSE,"YTD-Hd";#N/A,#N/A,FALSE,"Capital"}</definedName>
    <definedName name="\a">#N/A</definedName>
    <definedName name="\HKG" localSheetId="7">#REF!</definedName>
    <definedName name="\HKG">#REF!</definedName>
    <definedName name="\o" localSheetId="7">#REF!</definedName>
    <definedName name="\o">#REF!</definedName>
    <definedName name="\q" localSheetId="7">#REF!</definedName>
    <definedName name="\q">#REF!</definedName>
    <definedName name="\SN">#REF!</definedName>
    <definedName name="_" localSheetId="5">#REF!</definedName>
    <definedName name="_" localSheetId="4">#REF!</definedName>
    <definedName name="_" localSheetId="0">#REF!</definedName>
    <definedName name="_" localSheetId="6">#REF!</definedName>
    <definedName name="_">#REF!</definedName>
    <definedName name="________________________EMS753" localSheetId="6">#REF!</definedName>
    <definedName name="________________________EMS753">#REF!</definedName>
    <definedName name="________________________TM44" localSheetId="6">#REF!</definedName>
    <definedName name="________________________TM44">#REF!</definedName>
    <definedName name="_______________________EMS753" localSheetId="6">#REF!</definedName>
    <definedName name="_______________________EMS753">#REF!</definedName>
    <definedName name="_______________________TM44" localSheetId="6">#REF!</definedName>
    <definedName name="_______________________TM44">#REF!</definedName>
    <definedName name="______________________EMS753" localSheetId="6">#REF!</definedName>
    <definedName name="______________________EMS753">#REF!</definedName>
    <definedName name="______________________TM44" localSheetId="6">#REF!</definedName>
    <definedName name="______________________TM44">#REF!</definedName>
    <definedName name="_____________________EMS753" localSheetId="6">#REF!</definedName>
    <definedName name="_____________________EMS753">#REF!</definedName>
    <definedName name="_____________________TM44" localSheetId="6">#REF!</definedName>
    <definedName name="_____________________TM44">#REF!</definedName>
    <definedName name="____________________EMS753" localSheetId="6">#REF!</definedName>
    <definedName name="____________________EMS753">#REF!</definedName>
    <definedName name="____________________TM44" localSheetId="6">#REF!</definedName>
    <definedName name="____________________TM44">#REF!</definedName>
    <definedName name="___________________EMS753" localSheetId="6">#REF!</definedName>
    <definedName name="___________________EMS753">#REF!</definedName>
    <definedName name="___________________TM44" localSheetId="6">#REF!</definedName>
    <definedName name="___________________TM44">#REF!</definedName>
    <definedName name="__________________EMS753" localSheetId="6">#REF!</definedName>
    <definedName name="__________________EMS753">#REF!</definedName>
    <definedName name="__________________TM44" localSheetId="6">#REF!</definedName>
    <definedName name="__________________TM44">#REF!</definedName>
    <definedName name="_________________EMS753" localSheetId="6">#REF!</definedName>
    <definedName name="_________________EMS753">#REF!</definedName>
    <definedName name="_________________TM44" localSheetId="6">#REF!</definedName>
    <definedName name="_________________TM44">#REF!</definedName>
    <definedName name="________________EMS753" localSheetId="6">#REF!</definedName>
    <definedName name="________________EMS753">#REF!</definedName>
    <definedName name="________________TM44" localSheetId="6">#REF!</definedName>
    <definedName name="________________TM44">#REF!</definedName>
    <definedName name="_______________EMS753" localSheetId="6">#REF!</definedName>
    <definedName name="_______________EMS753">#REF!</definedName>
    <definedName name="_______________TM44" localSheetId="6">#REF!</definedName>
    <definedName name="_______________TM44">#REF!</definedName>
    <definedName name="______________EMS753" localSheetId="6">#REF!</definedName>
    <definedName name="______________EMS753">#REF!</definedName>
    <definedName name="______________TM44" localSheetId="6">#REF!</definedName>
    <definedName name="______________TM44">#REF!</definedName>
    <definedName name="_____________EMS753" localSheetId="6">#REF!</definedName>
    <definedName name="_____________EMS753">#REF!</definedName>
    <definedName name="_____________TM44" localSheetId="6">#REF!</definedName>
    <definedName name="_____________TM44">#REF!</definedName>
    <definedName name="____________EMS753" localSheetId="6">#REF!</definedName>
    <definedName name="____________EMS753">#REF!</definedName>
    <definedName name="____________TM44" localSheetId="6">#REF!</definedName>
    <definedName name="____________TM44">#REF!</definedName>
    <definedName name="___________EMS753" localSheetId="6">#REF!</definedName>
    <definedName name="___________EMS753">#REF!</definedName>
    <definedName name="___________TM44" localSheetId="6">#REF!</definedName>
    <definedName name="___________TM44">#REF!</definedName>
    <definedName name="__________EMS753" localSheetId="4">#REF!</definedName>
    <definedName name="__________EMS753" localSheetId="6">#REF!</definedName>
    <definedName name="__________EMS753">#REF!</definedName>
    <definedName name="__________TM44" localSheetId="4">#REF!</definedName>
    <definedName name="__________TM44" localSheetId="6">#REF!</definedName>
    <definedName name="__________TM44">#REF!</definedName>
    <definedName name="_________EMS753" localSheetId="4">#REF!</definedName>
    <definedName name="_________EMS753" localSheetId="6">#REF!</definedName>
    <definedName name="_________EMS753">#REF!</definedName>
    <definedName name="_________TM44" localSheetId="4">#REF!</definedName>
    <definedName name="_________TM44" localSheetId="6">#REF!</definedName>
    <definedName name="_________TM44">#REF!</definedName>
    <definedName name="________EMS753" localSheetId="4">#REF!</definedName>
    <definedName name="________EMS753" localSheetId="6">#REF!</definedName>
    <definedName name="________EMS753">#REF!</definedName>
    <definedName name="________TM44" localSheetId="4">#REF!</definedName>
    <definedName name="________TM44" localSheetId="6">#REF!</definedName>
    <definedName name="________TM44">#REF!</definedName>
    <definedName name="_______EMS753" localSheetId="4">#REF!</definedName>
    <definedName name="_______EMS753" localSheetId="6">#REF!</definedName>
    <definedName name="_______EMS753">#REF!</definedName>
    <definedName name="_______TM44" localSheetId="4">#REF!</definedName>
    <definedName name="_______TM44" localSheetId="6">#REF!</definedName>
    <definedName name="_______TM44">#REF!</definedName>
    <definedName name="______EMS753" localSheetId="4">#REF!</definedName>
    <definedName name="______EMS753" localSheetId="6">#REF!</definedName>
    <definedName name="______EMS753">#REF!</definedName>
    <definedName name="______TM44" localSheetId="4">#REF!</definedName>
    <definedName name="______TM44" localSheetId="6">#REF!</definedName>
    <definedName name="______TM44">#REF!</definedName>
    <definedName name="_____EMS753" localSheetId="4">#REF!</definedName>
    <definedName name="_____EMS753" localSheetId="6">#REF!</definedName>
    <definedName name="_____EMS753">#REF!</definedName>
    <definedName name="_____TM44" localSheetId="4">#REF!</definedName>
    <definedName name="_____TM44" localSheetId="6">#REF!</definedName>
    <definedName name="_____TM44">#REF!</definedName>
    <definedName name="____CAP_Sht_Crosstab_Query">#REF!</definedName>
    <definedName name="____EMS753" localSheetId="4">#REF!</definedName>
    <definedName name="____EMS753" localSheetId="6">#REF!</definedName>
    <definedName name="____EMS753">#REF!</definedName>
    <definedName name="____TM44" localSheetId="4">#REF!</definedName>
    <definedName name="____TM44" localSheetId="6">#REF!</definedName>
    <definedName name="____TM44">#REF!</definedName>
    <definedName name="___66311b" localSheetId="4">#REF!</definedName>
    <definedName name="___66311b" localSheetId="6">#REF!</definedName>
    <definedName name="___66311b">#REF!</definedName>
    <definedName name="___Dec02">#REF!</definedName>
    <definedName name="___DEC12">#REF!</definedName>
    <definedName name="___EMS753" localSheetId="4">#REF!</definedName>
    <definedName name="___EMS753" localSheetId="6">#REF!</definedName>
    <definedName name="___EMS753">#REF!</definedName>
    <definedName name="___Jan08">#REF!</definedName>
    <definedName name="___ME2">#N/A</definedName>
    <definedName name="___new1205">#REF!</definedName>
    <definedName name="___pc" localSheetId="7">#REF!</definedName>
    <definedName name="___pc" localSheetId="5">#REF!</definedName>
    <definedName name="___pc" localSheetId="4">#REF!</definedName>
    <definedName name="___pc" localSheetId="6">#REF!</definedName>
    <definedName name="___pc">#REF!</definedName>
    <definedName name="___TC1" localSheetId="7">#REF!</definedName>
    <definedName name="___TC1">#REF!</definedName>
    <definedName name="___TC2">#REF!</definedName>
    <definedName name="___TM44" localSheetId="4">#REF!</definedName>
    <definedName name="___TM44" localSheetId="6">#REF!</definedName>
    <definedName name="___TM44">#REF!</definedName>
    <definedName name="___VL40" localSheetId="4">#REF!</definedName>
    <definedName name="___VL40" localSheetId="6">#REF!</definedName>
    <definedName name="___VL40">#REF!</definedName>
    <definedName name="__123Graph_ABAL" hidden="1">#REF!</definedName>
    <definedName name="__123Graph_LBL_ABAL" hidden="1">#REF!</definedName>
    <definedName name="__123Graph_XBAL" hidden="1">#REF!</definedName>
    <definedName name="__a1" localSheetId="5">#REF!</definedName>
    <definedName name="__a1" localSheetId="4">#REF!</definedName>
    <definedName name="__a1" localSheetId="0">#REF!</definedName>
    <definedName name="__a1" localSheetId="6">#REF!</definedName>
    <definedName name="__a1">#REF!</definedName>
    <definedName name="__A11" localSheetId="4">#REF!</definedName>
    <definedName name="__A11" localSheetId="0">#REF!</definedName>
    <definedName name="__A11" localSheetId="6">#REF!</definedName>
    <definedName name="__A11">#REF!</definedName>
    <definedName name="__ac370">#REF!</definedName>
    <definedName name="__ac375">#REF!</definedName>
    <definedName name="__acc345">#REF!</definedName>
    <definedName name="__acc370">#REF!</definedName>
    <definedName name="__acc375">#REF!</definedName>
    <definedName name="__acc730">#REF!</definedName>
    <definedName name="__acc75">#REF!</definedName>
    <definedName name="__C7018" localSheetId="3">#N/A</definedName>
    <definedName name="__C7018" localSheetId="5">#N/A</definedName>
    <definedName name="__C7018" localSheetId="0">#N/A</definedName>
    <definedName name="__C7018" localSheetId="6">#N/A</definedName>
    <definedName name="__C7018">Cleansheet!__C7018</definedName>
    <definedName name="__DAT1" localSheetId="7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2">#REF!</definedName>
    <definedName name="__DEC12">#REF!</definedName>
    <definedName name="__EMS753" localSheetId="5">#REF!</definedName>
    <definedName name="__EMS753" localSheetId="4">#REF!</definedName>
    <definedName name="__EMS753" localSheetId="6">#REF!</definedName>
    <definedName name="__EMS753">#REF!</definedName>
    <definedName name="__F1">#REF!</definedName>
    <definedName name="__F2">#REF!</definedName>
    <definedName name="__F3">#REF!</definedName>
    <definedName name="__F4">#REF!</definedName>
    <definedName name="__H5354" localSheetId="3">#N/A</definedName>
    <definedName name="__H5354" localSheetId="5">#N/A</definedName>
    <definedName name="__H5354" localSheetId="0">#N/A</definedName>
    <definedName name="__H5354" localSheetId="6">#N/A</definedName>
    <definedName name="__H5354">Cleansheet!__H5354</definedName>
    <definedName name="__H53541" localSheetId="7">#N/A</definedName>
    <definedName name="__H53541" localSheetId="3">#N/A</definedName>
    <definedName name="__H53541" localSheetId="5">#N/A</definedName>
    <definedName name="__H53541" localSheetId="0">#N/A</definedName>
    <definedName name="__H53541" localSheetId="6">#N/A</definedName>
    <definedName name="__H53541">'BB Process Flow'!__H53541</definedName>
    <definedName name="__Jan08" localSheetId="7">#REF!</definedName>
    <definedName name="__Jan08">#REF!</definedName>
    <definedName name="__jpy2" localSheetId="7">#REF!</definedName>
    <definedName name="__jpy2" localSheetId="5">#REF!</definedName>
    <definedName name="__jpy2" localSheetId="4">#REF!</definedName>
    <definedName name="__jpy2" localSheetId="0">#REF!</definedName>
    <definedName name="__jpy2" localSheetId="6">#REF!</definedName>
    <definedName name="__jpy2">#REF!</definedName>
    <definedName name="__LOH1" localSheetId="7">#REF!</definedName>
    <definedName name="__LOH1">#REF!</definedName>
    <definedName name="__M1">#REF!</definedName>
    <definedName name="__M2">#REF!</definedName>
    <definedName name="__M3">#REF!</definedName>
    <definedName name="__M4">#REF!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E2">#REF!</definedName>
    <definedName name="__Mu10">#REF!</definedName>
    <definedName name="__MU100">#REF!</definedName>
    <definedName name="__MU101">#REF!</definedName>
    <definedName name="__Mu11">#REF!</definedName>
    <definedName name="__Mu15">#REF!</definedName>
    <definedName name="__Mu17">#REF!</definedName>
    <definedName name="__Mu18">#REF!</definedName>
    <definedName name="__Mu20">#REF!</definedName>
    <definedName name="__Mu23">#REF!</definedName>
    <definedName name="__Mu24">#REF!</definedName>
    <definedName name="__Mu32">#REF!</definedName>
    <definedName name="__Mu33">#REF!</definedName>
    <definedName name="__Mu34">#REF!</definedName>
    <definedName name="__Mu35">#REF!</definedName>
    <definedName name="__Mu37">#REF!</definedName>
    <definedName name="__Mu38">#REF!</definedName>
    <definedName name="__Mu4">#REF!</definedName>
    <definedName name="__Mu40">#REF!</definedName>
    <definedName name="__Mu41">#REF!</definedName>
    <definedName name="__Mu43">#REF!</definedName>
    <definedName name="__Mu44">#REF!</definedName>
    <definedName name="__Mu46">#REF!</definedName>
    <definedName name="__Mu47">#REF!</definedName>
    <definedName name="__Mu5">#REF!</definedName>
    <definedName name="__Mu51">#REF!</definedName>
    <definedName name="__mu52">#REF!</definedName>
    <definedName name="__MU54">#REF!</definedName>
    <definedName name="__MU55">#REF!</definedName>
    <definedName name="__MU56">#REF!</definedName>
    <definedName name="__mU57">#REF!</definedName>
    <definedName name="__Mu59">#REF!</definedName>
    <definedName name="__Mu6">#REF!</definedName>
    <definedName name="__Mu64">#REF!</definedName>
    <definedName name="__Mu65">#REF!</definedName>
    <definedName name="__Mu66">#REF!</definedName>
    <definedName name="__Mu67">#REF!</definedName>
    <definedName name="__Mu68">#REF!</definedName>
    <definedName name="__Mu69">#REF!</definedName>
    <definedName name="__Mu70">#REF!</definedName>
    <definedName name="__Mu71">#REF!</definedName>
    <definedName name="__Mu73">#REF!</definedName>
    <definedName name="__MU75">#REF!</definedName>
    <definedName name="__MU76">#REF!</definedName>
    <definedName name="__MU77">#REF!</definedName>
    <definedName name="__MU78">#REF!</definedName>
    <definedName name="__MU79">#REF!</definedName>
    <definedName name="__Mu80">#REF!</definedName>
    <definedName name="__MU81">#REF!</definedName>
    <definedName name="__MU82">#REF!</definedName>
    <definedName name="__MU83">#REF!</definedName>
    <definedName name="__MU84">#REF!</definedName>
    <definedName name="__MU85">#REF!</definedName>
    <definedName name="__MU86">#REF!</definedName>
    <definedName name="__Mu87">#REF!</definedName>
    <definedName name="__Mu88">#REF!</definedName>
    <definedName name="__mU89">#REF!</definedName>
    <definedName name="__mu90">#REF!</definedName>
    <definedName name="__mu92">#REF!</definedName>
    <definedName name="__MU93">#REF!</definedName>
    <definedName name="__MU94">#REF!</definedName>
    <definedName name="__MU95">#REF!</definedName>
    <definedName name="__MU96">#REF!</definedName>
    <definedName name="__MU97">#REF!</definedName>
    <definedName name="__MU98">#REF!</definedName>
    <definedName name="__mu99">#REF!</definedName>
    <definedName name="__new1205">#REF!</definedName>
    <definedName name="__oj1208">#REF!</definedName>
    <definedName name="__pik1">#REF!</definedName>
    <definedName name="__pik2">#REF!</definedName>
    <definedName name="__PKG10">#REF!</definedName>
    <definedName name="__PKG11">#REF!</definedName>
    <definedName name="__PKG14">#REF!</definedName>
    <definedName name="__PKG15">#REF!</definedName>
    <definedName name="__PKG16">#REF!</definedName>
    <definedName name="__PKG17">#REF!</definedName>
    <definedName name="__PKG18">#REF!</definedName>
    <definedName name="__PKG20">#REF!</definedName>
    <definedName name="__PKG23">#REF!</definedName>
    <definedName name="__PKG24">#REF!</definedName>
    <definedName name="__PKG32">#REF!</definedName>
    <definedName name="__PKG33">#REF!</definedName>
    <definedName name="__PKG34">#REF!</definedName>
    <definedName name="__PKG35">#REF!</definedName>
    <definedName name="__PKG37">#REF!</definedName>
    <definedName name="__PKG38">#REF!</definedName>
    <definedName name="__PKG4">#REF!</definedName>
    <definedName name="__PKG40">#REF!</definedName>
    <definedName name="__PKG5">#REF!</definedName>
    <definedName name="__PKG6">#REF!</definedName>
    <definedName name="__Q1">#REF!</definedName>
    <definedName name="__req2">#REF!</definedName>
    <definedName name="__req3">#REF!</definedName>
    <definedName name="__STD1">#REF!</definedName>
    <definedName name="__sub1">#REF!</definedName>
    <definedName name="__sub2">#REF!</definedName>
    <definedName name="__T1">#REF!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ab6">#REF!</definedName>
    <definedName name="__TC1">#REF!</definedName>
    <definedName name="__TC2">#REF!</definedName>
    <definedName name="__TM1">#REF!</definedName>
    <definedName name="__TM10">#REF!</definedName>
    <definedName name="__TM11">#REF!</definedName>
    <definedName name="__TM2">#REF!</definedName>
    <definedName name="__TM3">#REF!</definedName>
    <definedName name="__TM4">#REF!</definedName>
    <definedName name="__TM44" localSheetId="5">#REF!</definedName>
    <definedName name="__TM44" localSheetId="4">#REF!</definedName>
    <definedName name="__TM44" localSheetId="6">#REF!</definedName>
    <definedName name="__TM44">#REF!</definedName>
    <definedName name="__TM5">#REF!</definedName>
    <definedName name="__TM6">#REF!</definedName>
    <definedName name="__TM7">#REF!</definedName>
    <definedName name="__TM8">#REF!</definedName>
    <definedName name="__TM9">#REF!</definedName>
    <definedName name="__U2313" localSheetId="3">#N/A</definedName>
    <definedName name="__U2313" localSheetId="5">#N/A</definedName>
    <definedName name="__U2313" localSheetId="0">#N/A</definedName>
    <definedName name="__U2313" localSheetId="6">#N/A</definedName>
    <definedName name="__U2313">Cleansheet!__U2313</definedName>
    <definedName name="__usd2" localSheetId="5">#REF!</definedName>
    <definedName name="__usd2" localSheetId="4">#REF!</definedName>
    <definedName name="__usd2" localSheetId="0">#REF!</definedName>
    <definedName name="__usd2" localSheetId="6">#REF!</definedName>
    <definedName name="__usd2">#REF!</definedName>
    <definedName name="__W1">#REF!</definedName>
    <definedName name="__WAS1">#REF!</definedName>
    <definedName name="__y5638" localSheetId="3">#N/A</definedName>
    <definedName name="__y5638" localSheetId="5">#N/A</definedName>
    <definedName name="__y5638" localSheetId="0">#N/A</definedName>
    <definedName name="__y5638" localSheetId="6">#N/A</definedName>
    <definedName name="__y5638">Cleansheet!__y5638</definedName>
    <definedName name="__y563800" localSheetId="3">#N/A</definedName>
    <definedName name="__y563800" localSheetId="5">#N/A</definedName>
    <definedName name="__y563800" localSheetId="0">#N/A</definedName>
    <definedName name="__y563800" localSheetId="6">#N/A</definedName>
    <definedName name="__y563800">Cleansheet!__y563800</definedName>
    <definedName name="__y5639" localSheetId="3">#N/A</definedName>
    <definedName name="__y5639" localSheetId="5">#N/A</definedName>
    <definedName name="__y5639" localSheetId="0">#N/A</definedName>
    <definedName name="__y5639" localSheetId="6">#N/A</definedName>
    <definedName name="__y5639">Cleansheet!__y5639</definedName>
    <definedName name="_0C" localSheetId="7">#REF!</definedName>
    <definedName name="_0C">#REF!</definedName>
    <definedName name="_0J" localSheetId="7">#REF!</definedName>
    <definedName name="_0J">#REF!</definedName>
    <definedName name="_1">#N/A</definedName>
    <definedName name="_1_0Print_A" localSheetId="7">#REF!</definedName>
    <definedName name="_1_0Print_A" localSheetId="5">#REF!</definedName>
    <definedName name="_1_0Print_A" localSheetId="4">#REF!</definedName>
    <definedName name="_1_0Print_A" localSheetId="6">#REF!</definedName>
    <definedName name="_1_0Print_A">#REF!</definedName>
    <definedName name="_10S" localSheetId="7">#REF!</definedName>
    <definedName name="_10S">#REF!</definedName>
    <definedName name="_11S" localSheetId="7">#REF!</definedName>
    <definedName name="_11S">#REF!</definedName>
    <definedName name="_12_1_ECN_ECR表單">#N/A</definedName>
    <definedName name="_128MB_RAM">#REF!</definedName>
    <definedName name="_12S">#REF!</definedName>
    <definedName name="_13S">#REF!</definedName>
    <definedName name="_14S">#REF!</definedName>
    <definedName name="_15S">#REF!</definedName>
    <definedName name="_1ASIA">#N/A</definedName>
    <definedName name="_1C">#REF!</definedName>
    <definedName name="_1CHINA">#N/A</definedName>
    <definedName name="_1E">#REF!</definedName>
    <definedName name="_1EUROPE">#N/A</definedName>
    <definedName name="_1GB_Drive">#REF!</definedName>
    <definedName name="_1H">#REF!</definedName>
    <definedName name="_1M">#REF!</definedName>
    <definedName name="_1N.AMERICA">#N/A</definedName>
    <definedName name="_1quotesummaryArray10" localSheetId="7">#REF!</definedName>
    <definedName name="_1quotesummaryArray10" localSheetId="5">#REF!</definedName>
    <definedName name="_1quotesummaryArray10" localSheetId="4">#REF!</definedName>
    <definedName name="_1quotesummaryArray10" localSheetId="6">#REF!</definedName>
    <definedName name="_1quotesummaryArray10">#REF!</definedName>
    <definedName name="_1quotesummaryArray12" localSheetId="7">#REF!</definedName>
    <definedName name="_1quotesummaryArray12" localSheetId="5">#REF!</definedName>
    <definedName name="_1quotesummaryArray12" localSheetId="4">#REF!</definedName>
    <definedName name="_1quotesummaryArray12" localSheetId="6">#REF!</definedName>
    <definedName name="_1quotesummaryArray12">#REF!</definedName>
    <definedName name="_1quotesummaryArray13" localSheetId="7">#REF!</definedName>
    <definedName name="_1quotesummaryArray13" localSheetId="5">#REF!</definedName>
    <definedName name="_1quotesummaryArray13" localSheetId="4">#REF!</definedName>
    <definedName name="_1quotesummaryArray13" localSheetId="6">#REF!</definedName>
    <definedName name="_1quotesummaryArray13">#REF!</definedName>
    <definedName name="_1quotesummaryArray137" localSheetId="5">#REF!</definedName>
    <definedName name="_1quotesummaryArray137" localSheetId="4">#REF!</definedName>
    <definedName name="_1quotesummaryArray137" localSheetId="6">#REF!</definedName>
    <definedName name="_1quotesummaryArray137">#REF!</definedName>
    <definedName name="_1quotesummaryArray14" localSheetId="4">#REF!</definedName>
    <definedName name="_1quotesummaryArray14" localSheetId="6">#REF!</definedName>
    <definedName name="_1quotesummaryArray14">#REF!</definedName>
    <definedName name="_1quotesummaryArray15" localSheetId="5">#REF!</definedName>
    <definedName name="_1quotesummaryArray15" localSheetId="4">#REF!</definedName>
    <definedName name="_1quotesummaryArray15" localSheetId="6">#REF!</definedName>
    <definedName name="_1quotesummaryArray15">#REF!</definedName>
    <definedName name="_1quotesummaryArray88" localSheetId="5">#REF!</definedName>
    <definedName name="_1quotesummaryArray88" localSheetId="4">#REF!</definedName>
    <definedName name="_1quotesummaryArray88" localSheetId="6">#REF!</definedName>
    <definedName name="_1quotesummaryArray88">#REF!</definedName>
    <definedName name="_1S">#REF!</definedName>
    <definedName name="_1S.AMERICA">#N/A</definedName>
    <definedName name="_1TWN">#N/A</definedName>
    <definedName name="_1XSMT_Line">#N/A</definedName>
    <definedName name="_2." localSheetId="7">#REF!</definedName>
    <definedName name="_2." localSheetId="5">#REF!</definedName>
    <definedName name="_2." localSheetId="4">#REF!</definedName>
    <definedName name="_2." localSheetId="0">#REF!</definedName>
    <definedName name="_2." localSheetId="6">#REF!</definedName>
    <definedName name="_2.">#REF!</definedName>
    <definedName name="_2C" localSheetId="7">#REF!</definedName>
    <definedName name="_2C">#REF!</definedName>
    <definedName name="_2GB_Drive" localSheetId="7">#REF!</definedName>
    <definedName name="_2GB_Drive">#REF!</definedName>
    <definedName name="_2H">#REF!</definedName>
    <definedName name="_2J">#REF!</definedName>
    <definedName name="_2M">#REF!</definedName>
    <definedName name="_2S">#REF!</definedName>
    <definedName name="_3_Button_Mouse">#REF!</definedName>
    <definedName name="_32MB_RAM">#REF!</definedName>
    <definedName name="_3C">#REF!</definedName>
    <definedName name="_3D_Graphics1">#REF!</definedName>
    <definedName name="_3D_Graphics2">#REF!</definedName>
    <definedName name="_3H">#REF!</definedName>
    <definedName name="_3J">#REF!</definedName>
    <definedName name="_3M">#REF!</definedName>
    <definedName name="_3S">#REF!</definedName>
    <definedName name="_4C_1">#REF!</definedName>
    <definedName name="_4C_2">#REF!</definedName>
    <definedName name="_4C_3">#REF!</definedName>
    <definedName name="_4GB_Drive">#REF!</definedName>
    <definedName name="_4J">#REF!</definedName>
    <definedName name="_4M">#REF!</definedName>
    <definedName name="_4S">#REF!</definedName>
    <definedName name="_4topandbtmsidesmtArray1" localSheetId="4">#REF!</definedName>
    <definedName name="_4topandbtmsidesmtArray1" localSheetId="6">#REF!</definedName>
    <definedName name="_4topandbtmsidesmtArray1">#REF!</definedName>
    <definedName name="_4topandbtmsidesmtArray10" localSheetId="4">#REF!</definedName>
    <definedName name="_4topandbtmsidesmtArray10" localSheetId="6">#REF!</definedName>
    <definedName name="_4topandbtmsidesmtArray10">#REF!</definedName>
    <definedName name="_4topandbtmsidesmtArray100" localSheetId="4">#REF!</definedName>
    <definedName name="_4topandbtmsidesmtArray100" localSheetId="6">#REF!</definedName>
    <definedName name="_4topandbtmsidesmtArray100">#REF!</definedName>
    <definedName name="_4topandbtmsidesmtArray102" localSheetId="5">#REF!</definedName>
    <definedName name="_4topandbtmsidesmtArray102" localSheetId="4">#REF!</definedName>
    <definedName name="_4topandbtmsidesmtArray102" localSheetId="6">#REF!</definedName>
    <definedName name="_4topandbtmsidesmtArray102">#REF!</definedName>
    <definedName name="_4topandbtmsidesmtArray103" localSheetId="4">#REF!</definedName>
    <definedName name="_4topandbtmsidesmtArray103" localSheetId="6">#REF!</definedName>
    <definedName name="_4topandbtmsidesmtArray103">#REF!</definedName>
    <definedName name="_4topandbtmsidesmtArray11" localSheetId="4">#REF!</definedName>
    <definedName name="_4topandbtmsidesmtArray11" localSheetId="6">#REF!</definedName>
    <definedName name="_4topandbtmsidesmtArray11">#REF!</definedName>
    <definedName name="_4topandbtmsidesmtArray12" localSheetId="4">#REF!</definedName>
    <definedName name="_4topandbtmsidesmtArray12" localSheetId="6">#REF!</definedName>
    <definedName name="_4topandbtmsidesmtArray12">#REF!</definedName>
    <definedName name="_4topandbtmsidesmtArray13" localSheetId="4">#REF!</definedName>
    <definedName name="_4topandbtmsidesmtArray13" localSheetId="6">#REF!</definedName>
    <definedName name="_4topandbtmsidesmtArray13">#REF!</definedName>
    <definedName name="_4topandbtmsidesmtArray14" localSheetId="4">#REF!</definedName>
    <definedName name="_4topandbtmsidesmtArray14" localSheetId="6">#REF!</definedName>
    <definedName name="_4topandbtmsidesmtArray14">#REF!</definedName>
    <definedName name="_4topandbtmsidesmtArray15" localSheetId="4">#REF!</definedName>
    <definedName name="_4topandbtmsidesmtArray15" localSheetId="6">#REF!</definedName>
    <definedName name="_4topandbtmsidesmtArray15">#REF!</definedName>
    <definedName name="_4topandbtmsidesmtArray16" localSheetId="4">#REF!</definedName>
    <definedName name="_4topandbtmsidesmtArray16" localSheetId="6">#REF!</definedName>
    <definedName name="_4topandbtmsidesmtArray16">#REF!</definedName>
    <definedName name="_4topandbtmsidesmtArray17" localSheetId="4">#REF!</definedName>
    <definedName name="_4topandbtmsidesmtArray17" localSheetId="6">#REF!</definedName>
    <definedName name="_4topandbtmsidesmtArray17">#REF!</definedName>
    <definedName name="_4topandbtmsidesmtArray18" localSheetId="4">#REF!</definedName>
    <definedName name="_4topandbtmsidesmtArray18" localSheetId="6">#REF!</definedName>
    <definedName name="_4topandbtmsidesmtArray18">#REF!</definedName>
    <definedName name="_4topandbtmsidesmtArray19" localSheetId="4">#REF!</definedName>
    <definedName name="_4topandbtmsidesmtArray19" localSheetId="6">#REF!</definedName>
    <definedName name="_4topandbtmsidesmtArray19">#REF!</definedName>
    <definedName name="_4topandbtmsidesmtArray2" localSheetId="4">#REF!</definedName>
    <definedName name="_4topandbtmsidesmtArray2" localSheetId="6">#REF!</definedName>
    <definedName name="_4topandbtmsidesmtArray2">#REF!</definedName>
    <definedName name="_4topandbtmsidesmtArray20" localSheetId="4">#REF!</definedName>
    <definedName name="_4topandbtmsidesmtArray20" localSheetId="6">#REF!</definedName>
    <definedName name="_4topandbtmsidesmtArray20">#REF!</definedName>
    <definedName name="_4topandbtmsidesmtArray21" localSheetId="4">#REF!</definedName>
    <definedName name="_4topandbtmsidesmtArray21" localSheetId="6">#REF!</definedName>
    <definedName name="_4topandbtmsidesmtArray21">#REF!</definedName>
    <definedName name="_4topandbtmsidesmtArray22" localSheetId="4">#REF!</definedName>
    <definedName name="_4topandbtmsidesmtArray22" localSheetId="6">#REF!</definedName>
    <definedName name="_4topandbtmsidesmtArray22">#REF!</definedName>
    <definedName name="_4topandbtmsidesmtArray23" localSheetId="4">#REF!</definedName>
    <definedName name="_4topandbtmsidesmtArray23" localSheetId="6">#REF!</definedName>
    <definedName name="_4topandbtmsidesmtArray23">#REF!</definedName>
    <definedName name="_4topandbtmsidesmtArray24" localSheetId="4">#REF!</definedName>
    <definedName name="_4topandbtmsidesmtArray24" localSheetId="6">#REF!</definedName>
    <definedName name="_4topandbtmsidesmtArray24">#REF!</definedName>
    <definedName name="_4topandbtmsidesmtArray25" localSheetId="4">#REF!</definedName>
    <definedName name="_4topandbtmsidesmtArray25" localSheetId="6">#REF!</definedName>
    <definedName name="_4topandbtmsidesmtArray25">#REF!</definedName>
    <definedName name="_4topandbtmsidesmtArray26" localSheetId="4">#REF!</definedName>
    <definedName name="_4topandbtmsidesmtArray26" localSheetId="6">#REF!</definedName>
    <definedName name="_4topandbtmsidesmtArray26">#REF!</definedName>
    <definedName name="_4topandbtmsidesmtArray27" localSheetId="4">#REF!</definedName>
    <definedName name="_4topandbtmsidesmtArray27" localSheetId="6">#REF!</definedName>
    <definedName name="_4topandbtmsidesmtArray27">#REF!</definedName>
    <definedName name="_4topandbtmsidesmtArray28" localSheetId="4">#REF!</definedName>
    <definedName name="_4topandbtmsidesmtArray28" localSheetId="6">#REF!</definedName>
    <definedName name="_4topandbtmsidesmtArray28">#REF!</definedName>
    <definedName name="_4topandbtmsidesmtArray29" localSheetId="4">#REF!</definedName>
    <definedName name="_4topandbtmsidesmtArray29" localSheetId="6">#REF!</definedName>
    <definedName name="_4topandbtmsidesmtArray29">#REF!</definedName>
    <definedName name="_4topandbtmsidesmtArray30" localSheetId="5">#REF!</definedName>
    <definedName name="_4topandbtmsidesmtArray30" localSheetId="4">#REF!</definedName>
    <definedName name="_4topandbtmsidesmtArray30" localSheetId="6">#REF!</definedName>
    <definedName name="_4topandbtmsidesmtArray30">#REF!</definedName>
    <definedName name="_4topandbtmsidesmtArray31" localSheetId="4">#REF!</definedName>
    <definedName name="_4topandbtmsidesmtArray31" localSheetId="6">#REF!</definedName>
    <definedName name="_4topandbtmsidesmtArray31">#REF!</definedName>
    <definedName name="_4topandbtmsidesmtArray32" localSheetId="4">#REF!</definedName>
    <definedName name="_4topandbtmsidesmtArray32" localSheetId="6">#REF!</definedName>
    <definedName name="_4topandbtmsidesmtArray32">#REF!</definedName>
    <definedName name="_4topandbtmsidesmtArray33" localSheetId="4">#REF!</definedName>
    <definedName name="_4topandbtmsidesmtArray33" localSheetId="6">#REF!</definedName>
    <definedName name="_4topandbtmsidesmtArray33">#REF!</definedName>
    <definedName name="_4topandbtmsidesmtArray34" localSheetId="4">#REF!</definedName>
    <definedName name="_4topandbtmsidesmtArray34" localSheetId="6">#REF!</definedName>
    <definedName name="_4topandbtmsidesmtArray34">#REF!</definedName>
    <definedName name="_4topandbtmsidesmtArray35" localSheetId="4">#REF!</definedName>
    <definedName name="_4topandbtmsidesmtArray35" localSheetId="6">#REF!</definedName>
    <definedName name="_4topandbtmsidesmtArray35">#REF!</definedName>
    <definedName name="_4topandbtmsidesmtArray36" localSheetId="4">#REF!</definedName>
    <definedName name="_4topandbtmsidesmtArray36" localSheetId="6">#REF!</definedName>
    <definedName name="_4topandbtmsidesmtArray36">#REF!</definedName>
    <definedName name="_4topandbtmsidesmtArray37" localSheetId="4">#REF!</definedName>
    <definedName name="_4topandbtmsidesmtArray37" localSheetId="6">#REF!</definedName>
    <definedName name="_4topandbtmsidesmtArray37">#REF!</definedName>
    <definedName name="_4topandbtmsidesmtArray38" localSheetId="4">#REF!</definedName>
    <definedName name="_4topandbtmsidesmtArray38" localSheetId="6">#REF!</definedName>
    <definedName name="_4topandbtmsidesmtArray38">#REF!</definedName>
    <definedName name="_4topandbtmsidesmtArray39" localSheetId="4">#REF!</definedName>
    <definedName name="_4topandbtmsidesmtArray39" localSheetId="6">#REF!</definedName>
    <definedName name="_4topandbtmsidesmtArray39">#REF!</definedName>
    <definedName name="_4topandbtmsidesmtArray40" localSheetId="5">#REF!</definedName>
    <definedName name="_4topandbtmsidesmtArray40" localSheetId="4">#REF!</definedName>
    <definedName name="_4topandbtmsidesmtArray40" localSheetId="6">#REF!</definedName>
    <definedName name="_4topandbtmsidesmtArray40">#REF!</definedName>
    <definedName name="_4topandbtmsidesmtArray41" localSheetId="4">#REF!</definedName>
    <definedName name="_4topandbtmsidesmtArray41" localSheetId="6">#REF!</definedName>
    <definedName name="_4topandbtmsidesmtArray41">#REF!</definedName>
    <definedName name="_4topandbtmsidesmtArray42" localSheetId="4">#REF!</definedName>
    <definedName name="_4topandbtmsidesmtArray42" localSheetId="6">#REF!</definedName>
    <definedName name="_4topandbtmsidesmtArray42">#REF!</definedName>
    <definedName name="_4topandbtmsidesmtArray43" localSheetId="4">#REF!</definedName>
    <definedName name="_4topandbtmsidesmtArray43" localSheetId="6">#REF!</definedName>
    <definedName name="_4topandbtmsidesmtArray43">#REF!</definedName>
    <definedName name="_4topandbtmsidesmtArray44" localSheetId="4">#REF!</definedName>
    <definedName name="_4topandbtmsidesmtArray44" localSheetId="6">#REF!</definedName>
    <definedName name="_4topandbtmsidesmtArray44">#REF!</definedName>
    <definedName name="_4topandbtmsidesmtArray45" localSheetId="4">#REF!</definedName>
    <definedName name="_4topandbtmsidesmtArray45" localSheetId="6">#REF!</definedName>
    <definedName name="_4topandbtmsidesmtArray45">#REF!</definedName>
    <definedName name="_4topandbtmsidesmtArray46" localSheetId="4">#REF!</definedName>
    <definedName name="_4topandbtmsidesmtArray46" localSheetId="6">#REF!</definedName>
    <definedName name="_4topandbtmsidesmtArray46">#REF!</definedName>
    <definedName name="_4topandbtmsidesmtArray47" localSheetId="4">#REF!</definedName>
    <definedName name="_4topandbtmsidesmtArray47" localSheetId="6">#REF!</definedName>
    <definedName name="_4topandbtmsidesmtArray47">#REF!</definedName>
    <definedName name="_4topandbtmsidesmtArray48" localSheetId="4">#REF!</definedName>
    <definedName name="_4topandbtmsidesmtArray48" localSheetId="6">#REF!</definedName>
    <definedName name="_4topandbtmsidesmtArray48">#REF!</definedName>
    <definedName name="_4topandbtmsidesmtArray49" localSheetId="4">#REF!</definedName>
    <definedName name="_4topandbtmsidesmtArray49" localSheetId="6">#REF!</definedName>
    <definedName name="_4topandbtmsidesmtArray49">#REF!</definedName>
    <definedName name="_4topandbtmsidesmtArray5" localSheetId="4">#REF!</definedName>
    <definedName name="_4topandbtmsidesmtArray5" localSheetId="6">#REF!</definedName>
    <definedName name="_4topandbtmsidesmtArray5">#REF!</definedName>
    <definedName name="_4topandbtmsidesmtArray50" localSheetId="4">#REF!</definedName>
    <definedName name="_4topandbtmsidesmtArray50" localSheetId="6">#REF!</definedName>
    <definedName name="_4topandbtmsidesmtArray50">#REF!</definedName>
    <definedName name="_4topandbtmsidesmtArray51" localSheetId="4">#REF!</definedName>
    <definedName name="_4topandbtmsidesmtArray51" localSheetId="6">#REF!</definedName>
    <definedName name="_4topandbtmsidesmtArray51">#REF!</definedName>
    <definedName name="_4topandbtmsidesmtArray52" localSheetId="4">#REF!</definedName>
    <definedName name="_4topandbtmsidesmtArray52" localSheetId="6">#REF!</definedName>
    <definedName name="_4topandbtmsidesmtArray52">#REF!</definedName>
    <definedName name="_4topandbtmsidesmtArray53" localSheetId="4">#REF!</definedName>
    <definedName name="_4topandbtmsidesmtArray53" localSheetId="6">#REF!</definedName>
    <definedName name="_4topandbtmsidesmtArray53">#REF!</definedName>
    <definedName name="_4topandbtmsidesmtArray54" localSheetId="4">#REF!</definedName>
    <definedName name="_4topandbtmsidesmtArray54" localSheetId="6">#REF!</definedName>
    <definedName name="_4topandbtmsidesmtArray54">#REF!</definedName>
    <definedName name="_4topandbtmsidesmtArray55" localSheetId="4">#REF!</definedName>
    <definedName name="_4topandbtmsidesmtArray55" localSheetId="6">#REF!</definedName>
    <definedName name="_4topandbtmsidesmtArray55">#REF!</definedName>
    <definedName name="_4topandbtmsidesmtArray56" localSheetId="4">#REF!</definedName>
    <definedName name="_4topandbtmsidesmtArray56" localSheetId="6">#REF!</definedName>
    <definedName name="_4topandbtmsidesmtArray56">#REF!</definedName>
    <definedName name="_4topandbtmsidesmtArray58" localSheetId="5">#REF!</definedName>
    <definedName name="_4topandbtmsidesmtArray58" localSheetId="4">#REF!</definedName>
    <definedName name="_4topandbtmsidesmtArray58" localSheetId="6">#REF!</definedName>
    <definedName name="_4topandbtmsidesmtArray58">#REF!</definedName>
    <definedName name="_4topandbtmsidesmtArray59" localSheetId="4">#REF!</definedName>
    <definedName name="_4topandbtmsidesmtArray59" localSheetId="6">#REF!</definedName>
    <definedName name="_4topandbtmsidesmtArray59">#REF!</definedName>
    <definedName name="_4topandbtmsidesmtArray6" localSheetId="4">#REF!</definedName>
    <definedName name="_4topandbtmsidesmtArray6" localSheetId="6">#REF!</definedName>
    <definedName name="_4topandbtmsidesmtArray6">#REF!</definedName>
    <definedName name="_4topandbtmsidesmtArray60" localSheetId="4">#REF!</definedName>
    <definedName name="_4topandbtmsidesmtArray60" localSheetId="6">#REF!</definedName>
    <definedName name="_4topandbtmsidesmtArray60">#REF!</definedName>
    <definedName name="_4topandbtmsidesmtArray61" localSheetId="4">#REF!</definedName>
    <definedName name="_4topandbtmsidesmtArray61" localSheetId="6">#REF!</definedName>
    <definedName name="_4topandbtmsidesmtArray61">#REF!</definedName>
    <definedName name="_4topandbtmsidesmtArray62" localSheetId="4">#REF!</definedName>
    <definedName name="_4topandbtmsidesmtArray62" localSheetId="6">#REF!</definedName>
    <definedName name="_4topandbtmsidesmtArray62">#REF!</definedName>
    <definedName name="_4topandbtmsidesmtArray63" localSheetId="4">#REF!</definedName>
    <definedName name="_4topandbtmsidesmtArray63" localSheetId="6">#REF!</definedName>
    <definedName name="_4topandbtmsidesmtArray63">#REF!</definedName>
    <definedName name="_4topandbtmsidesmtArray64" localSheetId="4">#REF!</definedName>
    <definedName name="_4topandbtmsidesmtArray64" localSheetId="6">#REF!</definedName>
    <definedName name="_4topandbtmsidesmtArray64">#REF!</definedName>
    <definedName name="_4topandbtmsidesmtArray65" localSheetId="4">#REF!</definedName>
    <definedName name="_4topandbtmsidesmtArray65" localSheetId="6">#REF!</definedName>
    <definedName name="_4topandbtmsidesmtArray65">#REF!</definedName>
    <definedName name="_4topandbtmsidesmtArray66" localSheetId="4">#REF!</definedName>
    <definedName name="_4topandbtmsidesmtArray66" localSheetId="6">#REF!</definedName>
    <definedName name="_4topandbtmsidesmtArray66">#REF!</definedName>
    <definedName name="_4topandbtmsidesmtArray67" localSheetId="4">#REF!</definedName>
    <definedName name="_4topandbtmsidesmtArray67" localSheetId="6">#REF!</definedName>
    <definedName name="_4topandbtmsidesmtArray67">#REF!</definedName>
    <definedName name="_4topandbtmsidesmtArray68" localSheetId="4">#REF!</definedName>
    <definedName name="_4topandbtmsidesmtArray68" localSheetId="6">#REF!</definedName>
    <definedName name="_4topandbtmsidesmtArray68">#REF!</definedName>
    <definedName name="_4topandbtmsidesmtArray69" localSheetId="4">#REF!</definedName>
    <definedName name="_4topandbtmsidesmtArray69" localSheetId="6">#REF!</definedName>
    <definedName name="_4topandbtmsidesmtArray69">#REF!</definedName>
    <definedName name="_4topandbtmsidesmtArray7" localSheetId="4">#REF!</definedName>
    <definedName name="_4topandbtmsidesmtArray7" localSheetId="6">#REF!</definedName>
    <definedName name="_4topandbtmsidesmtArray7">#REF!</definedName>
    <definedName name="_4topandbtmsidesmtArray70" localSheetId="4">#REF!</definedName>
    <definedName name="_4topandbtmsidesmtArray70" localSheetId="6">#REF!</definedName>
    <definedName name="_4topandbtmsidesmtArray70">#REF!</definedName>
    <definedName name="_4topandbtmsidesmtArray71" localSheetId="4">#REF!</definedName>
    <definedName name="_4topandbtmsidesmtArray71" localSheetId="6">#REF!</definedName>
    <definedName name="_4topandbtmsidesmtArray71">#REF!</definedName>
    <definedName name="_4topandbtmsidesmtArray72" localSheetId="4">#REF!</definedName>
    <definedName name="_4topandbtmsidesmtArray72" localSheetId="6">#REF!</definedName>
    <definedName name="_4topandbtmsidesmtArray72">#REF!</definedName>
    <definedName name="_4topandbtmsidesmtArray73" localSheetId="4">#REF!</definedName>
    <definedName name="_4topandbtmsidesmtArray73" localSheetId="6">#REF!</definedName>
    <definedName name="_4topandbtmsidesmtArray73">#REF!</definedName>
    <definedName name="_4topandbtmsidesmtArray74" localSheetId="4">#REF!</definedName>
    <definedName name="_4topandbtmsidesmtArray74" localSheetId="6">#REF!</definedName>
    <definedName name="_4topandbtmsidesmtArray74">#REF!</definedName>
    <definedName name="_4topandbtmsidesmtArray75" localSheetId="4">#REF!</definedName>
    <definedName name="_4topandbtmsidesmtArray75" localSheetId="6">#REF!</definedName>
    <definedName name="_4topandbtmsidesmtArray75">#REF!</definedName>
    <definedName name="_4topandbtmsidesmtArray76" localSheetId="4">#REF!</definedName>
    <definedName name="_4topandbtmsidesmtArray76" localSheetId="6">#REF!</definedName>
    <definedName name="_4topandbtmsidesmtArray76">#REF!</definedName>
    <definedName name="_4topandbtmsidesmtArray77" localSheetId="4">#REF!</definedName>
    <definedName name="_4topandbtmsidesmtArray77" localSheetId="6">#REF!</definedName>
    <definedName name="_4topandbtmsidesmtArray77">#REF!</definedName>
    <definedName name="_4topandbtmsidesmtArray78" localSheetId="4">#REF!</definedName>
    <definedName name="_4topandbtmsidesmtArray78" localSheetId="6">#REF!</definedName>
    <definedName name="_4topandbtmsidesmtArray78">#REF!</definedName>
    <definedName name="_4topandbtmsidesmtArray79" localSheetId="4">#REF!</definedName>
    <definedName name="_4topandbtmsidesmtArray79" localSheetId="6">#REF!</definedName>
    <definedName name="_4topandbtmsidesmtArray79">#REF!</definedName>
    <definedName name="_4topandbtmsidesmtArray8" localSheetId="4">#REF!</definedName>
    <definedName name="_4topandbtmsidesmtArray8" localSheetId="6">#REF!</definedName>
    <definedName name="_4topandbtmsidesmtArray8">#REF!</definedName>
    <definedName name="_4topandbtmsidesmtArray80" localSheetId="4">#REF!</definedName>
    <definedName name="_4topandbtmsidesmtArray80" localSheetId="6">#REF!</definedName>
    <definedName name="_4topandbtmsidesmtArray80">#REF!</definedName>
    <definedName name="_4topandbtmsidesmtArray81" localSheetId="4">#REF!</definedName>
    <definedName name="_4topandbtmsidesmtArray81" localSheetId="6">#REF!</definedName>
    <definedName name="_4topandbtmsidesmtArray81">#REF!</definedName>
    <definedName name="_4topandbtmsidesmtArray82" localSheetId="4">#REF!</definedName>
    <definedName name="_4topandbtmsidesmtArray82" localSheetId="6">#REF!</definedName>
    <definedName name="_4topandbtmsidesmtArray82">#REF!</definedName>
    <definedName name="_4topandbtmsidesmtArray83" localSheetId="4">#REF!</definedName>
    <definedName name="_4topandbtmsidesmtArray83" localSheetId="6">#REF!</definedName>
    <definedName name="_4topandbtmsidesmtArray83">#REF!</definedName>
    <definedName name="_4topandbtmsidesmtArray84" localSheetId="4">#REF!</definedName>
    <definedName name="_4topandbtmsidesmtArray84" localSheetId="6">#REF!</definedName>
    <definedName name="_4topandbtmsidesmtArray84">#REF!</definedName>
    <definedName name="_4topandbtmsidesmtArray85" localSheetId="4">#REF!</definedName>
    <definedName name="_4topandbtmsidesmtArray85" localSheetId="6">#REF!</definedName>
    <definedName name="_4topandbtmsidesmtArray85">#REF!</definedName>
    <definedName name="_4topandbtmsidesmtArray86" localSheetId="4">#REF!</definedName>
    <definedName name="_4topandbtmsidesmtArray86" localSheetId="6">#REF!</definedName>
    <definedName name="_4topandbtmsidesmtArray86">#REF!</definedName>
    <definedName name="_4topandbtmsidesmtArray87" localSheetId="4">#REF!</definedName>
    <definedName name="_4topandbtmsidesmtArray87" localSheetId="6">#REF!</definedName>
    <definedName name="_4topandbtmsidesmtArray87">#REF!</definedName>
    <definedName name="_4topandbtmsidesmtArray88" localSheetId="4">#REF!</definedName>
    <definedName name="_4topandbtmsidesmtArray88" localSheetId="6">#REF!</definedName>
    <definedName name="_4topandbtmsidesmtArray88">#REF!</definedName>
    <definedName name="_4topandbtmsidesmtArray89" localSheetId="4">#REF!</definedName>
    <definedName name="_4topandbtmsidesmtArray89" localSheetId="6">#REF!</definedName>
    <definedName name="_4topandbtmsidesmtArray89">#REF!</definedName>
    <definedName name="_4topandbtmsidesmtArray9" localSheetId="4">#REF!</definedName>
    <definedName name="_4topandbtmsidesmtArray9" localSheetId="6">#REF!</definedName>
    <definedName name="_4topandbtmsidesmtArray9">#REF!</definedName>
    <definedName name="_4topandbtmsidesmtArray90" localSheetId="4">#REF!</definedName>
    <definedName name="_4topandbtmsidesmtArray90" localSheetId="6">#REF!</definedName>
    <definedName name="_4topandbtmsidesmtArray90">#REF!</definedName>
    <definedName name="_4topandbtmsidesmtArray91" localSheetId="4">#REF!</definedName>
    <definedName name="_4topandbtmsidesmtArray91" localSheetId="6">#REF!</definedName>
    <definedName name="_4topandbtmsidesmtArray91">#REF!</definedName>
    <definedName name="_4topandbtmsidesmtArray92" localSheetId="4">#REF!</definedName>
    <definedName name="_4topandbtmsidesmtArray92" localSheetId="6">#REF!</definedName>
    <definedName name="_4topandbtmsidesmtArray92">#REF!</definedName>
    <definedName name="_4topandbtmsidesmtArray93" localSheetId="4">#REF!</definedName>
    <definedName name="_4topandbtmsidesmtArray93" localSheetId="6">#REF!</definedName>
    <definedName name="_4topandbtmsidesmtArray93">#REF!</definedName>
    <definedName name="_4topandbtmsidesmtArray94" localSheetId="4">#REF!</definedName>
    <definedName name="_4topandbtmsidesmtArray94" localSheetId="6">#REF!</definedName>
    <definedName name="_4topandbtmsidesmtArray94">#REF!</definedName>
    <definedName name="_4topandbtmsidesmtArray95" localSheetId="4">#REF!</definedName>
    <definedName name="_4topandbtmsidesmtArray95" localSheetId="6">#REF!</definedName>
    <definedName name="_4topandbtmsidesmtArray95">#REF!</definedName>
    <definedName name="_4topandbtmsidesmtArray96" localSheetId="4">#REF!</definedName>
    <definedName name="_4topandbtmsidesmtArray96" localSheetId="6">#REF!</definedName>
    <definedName name="_4topandbtmsidesmtArray96">#REF!</definedName>
    <definedName name="_4topandbtmsidesmtArray97" localSheetId="4">#REF!</definedName>
    <definedName name="_4topandbtmsidesmtArray97" localSheetId="6">#REF!</definedName>
    <definedName name="_4topandbtmsidesmtArray97">#REF!</definedName>
    <definedName name="_4topandbtmsidesmtArray98" localSheetId="4">#REF!</definedName>
    <definedName name="_4topandbtmsidesmtArray98" localSheetId="6">#REF!</definedName>
    <definedName name="_4topandbtmsidesmtArray98">#REF!</definedName>
    <definedName name="_4topandbtmsidesmtArray99" localSheetId="4">#REF!</definedName>
    <definedName name="_4topandbtmsidesmtArray99" localSheetId="6">#REF!</definedName>
    <definedName name="_4topandbtmsidesmtArray99">#REF!</definedName>
    <definedName name="_512_Cache">#REF!</definedName>
    <definedName name="_5C">#REF!</definedName>
    <definedName name="_5J">#REF!</definedName>
    <definedName name="_5S">#REF!</definedName>
    <definedName name="_64MB_RAM">#REF!</definedName>
    <definedName name="_66311B" localSheetId="4">#REF!</definedName>
    <definedName name="_66311B" localSheetId="6">#REF!</definedName>
    <definedName name="_66311B">#REF!</definedName>
    <definedName name="_6C">#REF!</definedName>
    <definedName name="_6S">#REF!</definedName>
    <definedName name="_7S">#REF!</definedName>
    <definedName name="_8960A" localSheetId="5">#REF!</definedName>
    <definedName name="_8960A" localSheetId="4">#REF!</definedName>
    <definedName name="_8960A" localSheetId="6">#REF!</definedName>
    <definedName name="_8960A">#REF!</definedName>
    <definedName name="_8960B" localSheetId="4">#REF!</definedName>
    <definedName name="_8960B" localSheetId="6">#REF!</definedName>
    <definedName name="_8960B">#REF!</definedName>
    <definedName name="_8960C" localSheetId="4">#REF!</definedName>
    <definedName name="_8960C" localSheetId="6">#REF!</definedName>
    <definedName name="_8960C">#REF!</definedName>
    <definedName name="_8S">#REF!</definedName>
    <definedName name="_8X_CD_ROM">#REF!</definedName>
    <definedName name="_9S">#REF!</definedName>
    <definedName name="_a1" localSheetId="7">#REF!</definedName>
    <definedName name="_a1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1" localSheetId="0">#REF!</definedName>
    <definedName name="_a1" localSheetId="6">#REF!</definedName>
    <definedName name="_a1">#REF!</definedName>
    <definedName name="_A11" localSheetId="7">#REF!</definedName>
    <definedName name="_A11" localSheetId="4">#REF!</definedName>
    <definedName name="_A11" localSheetId="0">#REF!</definedName>
    <definedName name="_A11" localSheetId="6">#REF!</definedName>
    <definedName name="_A11">#REF!</definedName>
    <definedName name="_A2" localSheetId="7">#REF!</definedName>
    <definedName name="_A2" localSheetId="4">#REF!</definedName>
    <definedName name="_A2" localSheetId="0">#REF!</definedName>
    <definedName name="_A2" localSheetId="6">#REF!</definedName>
    <definedName name="_A2">#REF!</definedName>
    <definedName name="_a3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3">#N/A</definedName>
    <definedName name="_a4" localSheetId="7" hidden="1">{"whole",#N/A,FALSE,"Gen_Dist_Act_Bud";"whole",#N/A,FALSE,"Gen_Dist_T3months";"whole",#N/A,FALSE,"GD_PerP";"whole",#N/A,FALSE,"HR Dist'n"}</definedName>
    <definedName name="_a4" localSheetId="3" hidden="1">{"whole",#N/A,FALSE,"Gen_Dist_Act_Bud";"whole",#N/A,FALSE,"Gen_Dist_T3months";"whole",#N/A,FALSE,"GD_PerP";"whole",#N/A,FALSE,"HR Dist'n"}</definedName>
    <definedName name="_a4" localSheetId="5" hidden="1">{"whole",#N/A,FALSE,"Gen_Dist_Act_Bud";"whole",#N/A,FALSE,"Gen_Dist_T3months";"whole",#N/A,FALSE,"GD_PerP";"whole",#N/A,FALSE,"HR Dist'n"}</definedName>
    <definedName name="_a4" localSheetId="4" hidden="1">{"whole",#N/A,FALSE,"Gen_Dist_Act_Bud";"whole",#N/A,FALSE,"Gen_Dist_T3months";"whole",#N/A,FALSE,"GD_PerP";"whole",#N/A,FALSE,"HR Dist'n"}</definedName>
    <definedName name="_a4" localSheetId="6" hidden="1">{"whole",#N/A,FALSE,"Gen_Dist_Act_Bud";"whole",#N/A,FALSE,"Gen_Dist_T3months";"whole",#N/A,FALSE,"GD_PerP";"whole",#N/A,FALSE,"HR Dist'n"}</definedName>
    <definedName name="_a4" hidden="1">{"whole",#N/A,FALSE,"Gen_Dist_Act_Bud";"whole",#N/A,FALSE,"Gen_Dist_T3months";"whole",#N/A,FALSE,"GD_PerP";"whole",#N/A,FALSE,"HR Dist'n"}</definedName>
    <definedName name="_a5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a5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a5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a5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a5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a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a6" localSheetId="7" hidden="1">{"whole",#N/A,FALSE,"CS HC";"whole",#N/A,FALSE,"CS_ACTvsBud";"whole",#N/A,FALSE,"CSTrail3mo";"whole",#N/A,FALSE,"CS Cost Per Head ";"whole",#N/A,FALSE,"CS CPH YTD"}</definedName>
    <definedName name="_a6" localSheetId="3" hidden="1">{"whole",#N/A,FALSE,"CS HC";"whole",#N/A,FALSE,"CS_ACTvsBud";"whole",#N/A,FALSE,"CSTrail3mo";"whole",#N/A,FALSE,"CS Cost Per Head ";"whole",#N/A,FALSE,"CS CPH YTD"}</definedName>
    <definedName name="_a6" localSheetId="5" hidden="1">{"whole",#N/A,FALSE,"CS HC";"whole",#N/A,FALSE,"CS_ACTvsBud";"whole",#N/A,FALSE,"CSTrail3mo";"whole",#N/A,FALSE,"CS Cost Per Head ";"whole",#N/A,FALSE,"CS CPH YTD"}</definedName>
    <definedName name="_a6" localSheetId="4" hidden="1">{"whole",#N/A,FALSE,"CS HC";"whole",#N/A,FALSE,"CS_ACTvsBud";"whole",#N/A,FALSE,"CSTrail3mo";"whole",#N/A,FALSE,"CS Cost Per Head ";"whole",#N/A,FALSE,"CS CPH YTD"}</definedName>
    <definedName name="_a6" localSheetId="6" hidden="1">{"whole",#N/A,FALSE,"CS HC";"whole",#N/A,FALSE,"CS_ACTvsBud";"whole",#N/A,FALSE,"CSTrail3mo";"whole",#N/A,FALSE,"CS Cost Per Head ";"whole",#N/A,FALSE,"CS CPH YTD"}</definedName>
    <definedName name="_a6" hidden="1">{"whole",#N/A,FALSE,"CS HC";"whole",#N/A,FALSE,"CS_ACTvsBud";"whole",#N/A,FALSE,"CSTrail3mo";"whole",#N/A,FALSE,"CS Cost Per Head ";"whole",#N/A,FALSE,"CS CPH YTD"}</definedName>
    <definedName name="_a7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_a7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_a7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_a7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_a7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_a7" hidden="1">{"whole",#N/A,FALSE,"CS FIN Sum For Rox";"whole",#N/A,FALSE,"Gen_Dist_Act_Bud";"whole",#N/A,FALSE,"Gen_Dist_T3months";"whole",#N/A,FALSE,"GD_PerP";"whole",#N/A,FALSE,"CS_DIST_ActvsBud";"whole",#N/A,FALSE,"CS_DIST_SUM_trail3mo"}</definedName>
    <definedName name="_A9">#N/A</definedName>
    <definedName name="_aaa111299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aa111299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aa111299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aa111299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aa111299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aa111299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b1112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b1112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b1112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b1112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b1112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b111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c370">#REF!</definedName>
    <definedName name="_ac375">#REF!</definedName>
    <definedName name="_acc345">#REF!</definedName>
    <definedName name="_acc370">#REF!</definedName>
    <definedName name="_acc375">#REF!</definedName>
    <definedName name="_acc730">#REF!</definedName>
    <definedName name="_acc75">#REF!</definedName>
    <definedName name="_AR1" localSheetId="5">#REF!</definedName>
    <definedName name="_AR1" localSheetId="4">#REF!</definedName>
    <definedName name="_AR1" localSheetId="0">#REF!</definedName>
    <definedName name="_AR1" localSheetId="6">#REF!</definedName>
    <definedName name="_AR1">#REF!</definedName>
    <definedName name="_b1" localSheetId="7" hidden="1">{"Chart 1",#N/A,FALSE,"Run Rate";"Chart 2",#N/A,FALSE,"Run Rate (2)"}</definedName>
    <definedName name="_b1" localSheetId="3" hidden="1">{"Chart 1",#N/A,FALSE,"Run Rate";"Chart 2",#N/A,FALSE,"Run Rate (2)"}</definedName>
    <definedName name="_b1" localSheetId="5" hidden="1">{"Chart 1",#N/A,FALSE,"Run Rate";"Chart 2",#N/A,FALSE,"Run Rate (2)"}</definedName>
    <definedName name="_b1" localSheetId="4" hidden="1">{"Chart 1",#N/A,FALSE,"Run Rate";"Chart 2",#N/A,FALSE,"Run Rate (2)"}</definedName>
    <definedName name="_b1" localSheetId="6" hidden="1">{"Chart 1",#N/A,FALSE,"Run Rate";"Chart 2",#N/A,FALSE,"Run Rate (2)"}</definedName>
    <definedName name="_b1" hidden="1">{"Chart 1",#N/A,FALSE,"Run Rate";"Chart 2",#N/A,FALSE,"Run Rate (2)"}</definedName>
    <definedName name="_c" localSheetId="7">#REF!</definedName>
    <definedName name="_c" localSheetId="5">#REF!</definedName>
    <definedName name="_c" localSheetId="4">#REF!</definedName>
    <definedName name="_c" localSheetId="6">#REF!</definedName>
    <definedName name="_c">#REF!</definedName>
    <definedName name="_C7018">#N/A</definedName>
    <definedName name="_Col1" localSheetId="7">#REF!</definedName>
    <definedName name="_Col1" localSheetId="5">#REF!</definedName>
    <definedName name="_Col1" localSheetId="4">#REF!</definedName>
    <definedName name="_Col1" localSheetId="6">#REF!</definedName>
    <definedName name="_Col1">#REF!</definedName>
    <definedName name="_Col2" localSheetId="7">#REF!</definedName>
    <definedName name="_Col2" localSheetId="4">#REF!</definedName>
    <definedName name="_Col2" localSheetId="6">#REF!</definedName>
    <definedName name="_Col2">#REF!</definedName>
    <definedName name="_DAT1" localSheetId="7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2">#REF!</definedName>
    <definedName name="_DEC12">#REF!</definedName>
    <definedName name="_DN1">#N/A</definedName>
    <definedName name="_EMS753" localSheetId="7">#REF!</definedName>
    <definedName name="_EMS753" localSheetId="5">#REF!</definedName>
    <definedName name="_EMS753" localSheetId="4">#REF!</definedName>
    <definedName name="_EMS753" localSheetId="0">#REF!</definedName>
    <definedName name="_EMS753" localSheetId="6">#REF!</definedName>
    <definedName name="_EMS753">#REF!</definedName>
    <definedName name="_F1">#N/A</definedName>
    <definedName name="_F2" localSheetId="7">#REF!</definedName>
    <definedName name="_F2">#REF!</definedName>
    <definedName name="_F3" localSheetId="7">#REF!</definedName>
    <definedName name="_F3">#REF!</definedName>
    <definedName name="_F4">#REF!</definedName>
    <definedName name="_fff2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fff2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fff2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fff2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fff2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fff2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Fill" localSheetId="7" hidden="1">#REF!</definedName>
    <definedName name="_Fill" hidden="1">#REF!</definedName>
    <definedName name="_xlnm._FilterDatabase" localSheetId="7" hidden="1">#REF!</definedName>
    <definedName name="_xlnm._FilterDatabase" localSheetId="5" hidden="1">#REF!</definedName>
    <definedName name="_xlnm._FilterDatabase" localSheetId="4" hidden="1">'Equipment List'!#REF!</definedName>
    <definedName name="_xlnm._FilterDatabase" localSheetId="0" hidden="1">#REF!</definedName>
    <definedName name="_xlnm._FilterDatabase" localSheetId="6" hidden="1">#REF!</definedName>
    <definedName name="_xlnm._FilterDatabase" hidden="1">#REF!</definedName>
    <definedName name="_H5354">#N/A</definedName>
    <definedName name="_H53541">#N/A</definedName>
    <definedName name="_HP66311B" localSheetId="7">#REF!</definedName>
    <definedName name="_HP66311B" localSheetId="5">#REF!</definedName>
    <definedName name="_HP66311B" localSheetId="4">#REF!</definedName>
    <definedName name="_HP66311B" localSheetId="6">#REF!</definedName>
    <definedName name="_HP66311B">#REF!</definedName>
    <definedName name="_HP8960C" localSheetId="7">#REF!</definedName>
    <definedName name="_HP8960C" localSheetId="4">#REF!</definedName>
    <definedName name="_HP8960C" localSheetId="6">#REF!</definedName>
    <definedName name="_HP8960C">#REF!</definedName>
    <definedName name="_J29_NOTE6" localSheetId="7">#REF!</definedName>
    <definedName name="_J29_NOTE6" localSheetId="4">#REF!</definedName>
    <definedName name="_J29_NOTE6" localSheetId="6">#REF!</definedName>
    <definedName name="_J29_NOTE6">#REF!</definedName>
    <definedName name="_Jan08">#REF!</definedName>
    <definedName name="_Key1" hidden="1">#REF!</definedName>
    <definedName name="_Key2" hidden="1">#REF!</definedName>
    <definedName name="_L37_NOTE7" localSheetId="5">#REF!</definedName>
    <definedName name="_L37_NOTE7" localSheetId="4">#REF!</definedName>
    <definedName name="_L37_NOTE7" localSheetId="6">#REF!</definedName>
    <definedName name="_L37_NOTE7">#REF!</definedName>
    <definedName name="_LHI92" localSheetId="4">#REF!</definedName>
    <definedName name="_LHI92" localSheetId="6">#REF!</definedName>
    <definedName name="_LHI92">#REF!</definedName>
    <definedName name="_LOH1" localSheetId="4">#REF!</definedName>
    <definedName name="_LOH1" localSheetId="6">#REF!</definedName>
    <definedName name="_LOH1">#REF!</definedName>
    <definedName name="_M1">#REF!</definedName>
    <definedName name="_M2">#REF!</definedName>
    <definedName name="_M3">#REF!</definedName>
    <definedName name="_M4">#REF!</definedName>
    <definedName name="_mc1">#REF!</definedName>
    <definedName name="_mc2">#REF!</definedName>
    <definedName name="_mc3">#REF!</definedName>
    <definedName name="_mc4">#REF!</definedName>
    <definedName name="_mc5">#REF!</definedName>
    <definedName name="_mc6">#REF!</definedName>
    <definedName name="_mc7">#REF!</definedName>
    <definedName name="_ME2" localSheetId="4">#REF!</definedName>
    <definedName name="_ME2" localSheetId="6">#REF!</definedName>
    <definedName name="_ME2">#REF!</definedName>
    <definedName name="_mer1">#REF!</definedName>
    <definedName name="_mer2">#REF!</definedName>
    <definedName name="_mk1">#REF!</definedName>
    <definedName name="_Mu10">#REF!</definedName>
    <definedName name="_MU100">#REF!</definedName>
    <definedName name="_MU101">#REF!</definedName>
    <definedName name="_Mu11">#REF!</definedName>
    <definedName name="_Mu15">#REF!</definedName>
    <definedName name="_Mu17">#REF!</definedName>
    <definedName name="_Mu18">#REF!</definedName>
    <definedName name="_Mu20">#REF!</definedName>
    <definedName name="_Mu23">#REF!</definedName>
    <definedName name="_Mu24">#REF!</definedName>
    <definedName name="_Mu32">#REF!</definedName>
    <definedName name="_Mu33">#REF!</definedName>
    <definedName name="_Mu34">#REF!</definedName>
    <definedName name="_Mu35">#REF!</definedName>
    <definedName name="_Mu37">#REF!</definedName>
    <definedName name="_Mu38">#REF!</definedName>
    <definedName name="_Mu4">#REF!</definedName>
    <definedName name="_Mu40">#REF!</definedName>
    <definedName name="_Mu41">#REF!</definedName>
    <definedName name="_Mu43">#REF!</definedName>
    <definedName name="_Mu44">#REF!</definedName>
    <definedName name="_Mu46">#REF!</definedName>
    <definedName name="_Mu47">#REF!</definedName>
    <definedName name="_Mu5">#REF!</definedName>
    <definedName name="_Mu51">#REF!</definedName>
    <definedName name="_mu52">#REF!</definedName>
    <definedName name="_MU54">#REF!</definedName>
    <definedName name="_MU55">#REF!</definedName>
    <definedName name="_MU56">#REF!</definedName>
    <definedName name="_mU57">#REF!</definedName>
    <definedName name="_Mu59">#REF!</definedName>
    <definedName name="_Mu6">#REF!</definedName>
    <definedName name="_Mu64">#REF!</definedName>
    <definedName name="_Mu65">#REF!</definedName>
    <definedName name="_Mu66">#REF!</definedName>
    <definedName name="_Mu67">#REF!</definedName>
    <definedName name="_Mu68">#REF!</definedName>
    <definedName name="_Mu69">#REF!</definedName>
    <definedName name="_Mu70">#REF!</definedName>
    <definedName name="_Mu71">#REF!</definedName>
    <definedName name="_Mu73">#REF!</definedName>
    <definedName name="_MU75">#REF!</definedName>
    <definedName name="_MU76">#REF!</definedName>
    <definedName name="_MU77">#REF!</definedName>
    <definedName name="_MU78">#REF!</definedName>
    <definedName name="_MU79">#REF!</definedName>
    <definedName name="_Mu80">#REF!</definedName>
    <definedName name="_MU81">#REF!</definedName>
    <definedName name="_MU82">#REF!</definedName>
    <definedName name="_MU83">#REF!</definedName>
    <definedName name="_MU84">#REF!</definedName>
    <definedName name="_MU85">#REF!</definedName>
    <definedName name="_MU86">#REF!</definedName>
    <definedName name="_Mu87">#REF!</definedName>
    <definedName name="_Mu88">#REF!</definedName>
    <definedName name="_mU89">#REF!</definedName>
    <definedName name="_mu90">#REF!</definedName>
    <definedName name="_mu92">#REF!</definedName>
    <definedName name="_MU93">#REF!</definedName>
    <definedName name="_MU94">#REF!</definedName>
    <definedName name="_MU95">#REF!</definedName>
    <definedName name="_MU96">#REF!</definedName>
    <definedName name="_MU97">#REF!</definedName>
    <definedName name="_MU98">#REF!</definedName>
    <definedName name="_mu99">#REF!</definedName>
    <definedName name="_new1205">#REF!</definedName>
    <definedName name="_oj1208">#REF!</definedName>
    <definedName name="_OLAP_QUERY_OPTIMIZE_">TRUE</definedName>
    <definedName name="_Order1" hidden="1">255</definedName>
    <definedName name="_Order2" hidden="1">0</definedName>
    <definedName name="_Parse_In" hidden="1">#REF!</definedName>
    <definedName name="_PC" localSheetId="6">#REF!</definedName>
    <definedName name="_PC">#REF!</definedName>
    <definedName name="_PG1">#REF!</definedName>
    <definedName name="_PG2">#REF!</definedName>
    <definedName name="_pg3">#REF!</definedName>
    <definedName name="_pik1">#REF!</definedName>
    <definedName name="_pik2">#REF!</definedName>
    <definedName name="_piv1">"Actuals"</definedName>
    <definedName name="_PKG10">#REF!</definedName>
    <definedName name="_PKG11">#REF!</definedName>
    <definedName name="_PKG14">#REF!</definedName>
    <definedName name="_PKG15">#REF!</definedName>
    <definedName name="_PKG16">#REF!</definedName>
    <definedName name="_PKG17">#REF!</definedName>
    <definedName name="_PKG18">#REF!</definedName>
    <definedName name="_PKG20">#REF!</definedName>
    <definedName name="_PKG23">#REF!</definedName>
    <definedName name="_PKG24">#REF!</definedName>
    <definedName name="_PKG32">#REF!</definedName>
    <definedName name="_PKG33">#REF!</definedName>
    <definedName name="_PKG34">#REF!</definedName>
    <definedName name="_PKG35">#REF!</definedName>
    <definedName name="_PKG37">#REF!</definedName>
    <definedName name="_PKG38">#REF!</definedName>
    <definedName name="_PKG4">#REF!</definedName>
    <definedName name="_PKG40">#REF!</definedName>
    <definedName name="_PKG5">#REF!</definedName>
    <definedName name="_PKG6">#REF!</definedName>
    <definedName name="_prc1">#REF!</definedName>
    <definedName name="_prc2">#REF!</definedName>
    <definedName name="_prc3">#REF!</definedName>
    <definedName name="_Q1">#REF!</definedName>
    <definedName name="_Q50">#REF!</definedName>
    <definedName name="_QBR2" localSheetId="7" hidden="1">{"one (KEY)",#N/A,FALSE,"P&amp;L"}</definedName>
    <definedName name="_QBR2" localSheetId="3" hidden="1">{"one (KEY)",#N/A,FALSE,"P&amp;L"}</definedName>
    <definedName name="_QBR2" localSheetId="5" hidden="1">{"one (KEY)",#N/A,FALSE,"P&amp;L"}</definedName>
    <definedName name="_QBR2" localSheetId="4" hidden="1">{"one (KEY)",#N/A,FALSE,"P&amp;L"}</definedName>
    <definedName name="_QBR2" localSheetId="6" hidden="1">{"one (KEY)",#N/A,FALSE,"P&amp;L"}</definedName>
    <definedName name="_QBR2" hidden="1">{"one (KEY)",#N/A,FALSE,"P&amp;L"}</definedName>
    <definedName name="_QRB3" localSheetId="7" hidden="1">{"one (KEY)",#N/A,FALSE,"P&amp;L"}</definedName>
    <definedName name="_QRB3" localSheetId="3" hidden="1">{"one (KEY)",#N/A,FALSE,"P&amp;L"}</definedName>
    <definedName name="_QRB3" localSheetId="5" hidden="1">{"one (KEY)",#N/A,FALSE,"P&amp;L"}</definedName>
    <definedName name="_QRB3" localSheetId="4" hidden="1">{"one (KEY)",#N/A,FALSE,"P&amp;L"}</definedName>
    <definedName name="_QRB3" localSheetId="6" hidden="1">{"one (KEY)",#N/A,FALSE,"P&amp;L"}</definedName>
    <definedName name="_QRB3" hidden="1">{"one (KEY)",#N/A,FALSE,"P&amp;L"}</definedName>
    <definedName name="_qt1">#REF!</definedName>
    <definedName name="_QUO1">#REF!</definedName>
    <definedName name="_req2">#REF!</definedName>
    <definedName name="_req3">#REF!</definedName>
    <definedName name="_RH6">#REF!</definedName>
    <definedName name="_rk1">#N/A</definedName>
    <definedName name="_rk2">#N/A</definedName>
    <definedName name="_rk3">#N/A</definedName>
    <definedName name="_rk4">#N/A</definedName>
    <definedName name="_rk5">#N/A</definedName>
    <definedName name="_rk6">#N/A</definedName>
    <definedName name="_rk7">#N/A</definedName>
    <definedName name="_Scope" localSheetId="7">#REF!</definedName>
    <definedName name="_Scope" localSheetId="5">#REF!</definedName>
    <definedName name="_Scope" localSheetId="4">#REF!</definedName>
    <definedName name="_Scope" localSheetId="6">#REF!</definedName>
    <definedName name="_Scope">#REF!</definedName>
    <definedName name="_Sort" localSheetId="7" hidden="1">#REF!</definedName>
    <definedName name="_Sort" hidden="1">#REF!</definedName>
    <definedName name="_SORT1" hidden="1">#REF!</definedName>
    <definedName name="_sp2" localSheetId="5">#REF!</definedName>
    <definedName name="_sp2" localSheetId="4">#REF!</definedName>
    <definedName name="_sp2" localSheetId="6">#REF!</definedName>
    <definedName name="_sp2">#REF!</definedName>
    <definedName name="_SP3" localSheetId="4">#REF!</definedName>
    <definedName name="_SP3" localSheetId="6">#REF!</definedName>
    <definedName name="_SP3">#REF!</definedName>
    <definedName name="_Spectrum" localSheetId="4">#REF!</definedName>
    <definedName name="_Spectrum" localSheetId="6">#REF!</definedName>
    <definedName name="_Spectrum">#REF!</definedName>
    <definedName name="_STD1">#REF!</definedName>
    <definedName name="_sub1">#REF!</definedName>
    <definedName name="_sub2">#REF!</definedName>
    <definedName name="_T1">#REF!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c1">#REF!</definedName>
    <definedName name="_tc2">#REF!</definedName>
    <definedName name="_tc3">#REF!</definedName>
    <definedName name="_tc4">#REF!</definedName>
    <definedName name="_tc5">#REF!</definedName>
    <definedName name="_TM1">#REF!</definedName>
    <definedName name="_TM10">#REF!</definedName>
    <definedName name="_TM11">#REF!</definedName>
    <definedName name="_TM2">#REF!</definedName>
    <definedName name="_TM3">#REF!</definedName>
    <definedName name="_TM4">#REF!</definedName>
    <definedName name="_TM44" localSheetId="5">#REF!</definedName>
    <definedName name="_TM44" localSheetId="4">#REF!</definedName>
    <definedName name="_TM44" localSheetId="6">#REF!</definedName>
    <definedName name="_TM44">#REF!</definedName>
    <definedName name="_TM5">#REF!</definedName>
    <definedName name="_TM6">#REF!</definedName>
    <definedName name="_TM7">#REF!</definedName>
    <definedName name="_TM8">#REF!</definedName>
    <definedName name="_TM9">#REF!</definedName>
    <definedName name="_U2313">#N/A</definedName>
    <definedName name="_usd2">#N/A</definedName>
    <definedName name="_W1">#REF!</definedName>
    <definedName name="_w32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w32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w32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w32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w32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w3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w33" localSheetId="7" hidden="1">{"whole",#N/A,FALSE,"Gen_Dist_Act_Bud";"whole",#N/A,FALSE,"Gen_Dist_T3months";"whole",#N/A,FALSE,"GD_PerP";"whole",#N/A,FALSE,"HR Dist'n"}</definedName>
    <definedName name="_w33" localSheetId="3" hidden="1">{"whole",#N/A,FALSE,"Gen_Dist_Act_Bud";"whole",#N/A,FALSE,"Gen_Dist_T3months";"whole",#N/A,FALSE,"GD_PerP";"whole",#N/A,FALSE,"HR Dist'n"}</definedName>
    <definedName name="_w33" localSheetId="5" hidden="1">{"whole",#N/A,FALSE,"Gen_Dist_Act_Bud";"whole",#N/A,FALSE,"Gen_Dist_T3months";"whole",#N/A,FALSE,"GD_PerP";"whole",#N/A,FALSE,"HR Dist'n"}</definedName>
    <definedName name="_w33" localSheetId="4" hidden="1">{"whole",#N/A,FALSE,"Gen_Dist_Act_Bud";"whole",#N/A,FALSE,"Gen_Dist_T3months";"whole",#N/A,FALSE,"GD_PerP";"whole",#N/A,FALSE,"HR Dist'n"}</definedName>
    <definedName name="_w33" localSheetId="6" hidden="1">{"whole",#N/A,FALSE,"Gen_Dist_Act_Bud";"whole",#N/A,FALSE,"Gen_Dist_T3months";"whole",#N/A,FALSE,"GD_PerP";"whole",#N/A,FALSE,"HR Dist'n"}</definedName>
    <definedName name="_w33" hidden="1">{"whole",#N/A,FALSE,"Gen_Dist_Act_Bud";"whole",#N/A,FALSE,"Gen_Dist_T3months";"whole",#N/A,FALSE,"GD_PerP";"whole",#N/A,FALSE,"HR Dist'n"}</definedName>
    <definedName name="_WAS1">#REF!</definedName>
    <definedName name="_wk1">#REF!</definedName>
    <definedName name="_wk2">#REF!</definedName>
    <definedName name="_wk3">#REF!</definedName>
    <definedName name="_wk4">#REF!</definedName>
    <definedName name="_wrn2" localSheetId="7" hidden="1">{#N/A,#N/A,FALSE,"Summary";#N/A,#N/A,FALSE,"Details";#N/A,#N/A,FALSE,"Month-Hd";#N/A,#N/A,FALSE,"YTD-Hd";#N/A,#N/A,FALSE,"Capital"}</definedName>
    <definedName name="_wrn2" localSheetId="3" hidden="1">{#N/A,#N/A,FALSE,"Summary";#N/A,#N/A,FALSE,"Details";#N/A,#N/A,FALSE,"Month-Hd";#N/A,#N/A,FALSE,"YTD-Hd";#N/A,#N/A,FALSE,"Capital"}</definedName>
    <definedName name="_wrn2" localSheetId="5" hidden="1">{#N/A,#N/A,FALSE,"Summary";#N/A,#N/A,FALSE,"Details";#N/A,#N/A,FALSE,"Month-Hd";#N/A,#N/A,FALSE,"YTD-Hd";#N/A,#N/A,FALSE,"Capital"}</definedName>
    <definedName name="_wrn2" localSheetId="4" hidden="1">{#N/A,#N/A,FALSE,"Summary";#N/A,#N/A,FALSE,"Details";#N/A,#N/A,FALSE,"Month-Hd";#N/A,#N/A,FALSE,"YTD-Hd";#N/A,#N/A,FALSE,"Capital"}</definedName>
    <definedName name="_wrn2" localSheetId="6" hidden="1">{#N/A,#N/A,FALSE,"Summary";#N/A,#N/A,FALSE,"Details";#N/A,#N/A,FALSE,"Month-Hd";#N/A,#N/A,FALSE,"YTD-Hd";#N/A,#N/A,FALSE,"Capital"}</definedName>
    <definedName name="_wrn2" hidden="1">{#N/A,#N/A,FALSE,"Summary";#N/A,#N/A,FALSE,"Details";#N/A,#N/A,FALSE,"Month-Hd";#N/A,#N/A,FALSE,"YTD-Hd";#N/A,#N/A,FALSE,"Capital"}</definedName>
    <definedName name="_ww4">#REF!</definedName>
    <definedName name="_ww6">#REF!</definedName>
    <definedName name="_x3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x3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x3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x3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x3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x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y5638">#N/A</definedName>
    <definedName name="_y563800">#N/A</definedName>
    <definedName name="_y5639">#N/A</definedName>
    <definedName name="【口臭】" localSheetId="7">#REF!</definedName>
    <definedName name="【口臭】" localSheetId="5">#REF!</definedName>
    <definedName name="【口臭】" localSheetId="4">#REF!</definedName>
    <definedName name="【口臭】" localSheetId="0">#REF!</definedName>
    <definedName name="【口臭】" localSheetId="6">#REF!</definedName>
    <definedName name="【口臭】">#REF!</definedName>
    <definedName name="【手腕痛症候群】" localSheetId="7">#REF!</definedName>
    <definedName name="【手腕痛症候群】" localSheetId="3">#REF!</definedName>
    <definedName name="【手腕痛症候群】" localSheetId="4">#REF!</definedName>
    <definedName name="【手腕痛症候群】" localSheetId="0">#REF!</definedName>
    <definedName name="【手腕痛症候群】" localSheetId="6">#REF!</definedName>
    <definedName name="【手腕痛症候群】">#REF!</definedName>
    <definedName name="【水皰】" localSheetId="7">#REF!</definedName>
    <definedName name="【水皰】" localSheetId="5">#REF!</definedName>
    <definedName name="【水皰】" localSheetId="4">#REF!</definedName>
    <definedName name="【水皰】" localSheetId="0">#REF!</definedName>
    <definedName name="【水皰】" localSheetId="6">#REF!</definedName>
    <definedName name="【水皰】">#REF!</definedName>
    <definedName name="【牙痛】" localSheetId="4">#REF!</definedName>
    <definedName name="【牙痛】" localSheetId="0">#REF!</definedName>
    <definedName name="【牙痛】" localSheetId="6">#REF!</definedName>
    <definedName name="【牙痛】">#REF!</definedName>
    <definedName name="【牙齒的斑漬】" localSheetId="4">#REF!</definedName>
    <definedName name="【牙齒的斑漬】" localSheetId="0">#REF!</definedName>
    <definedName name="【牙齒的斑漬】" localSheetId="6">#REF!</definedName>
    <definedName name="【牙齒的斑漬】">#REF!</definedName>
    <definedName name="【皮膚炎及濕疹】" localSheetId="5">#REF!</definedName>
    <definedName name="【皮膚炎及濕疹】" localSheetId="4">#REF!</definedName>
    <definedName name="【皮膚炎及濕疹】" localSheetId="0">#REF!</definedName>
    <definedName name="【皮膚炎及濕疹】" localSheetId="6">#REF!</definedName>
    <definedName name="【皮膚炎及濕疹】">#REF!</definedName>
    <definedName name="【皮膚乾澀及冬季皮膚癢】" localSheetId="4">#REF!</definedName>
    <definedName name="【皮膚乾澀及冬季皮膚癢】" localSheetId="0">#REF!</definedName>
    <definedName name="【皮膚乾澀及冬季皮膚癢】" localSheetId="6">#REF!</definedName>
    <definedName name="【皮膚乾澀及冬季皮膚癢】">#REF!</definedName>
    <definedName name="【肉刺】" localSheetId="3">#REF!</definedName>
    <definedName name="【肉刺】" localSheetId="4">#REF!</definedName>
    <definedName name="【肉刺】" localSheetId="0">#REF!</definedName>
    <definedName name="【肉刺】" localSheetId="6">#REF!</definedName>
    <definedName name="【肉刺】">#REF!</definedName>
    <definedName name="【肌肉痛】" localSheetId="4">#REF!</definedName>
    <definedName name="【肌肉痛】" localSheetId="0">#REF!</definedName>
    <definedName name="【肌肉痛】" localSheetId="6">#REF!</definedName>
    <definedName name="【肌肉痛】">#REF!</definedName>
    <definedName name="【肌腱炎】" localSheetId="4">#REF!</definedName>
    <definedName name="【肌腱炎】" localSheetId="0">#REF!</definedName>
    <definedName name="【肌腱炎】" localSheetId="6">#REF!</definedName>
    <definedName name="【肌腱炎】">#REF!</definedName>
    <definedName name="【尿布疹】" localSheetId="5">#REF!</definedName>
    <definedName name="【尿布疹】" localSheetId="4">#REF!</definedName>
    <definedName name="【尿布疹】" localSheetId="0">#REF!</definedName>
    <definedName name="【尿布疹】" localSheetId="6">#REF!</definedName>
    <definedName name="【尿布疹】">#REF!</definedName>
    <definedName name="【昆蟲及動物咬傷】" localSheetId="5">#REF!</definedName>
    <definedName name="【昆蟲及動物咬傷】" localSheetId="4">#REF!</definedName>
    <definedName name="【昆蟲及動物咬傷】" localSheetId="0">#REF!</definedName>
    <definedName name="【昆蟲及動物咬傷】" localSheetId="6">#REF!</definedName>
    <definedName name="【昆蟲及動物咬傷】">#REF!</definedName>
    <definedName name="【昆蟲螯傷】" localSheetId="4">#REF!</definedName>
    <definedName name="【昆蟲螯傷】" localSheetId="0">#REF!</definedName>
    <definedName name="【昆蟲螯傷】" localSheetId="6">#REF!</definedName>
    <definedName name="【昆蟲螯傷】">#REF!</definedName>
    <definedName name="【油性皮膚】" localSheetId="3">#REF!</definedName>
    <definedName name="【油性皮膚】" localSheetId="4">#REF!</definedName>
    <definedName name="【油性皮膚】" localSheetId="0">#REF!</definedName>
    <definedName name="【油性皮膚】" localSheetId="6">#REF!</definedName>
    <definedName name="【油性皮膚】">#REF!</definedName>
    <definedName name="【油性頭髮】" localSheetId="4">#REF!</definedName>
    <definedName name="【油性頭髮】" localSheetId="0">#REF!</definedName>
    <definedName name="【油性頭髮】" localSheetId="6">#REF!</definedName>
    <definedName name="【油性頭髮】">#REF!</definedName>
    <definedName name="【指甲內生】" localSheetId="5">#REF!</definedName>
    <definedName name="【指甲內生】" localSheetId="4">#REF!</definedName>
    <definedName name="【指甲內生】" localSheetId="0">#REF!</definedName>
    <definedName name="【指甲內生】" localSheetId="6">#REF!</definedName>
    <definedName name="【指甲內生】">#REF!</definedName>
    <definedName name="【疣】" localSheetId="4">#REF!</definedName>
    <definedName name="【疣】" localSheetId="0">#REF!</definedName>
    <definedName name="【疣】" localSheetId="6">#REF!</definedName>
    <definedName name="【疣】">#REF!</definedName>
    <definedName name="【疤痕的問題】" localSheetId="7">#REF!</definedName>
    <definedName name="【疤痕的問題】" localSheetId="3">#REF!</definedName>
    <definedName name="【疤痕的問題】" localSheetId="4">#REF!</definedName>
    <definedName name="【疤痕的問題】" localSheetId="0">#REF!</definedName>
    <definedName name="【疤痕的問題】" localSheetId="6">#REF!</definedName>
    <definedName name="【疤痕的問題】">#REF!</definedName>
    <definedName name="【背痛】" localSheetId="7">#REF!</definedName>
    <definedName name="【背痛】" localSheetId="5">#REF!</definedName>
    <definedName name="【背痛】" localSheetId="4">#REF!</definedName>
    <definedName name="【背痛】" localSheetId="0">#REF!</definedName>
    <definedName name="【背痛】" localSheetId="6">#REF!</definedName>
    <definedName name="【背痛】">#REF!</definedName>
    <definedName name="【香港腳】" localSheetId="5">#REF!</definedName>
    <definedName name="【香港腳】" localSheetId="4">#REF!</definedName>
    <definedName name="【香港腳】" localSheetId="0">#REF!</definedName>
    <definedName name="【香港腳】" localSheetId="6">#REF!</definedName>
    <definedName name="【香港腳】">#REF!</definedName>
    <definedName name="【凍瘡】" localSheetId="3">#REF!</definedName>
    <definedName name="【凍瘡】" localSheetId="4">#REF!</definedName>
    <definedName name="【凍瘡】" localSheetId="0">#REF!</definedName>
    <definedName name="【凍瘡】" localSheetId="6">#REF!</definedName>
    <definedName name="【凍瘡】">#REF!</definedName>
    <definedName name="【唇皰疹】" localSheetId="4">#REF!</definedName>
    <definedName name="【唇皰疹】" localSheetId="0">#REF!</definedName>
    <definedName name="【唇皰疹】" localSheetId="6">#REF!</definedName>
    <definedName name="【唇皰疹】">#REF!</definedName>
    <definedName name="【粉刺】" localSheetId="5">#REF!</definedName>
    <definedName name="【粉刺】" localSheetId="4">#REF!</definedName>
    <definedName name="【粉刺】" localSheetId="0">#REF!</definedName>
    <definedName name="【粉刺】" localSheetId="6">#REF!</definedName>
    <definedName name="【粉刺】">#REF!</definedName>
    <definedName name="【脂肪堆積】" localSheetId="3">#REF!</definedName>
    <definedName name="【脂肪堆積】" localSheetId="4">#REF!</definedName>
    <definedName name="【脂肪堆積】" localSheetId="0">#REF!</definedName>
    <definedName name="【脂肪堆積】" localSheetId="6">#REF!</definedName>
    <definedName name="【脂肪堆積】">#REF!</definedName>
    <definedName name="【骨質疏鬆症】" localSheetId="5">#REF!</definedName>
    <definedName name="【骨質疏鬆症】" localSheetId="4">#REF!</definedName>
    <definedName name="【骨質疏鬆症】" localSheetId="0">#REF!</definedName>
    <definedName name="【骨質疏鬆症】" localSheetId="6">#REF!</definedName>
    <definedName name="【骨質疏鬆症】">#REF!</definedName>
    <definedName name="【乾裂的手】" localSheetId="3">#REF!</definedName>
    <definedName name="【乾裂的手】" localSheetId="4">#REF!</definedName>
    <definedName name="【乾裂的手】" localSheetId="0">#REF!</definedName>
    <definedName name="【乾裂的手】" localSheetId="6">#REF!</definedName>
    <definedName name="【乾裂的手】">#REF!</definedName>
    <definedName name="【假牙的問題】" localSheetId="4">#REF!</definedName>
    <definedName name="【假牙的問題】" localSheetId="0">#REF!</definedName>
    <definedName name="【假牙的問題】" localSheetId="6">#REF!</definedName>
    <definedName name="【假牙的問題】">#REF!</definedName>
    <definedName name="【培養優良的姿勢】" localSheetId="5">#REF!</definedName>
    <definedName name="【培養優良的姿勢】" localSheetId="4">#REF!</definedName>
    <definedName name="【培養優良的姿勢】" localSheetId="0">#REF!</definedName>
    <definedName name="【培養優良的姿勢】" localSheetId="6">#REF!</definedName>
    <definedName name="【培養優良的姿勢】">#REF!</definedName>
    <definedName name="【帶狀皰疹】" localSheetId="3">#REF!</definedName>
    <definedName name="【帶狀皰疹】" localSheetId="4">#REF!</definedName>
    <definedName name="【帶狀皰疹】" localSheetId="0">#REF!</definedName>
    <definedName name="【帶狀皰疹】" localSheetId="6">#REF!</definedName>
    <definedName name="【帶狀皰疹】">#REF!</definedName>
    <definedName name="【割傷及擦傷】" localSheetId="5">#REF!</definedName>
    <definedName name="【割傷及擦傷】" localSheetId="4">#REF!</definedName>
    <definedName name="【割傷及擦傷】" localSheetId="0">#REF!</definedName>
    <definedName name="【割傷及擦傷】" localSheetId="6">#REF!</definedName>
    <definedName name="【割傷及擦傷】">#REF!</definedName>
    <definedName name="【腳臭】" localSheetId="4">#REF!</definedName>
    <definedName name="【腳臭】" localSheetId="0">#REF!</definedName>
    <definedName name="【腳臭】" localSheetId="6">#REF!</definedName>
    <definedName name="【腳臭】">#REF!</definedName>
    <definedName name="【腳痛】" localSheetId="4">#REF!</definedName>
    <definedName name="【腳痛】" localSheetId="0">#REF!</definedName>
    <definedName name="【腳痛】" localSheetId="6">#REF!</definedName>
    <definedName name="【腳痛】">#REF!</definedName>
    <definedName name="【嘴唇乾裂】" localSheetId="5">#REF!</definedName>
    <definedName name="【嘴唇乾裂】" localSheetId="4">#REF!</definedName>
    <definedName name="【嘴唇乾裂】" localSheetId="0">#REF!</definedName>
    <definedName name="【嘴唇乾裂】" localSheetId="6">#REF!</definedName>
    <definedName name="【嘴唇乾裂】">#REF!</definedName>
    <definedName name="【皺紋】" localSheetId="5">#REF!</definedName>
    <definedName name="【皺紋】" localSheetId="4">#REF!</definedName>
    <definedName name="【皺紋】" localSheetId="0">#REF!</definedName>
    <definedName name="【皺紋】" localSheetId="6">#REF!</definedName>
    <definedName name="【皺紋】">#REF!</definedName>
    <definedName name="【膝蓋痛】" localSheetId="3">#REF!</definedName>
    <definedName name="【膝蓋痛】" localSheetId="4">#REF!</definedName>
    <definedName name="【膝蓋痛】" localSheetId="0">#REF!</definedName>
    <definedName name="【膝蓋痛】" localSheetId="6">#REF!</definedName>
    <definedName name="【膝蓋痛】">#REF!</definedName>
    <definedName name="【齒石和齒垢】" localSheetId="7">#REF!</definedName>
    <definedName name="【齒石和齒垢】" localSheetId="3">#REF!</definedName>
    <definedName name="【齒石和齒垢】" localSheetId="4">#REF!</definedName>
    <definedName name="【齒石和齒垢】" localSheetId="0">#REF!</definedName>
    <definedName name="【齒石和齒垢】" localSheetId="6">#REF!</definedName>
    <definedName name="【齒石和齒垢】">#REF!</definedName>
    <definedName name="【齒齦發炎】" localSheetId="4">#REF!</definedName>
    <definedName name="【齒齦發炎】" localSheetId="0">#REF!</definedName>
    <definedName name="【齒齦發炎】" localSheetId="6">#REF!</definedName>
    <definedName name="【齒齦發炎】">#REF!</definedName>
    <definedName name="【燒傷】" localSheetId="4">#REF!</definedName>
    <definedName name="【燒傷】" localSheetId="0">#REF!</definedName>
    <definedName name="【燒傷】" localSheetId="6">#REF!</definedName>
    <definedName name="【燒傷】">#REF!</definedName>
    <definedName name="【磨牙】" localSheetId="4">#REF!</definedName>
    <definedName name="【磨牙】" localSheetId="0">#REF!</definedName>
    <definedName name="【磨牙】" localSheetId="6">#REF!</definedName>
    <definedName name="【磨牙】">#REF!</definedName>
    <definedName name="【磨傷】" localSheetId="3">#REF!</definedName>
    <definedName name="【磨傷】" localSheetId="4">#REF!</definedName>
    <definedName name="【磨傷】" localSheetId="0">#REF!</definedName>
    <definedName name="【磨傷】" localSheetId="6">#REF!</definedName>
    <definedName name="【磨傷】">#REF!</definedName>
    <definedName name="【蕁麻疹】" localSheetId="4">#REF!</definedName>
    <definedName name="【蕁麻疹】" localSheetId="0">#REF!</definedName>
    <definedName name="【蕁麻疹】" localSheetId="6">#REF!</definedName>
    <definedName name="【蕁麻疹】">#REF!</definedName>
    <definedName name="【頭皮屑】" localSheetId="4">#REF!</definedName>
    <definedName name="【頭皮屑】" localSheetId="0">#REF!</definedName>
    <definedName name="【頭皮屑】" localSheetId="6">#REF!</definedName>
    <definedName name="【頭皮屑】">#REF!</definedName>
    <definedName name="【頭髮乾澀】" localSheetId="5">#REF!</definedName>
    <definedName name="【頭髮乾澀】" localSheetId="4">#REF!</definedName>
    <definedName name="【頭髮乾澀】" localSheetId="0">#REF!</definedName>
    <definedName name="【頭髮乾澀】" localSheetId="6">#REF!</definedName>
    <definedName name="【頭髮乾澀】">#REF!</definedName>
    <definedName name="【頸部痛】" localSheetId="4">#REF!</definedName>
    <definedName name="【頸部痛】" localSheetId="0">#REF!</definedName>
    <definedName name="【頸部痛】" localSheetId="6">#REF!</definedName>
    <definedName name="【頸部痛】">#REF!</definedName>
    <definedName name="【癤】" localSheetId="4">#REF!</definedName>
    <definedName name="【癤】" localSheetId="0">#REF!</definedName>
    <definedName name="【癤】" localSheetId="6">#REF!</definedName>
    <definedName name="【癤】">#REF!</definedName>
    <definedName name="【雞眼與厚繭】" localSheetId="4">#REF!</definedName>
    <definedName name="【雞眼與厚繭】" localSheetId="0">#REF!</definedName>
    <definedName name="【雞眼與厚繭】" localSheetId="6">#REF!</definedName>
    <definedName name="【雞眼與厚繭】">#REF!</definedName>
    <definedName name="【關節炎】" localSheetId="4">#REF!</definedName>
    <definedName name="【關節炎】" localSheetId="0">#REF!</definedName>
    <definedName name="【關節炎】" localSheetId="6">#REF!</definedName>
    <definedName name="【關節炎】">#REF!</definedName>
    <definedName name="【曬傷】" localSheetId="3">#REF!</definedName>
    <definedName name="【曬傷】" localSheetId="4">#REF!</definedName>
    <definedName name="【曬傷】" localSheetId="0">#REF!</definedName>
    <definedName name="【曬傷】" localSheetId="6">#REF!</definedName>
    <definedName name="【曬傷】">#REF!</definedName>
    <definedName name="a" localSheetId="4">#REF!</definedName>
    <definedName name="a._Tiptop__NDPS_排程_asfi640_P____B.修改已排工單">#N/A</definedName>
    <definedName name="a._Tiptop__工單維護作業_asfi301_P">#N/A</definedName>
    <definedName name="a._工單取消聯絡單">#N/A</definedName>
    <definedName name="a._每日庫存數量" localSheetId="7">#REF!</definedName>
    <definedName name="a._每日庫存數量" localSheetId="5">#REF!</definedName>
    <definedName name="a._每日庫存數量" localSheetId="4">#REF!</definedName>
    <definedName name="a._每日庫存數量" localSheetId="0">#REF!</definedName>
    <definedName name="a._每日庫存數量" localSheetId="6">#REF!</definedName>
    <definedName name="a._每日庫存數量">#REF!</definedName>
    <definedName name="a._量試單">#N/A</definedName>
    <definedName name="a._新產品導入排程">#N/A</definedName>
    <definedName name="a.Tiptop__FIVE_STAR工單備料通知作業_csfi404_P" localSheetId="7">#REF!</definedName>
    <definedName name="a.Tiptop__FIVE_STAR工單備料通知作業_csfi404_P" localSheetId="5">#REF!</definedName>
    <definedName name="a.Tiptop__FIVE_STAR工單備料通知作業_csfi404_P" localSheetId="4">#REF!</definedName>
    <definedName name="a.Tiptop__FIVE_STAR工單備料通知作業_csfi404_P" localSheetId="0">#REF!</definedName>
    <definedName name="a.Tiptop__FIVE_STAR工單備料通知作業_csfi404_P" localSheetId="6">#REF!</definedName>
    <definedName name="a.Tiptop__FIVE_STAR工單備料通知作業_csfi404_P">#REF!</definedName>
    <definedName name="a.Tiptop__海關合同維護_abwt100_P">#N/A</definedName>
    <definedName name="a___0" localSheetId="7">#REF!</definedName>
    <definedName name="a___0">#REF!</definedName>
    <definedName name="A_Actbud" localSheetId="7">#REF!</definedName>
    <definedName name="A_Actbud" localSheetId="5">#REF!</definedName>
    <definedName name="A_Actbud" localSheetId="4">#REF!</definedName>
    <definedName name="A_Actbud" localSheetId="6">#REF!</definedName>
    <definedName name="A_Actbud">#REF!</definedName>
    <definedName name="A_BusStream" localSheetId="7">#REF!</definedName>
    <definedName name="A_BusStream" localSheetId="4">#REF!</definedName>
    <definedName name="A_BusStream" localSheetId="6">#REF!</definedName>
    <definedName name="A_BusStream">#REF!</definedName>
    <definedName name="A_CostElement" localSheetId="4">#REF!</definedName>
    <definedName name="A_CostElement" localSheetId="6">#REF!</definedName>
    <definedName name="A_CostElement">#REF!</definedName>
    <definedName name="a1.">#REF!</definedName>
    <definedName name="aa" localSheetId="7" hidden="1">{"'Broadway ML#4'!$J$7:$N$490"}</definedName>
    <definedName name="aa" localSheetId="4">#REF!</definedName>
    <definedName name="aa">{"'Broadway ML#4'!$J$7:$N$490"}</definedName>
    <definedName name="aaa" localSheetId="4">#REF!</definedName>
    <definedName name="aaaa" localSheetId="4">#REF!</definedName>
    <definedName name="aaaa111299" localSheetId="7" hidden="1">{"whole",#N/A,FALSE,"Gen_Dist_Act_Bud";"whole",#N/A,FALSE,"Gen_Dist_T3months";"whole",#N/A,FALSE,"GD_PerP";"whole",#N/A,FALSE,"HR Dist'n"}</definedName>
    <definedName name="aaaa111299" localSheetId="3" hidden="1">{"whole",#N/A,FALSE,"Gen_Dist_Act_Bud";"whole",#N/A,FALSE,"Gen_Dist_T3months";"whole",#N/A,FALSE,"GD_PerP";"whole",#N/A,FALSE,"HR Dist'n"}</definedName>
    <definedName name="aaaa111299" localSheetId="5" hidden="1">{"whole",#N/A,FALSE,"Gen_Dist_Act_Bud";"whole",#N/A,FALSE,"Gen_Dist_T3months";"whole",#N/A,FALSE,"GD_PerP";"whole",#N/A,FALSE,"HR Dist'n"}</definedName>
    <definedName name="aaaa111299" localSheetId="4" hidden="1">{"whole",#N/A,FALSE,"Gen_Dist_Act_Bud";"whole",#N/A,FALSE,"Gen_Dist_T3months";"whole",#N/A,FALSE,"GD_PerP";"whole",#N/A,FALSE,"HR Dist'n"}</definedName>
    <definedName name="aaaa111299" localSheetId="6" hidden="1">{"whole",#N/A,FALSE,"Gen_Dist_Act_Bud";"whole",#N/A,FALSE,"Gen_Dist_T3months";"whole",#N/A,FALSE,"GD_PerP";"whole",#N/A,FALSE,"HR Dist'n"}</definedName>
    <definedName name="aaaa111299" hidden="1">{"whole",#N/A,FALSE,"Gen_Dist_Act_Bud";"whole",#N/A,FALSE,"Gen_Dist_T3months";"whole",#N/A,FALSE,"GD_PerP";"whole",#N/A,FALSE,"HR Dist'n"}</definedName>
    <definedName name="aaaaa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a" localSheetId="7">#REF!</definedName>
    <definedName name="aaaaaa" localSheetId="4" hidden="1">{"whole",#N/A,FALSE,"CS HC";"whole",#N/A,FALSE,"CS_ACTvsBud";"whole",#N/A,FALSE,"CSTrail3mo";"whole",#N/A,FALSE,"CS Cost Per Head ";"whole",#N/A,FALSE,"CS CPH YTD"}</definedName>
    <definedName name="aaaaaa" localSheetId="0">#REF!</definedName>
    <definedName name="aaaaaa" localSheetId="6">#REF!</definedName>
    <definedName name="aaaaaa">#REF!</definedName>
    <definedName name="aaaaaaa" localSheetId="7">#REF!</definedName>
    <definedName name="aaaaaaa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aaaa" localSheetId="0">#REF!</definedName>
    <definedName name="aaaaaaa" localSheetId="6">#REF!</definedName>
    <definedName name="aaaaaaa">#REF!</definedName>
    <definedName name="aaaaaaaa" localSheetId="7" hidden="1">{"whole",#N/A,FALSE,"Gen_Dist_Act_Bud";"whole",#N/A,FALSE,"Gen_Dist_T3months";"whole",#N/A,FALSE,"GD_PerP";"whole",#N/A,FALSE,"HR Dist'n"}</definedName>
    <definedName name="aaaaaaaa" localSheetId="3" hidden="1">{"whole",#N/A,FALSE,"Gen_Dist_Act_Bud";"whole",#N/A,FALSE,"Gen_Dist_T3months";"whole",#N/A,FALSE,"GD_PerP";"whole",#N/A,FALSE,"HR Dist'n"}</definedName>
    <definedName name="aaaaaaaa" localSheetId="5" hidden="1">{"whole",#N/A,FALSE,"Gen_Dist_Act_Bud";"whole",#N/A,FALSE,"Gen_Dist_T3months";"whole",#N/A,FALSE,"GD_PerP";"whole",#N/A,FALSE,"HR Dist'n"}</definedName>
    <definedName name="aaaaaaaa" localSheetId="4" hidden="1">{"whole",#N/A,FALSE,"Gen_Dist_Act_Bud";"whole",#N/A,FALSE,"Gen_Dist_T3months";"whole",#N/A,FALSE,"GD_PerP";"whole",#N/A,FALSE,"HR Dist'n"}</definedName>
    <definedName name="aaaaaaaa" localSheetId="6" hidden="1">{"whole",#N/A,FALSE,"Gen_Dist_Act_Bud";"whole",#N/A,FALSE,"Gen_Dist_T3months";"whole",#N/A,FALSE,"GD_PerP";"whole",#N/A,FALSE,"HR Dist'n"}</definedName>
    <definedName name="aaaaaaaa" hidden="1">{"whole",#N/A,FALSE,"Gen_Dist_Act_Bud";"whole",#N/A,FALSE,"Gen_Dist_T3months";"whole",#N/A,FALSE,"GD_PerP";"whole",#N/A,FALSE,"HR Dist'n"}</definedName>
    <definedName name="aaaaaaaaa" localSheetId="7" hidden="1">{"whole",#N/A,FALSE,"CS HC";"whole",#N/A,FALSE,"CS_ACTvsBud";"whole",#N/A,FALSE,"CSTrail3mo";"whole",#N/A,FALSE,"CS Cost Per Head ";"whole",#N/A,FALSE,"CS CPH YTD"}</definedName>
    <definedName name="aaaaaaaaa" localSheetId="3" hidden="1">{"whole",#N/A,FALSE,"CS HC";"whole",#N/A,FALSE,"CS_ACTvsBud";"whole",#N/A,FALSE,"CSTrail3mo";"whole",#N/A,FALSE,"CS Cost Per Head ";"whole",#N/A,FALSE,"CS CPH YTD"}</definedName>
    <definedName name="aaaaaaaaa" localSheetId="5" hidden="1">{"whole",#N/A,FALSE,"CS HC";"whole",#N/A,FALSE,"CS_ACTvsBud";"whole",#N/A,FALSE,"CSTrail3mo";"whole",#N/A,FALSE,"CS Cost Per Head ";"whole",#N/A,FALSE,"CS CPH YTD"}</definedName>
    <definedName name="aaaaaaaaa" localSheetId="4" hidden="1">{"whole",#N/A,FALSE,"CS HC";"whole",#N/A,FALSE,"CS_ACTvsBud";"whole",#N/A,FALSE,"CSTrail3mo";"whole",#N/A,FALSE,"CS Cost Per Head ";"whole",#N/A,FALSE,"CS CPH YTD"}</definedName>
    <definedName name="aaaaaaaaa" localSheetId="6" hidden="1">{"whole",#N/A,FALSE,"CS HC";"whole",#N/A,FALSE,"CS_ACTvsBud";"whole",#N/A,FALSE,"CSTrail3mo";"whole",#N/A,FALSE,"CS Cost Per Head ";"whole",#N/A,FALSE,"CS CPH YTD"}</definedName>
    <definedName name="aaaaaaaaa" hidden="1">{"whole",#N/A,FALSE,"CS HC";"whole",#N/A,FALSE,"CS_ACTvsBud";"whole",#N/A,FALSE,"CSTrail3mo";"whole",#N/A,FALSE,"CS Cost Per Head ";"whole",#N/A,FALSE,"CS CPH YTD"}</definedName>
    <definedName name="aaaaaaaaaa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aaaaaaaaaa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aaaaaaaaaa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aaaaaaaaaa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aaaaaaaaaa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aaaaaaaaaa" hidden="1">{"whole",#N/A,FALSE,"CS FIN Sum For Rox";"whole",#N/A,FALSE,"Gen_Dist_Act_Bud";"whole",#N/A,FALSE,"Gen_Dist_T3months";"whole",#N/A,FALSE,"GD_PerP";"whole",#N/A,FALSE,"CS_DIST_ActvsBud";"whole",#N/A,FALSE,"CS_DIST_SUM_trail3mo"}</definedName>
    <definedName name="aaaaaaaaaaa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aaaaaaaa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aaaaaaaa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aaaaaaaa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aaaaaaaa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aaaaaaa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AAAAAAAAAA" localSheetId="7">#REF!</definedName>
    <definedName name="aaaaaaaaaaaaa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AAAAAAAA" localSheetId="0">#REF!</definedName>
    <definedName name="AAAAAAAAAAAAA" localSheetId="6">#REF!</definedName>
    <definedName name="AAAAAAAAAAAAA">#REF!</definedName>
    <definedName name="aaaaaaaaaaaaaaaaaaa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aaaaaaaaaaaaaaaa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aaaaaaaaaaaaaaaa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aaaaaaaaaaaaaaaa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aaaaaaaaaaaaaaaa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aaaaaaaaaaaaaaa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b" localSheetId="7" hidden="1">{"whole",#N/A,FALSE,"Gen_Dist_Act_Bud";"whole",#N/A,FALSE,"Gen_Dist_T3months";"whole",#N/A,FALSE,"GD_PerP";"whole",#N/A,FALSE,"HR Dist'n"}</definedName>
    <definedName name="aaab" localSheetId="3" hidden="1">{"whole",#N/A,FALSE,"Gen_Dist_Act_Bud";"whole",#N/A,FALSE,"Gen_Dist_T3months";"whole",#N/A,FALSE,"GD_PerP";"whole",#N/A,FALSE,"HR Dist'n"}</definedName>
    <definedName name="aaab" localSheetId="5" hidden="1">{"whole",#N/A,FALSE,"Gen_Dist_Act_Bud";"whole",#N/A,FALSE,"Gen_Dist_T3months";"whole",#N/A,FALSE,"GD_PerP";"whole",#N/A,FALSE,"HR Dist'n"}</definedName>
    <definedName name="aaab" localSheetId="4" hidden="1">{"whole",#N/A,FALSE,"Gen_Dist_Act_Bud";"whole",#N/A,FALSE,"Gen_Dist_T3months";"whole",#N/A,FALSE,"GD_PerP";"whole",#N/A,FALSE,"HR Dist'n"}</definedName>
    <definedName name="aaab" localSheetId="6" hidden="1">{"whole",#N/A,FALSE,"Gen_Dist_Act_Bud";"whole",#N/A,FALSE,"Gen_Dist_T3months";"whole",#N/A,FALSE,"GD_PerP";"whole",#N/A,FALSE,"HR Dist'n"}</definedName>
    <definedName name="aaab" hidden="1">{"whole",#N/A,FALSE,"Gen_Dist_Act_Bud";"whole",#N/A,FALSE,"Gen_Dist_T3months";"whole",#N/A,FALSE,"GD_PerP";"whole",#N/A,FALSE,"HR Dist'n"}</definedName>
    <definedName name="aab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b" localSheetId="7" hidden="1">{#N/A,#N/A,FALSE,"Summary";#N/A,#N/A,FALSE,"Details";#N/A,#N/A,FALSE,"Month-Hd";#N/A,#N/A,FALSE,"YTD-Hd";#N/A,#N/A,FALSE,"Capital"}</definedName>
    <definedName name="aabb" localSheetId="3" hidden="1">{#N/A,#N/A,FALSE,"Summary";#N/A,#N/A,FALSE,"Details";#N/A,#N/A,FALSE,"Month-Hd";#N/A,#N/A,FALSE,"YTD-Hd";#N/A,#N/A,FALSE,"Capital"}</definedName>
    <definedName name="aabb" localSheetId="5" hidden="1">{#N/A,#N/A,FALSE,"Summary";#N/A,#N/A,FALSE,"Details";#N/A,#N/A,FALSE,"Month-Hd";#N/A,#N/A,FALSE,"YTD-Hd";#N/A,#N/A,FALSE,"Capital"}</definedName>
    <definedName name="aabb" localSheetId="4" hidden="1">{#N/A,#N/A,FALSE,"Summary";#N/A,#N/A,FALSE,"Details";#N/A,#N/A,FALSE,"Month-Hd";#N/A,#N/A,FALSE,"YTD-Hd";#N/A,#N/A,FALSE,"Capital"}</definedName>
    <definedName name="aabb" localSheetId="6" hidden="1">{#N/A,#N/A,FALSE,"Summary";#N/A,#N/A,FALSE,"Details";#N/A,#N/A,FALSE,"Month-Hd";#N/A,#N/A,FALSE,"YTD-Hd";#N/A,#N/A,FALSE,"Capital"}</definedName>
    <definedName name="aabb" hidden="1">{#N/A,#N/A,FALSE,"Summary";#N/A,#N/A,FALSE,"Details";#N/A,#N/A,FALSE,"Month-Hd";#N/A,#N/A,FALSE,"YTD-Hd";#N/A,#N/A,FALSE,"Capital"}</definedName>
    <definedName name="aabba" localSheetId="7" hidden="1">{#N/A,#N/A,FALSE,"Summary";#N/A,#N/A,FALSE,"Details";#N/A,#N/A,FALSE,"Month-Hd";#N/A,#N/A,FALSE,"YTD-Hd";#N/A,#N/A,FALSE,"Capital"}</definedName>
    <definedName name="aabba" localSheetId="3" hidden="1">{#N/A,#N/A,FALSE,"Summary";#N/A,#N/A,FALSE,"Details";#N/A,#N/A,FALSE,"Month-Hd";#N/A,#N/A,FALSE,"YTD-Hd";#N/A,#N/A,FALSE,"Capital"}</definedName>
    <definedName name="aabba" localSheetId="5" hidden="1">{#N/A,#N/A,FALSE,"Summary";#N/A,#N/A,FALSE,"Details";#N/A,#N/A,FALSE,"Month-Hd";#N/A,#N/A,FALSE,"YTD-Hd";#N/A,#N/A,FALSE,"Capital"}</definedName>
    <definedName name="aabba" localSheetId="4" hidden="1">{#N/A,#N/A,FALSE,"Summary";#N/A,#N/A,FALSE,"Details";#N/A,#N/A,FALSE,"Month-Hd";#N/A,#N/A,FALSE,"YTD-Hd";#N/A,#N/A,FALSE,"Capital"}</definedName>
    <definedName name="aabba" localSheetId="6" hidden="1">{#N/A,#N/A,FALSE,"Summary";#N/A,#N/A,FALSE,"Details";#N/A,#N/A,FALSE,"Month-Hd";#N/A,#N/A,FALSE,"YTD-Hd";#N/A,#N/A,FALSE,"Capital"}</definedName>
    <definedName name="aabba" hidden="1">{#N/A,#N/A,FALSE,"Summary";#N/A,#N/A,FALSE,"Details";#N/A,#N/A,FALSE,"Month-Hd";#N/A,#N/A,FALSE,"YTD-Hd";#N/A,#N/A,FALSE,"Capital"}</definedName>
    <definedName name="aabbaa" localSheetId="7" hidden="1">{"whole",#N/A,FALSE,"Gen_Dist_Act_Bud";"whole",#N/A,FALSE,"Gen_Dist_T3months";"whole",#N/A,FALSE,"GD_PerP";"whole",#N/A,FALSE,"HR Dist'n"}</definedName>
    <definedName name="aabbaa" localSheetId="3" hidden="1">{"whole",#N/A,FALSE,"Gen_Dist_Act_Bud";"whole",#N/A,FALSE,"Gen_Dist_T3months";"whole",#N/A,FALSE,"GD_PerP";"whole",#N/A,FALSE,"HR Dist'n"}</definedName>
    <definedName name="aabbaa" localSheetId="5" hidden="1">{"whole",#N/A,FALSE,"Gen_Dist_Act_Bud";"whole",#N/A,FALSE,"Gen_Dist_T3months";"whole",#N/A,FALSE,"GD_PerP";"whole",#N/A,FALSE,"HR Dist'n"}</definedName>
    <definedName name="aabbaa" localSheetId="4" hidden="1">{"whole",#N/A,FALSE,"Gen_Dist_Act_Bud";"whole",#N/A,FALSE,"Gen_Dist_T3months";"whole",#N/A,FALSE,"GD_PerP";"whole",#N/A,FALSE,"HR Dist'n"}</definedName>
    <definedName name="aabbaa" localSheetId="6" hidden="1">{"whole",#N/A,FALSE,"Gen_Dist_Act_Bud";"whole",#N/A,FALSE,"Gen_Dist_T3months";"whole",#N/A,FALSE,"GD_PerP";"whole",#N/A,FALSE,"HR Dist'n"}</definedName>
    <definedName name="aabbaa" hidden="1">{"whole",#N/A,FALSE,"Gen_Dist_Act_Bud";"whole",#N/A,FALSE,"Gen_Dist_T3months";"whole",#N/A,FALSE,"GD_PerP";"whole",#N/A,FALSE,"HR Dist'n"}</definedName>
    <definedName name="aabbaabba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baabba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baabba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baabba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baabba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baabb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abaa" localSheetId="7" hidden="1">{"whole",#N/A,FALSE,"Gen_Dist_Act_Bud";"whole",#N/A,FALSE,"Gen_Dist_T3months";"whole",#N/A,FALSE,"GD_PerP";"whole",#N/A,FALSE,"HR Dist'n"}</definedName>
    <definedName name="abaaabaa" localSheetId="3" hidden="1">{"whole",#N/A,FALSE,"Gen_Dist_Act_Bud";"whole",#N/A,FALSE,"Gen_Dist_T3months";"whole",#N/A,FALSE,"GD_PerP";"whole",#N/A,FALSE,"HR Dist'n"}</definedName>
    <definedName name="abaaabaa" localSheetId="5" hidden="1">{"whole",#N/A,FALSE,"Gen_Dist_Act_Bud";"whole",#N/A,FALSE,"Gen_Dist_T3months";"whole",#N/A,FALSE,"GD_PerP";"whole",#N/A,FALSE,"HR Dist'n"}</definedName>
    <definedName name="abaaabaa" localSheetId="4" hidden="1">{"whole",#N/A,FALSE,"Gen_Dist_Act_Bud";"whole",#N/A,FALSE,"Gen_Dist_T3months";"whole",#N/A,FALSE,"GD_PerP";"whole",#N/A,FALSE,"HR Dist'n"}</definedName>
    <definedName name="abaaabaa" localSheetId="6" hidden="1">{"whole",#N/A,FALSE,"Gen_Dist_Act_Bud";"whole",#N/A,FALSE,"Gen_Dist_T3months";"whole",#N/A,FALSE,"GD_PerP";"whole",#N/A,FALSE,"HR Dist'n"}</definedName>
    <definedName name="abaaabaa" hidden="1">{"whole",#N/A,FALSE,"Gen_Dist_Act_Bud";"whole",#N/A,FALSE,"Gen_Dist_T3months";"whole",#N/A,FALSE,"GD_PerP";"whole",#N/A,FALSE,"HR Dist'n"}</definedName>
    <definedName name="abaabaab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baab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baab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baab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baab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baa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baaba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abaaba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abaaba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abaaba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abaaba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abaa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b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.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.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.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.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.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.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ab" localSheetId="7" hidden="1">{"whole",#N/A,FALSE,"CS HC";"whole",#N/A,FALSE,"CS_ACTvsBud";"whole",#N/A,FALSE,"CSTrail3mo";"whole",#N/A,FALSE,"CS Cost Per Head ";"whole",#N/A,FALSE,"CS CPH YTD"}</definedName>
    <definedName name="ababab" localSheetId="3" hidden="1">{"whole",#N/A,FALSE,"CS HC";"whole",#N/A,FALSE,"CS_ACTvsBud";"whole",#N/A,FALSE,"CSTrail3mo";"whole",#N/A,FALSE,"CS Cost Per Head ";"whole",#N/A,FALSE,"CS CPH YTD"}</definedName>
    <definedName name="ababab" localSheetId="5" hidden="1">{"whole",#N/A,FALSE,"CS HC";"whole",#N/A,FALSE,"CS_ACTvsBud";"whole",#N/A,FALSE,"CSTrail3mo";"whole",#N/A,FALSE,"CS Cost Per Head ";"whole",#N/A,FALSE,"CS CPH YTD"}</definedName>
    <definedName name="ababab" localSheetId="4" hidden="1">{"whole",#N/A,FALSE,"CS HC";"whole",#N/A,FALSE,"CS_ACTvsBud";"whole",#N/A,FALSE,"CSTrail3mo";"whole",#N/A,FALSE,"CS Cost Per Head ";"whole",#N/A,FALSE,"CS CPH YTD"}</definedName>
    <definedName name="ababab" localSheetId="6" hidden="1">{"whole",#N/A,FALSE,"CS HC";"whole",#N/A,FALSE,"CS_ACTvsBud";"whole",#N/A,FALSE,"CSTrail3mo";"whole",#N/A,FALSE,"CS Cost Per Head ";"whole",#N/A,FALSE,"CS CPH YTD"}</definedName>
    <definedName name="ababab" hidden="1">{"whole",#N/A,FALSE,"CS HC";"whole",#N/A,FALSE,"CS_ACTvsBud";"whole",#N/A,FALSE,"CSTrail3mo";"whole",#N/A,FALSE,"CS Cost Per Head ";"whole",#N/A,FALSE,"CS CPH YTD"}</definedName>
    <definedName name="abababa" localSheetId="7" hidden="1">{"whole",#N/A,FALSE,"CS HC";"whole",#N/A,FALSE,"CS_ACTvsBud";"whole",#N/A,FALSE,"CSTrail3mo";"whole",#N/A,FALSE,"CS Cost Per Head ";"whole",#N/A,FALSE,"CS CPH YTD"}</definedName>
    <definedName name="abababa" localSheetId="3" hidden="1">{"whole",#N/A,FALSE,"CS HC";"whole",#N/A,FALSE,"CS_ACTvsBud";"whole",#N/A,FALSE,"CSTrail3mo";"whole",#N/A,FALSE,"CS Cost Per Head ";"whole",#N/A,FALSE,"CS CPH YTD"}</definedName>
    <definedName name="abababa" localSheetId="5" hidden="1">{"whole",#N/A,FALSE,"CS HC";"whole",#N/A,FALSE,"CS_ACTvsBud";"whole",#N/A,FALSE,"CSTrail3mo";"whole",#N/A,FALSE,"CS Cost Per Head ";"whole",#N/A,FALSE,"CS CPH YTD"}</definedName>
    <definedName name="abababa" localSheetId="4" hidden="1">{"whole",#N/A,FALSE,"CS HC";"whole",#N/A,FALSE,"CS_ACTvsBud";"whole",#N/A,FALSE,"CSTrail3mo";"whole",#N/A,FALSE,"CS Cost Per Head ";"whole",#N/A,FALSE,"CS CPH YTD"}</definedName>
    <definedName name="abababa" localSheetId="6" hidden="1">{"whole",#N/A,FALSE,"CS HC";"whole",#N/A,FALSE,"CS_ACTvsBud";"whole",#N/A,FALSE,"CSTrail3mo";"whole",#N/A,FALSE,"CS Cost Per Head ";"whole",#N/A,FALSE,"CS CPH YTD"}</definedName>
    <definedName name="abababa" hidden="1">{"whole",#N/A,FALSE,"CS HC";"whole",#N/A,FALSE,"CS_ACTvsBud";"whole",#N/A,FALSE,"CSTrail3mo";"whole",#N/A,FALSE,"CS Cost Per Head ";"whole",#N/A,FALSE,"CS CPH YTD"}</definedName>
    <definedName name="abababab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babab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babab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babab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babab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baba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bababab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ababababab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ababababab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ababababab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ababababab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ababababab" hidden="1">{"whole",#N/A,FALSE,"CS FIN Sum For Rox";"whole",#N/A,FALSE,"Gen_Dist_Act_Bud";"whole",#N/A,FALSE,"Gen_Dist_T3months";"whole",#N/A,FALSE,"GD_PerP";"whole",#N/A,FALSE,"CS_DIST_ActvsBud";"whole",#N/A,FALSE,"CS_DIST_SUM_trail3mo"}</definedName>
    <definedName name="abababababa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bababababa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bababababa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bababababa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bababababa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babababab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babababababba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bababababba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bababababba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bababababba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bababababba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babababab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babba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babba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babba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babba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babba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bab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cde">#REF!</definedName>
    <definedName name="abd">#REF!</definedName>
    <definedName name="abdced" localSheetId="7" hidden="1">{"whole",#N/A,FALSE,"CS HC";"whole",#N/A,FALSE,"CS_ACTvsBud";"whole",#N/A,FALSE,"CSTrail3mo";"whole",#N/A,FALSE,"CS Cost Per Head ";"whole",#N/A,FALSE,"CS CPH YTD"}</definedName>
    <definedName name="abdced" localSheetId="3" hidden="1">{"whole",#N/A,FALSE,"CS HC";"whole",#N/A,FALSE,"CS_ACTvsBud";"whole",#N/A,FALSE,"CSTrail3mo";"whole",#N/A,FALSE,"CS Cost Per Head ";"whole",#N/A,FALSE,"CS CPH YTD"}</definedName>
    <definedName name="abdced" localSheetId="5" hidden="1">{"whole",#N/A,FALSE,"CS HC";"whole",#N/A,FALSE,"CS_ACTvsBud";"whole",#N/A,FALSE,"CSTrail3mo";"whole",#N/A,FALSE,"CS Cost Per Head ";"whole",#N/A,FALSE,"CS CPH YTD"}</definedName>
    <definedName name="abdced" localSheetId="4" hidden="1">{"whole",#N/A,FALSE,"CS HC";"whole",#N/A,FALSE,"CS_ACTvsBud";"whole",#N/A,FALSE,"CSTrail3mo";"whole",#N/A,FALSE,"CS Cost Per Head ";"whole",#N/A,FALSE,"CS CPH YTD"}</definedName>
    <definedName name="abdced" localSheetId="6" hidden="1">{"whole",#N/A,FALSE,"CS HC";"whole",#N/A,FALSE,"CS_ACTvsBud";"whole",#N/A,FALSE,"CSTrail3mo";"whole",#N/A,FALSE,"CS Cost Per Head ";"whole",#N/A,FALSE,"CS CPH YTD"}</definedName>
    <definedName name="abdced" hidden="1">{"whole",#N/A,FALSE,"CS HC";"whole",#N/A,FALSE,"CS_ACTvsBud";"whole",#N/A,FALSE,"CSTrail3mo";"whole",#N/A,FALSE,"CS Cost Per Head ";"whole",#N/A,FALSE,"CS CPH YTD"}</definedName>
    <definedName name="able_xia" localSheetId="7">#REF!</definedName>
    <definedName name="able_xia" localSheetId="5">#REF!</definedName>
    <definedName name="able_xia" localSheetId="4">#REF!</definedName>
    <definedName name="able_xia" localSheetId="0">#REF!</definedName>
    <definedName name="able_xia" localSheetId="6">#REF!</definedName>
    <definedName name="able_xia">#REF!</definedName>
    <definedName name="able_xia1" localSheetId="7">#REF!</definedName>
    <definedName name="able_xia1" localSheetId="4">#REF!</definedName>
    <definedName name="able_xia1" localSheetId="0">#REF!</definedName>
    <definedName name="able_xia1" localSheetId="6">#REF!</definedName>
    <definedName name="able_xia1">#REF!</definedName>
    <definedName name="abs" localSheetId="7" hidden="1">{#N/A,#N/A,FALSE,"Summary";#N/A,#N/A,FALSE,"Expense";#N/A,#N/A,FALSE,"Capital"}</definedName>
    <definedName name="abs" localSheetId="3" hidden="1">{#N/A,#N/A,FALSE,"Summary";#N/A,#N/A,FALSE,"Expense";#N/A,#N/A,FALSE,"Capital"}</definedName>
    <definedName name="abs" localSheetId="5" hidden="1">{#N/A,#N/A,FALSE,"Summary";#N/A,#N/A,FALSE,"Expense";#N/A,#N/A,FALSE,"Capital"}</definedName>
    <definedName name="abs" localSheetId="4" hidden="1">{#N/A,#N/A,FALSE,"Summary";#N/A,#N/A,FALSE,"Expense";#N/A,#N/A,FALSE,"Capital"}</definedName>
    <definedName name="abs" localSheetId="6" hidden="1">{#N/A,#N/A,FALSE,"Summary";#N/A,#N/A,FALSE,"Expense";#N/A,#N/A,FALSE,"Capital"}</definedName>
    <definedName name="abs" hidden="1">{#N/A,#N/A,FALSE,"Summary";#N/A,#N/A,FALSE,"Expense";#N/A,#N/A,FALSE,"Capital"}</definedName>
    <definedName name="ac">#REF!</definedName>
    <definedName name="accc">#REF!</definedName>
    <definedName name="accc370">#REF!</definedName>
    <definedName name="AccessDatabase">"\\MAIL\廠長室\Ch.C\成本差異分析\國瑞185W.1xls.mdb"</definedName>
    <definedName name="Account" localSheetId="7">#REF!</definedName>
    <definedName name="Account" localSheetId="5">#REF!</definedName>
    <definedName name="Account" localSheetId="4">#REF!</definedName>
    <definedName name="Account" localSheetId="6">#REF!</definedName>
    <definedName name="Account">#REF!</definedName>
    <definedName name="Account2" localSheetId="7">#REF!</definedName>
    <definedName name="Account2" localSheetId="4">#REF!</definedName>
    <definedName name="Account2" localSheetId="6">#REF!</definedName>
    <definedName name="Account2">#REF!</definedName>
    <definedName name="actbud" localSheetId="7">#REF!</definedName>
    <definedName name="actbud" localSheetId="5">#REF!</definedName>
    <definedName name="actbud" localSheetId="4">#REF!</definedName>
    <definedName name="actbud" localSheetId="6">#REF!</definedName>
    <definedName name="actbud">#REF!</definedName>
    <definedName name="ActBudJan" localSheetId="4">#REF!</definedName>
    <definedName name="ActBudJan" localSheetId="6">#REF!</definedName>
    <definedName name="ActBudJan">#REF!</definedName>
    <definedName name="actCap" localSheetId="4">#REF!</definedName>
    <definedName name="actCap" localSheetId="6">#REF!</definedName>
    <definedName name="actCap">#REF!</definedName>
    <definedName name="actEVA" localSheetId="4">#REF!</definedName>
    <definedName name="actEVA" localSheetId="6">#REF!</definedName>
    <definedName name="actEVA">#REF!</definedName>
    <definedName name="ActNetRev" localSheetId="4">#REF!</definedName>
    <definedName name="ActNetRev" localSheetId="6">#REF!</definedName>
    <definedName name="ActNetRev">#REF!</definedName>
    <definedName name="actOP" localSheetId="4">#REF!</definedName>
    <definedName name="actOP" localSheetId="6">#REF!</definedName>
    <definedName name="actOP">#REF!</definedName>
    <definedName name="actOth" localSheetId="4">#REF!</definedName>
    <definedName name="actOth" localSheetId="6">#REF!</definedName>
    <definedName name="actOth">#REF!</definedName>
    <definedName name="actRev" localSheetId="4">#REF!</definedName>
    <definedName name="actRev" localSheetId="6">#REF!</definedName>
    <definedName name="actRev">#REF!</definedName>
    <definedName name="Actual">#REF!</definedName>
    <definedName name="actual_budget" localSheetId="4">#REF!</definedName>
    <definedName name="actual_budget" localSheetId="6">#REF!</definedName>
    <definedName name="actual_budget">#REF!</definedName>
    <definedName name="adf">#N/A</definedName>
    <definedName name="AEOH" localSheetId="7">#REF!</definedName>
    <definedName name="AEOH" localSheetId="5">#REF!</definedName>
    <definedName name="AEOH" localSheetId="4">#REF!</definedName>
    <definedName name="AEOH" localSheetId="6">#REF!</definedName>
    <definedName name="AEOH">#REF!</definedName>
    <definedName name="AEOO" localSheetId="7">#REF!</definedName>
    <definedName name="AEOO" localSheetId="4">#REF!</definedName>
    <definedName name="AEOO" localSheetId="6">#REF!</definedName>
    <definedName name="AEOO">#REF!</definedName>
    <definedName name="afkaljfla" localSheetId="7">#REF!</definedName>
    <definedName name="afkaljfla">#REF!</definedName>
    <definedName name="aged" localSheetId="7">#N/A</definedName>
    <definedName name="aged" localSheetId="3">Cleansheet!__H53541</definedName>
    <definedName name="aged" localSheetId="5">Consumables!__H53541</definedName>
    <definedName name="aged" localSheetId="0">Instructions!__H53541</definedName>
    <definedName name="aged" localSheetId="6">'SMT Process Flow'!__H53541</definedName>
    <definedName name="aged">__H53541</definedName>
    <definedName name="agedreceivables" localSheetId="7">#REF!</definedName>
    <definedName name="agedreceivables">#REF!</definedName>
    <definedName name="agobench" localSheetId="7">#REF!</definedName>
    <definedName name="agobench" localSheetId="5">#REF!</definedName>
    <definedName name="agobench" localSheetId="4">#REF!</definedName>
    <definedName name="agobench" localSheetId="6">#REF!</definedName>
    <definedName name="agobench">#REF!</definedName>
    <definedName name="agobMTD" localSheetId="4">#REF!</definedName>
    <definedName name="agobMTD" localSheetId="6">#REF!</definedName>
    <definedName name="agobMTD">#REF!</definedName>
    <definedName name="agoBYTD" localSheetId="4">#REF!</definedName>
    <definedName name="agoBYTD" localSheetId="6">#REF!</definedName>
    <definedName name="agoBYTD">#REF!</definedName>
    <definedName name="AlertValue">FALSE</definedName>
    <definedName name="alloc" localSheetId="7">alloc_start:alloc_end</definedName>
    <definedName name="alloc" localSheetId="3">alloc_start:alloc_end</definedName>
    <definedName name="alloc" localSheetId="5">alloc_start:alloc_end</definedName>
    <definedName name="alloc" localSheetId="4">alloc_start:alloc_end</definedName>
    <definedName name="alloc" localSheetId="6">alloc_start:alloc_end</definedName>
    <definedName name="alloc">alloc_start:alloc_end</definedName>
    <definedName name="alloc_lines" localSheetId="7">alloc_start:alloc_end</definedName>
    <definedName name="alloc_lines" localSheetId="3">alloc_start:alloc_end</definedName>
    <definedName name="alloc_lines" localSheetId="5">alloc_start:alloc_end</definedName>
    <definedName name="alloc_lines" localSheetId="4">alloc_start:alloc_end</definedName>
    <definedName name="alloc_lines" localSheetId="6">alloc_start:alloc_end</definedName>
    <definedName name="alloc_lines">alloc_start:alloc_end</definedName>
    <definedName name="alloc_lines2" localSheetId="7">alloc_start2:alloc_end2</definedName>
    <definedName name="alloc_lines2" localSheetId="3">alloc_start2:alloc_end2</definedName>
    <definedName name="alloc_lines2" localSheetId="5">alloc_start2:alloc_end2</definedName>
    <definedName name="alloc_lines2" localSheetId="4">alloc_start2:alloc_end2</definedName>
    <definedName name="alloc_lines2" localSheetId="6">alloc_start2:alloc_end2</definedName>
    <definedName name="alloc_lines2">alloc_start2:alloc_end2</definedName>
    <definedName name="alloc_lines4" localSheetId="7">alloc_start4:alloc_end4</definedName>
    <definedName name="alloc_lines4" localSheetId="3">alloc_start4:alloc_end4</definedName>
    <definedName name="alloc_lines4" localSheetId="5">alloc_start4:alloc_end4</definedName>
    <definedName name="alloc_lines4" localSheetId="4">alloc_start4:alloc_end4</definedName>
    <definedName name="alloc_lines4" localSheetId="6">alloc_start4:alloc_end4</definedName>
    <definedName name="alloc_lines4">alloc_start4:alloc_end4</definedName>
    <definedName name="alloc_sp2" localSheetId="7">OFFSET(#REF!,MATCH("Allocations",#REF!,0)-1,1)</definedName>
    <definedName name="alloc_sp2" localSheetId="4">OFFSET(#REF!,MATCH("Allocations",#REF!,0)-1,1)</definedName>
    <definedName name="alloc_sp2" localSheetId="6">OFFSET(#REF!,MATCH("Allocations",#REF!,0)-1,1)</definedName>
    <definedName name="alloc_sp2">OFFSET(#REF!,MATCH("Allocations",#REF!,0)-1,1)</definedName>
    <definedName name="aloc_lines" localSheetId="7">alloc_start:alloc_end</definedName>
    <definedName name="aloc_lines" localSheetId="3">alloc_start:alloc_end</definedName>
    <definedName name="aloc_lines" localSheetId="5">alloc_start:alloc_end</definedName>
    <definedName name="aloc_lines" localSheetId="4">alloc_start:alloc_end</definedName>
    <definedName name="aloc_lines" localSheetId="6">alloc_start:alloc_end</definedName>
    <definedName name="aloc_lines">alloc_start:alloc_end</definedName>
    <definedName name="AMBIENT">25</definedName>
    <definedName name="amd" localSheetId="7">#REF!</definedName>
    <definedName name="amd">#REF!</definedName>
    <definedName name="aml" localSheetId="7">#REF!</definedName>
    <definedName name="aml">#REF!</definedName>
    <definedName name="Anah2" localSheetId="7">#REF!</definedName>
    <definedName name="Anah2">#REF!</definedName>
    <definedName name="Anah3">#REF!</definedName>
    <definedName name="Anah4">#REF!</definedName>
    <definedName name="Anah5">#REF!</definedName>
    <definedName name="Anah6">#REF!</definedName>
    <definedName name="Anah7">#REF!</definedName>
    <definedName name="Anah8">#REF!</definedName>
    <definedName name="Anah9">#REF!</definedName>
    <definedName name="Annualdays">#REF!</definedName>
    <definedName name="aoc" localSheetId="7">alloc_start:alloc_end</definedName>
    <definedName name="aoc" localSheetId="3">alloc_start:alloc_end</definedName>
    <definedName name="aoc" localSheetId="5">alloc_start:alloc_end</definedName>
    <definedName name="aoc" localSheetId="4">alloc_start:alloc_end</definedName>
    <definedName name="aoc" localSheetId="6">alloc_start:alloc_end</definedName>
    <definedName name="aoc">alloc_start:alloc_end</definedName>
    <definedName name="aopen" localSheetId="7">#REF!</definedName>
    <definedName name="aopen" localSheetId="5">#REF!</definedName>
    <definedName name="aopen" localSheetId="4">#REF!</definedName>
    <definedName name="aopen" localSheetId="6">#REF!</definedName>
    <definedName name="aopen">#REF!</definedName>
    <definedName name="ap" localSheetId="7">#REF!</definedName>
    <definedName name="ap">#REF!</definedName>
    <definedName name="apccmrp">#REF!</definedName>
    <definedName name="apccpns">#REF!</definedName>
    <definedName name="Apri05_Actl">#REF!</definedName>
    <definedName name="Ar" localSheetId="4">#REF!</definedName>
    <definedName name="Ar" localSheetId="0">#REF!</definedName>
    <definedName name="Ar" localSheetId="6">#REF!</definedName>
    <definedName name="Ar">#REF!</definedName>
    <definedName name="area" localSheetId="4">#REF!</definedName>
    <definedName name="area" localSheetId="6">#REF!</definedName>
    <definedName name="area">#REF!</definedName>
    <definedName name="areturnst" localSheetId="4">#REF!</definedName>
    <definedName name="areturnst" localSheetId="6">#REF!</definedName>
    <definedName name="areturnst">#REF!</definedName>
    <definedName name="array">#REF!</definedName>
    <definedName name="as" localSheetId="4" hidden="1">{#N/A,#N/A,FALSE,"Summary";#N/A,#N/A,FALSE,"Expense";#N/A,#N/A,FALSE,"Capital"}</definedName>
    <definedName name="ASD">#N/A</definedName>
    <definedName name="asdf">#N/A</definedName>
    <definedName name="asdfasdfasdf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asdfasdf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asdfasdf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asdfasdf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asdfasdf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asdfasdf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asdgasdfasdf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asdfasdgasdfasdf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asdfasdgasdfasdf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asdfasdgasdfasdf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asdfasdgasdfasdf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asdfasdgasdfasdf" hidden="1">{"whole",#N/A,FALSE,"CS FIN Sum For Rox";"whole",#N/A,FALSE,"Gen_Dist_Act_Bud";"whole",#N/A,FALSE,"Gen_Dist_T3months";"whole",#N/A,FALSE,"GD_PerP";"whole",#N/A,FALSE,"CS_DIST_ActvsBud";"whole",#N/A,FALSE,"CS_DIST_SUM_trail3mo"}</definedName>
    <definedName name="asdfasdgasdfasdgasd" localSheetId="7" hidden="1">{"Chart 1",#N/A,FALSE,"Run Rate";"Chart 2",#N/A,FALSE,"Run Rate (2)"}</definedName>
    <definedName name="asdfasdgasdfasdgasd" localSheetId="3" hidden="1">{"Chart 1",#N/A,FALSE,"Run Rate";"Chart 2",#N/A,FALSE,"Run Rate (2)"}</definedName>
    <definedName name="asdfasdgasdfasdgasd" localSheetId="5" hidden="1">{"Chart 1",#N/A,FALSE,"Run Rate";"Chart 2",#N/A,FALSE,"Run Rate (2)"}</definedName>
    <definedName name="asdfasdgasdfasdgasd" localSheetId="4" hidden="1">{"Chart 1",#N/A,FALSE,"Run Rate";"Chart 2",#N/A,FALSE,"Run Rate (2)"}</definedName>
    <definedName name="asdfasdgasdfasdgasd" localSheetId="6" hidden="1">{"Chart 1",#N/A,FALSE,"Run Rate";"Chart 2",#N/A,FALSE,"Run Rate (2)"}</definedName>
    <definedName name="asdfasdgasdfasdgasd" hidden="1">{"Chart 1",#N/A,FALSE,"Run Rate";"Chart 2",#N/A,FALSE,"Run Rate (2)"}</definedName>
    <definedName name="asdfffffg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ffffg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ffffg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ffffg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ffffg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ffffg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ghaers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ghaers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ghaers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ghaers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ghaers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ghaers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gasdgfaesadf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sdgasdgfaesadf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sdgasdgfaesadf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sdgasdgfaesadf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sdgasdgfaesadf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sdgasdgfaesadf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sfdfasdfasdgasdf" localSheetId="7" hidden="1">{"whole",#N/A,FALSE,"CS HC";"whole",#N/A,FALSE,"CS_ACTvsBud";"whole",#N/A,FALSE,"CSTrail3mo";"whole",#N/A,FALSE,"CS Cost Per Head ";"whole",#N/A,FALSE,"CS CPH YTD"}</definedName>
    <definedName name="asfdfasdfasdgasdf" localSheetId="3" hidden="1">{"whole",#N/A,FALSE,"CS HC";"whole",#N/A,FALSE,"CS_ACTvsBud";"whole",#N/A,FALSE,"CSTrail3mo";"whole",#N/A,FALSE,"CS Cost Per Head ";"whole",#N/A,FALSE,"CS CPH YTD"}</definedName>
    <definedName name="asfdfasdfasdgasdf" localSheetId="5" hidden="1">{"whole",#N/A,FALSE,"CS HC";"whole",#N/A,FALSE,"CS_ACTvsBud";"whole",#N/A,FALSE,"CSTrail3mo";"whole",#N/A,FALSE,"CS Cost Per Head ";"whole",#N/A,FALSE,"CS CPH YTD"}</definedName>
    <definedName name="asfdfasdfasdgasdf" localSheetId="4" hidden="1">{"whole",#N/A,FALSE,"CS HC";"whole",#N/A,FALSE,"CS_ACTvsBud";"whole",#N/A,FALSE,"CSTrail3mo";"whole",#N/A,FALSE,"CS Cost Per Head ";"whole",#N/A,FALSE,"CS CPH YTD"}</definedName>
    <definedName name="asfdfasdfasdgasdf" localSheetId="6" hidden="1">{"whole",#N/A,FALSE,"CS HC";"whole",#N/A,FALSE,"CS_ACTvsBud";"whole",#N/A,FALSE,"CSTrail3mo";"whole",#N/A,FALSE,"CS Cost Per Head ";"whole",#N/A,FALSE,"CS CPH YTD"}</definedName>
    <definedName name="asfdfasdfasdgasdf" hidden="1">{"whole",#N/A,FALSE,"CS HC";"whole",#N/A,FALSE,"CS_ACTvsBud";"whole",#N/A,FALSE,"CSTrail3mo";"whole",#N/A,FALSE,"CS Cost Per Head ";"whole",#N/A,FALSE,"CS CPH YTD"}</definedName>
    <definedName name="ASIA">#N/A</definedName>
    <definedName name="ASSEMBLY_HOURS18">#REF!</definedName>
    <definedName name="atot" localSheetId="7">#REF!</definedName>
    <definedName name="atot" localSheetId="5">#REF!</definedName>
    <definedName name="atot" localSheetId="4">#REF!</definedName>
    <definedName name="atot" localSheetId="6">#REF!</definedName>
    <definedName name="atot">#REF!</definedName>
    <definedName name="ATS" localSheetId="7">#REF!</definedName>
    <definedName name="ATS">#REF!</definedName>
    <definedName name="ATSA">#REF!</definedName>
    <definedName name="AU" localSheetId="7" hidden="1">{"'sheet(22) (22)'!$A$64:$K$79"}</definedName>
    <definedName name="AU">{"'sheet(22) (22)'!$A$64:$K$79"}</definedName>
    <definedName name="Aug05_Act">#REF!</definedName>
    <definedName name="AZ" localSheetId="5">#REF!</definedName>
    <definedName name="AZ" localSheetId="4">#REF!</definedName>
    <definedName name="AZ" localSheetId="0">#REF!</definedName>
    <definedName name="AZ" localSheetId="6">#REF!</definedName>
    <definedName name="AZ">#REF!</definedName>
    <definedName name="b" localSheetId="4">#REF!</definedName>
    <definedName name="b._Tiptop___Assembly_Schedule_Report_By_WO__130__asfr613_P">#N/A</definedName>
    <definedName name="b._Tiptop__NDPS_排程_asfi640_P___F.擷取新工單">#N/A</definedName>
    <definedName name="b.Tiptop__保稅生產BOM維護作業_abwt400_P">#N/A</definedName>
    <definedName name="B_Actbud" localSheetId="7">#REF!</definedName>
    <definedName name="B_Actbud" localSheetId="5">#REF!</definedName>
    <definedName name="B_Actbud" localSheetId="4">#REF!</definedName>
    <definedName name="B_Actbud" localSheetId="6">#REF!</definedName>
    <definedName name="B_Actbud">#REF!</definedName>
    <definedName name="B_CostElement" localSheetId="7">#REF!</definedName>
    <definedName name="B_CostElement" localSheetId="4">#REF!</definedName>
    <definedName name="B_CostElement" localSheetId="6">#REF!</definedName>
    <definedName name="B_CostElement">#REF!</definedName>
    <definedName name="B_DoneDate" localSheetId="7">#REF!</definedName>
    <definedName name="B_DoneDate">#REF!</definedName>
    <definedName name="B11_">#N/A</definedName>
    <definedName name="ba" localSheetId="7" hidden="1">{"whole",#N/A,FALSE,"CS HC";"whole",#N/A,FALSE,"CS_ACTvsBud";"whole",#N/A,FALSE,"CSTrail3mo";"whole",#N/A,FALSE,"CS Cost Per Head ";"whole",#N/A,FALSE,"CS CPH YTD"}</definedName>
    <definedName name="ba" localSheetId="3" hidden="1">{"whole",#N/A,FALSE,"CS HC";"whole",#N/A,FALSE,"CS_ACTvsBud";"whole",#N/A,FALSE,"CSTrail3mo";"whole",#N/A,FALSE,"CS Cost Per Head ";"whole",#N/A,FALSE,"CS CPH YTD"}</definedName>
    <definedName name="ba" localSheetId="5" hidden="1">{"whole",#N/A,FALSE,"CS HC";"whole",#N/A,FALSE,"CS_ACTvsBud";"whole",#N/A,FALSE,"CSTrail3mo";"whole",#N/A,FALSE,"CS Cost Per Head ";"whole",#N/A,FALSE,"CS CPH YTD"}</definedName>
    <definedName name="ba" localSheetId="4" hidden="1">{"whole",#N/A,FALSE,"CS HC";"whole",#N/A,FALSE,"CS_ACTvsBud";"whole",#N/A,FALSE,"CSTrail3mo";"whole",#N/A,FALSE,"CS Cost Per Head ";"whole",#N/A,FALSE,"CS CPH YTD"}</definedName>
    <definedName name="ba" localSheetId="6" hidden="1">{"whole",#N/A,FALSE,"CS HC";"whole",#N/A,FALSE,"CS_ACTvsBud";"whole",#N/A,FALSE,"CSTrail3mo";"whole",#N/A,FALSE,"CS Cost Per Head ";"whole",#N/A,FALSE,"CS CPH YTD"}</definedName>
    <definedName name="ba" hidden="1">{"whole",#N/A,FALSE,"CS HC";"whole",#N/A,FALSE,"CS_ACTvsBud";"whole",#N/A,FALSE,"CSTrail3mo";"whole",#N/A,FALSE,"CS Cost Per Head ";"whole",#N/A,FALSE,"CS CPH YTD"}</definedName>
    <definedName name="bab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bab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bab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bab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bab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bab" hidden="1">{"whole",#N/A,FALSE,"CS FIN Sum For Rox";"whole",#N/A,FALSE,"Gen_Dist_Act_Bud";"whole",#N/A,FALSE,"Gen_Dist_T3months";"whole",#N/A,FALSE,"GD_PerP";"whole",#N/A,FALSE,"CS_DIST_ActvsBud";"whole",#N/A,FALSE,"CS_DIST_SUM_trail3mo"}</definedName>
    <definedName name="baba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b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b" localSheetId="7" hidden="1">{"whole",#N/A,FALSE,"Gen_Dist_Act_Bud";"whole",#N/A,FALSE,"Gen_Dist_T3months";"whole",#N/A,FALSE,"GD_PerP";"whole",#N/A,FALSE,"HR Dist'n"}</definedName>
    <definedName name="bababab" localSheetId="3" hidden="1">{"whole",#N/A,FALSE,"Gen_Dist_Act_Bud";"whole",#N/A,FALSE,"Gen_Dist_T3months";"whole",#N/A,FALSE,"GD_PerP";"whole",#N/A,FALSE,"HR Dist'n"}</definedName>
    <definedName name="bababab" localSheetId="5" hidden="1">{"whole",#N/A,FALSE,"Gen_Dist_Act_Bud";"whole",#N/A,FALSE,"Gen_Dist_T3months";"whole",#N/A,FALSE,"GD_PerP";"whole",#N/A,FALSE,"HR Dist'n"}</definedName>
    <definedName name="bababab" localSheetId="4" hidden="1">{"whole",#N/A,FALSE,"Gen_Dist_Act_Bud";"whole",#N/A,FALSE,"Gen_Dist_T3months";"whole",#N/A,FALSE,"GD_PerP";"whole",#N/A,FALSE,"HR Dist'n"}</definedName>
    <definedName name="bababab" localSheetId="6" hidden="1">{"whole",#N/A,FALSE,"Gen_Dist_Act_Bud";"whole",#N/A,FALSE,"Gen_Dist_T3months";"whole",#N/A,FALSE,"GD_PerP";"whole",#N/A,FALSE,"HR Dist'n"}</definedName>
    <definedName name="bababab" hidden="1">{"whole",#N/A,FALSE,"Gen_Dist_Act_Bud";"whole",#N/A,FALSE,"Gen_Dist_T3months";"whole",#N/A,FALSE,"GD_PerP";"whole",#N/A,FALSE,"HR Dist'n"}</definedName>
    <definedName name="babababa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baba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baba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baba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baba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ba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dpns">#REF!</definedName>
    <definedName name="base">#REF!</definedName>
    <definedName name="base_annuellle" localSheetId="7">#REF!</definedName>
    <definedName name="base_annuellle" localSheetId="5">#REF!</definedName>
    <definedName name="base_annuellle" localSheetId="4">#REF!</definedName>
    <definedName name="base_annuellle" localSheetId="6">#REF!</definedName>
    <definedName name="base_annuellle">#REF!</definedName>
    <definedName name="batchSize1" localSheetId="4">#REF!</definedName>
    <definedName name="batchSize1" localSheetId="6">#REF!</definedName>
    <definedName name="batchSize1">#REF!</definedName>
    <definedName name="Battery_Module_Check_List">#N/A</definedName>
    <definedName name="bb" localSheetId="4">#REF!</definedName>
    <definedName name="bbb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bbbbbbbbbbbbbbbb" localSheetId="7" hidden="1">#N/A</definedName>
    <definedName name="BC6X" localSheetId="7">#REF!</definedName>
    <definedName name="BC6X" localSheetId="5">#REF!</definedName>
    <definedName name="BC6X" localSheetId="4">#REF!</definedName>
    <definedName name="BC6X" localSheetId="6">#REF!</definedName>
    <definedName name="BC6X">#REF!</definedName>
    <definedName name="BE" localSheetId="7">#REF!</definedName>
    <definedName name="BE">#REF!</definedName>
    <definedName name="BEF" localSheetId="7">#REF!</definedName>
    <definedName name="BEF">#REF!</definedName>
    <definedName name="BEFA">#REF!</definedName>
    <definedName name="best">#REF!</definedName>
    <definedName name="Best_Buy" localSheetId="5">#REF!</definedName>
    <definedName name="Best_Buy" localSheetId="4">#REF!</definedName>
    <definedName name="Best_Buy" localSheetId="6">#REF!</definedName>
    <definedName name="Best_Buy">#REF!</definedName>
    <definedName name="bf">#REF!</definedName>
    <definedName name="bfa">#REF!</definedName>
    <definedName name="bfc">#REF!</definedName>
    <definedName name="bfd">#REF!</definedName>
    <definedName name="bfj">#REF!</definedName>
    <definedName name="bfm">#REF!</definedName>
    <definedName name="bfma">#REF!</definedName>
    <definedName name="bfmaa">#REF!</definedName>
    <definedName name="bfmr">#REF!</definedName>
    <definedName name="bfn">#REF!</definedName>
    <definedName name="bfo">#REF!</definedName>
    <definedName name="Bids" localSheetId="4">#REF!</definedName>
    <definedName name="Big">#REF!</definedName>
    <definedName name="BIGPRINT" localSheetId="5">#REF!</definedName>
    <definedName name="BIGPRINT" localSheetId="4">#REF!</definedName>
    <definedName name="BIGPRINT" localSheetId="0">#REF!</definedName>
    <definedName name="BIGPRINT" localSheetId="6">#REF!</definedName>
    <definedName name="BIGPRINT">#REF!</definedName>
    <definedName name="BJ">#REF!</definedName>
    <definedName name="bmtside_ICP_timeLine1b" localSheetId="5">#REF!</definedName>
    <definedName name="bmtside_ICP_timeLine1b" localSheetId="4">#REF!</definedName>
    <definedName name="bmtside_ICP_timeLine1b" localSheetId="6">#REF!</definedName>
    <definedName name="bmtside_ICP_timeLine1b">#REF!</definedName>
    <definedName name="Bom_cost" localSheetId="7">#REF!</definedName>
    <definedName name="Bom_cost">#REF!</definedName>
    <definedName name="BOMPRICE" localSheetId="4">#REF!</definedName>
    <definedName name="BOMPRICE" localSheetId="6">#REF!</definedName>
    <definedName name="BOMPRICE">#REF!</definedName>
    <definedName name="Bottom_Case_Module_Check_List">#N/A</definedName>
    <definedName name="bp">#REF!</definedName>
    <definedName name="bpd">#REF!</definedName>
    <definedName name="bpj">#REF!</definedName>
    <definedName name="Brenneman_Cost_Reduction">#REF!</definedName>
    <definedName name="Brenneman_Ext_Cost">#REF!</definedName>
    <definedName name="Brenneman_Reduction_Percentage">#REF!</definedName>
    <definedName name="bsddebut">39</definedName>
    <definedName name="bsdpfpp1">14</definedName>
    <definedName name="bsdpfpp2">52</definedName>
    <definedName name="btmside_CS1_timeLine1" localSheetId="7">#REF!</definedName>
    <definedName name="btmside_CS1_timeLine1" localSheetId="6">#REF!</definedName>
    <definedName name="btmside_CS1_timeLine1">#REF!</definedName>
    <definedName name="btmside_CS1_timeLine1b" localSheetId="7">#REF!</definedName>
    <definedName name="btmside_CS1_timeLine1b" localSheetId="5">#REF!</definedName>
    <definedName name="btmside_CS1_timeLine1b" localSheetId="4">#REF!</definedName>
    <definedName name="btmside_CS1_timeLine1b" localSheetId="6">#REF!</definedName>
    <definedName name="btmside_CS1_timeLine1b">#REF!</definedName>
    <definedName name="btmside_CS1_timeLine2" localSheetId="7">#REF!</definedName>
    <definedName name="btmside_CS1_timeLine2" localSheetId="4">#REF!</definedName>
    <definedName name="btmside_CS1_timeLine2" localSheetId="6">#REF!</definedName>
    <definedName name="btmside_CS1_timeLine2">#REF!</definedName>
    <definedName name="btmside_CS1_timeLine3" localSheetId="4">#REF!</definedName>
    <definedName name="btmside_CS1_timeLine3" localSheetId="6">#REF!</definedName>
    <definedName name="btmside_CS1_timeLine3">#REF!</definedName>
    <definedName name="btmside_CS1_timeLine5" localSheetId="4">#REF!</definedName>
    <definedName name="btmside_CS1_timeLine5" localSheetId="6">#REF!</definedName>
    <definedName name="btmside_CS1_timeLine5">#REF!</definedName>
    <definedName name="btmside_CS2_timeLine5" localSheetId="4">#REF!</definedName>
    <definedName name="btmside_CS2_timeLine5" localSheetId="6">#REF!</definedName>
    <definedName name="btmside_CS2_timeLine5">#REF!</definedName>
    <definedName name="btmside_CS3_timeLine5" localSheetId="4">#REF!</definedName>
    <definedName name="btmside_CS3_timeLine5" localSheetId="6">#REF!</definedName>
    <definedName name="btmside_CS3_timeLine5">#REF!</definedName>
    <definedName name="btmside_GDM_timeLine1b" localSheetId="4">#REF!</definedName>
    <definedName name="btmside_GDM_timeLine1b" localSheetId="6">#REF!</definedName>
    <definedName name="btmside_GDM_timeLine1b">#REF!</definedName>
    <definedName name="btmside_ICP1_timeLine1" localSheetId="4">#REF!</definedName>
    <definedName name="btmside_ICP1_timeLine1" localSheetId="6">#REF!</definedName>
    <definedName name="btmside_ICP1_timeLine1">#REF!</definedName>
    <definedName name="btmside_ICP1_timeLine1b" localSheetId="4">#REF!</definedName>
    <definedName name="btmside_ICP1_timeLine1b" localSheetId="6">#REF!</definedName>
    <definedName name="btmside_ICP1_timeLine1b">#REF!</definedName>
    <definedName name="btmside_ICP1_timeLine2" localSheetId="4">#REF!</definedName>
    <definedName name="btmside_ICP1_timeLine2" localSheetId="6">#REF!</definedName>
    <definedName name="btmside_ICP1_timeLine2">#REF!</definedName>
    <definedName name="btmside_ICP1_timeLine3" localSheetId="4">#REF!</definedName>
    <definedName name="btmside_ICP1_timeLine3" localSheetId="6">#REF!</definedName>
    <definedName name="btmside_ICP1_timeLine3">#REF!</definedName>
    <definedName name="btmside_ICP1_timeLine5" localSheetId="4">#REF!</definedName>
    <definedName name="btmside_ICP1_timeLine5" localSheetId="6">#REF!</definedName>
    <definedName name="btmside_ICP1_timeLine5">#REF!</definedName>
    <definedName name="btmside_ICP2_timeLine1" localSheetId="4">#REF!</definedName>
    <definedName name="btmside_ICP2_timeLine1" localSheetId="6">#REF!</definedName>
    <definedName name="btmside_ICP2_timeLine1">#REF!</definedName>
    <definedName name="btmside_machine_setupLine1" localSheetId="4">#REF!</definedName>
    <definedName name="btmside_machine_setupLine1" localSheetId="6">#REF!</definedName>
    <definedName name="btmside_machine_setupLine1">#REF!</definedName>
    <definedName name="btmside_machine_setupLine1b" localSheetId="4">#REF!</definedName>
    <definedName name="btmside_machine_setupLine1b" localSheetId="6">#REF!</definedName>
    <definedName name="btmside_machine_setupLine1b">#REF!</definedName>
    <definedName name="btmside_machine_setupLine2" localSheetId="4">#REF!</definedName>
    <definedName name="btmside_machine_setupLine2" localSheetId="6">#REF!</definedName>
    <definedName name="btmside_machine_setupLine2">#REF!</definedName>
    <definedName name="btmside_machine_setupLine3" localSheetId="4">#REF!</definedName>
    <definedName name="btmside_machine_setupLine3" localSheetId="6">#REF!</definedName>
    <definedName name="btmside_machine_setupLine3">#REF!</definedName>
    <definedName name="btmside_machine_setupLine5" localSheetId="4">#REF!</definedName>
    <definedName name="btmside_machine_setupLine5" localSheetId="6">#REF!</definedName>
    <definedName name="btmside_machine_setupLine5">#REF!</definedName>
    <definedName name="btmside_machine_setupline6" localSheetId="4">#REF!</definedName>
    <definedName name="btmside_machine_setupline6" localSheetId="6">#REF!</definedName>
    <definedName name="btmside_machine_setupline6">#REF!</definedName>
    <definedName name="btmside_no_shifts_needed1" localSheetId="4">#REF!</definedName>
    <definedName name="btmside_no_shifts_needed1" localSheetId="6">#REF!</definedName>
    <definedName name="btmside_no_shifts_needed1">#REF!</definedName>
    <definedName name="btmside_rework_timeLine1" localSheetId="5">#REF!</definedName>
    <definedName name="btmside_rework_timeLine1" localSheetId="4">#REF!</definedName>
    <definedName name="btmside_rework_timeLine1" localSheetId="6">#REF!</definedName>
    <definedName name="btmside_rework_timeLine1">#REF!</definedName>
    <definedName name="btmside_rework_timeLine1b" localSheetId="4">#REF!</definedName>
    <definedName name="btmside_rework_timeLine1b" localSheetId="6">#REF!</definedName>
    <definedName name="btmside_rework_timeLine1b">#REF!</definedName>
    <definedName name="btmside_rework_timeLine2" localSheetId="4">#REF!</definedName>
    <definedName name="btmside_rework_timeLine2" localSheetId="6">#REF!</definedName>
    <definedName name="btmside_rework_timeLine2">#REF!</definedName>
    <definedName name="btmside_rework_timeLine3" localSheetId="4">#REF!</definedName>
    <definedName name="btmside_rework_timeLine3" localSheetId="6">#REF!</definedName>
    <definedName name="btmside_rework_timeLine3">#REF!</definedName>
    <definedName name="btmside_rework_timeLine5" localSheetId="4">#REF!</definedName>
    <definedName name="btmside_rework_timeLine5" localSheetId="6">#REF!</definedName>
    <definedName name="btmside_rework_timeLine5">#REF!</definedName>
    <definedName name="btmside_rework_timeline6" localSheetId="4">#REF!</definedName>
    <definedName name="btmside_rework_timeline6" localSheetId="6">#REF!</definedName>
    <definedName name="btmside_rework_timeline6">#REF!</definedName>
    <definedName name="btmside_smt_timeBatchsize1" localSheetId="4">#REF!</definedName>
    <definedName name="btmside_smt_timeBatchsize1" localSheetId="6">#REF!</definedName>
    <definedName name="btmside_smt_timeBatchsize1">#REF!</definedName>
    <definedName name="btmside_xy_table_allowCS1Line1" localSheetId="4">#REF!</definedName>
    <definedName name="btmside_xy_table_allowCS1Line1" localSheetId="6">#REF!</definedName>
    <definedName name="btmside_xy_table_allowCS1Line1">#REF!</definedName>
    <definedName name="btmside_xy_table_allowCS1Line1b" localSheetId="4">#REF!</definedName>
    <definedName name="btmside_xy_table_allowCS1Line1b" localSheetId="6">#REF!</definedName>
    <definedName name="btmside_xy_table_allowCS1Line1b">#REF!</definedName>
    <definedName name="btmside_xy_table_allowCS1Line2" localSheetId="4">#REF!</definedName>
    <definedName name="btmside_xy_table_allowCS1Line2" localSheetId="6">#REF!</definedName>
    <definedName name="btmside_xy_table_allowCS1Line2">#REF!</definedName>
    <definedName name="btmside_xy_table_allowCS1Line3" localSheetId="4">#REF!</definedName>
    <definedName name="btmside_xy_table_allowCS1Line3" localSheetId="6">#REF!</definedName>
    <definedName name="btmside_xy_table_allowCS1Line3">#REF!</definedName>
    <definedName name="btmside_xy_table_allowCS1Line5" localSheetId="4">#REF!</definedName>
    <definedName name="btmside_xy_table_allowCS1Line5" localSheetId="6">#REF!</definedName>
    <definedName name="btmside_xy_table_allowCS1Line5">#REF!</definedName>
    <definedName name="btmside_xy_table_allowCS2Line5" localSheetId="4">#REF!</definedName>
    <definedName name="btmside_xy_table_allowCS2Line5" localSheetId="6">#REF!</definedName>
    <definedName name="btmside_xy_table_allowCS2Line5">#REF!</definedName>
    <definedName name="btmside_xy_table_allowCS3Line5" localSheetId="4">#REF!</definedName>
    <definedName name="btmside_xy_table_allowCS3Line5" localSheetId="6">#REF!</definedName>
    <definedName name="btmside_xy_table_allowCS3Line5">#REF!</definedName>
    <definedName name="btmside_xy_table_allowICP1Line1" localSheetId="4">#REF!</definedName>
    <definedName name="btmside_xy_table_allowICP1Line1" localSheetId="6">#REF!</definedName>
    <definedName name="btmside_xy_table_allowICP1Line1">#REF!</definedName>
    <definedName name="btmside_xy_table_allowICP1Line1b" localSheetId="4">#REF!</definedName>
    <definedName name="btmside_xy_table_allowICP1Line1b" localSheetId="6">#REF!</definedName>
    <definedName name="btmside_xy_table_allowICP1Line1b">#REF!</definedName>
    <definedName name="btmside_xy_table_allowICP1Line2" localSheetId="4">#REF!</definedName>
    <definedName name="btmside_xy_table_allowICP1Line2" localSheetId="6">#REF!</definedName>
    <definedName name="btmside_xy_table_allowICP1Line2">#REF!</definedName>
    <definedName name="btmside_xy_table_allowICP1Line3" localSheetId="4">#REF!</definedName>
    <definedName name="btmside_xy_table_allowICP1Line3" localSheetId="6">#REF!</definedName>
    <definedName name="btmside_xy_table_allowICP1Line3">#REF!</definedName>
    <definedName name="btmside_xy_table_allowICP1Line5" localSheetId="4">#REF!</definedName>
    <definedName name="btmside_xy_table_allowICP1Line5" localSheetId="6">#REF!</definedName>
    <definedName name="btmside_xy_table_allowICP1Line5">#REF!</definedName>
    <definedName name="btmside_xy_table_allowICP2Line1" localSheetId="4">#REF!</definedName>
    <definedName name="btmside_xy_table_allowICP2Line1" localSheetId="6">#REF!</definedName>
    <definedName name="btmside_xy_table_allowICP2Line1">#REF!</definedName>
    <definedName name="bu">#REF!</definedName>
    <definedName name="buccaneer" localSheetId="4">#REF!</definedName>
    <definedName name="buccaneer" localSheetId="6">#REF!</definedName>
    <definedName name="buccaneer">#REF!</definedName>
    <definedName name="budget">#REF!</definedName>
    <definedName name="BudNetRev" localSheetId="4">#REF!</definedName>
    <definedName name="BudNetRev" localSheetId="6">#REF!</definedName>
    <definedName name="BudNetRev">#REF!</definedName>
    <definedName name="Build">#REF!</definedName>
    <definedName name="BuiltIn_AutoFilter___1" localSheetId="4">#REF!</definedName>
    <definedName name="BuiltIn_AutoFilter___1" localSheetId="6">#REF!</definedName>
    <definedName name="BuiltIn_AutoFilter___1">#REF!</definedName>
    <definedName name="BuiltIn_AutoFilter___1_1" localSheetId="4">#REF!</definedName>
    <definedName name="BuiltIn_AutoFilter___1_1" localSheetId="6">#REF!</definedName>
    <definedName name="BuiltIn_AutoFilter___1_1">#REF!</definedName>
    <definedName name="BuiltIn_AutoFilter___2" localSheetId="4">#REF!</definedName>
    <definedName name="BuiltIn_AutoFilter___2">#N/A</definedName>
    <definedName name="BuiltIn_AutoFilter___2_1" localSheetId="7">#REF!</definedName>
    <definedName name="BuiltIn_AutoFilter___2_1" localSheetId="5">#REF!</definedName>
    <definedName name="BuiltIn_AutoFilter___2_1" localSheetId="4">#REF!</definedName>
    <definedName name="BuiltIn_AutoFilter___2_1" localSheetId="6">#REF!</definedName>
    <definedName name="BuiltIn_AutoFilter___2_1">#REF!</definedName>
    <definedName name="BuiltIn_AutoFilter___2_2" localSheetId="7">#REF!</definedName>
    <definedName name="BuiltIn_AutoFilter___2_2" localSheetId="4">#REF!</definedName>
    <definedName name="BuiltIn_AutoFilter___2_2" localSheetId="6">#REF!</definedName>
    <definedName name="BuiltIn_AutoFilter___2_2">#REF!</definedName>
    <definedName name="BuiltIn_AutoFilter___2_3" localSheetId="7">#REF!</definedName>
    <definedName name="BuiltIn_AutoFilter___2_3" localSheetId="4">#REF!</definedName>
    <definedName name="BuiltIn_AutoFilter___2_3" localSheetId="6">#REF!</definedName>
    <definedName name="BuiltIn_AutoFilter___2_3">#REF!</definedName>
    <definedName name="BuiltIn_AutoFilter___2_4" localSheetId="4">#REF!</definedName>
    <definedName name="BuiltIn_AutoFilter___2_4" localSheetId="6">#REF!</definedName>
    <definedName name="BuiltIn_AutoFilter___2_4">#REF!</definedName>
    <definedName name="BuiltIn_AutoFilter___2_5" localSheetId="4">#REF!</definedName>
    <definedName name="BuiltIn_AutoFilter___2_5" localSheetId="6">#REF!</definedName>
    <definedName name="BuiltIn_AutoFilter___2_5">#REF!</definedName>
    <definedName name="BuiltIn_AutoFilter___3">"$"</definedName>
    <definedName name="BuiltIn_AutoFilter___4" localSheetId="7">#REF!</definedName>
    <definedName name="BuiltIn_AutoFilter___4" localSheetId="5">#REF!</definedName>
    <definedName name="BuiltIn_AutoFilter___4" localSheetId="4">#REF!</definedName>
    <definedName name="BuiltIn_AutoFilter___4" localSheetId="6">#REF!</definedName>
    <definedName name="BuiltIn_AutoFilter___4">#REF!</definedName>
    <definedName name="BuiltIn_AutoFilter___4_1" localSheetId="7">#REF!</definedName>
    <definedName name="BuiltIn_AutoFilter___4_1" localSheetId="4">#REF!</definedName>
    <definedName name="BuiltIn_AutoFilter___4_1" localSheetId="6">#REF!</definedName>
    <definedName name="BuiltIn_AutoFilter___4_1">#REF!</definedName>
    <definedName name="BuiltIn_AutoFilter___4_2" localSheetId="7">#REF!</definedName>
    <definedName name="BuiltIn_AutoFilter___4_2" localSheetId="4">#REF!</definedName>
    <definedName name="BuiltIn_AutoFilter___4_2" localSheetId="6">#REF!</definedName>
    <definedName name="BuiltIn_AutoFilter___4_2">#REF!</definedName>
    <definedName name="BuiltIn_AutoFilter___4_3" localSheetId="4">#REF!</definedName>
    <definedName name="BuiltIn_AutoFilter___4_3" localSheetId="6">#REF!</definedName>
    <definedName name="BuiltIn_AutoFilter___4_3">#REF!</definedName>
    <definedName name="BuiltIn_AutoFilter___4_4" localSheetId="4">#REF!</definedName>
    <definedName name="BuiltIn_AutoFilter___4_4" localSheetId="6">#REF!</definedName>
    <definedName name="BuiltIn_AutoFilter___4_4">#REF!</definedName>
    <definedName name="Business" localSheetId="4">#REF!</definedName>
    <definedName name="Business" localSheetId="6">#REF!</definedName>
    <definedName name="Business">#REF!</definedName>
    <definedName name="BusinessStream" localSheetId="4">#REF!</definedName>
    <definedName name="BusinessStream" localSheetId="6">#REF!</definedName>
    <definedName name="BusinessStream">#REF!</definedName>
    <definedName name="c._Tiptop__Assembly_Schedule_Report_By_Line__165__asfr611_ASUS">#N/A</definedName>
    <definedName name="c.Tiptop__工單狀況表_105__asfr140_P" localSheetId="7">#REF!</definedName>
    <definedName name="c.Tiptop__工單狀況表_105__asfr140_P" localSheetId="5">#REF!</definedName>
    <definedName name="c.Tiptop__工單狀況表_105__asfr140_P" localSheetId="4">#REF!</definedName>
    <definedName name="c.Tiptop__工單狀況表_105__asfr140_P" localSheetId="0">#REF!</definedName>
    <definedName name="c.Tiptop__工單狀況表_105__asfr140_P" localSheetId="6">#REF!</definedName>
    <definedName name="c.Tiptop__工單狀況表_105__asfr140_P">#REF!</definedName>
    <definedName name="c.Tiptop__工單庫存_欠料明細表_159__csfr1061_P" localSheetId="7">#REF!</definedName>
    <definedName name="c.Tiptop__工單庫存_欠料明細表_159__csfr1061_P" localSheetId="3">#REF!</definedName>
    <definedName name="c.Tiptop__工單庫存_欠料明細表_159__csfr1061_P" localSheetId="4">#REF!</definedName>
    <definedName name="c.Tiptop__工單庫存_欠料明細表_159__csfr1061_P" localSheetId="0">#REF!</definedName>
    <definedName name="c.Tiptop__工單庫存_欠料明細表_159__csfr1061_P" localSheetId="6">#REF!</definedName>
    <definedName name="c.Tiptop__工單庫存_欠料明細表_159__csfr1061_P">#REF!</definedName>
    <definedName name="C_">#REF!</definedName>
    <definedName name="c_Actbud2" localSheetId="4">#REF!</definedName>
    <definedName name="c_Actbud2" localSheetId="6">#REF!</definedName>
    <definedName name="c_Actbud2">#REF!</definedName>
    <definedName name="C_charge" localSheetId="4">#REF!</definedName>
    <definedName name="C_charge" localSheetId="6">#REF!</definedName>
    <definedName name="C_charge">#REF!</definedName>
    <definedName name="c_CostElement" localSheetId="4">#REF!</definedName>
    <definedName name="c_CostElement" localSheetId="6">#REF!</definedName>
    <definedName name="c_CostElement">#REF!</definedName>
    <definedName name="C_DoneDate">#REF!</definedName>
    <definedName name="c_SPoint" localSheetId="4">#REF!</definedName>
    <definedName name="c_SPoint" localSheetId="6">#REF!</definedName>
    <definedName name="c_SPoint">#REF!</definedName>
    <definedName name="c_time" localSheetId="4">#REF!</definedName>
    <definedName name="c_time" localSheetId="6">#REF!</definedName>
    <definedName name="c_time">#REF!</definedName>
    <definedName name="CA">#REF!</definedName>
    <definedName name="Cal">#REF!</definedName>
    <definedName name="CALC">#REF!</definedName>
    <definedName name="call000">#N/A</definedName>
    <definedName name="canal" localSheetId="7">#REF!</definedName>
    <definedName name="canal" localSheetId="5">#REF!</definedName>
    <definedName name="canal" localSheetId="4">#REF!</definedName>
    <definedName name="canal" localSheetId="6">#REF!</definedName>
    <definedName name="canal">#REF!</definedName>
    <definedName name="Cap" localSheetId="7" hidden="1">{"one (KEY)",#N/A,FALSE,"P&amp;L"}</definedName>
    <definedName name="Cap" hidden="1">{"one (KEY)",#N/A,FALSE,"P&amp;L"}</definedName>
    <definedName name="CapabilityQuestions" localSheetId="7">#REF!</definedName>
    <definedName name="CapabilityQuestions" localSheetId="3">#REF!</definedName>
    <definedName name="CapabilityQuestions" localSheetId="4">#REF!</definedName>
    <definedName name="CapabilityQuestions" localSheetId="0">#REF!</definedName>
    <definedName name="CapabilityQuestions" localSheetId="6">#REF!</definedName>
    <definedName name="CapabilityQuestions">#REF!</definedName>
    <definedName name="capex" localSheetId="7">#REF!</definedName>
    <definedName name="capex">#REF!</definedName>
    <definedName name="CAPEX2" localSheetId="7" hidden="1">{"one (KEY)",#N/A,FALSE,"P&amp;L"}</definedName>
    <definedName name="CAPEX2" localSheetId="3" hidden="1">{"one (KEY)",#N/A,FALSE,"P&amp;L"}</definedName>
    <definedName name="CAPEX2" localSheetId="5" hidden="1">{"one (KEY)",#N/A,FALSE,"P&amp;L"}</definedName>
    <definedName name="CAPEX2" localSheetId="4" hidden="1">{"one (KEY)",#N/A,FALSE,"P&amp;L"}</definedName>
    <definedName name="CAPEX2" localSheetId="6" hidden="1">{"one (KEY)",#N/A,FALSE,"P&amp;L"}</definedName>
    <definedName name="CAPEX2" hidden="1">{"one (KEY)",#N/A,FALSE,"P&amp;L"}</definedName>
    <definedName name="capex3" localSheetId="7" hidden="1">{"one (KEY)",#N/A,FALSE,"P&amp;L"}</definedName>
    <definedName name="capex3" hidden="1">{"one (KEY)",#N/A,FALSE,"P&amp;L"}</definedName>
    <definedName name="capexp">#REF!</definedName>
    <definedName name="capexpcba1">#REF!</definedName>
    <definedName name="Capri">#REF!</definedName>
    <definedName name="Carlin2">#REF!</definedName>
    <definedName name="Carlinmay">#REF!</definedName>
    <definedName name="CART">#REF!</definedName>
    <definedName name="CAT">#REF!</definedName>
    <definedName name="cb" localSheetId="5">#REF!</definedName>
    <definedName name="cb" localSheetId="4">#REF!</definedName>
    <definedName name="cb" localSheetId="0">#REF!</definedName>
    <definedName name="cb" localSheetId="6">#REF!</definedName>
    <definedName name="cb">#REF!</definedName>
    <definedName name="CB_05PJR">#REF!</definedName>
    <definedName name="CB_2X378">#REF!</definedName>
    <definedName name="CB_32NCC">#REF!</definedName>
    <definedName name="CB_5504D">#REF!</definedName>
    <definedName name="CB_9410W">#REF!</definedName>
    <definedName name="cba">#REF!</definedName>
    <definedName name="cbc">#REF!</definedName>
    <definedName name="CCa">#REF!</definedName>
    <definedName name="CCC">#N/A</definedName>
    <definedName name="CCCCC">#N/A</definedName>
    <definedName name="CER">#REF!</definedName>
    <definedName name="Channel_Corp_Alloc___F_A" localSheetId="7">#REF!</definedName>
    <definedName name="Channel_Corp_Alloc___F_A" localSheetId="5">#REF!</definedName>
    <definedName name="Channel_Corp_Alloc___F_A" localSheetId="4">#REF!</definedName>
    <definedName name="Channel_Corp_Alloc___F_A" localSheetId="6">#REF!</definedName>
    <definedName name="Channel_Corp_Alloc___F_A">#REF!</definedName>
    <definedName name="channels" localSheetId="7">#REF!</definedName>
    <definedName name="channels" localSheetId="4">#REF!</definedName>
    <definedName name="channels" localSheetId="6">#REF!</definedName>
    <definedName name="channels">#REF!</definedName>
    <definedName name="check">#REF!</definedName>
    <definedName name="checking">#REF!</definedName>
    <definedName name="CHF">#REF!</definedName>
    <definedName name="CHFA">#REF!</definedName>
    <definedName name="Chian_Cur_Cap">#N/A</definedName>
    <definedName name="China">#N/A</definedName>
    <definedName name="Christmas">#REF!</definedName>
    <definedName name="Chuck">#REF!</definedName>
    <definedName name="Ciao" localSheetId="7">#REF!</definedName>
    <definedName name="Ciao" localSheetId="5">#REF!</definedName>
    <definedName name="Ciao" localSheetId="4">#REF!</definedName>
    <definedName name="Ciao" localSheetId="6">#REF!</definedName>
    <definedName name="Ciao">#REF!</definedName>
    <definedName name="cincinatti" localSheetId="4">#REF!</definedName>
    <definedName name="cincinatti" localSheetId="6">#REF!</definedName>
    <definedName name="cincinatti">#REF!</definedName>
    <definedName name="Circuit_City" localSheetId="4">#REF!</definedName>
    <definedName name="Circuit_City" localSheetId="6">#REF!</definedName>
    <definedName name="Circuit_City">#REF!</definedName>
    <definedName name="CLASS">#REF!</definedName>
    <definedName name="CM" localSheetId="7" hidden="1">{"'Broadway ML#4'!$J$7:$N$490"}</definedName>
    <definedName name="CM">{"'Broadway ML#4'!$J$7:$N$490"}</definedName>
    <definedName name="CNC_MACH_HOURS18">#REF!</definedName>
    <definedName name="CNC_PROGRAMMING_HOURS18">#REF!</definedName>
    <definedName name="cnsdebut">61</definedName>
    <definedName name="cnspfpp1">33</definedName>
    <definedName name="cnspfpp2">93</definedName>
    <definedName name="colbud" localSheetId="7">#REF!</definedName>
    <definedName name="colbud" localSheetId="6">#REF!</definedName>
    <definedName name="colbud">#REF!</definedName>
    <definedName name="Common_Materials_Prices" localSheetId="7">#REF!</definedName>
    <definedName name="Common_Materials_Prices" localSheetId="5">#REF!</definedName>
    <definedName name="Common_Materials_Prices" localSheetId="4">#REF!</definedName>
    <definedName name="Common_Materials_Prices" localSheetId="6">#REF!</definedName>
    <definedName name="Common_Materials_Prices">#REF!</definedName>
    <definedName name="CommonMaterials" localSheetId="7">#REF!</definedName>
    <definedName name="CommonMaterials" localSheetId="4">#REF!</definedName>
    <definedName name="CommonMaterials" localSheetId="6">#REF!</definedName>
    <definedName name="CommonMaterials">#REF!</definedName>
    <definedName name="comp2k" localSheetId="5">#REF!</definedName>
    <definedName name="comp2k" localSheetId="4">#REF!</definedName>
    <definedName name="comp2k" localSheetId="6">#REF!</definedName>
    <definedName name="comp2k">#REF!</definedName>
    <definedName name="Complexity">#REF!</definedName>
    <definedName name="COMPONENT">#REF!</definedName>
    <definedName name="ComponentClass" localSheetId="4">#REF!</definedName>
    <definedName name="ComponentClass" localSheetId="6">#REF!</definedName>
    <definedName name="ComponentClass">#REF!</definedName>
    <definedName name="components">#REF!</definedName>
    <definedName name="ComponentType" localSheetId="4">#REF!</definedName>
    <definedName name="ComponentType" localSheetId="6">#REF!</definedName>
    <definedName name="ComponentType">#REF!</definedName>
    <definedName name="CompUSA" localSheetId="4">#REF!</definedName>
    <definedName name="CompUSA" localSheetId="6">#REF!</definedName>
    <definedName name="CompUSA">#REF!</definedName>
    <definedName name="Computer" localSheetId="4">#REF!</definedName>
    <definedName name="Computer" localSheetId="6">#REF!</definedName>
    <definedName name="Computer">#REF!</definedName>
    <definedName name="consactbud" localSheetId="4">#REF!</definedName>
    <definedName name="consactbud" localSheetId="6">#REF!</definedName>
    <definedName name="consactbud">#REF!</definedName>
    <definedName name="consce" localSheetId="4">#REF!</definedName>
    <definedName name="consce" localSheetId="6">#REF!</definedName>
    <definedName name="consce">#REF!</definedName>
    <definedName name="consce2" localSheetId="4">#REF!</definedName>
    <definedName name="consce2" localSheetId="6">#REF!</definedName>
    <definedName name="consce2">#REF!</definedName>
    <definedName name="consol">#REF!</definedName>
    <definedName name="consol1">#REF!</definedName>
    <definedName name="consolactbud" localSheetId="4">#REF!</definedName>
    <definedName name="consolactbud" localSheetId="6">#REF!</definedName>
    <definedName name="consolactbud">#REF!</definedName>
    <definedName name="consolidated" localSheetId="4">#REF!</definedName>
    <definedName name="consolidated" localSheetId="6">#REF!</definedName>
    <definedName name="consolidated">#REF!</definedName>
    <definedName name="consp2" localSheetId="4">#REF!</definedName>
    <definedName name="consp2" localSheetId="6">#REF!</definedName>
    <definedName name="consp2">#REF!</definedName>
    <definedName name="consperiod" localSheetId="4">#REF!</definedName>
    <definedName name="consperiod" localSheetId="6">#REF!</definedName>
    <definedName name="consperiod">#REF!</definedName>
    <definedName name="conssp" localSheetId="4">#REF!</definedName>
    <definedName name="conssp" localSheetId="6">#REF!</definedName>
    <definedName name="conssp">#REF!</definedName>
    <definedName name="Contacts">#REF!</definedName>
    <definedName name="control" localSheetId="4">#REF!</definedName>
    <definedName name="control" localSheetId="6">#REF!</definedName>
    <definedName name="control">#REF!</definedName>
    <definedName name="copie" localSheetId="4">#REF!</definedName>
    <definedName name="copie" localSheetId="6">#REF!</definedName>
    <definedName name="copie">#REF!</definedName>
    <definedName name="COPY_IC_TABLE">#REF!</definedName>
    <definedName name="COPYIC">#REF!</definedName>
    <definedName name="cost" localSheetId="4">#REF!</definedName>
    <definedName name="cost" localSheetId="6">#REF!</definedName>
    <definedName name="cost">#REF!</definedName>
    <definedName name="cost_Bom">#REF!</definedName>
    <definedName name="Cost_Data" localSheetId="4">#REF!</definedName>
    <definedName name="Cost_Data" localSheetId="6">#REF!</definedName>
    <definedName name="Cost_Data">#REF!</definedName>
    <definedName name="Cost_Element_List_Actual" localSheetId="4">#REF!</definedName>
    <definedName name="Cost_Element_List_Actual" localSheetId="6">#REF!</definedName>
    <definedName name="Cost_Element_List_Actual">#REF!</definedName>
    <definedName name="Cost_Element_List_Budget" localSheetId="4">#REF!</definedName>
    <definedName name="Cost_Element_List_Budget" localSheetId="6">#REF!</definedName>
    <definedName name="Cost_Element_List_Budget">#REF!</definedName>
    <definedName name="Cost_Element_List_Variance" localSheetId="4">#REF!</definedName>
    <definedName name="Cost_Element_List_Variance" localSheetId="6">#REF!</definedName>
    <definedName name="Cost_Element_List_Variance">#REF!</definedName>
    <definedName name="cost1230">#REF!</definedName>
    <definedName name="Costco" localSheetId="4">#REF!</definedName>
    <definedName name="Costco" localSheetId="6">#REF!</definedName>
    <definedName name="Costco">#REF!</definedName>
    <definedName name="CostElement" localSheetId="4">#REF!</definedName>
    <definedName name="CostElement" localSheetId="6">#REF!</definedName>
    <definedName name="CostElement">#REF!</definedName>
    <definedName name="CostPerHeadDenominator" localSheetId="4">#REF!</definedName>
    <definedName name="CostPerHeadDenominator" localSheetId="6">#REF!</definedName>
    <definedName name="CostPerHeadDenominator">#REF!</definedName>
    <definedName name="CostPerHeadMultiplier" localSheetId="4">#REF!</definedName>
    <definedName name="CostPerHeadMultiplier" localSheetId="6">#REF!</definedName>
    <definedName name="CostPerHeadMultiplier">#REF!</definedName>
    <definedName name="Cover" localSheetId="4">#REF!</definedName>
    <definedName name="Cover" localSheetId="6">#REF!</definedName>
    <definedName name="Cover">#REF!</definedName>
    <definedName name="Cover_Wrap_Cost" localSheetId="4">#REF!</definedName>
    <definedName name="Cover_Wrap_Cost" localSheetId="6">#REF!</definedName>
    <definedName name="Cover_Wrap_Cost">#REF!</definedName>
    <definedName name="CPpivotdata" localSheetId="4">#REF!</definedName>
    <definedName name="CPpivotdata" localSheetId="6">#REF!</definedName>
    <definedName name="CPpivotdata">#REF!</definedName>
    <definedName name="CPU" localSheetId="4">#REF!</definedName>
    <definedName name="CPU" localSheetId="6">#REF!</definedName>
    <definedName name="CPU">#REF!</definedName>
    <definedName name="CRAte" localSheetId="4">#REF!</definedName>
    <definedName name="CRAte" localSheetId="6">#REF!</definedName>
    <definedName name="CRAte">#REF!</definedName>
    <definedName name="_xlnm.Criteria" localSheetId="4">#REF!</definedName>
    <definedName name="_xlnm.Criteria" localSheetId="6">#REF!</definedName>
    <definedName name="_xlnm.Criteria">#REF!</definedName>
    <definedName name="cs" localSheetId="4">#REF!</definedName>
    <definedName name="cs" localSheetId="0">#REF!</definedName>
    <definedName name="cs" localSheetId="6">#REF!</definedName>
    <definedName name="cs">#REF!</definedName>
    <definedName name="CTYPE">#REF!</definedName>
    <definedName name="curOLAPCubeFile" localSheetId="5">#REF!</definedName>
    <definedName name="curOLAPCubeFile" localSheetId="4">#REF!</definedName>
    <definedName name="curOLAPCubeFile" localSheetId="6">#REF!</definedName>
    <definedName name="curOLAPCubeFile">#REF!</definedName>
    <definedName name="curOLAPDatabase" localSheetId="4">#REF!</definedName>
    <definedName name="curOLAPDatabase" localSheetId="6">#REF!</definedName>
    <definedName name="curOLAPDatabase">#REF!</definedName>
    <definedName name="curOLAPServer" localSheetId="4">#REF!</definedName>
    <definedName name="curOLAPServer" localSheetId="6">#REF!</definedName>
    <definedName name="curOLAPServer">#REF!</definedName>
    <definedName name="curOLAPVirtualCube" localSheetId="4">#REF!</definedName>
    <definedName name="curOLAPVirtualCube" localSheetId="6">#REF!</definedName>
    <definedName name="curOLAPVirtualCube">#REF!</definedName>
    <definedName name="CurrCost">#REF!</definedName>
    <definedName name="CurrencyData">#REF!</definedName>
    <definedName name="CurrentMonthName">"Nov"</definedName>
    <definedName name="CurrentMonthNumberForTrendReport" localSheetId="7">MATCH(0,#REF!,0)-1</definedName>
    <definedName name="CurrentMonthNumberForTrendReport" localSheetId="5">MATCH(0,#REF!,0)-1</definedName>
    <definedName name="CurrentMonthNumberForTrendReport" localSheetId="4">MATCH(0,#REF!,0)-1</definedName>
    <definedName name="CurrentMonthNumberForTrendReport">MATCH(0,#REF!,0)-1</definedName>
    <definedName name="CurrentPeriod" localSheetId="7">#REF!</definedName>
    <definedName name="CurrentPeriod" localSheetId="5">#REF!</definedName>
    <definedName name="CurrentPeriod" localSheetId="4">#REF!</definedName>
    <definedName name="CurrentPeriod" localSheetId="6">#REF!</definedName>
    <definedName name="CurrentPeriod">#REF!</definedName>
    <definedName name="CurrentPeriodCalculated" localSheetId="7">#REF!</definedName>
    <definedName name="CurrentPeriodCalculated" localSheetId="4">#REF!</definedName>
    <definedName name="CurrentPeriodCalculated" localSheetId="6">#REF!</definedName>
    <definedName name="CurrentPeriodCalculated">#REF!</definedName>
    <definedName name="CurrentPeriodOverRide" localSheetId="4">#REF!</definedName>
    <definedName name="CurrentPeriodOverRide" localSheetId="6">#REF!</definedName>
    <definedName name="CurrentPeriodOverRide">#REF!</definedName>
    <definedName name="Custom">#REF!</definedName>
    <definedName name="CustType" localSheetId="5">#REF!</definedName>
    <definedName name="CustType" localSheetId="4">#REF!</definedName>
    <definedName name="CustType" localSheetId="6">#REF!</definedName>
    <definedName name="CustType">#REF!</definedName>
    <definedName name="cv" localSheetId="4">#REF!</definedName>
    <definedName name="cv" localSheetId="0">#REF!</definedName>
    <definedName name="cv" localSheetId="6">#REF!</definedName>
    <definedName name="cv">#REF!</definedName>
    <definedName name="cy" localSheetId="7" hidden="1">{"'Broadway ML#4'!$J$7:$N$490"}</definedName>
    <definedName name="cy">{"'Broadway ML#4'!$J$7:$N$490"}</definedName>
    <definedName name="d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d._Tiptop__庫存數量表Ⅰ_80__aimr407_P" localSheetId="7">#REF!</definedName>
    <definedName name="d._Tiptop__庫存數量表Ⅰ_80__aimr407_P" localSheetId="5">#REF!</definedName>
    <definedName name="d._Tiptop__庫存數量表Ⅰ_80__aimr407_P" localSheetId="4">#REF!</definedName>
    <definedName name="d._Tiptop__庫存數量表Ⅰ_80__aimr407_P" localSheetId="0">#REF!</definedName>
    <definedName name="d._Tiptop__庫存數量表Ⅰ_80__aimr407_P" localSheetId="6">#REF!</definedName>
    <definedName name="d._Tiptop__庫存數量表Ⅰ_80__aimr407_P">#REF!</definedName>
    <definedName name="d.Tiptop__料件狀況查詢_aimq102_P" localSheetId="7">#REF!</definedName>
    <definedName name="d.Tiptop__料件狀況查詢_aimq102_P" localSheetId="5">#REF!</definedName>
    <definedName name="d.Tiptop__料件狀況查詢_aimq102_P" localSheetId="4">#REF!</definedName>
    <definedName name="d.Tiptop__料件狀況查詢_aimq102_P" localSheetId="0">#REF!</definedName>
    <definedName name="d.Tiptop__料件狀況查詢_aimq102_P" localSheetId="6">#REF!</definedName>
    <definedName name="d.Tiptop__料件狀況查詢_aimq102_P">#REF!</definedName>
    <definedName name="D_DoneDate" localSheetId="7">#REF!</definedName>
    <definedName name="D_DoneDate">#REF!</definedName>
    <definedName name="dad" localSheetId="5">#REF!</definedName>
    <definedName name="dad" localSheetId="4">#REF!</definedName>
    <definedName name="dad" localSheetId="6">#REF!</definedName>
    <definedName name="dad">#REF!</definedName>
    <definedName name="dall" localSheetId="5">#REF!</definedName>
    <definedName name="dall" localSheetId="4">#REF!</definedName>
    <definedName name="dall" localSheetId="0">#REF!</definedName>
    <definedName name="dall" localSheetId="6">#REF!</definedName>
    <definedName name="dall">#REF!</definedName>
    <definedName name="dasdgasdf" localSheetId="7" hidden="1">{"Chart 1",#N/A,FALSE,"Run Rate";"Chart 2",#N/A,FALSE,"Run Rate (2)"}</definedName>
    <definedName name="dasdgasdf" localSheetId="3" hidden="1">{"Chart 1",#N/A,FALSE,"Run Rate";"Chart 2",#N/A,FALSE,"Run Rate (2)"}</definedName>
    <definedName name="dasdgasdf" localSheetId="5" hidden="1">{"Chart 1",#N/A,FALSE,"Run Rate";"Chart 2",#N/A,FALSE,"Run Rate (2)"}</definedName>
    <definedName name="dasdgasdf" localSheetId="4" hidden="1">{"Chart 1",#N/A,FALSE,"Run Rate";"Chart 2",#N/A,FALSE,"Run Rate (2)"}</definedName>
    <definedName name="dasdgasdf" localSheetId="6" hidden="1">{"Chart 1",#N/A,FALSE,"Run Rate";"Chart 2",#N/A,FALSE,"Run Rate (2)"}</definedName>
    <definedName name="dasdgasdf" hidden="1">{"Chart 1",#N/A,FALSE,"Run Rate";"Chart 2",#N/A,FALSE,"Run Rate (2)"}</definedName>
    <definedName name="Dashboard">#REF!</definedName>
    <definedName name="dashboard2">#REF!</definedName>
    <definedName name="Data" localSheetId="4">#REF!</definedName>
    <definedName name="Data.Row.Count" localSheetId="7">#REF!</definedName>
    <definedName name="Data.Row.Count">#REF!</definedName>
    <definedName name="data1">#REF!</definedName>
    <definedName name="data2" localSheetId="5">#REF!</definedName>
    <definedName name="data2" localSheetId="4">#REF!</definedName>
    <definedName name="data2" localSheetId="6">#REF!</definedName>
    <definedName name="data2">#REF!</definedName>
    <definedName name="data80902">#REF!</definedName>
    <definedName name="data8202">#REF!</definedName>
    <definedName name="data82302">#REF!</definedName>
    <definedName name="Database" localSheetId="4" hidden="1">#REF!</definedName>
    <definedName name="Database" localSheetId="0">#REF!</definedName>
    <definedName name="Database" localSheetId="6">#REF!</definedName>
    <definedName name="Database">#REF!</definedName>
    <definedName name="database1900">#REF!</definedName>
    <definedName name="database2900flx">#REF!</definedName>
    <definedName name="database2900fmx">#REF!</definedName>
    <definedName name="DataRange" localSheetId="4">#REF!</definedName>
    <definedName name="DataRange" localSheetId="6">#REF!</definedName>
    <definedName name="DataRange">#REF!</definedName>
    <definedName name="david" localSheetId="4">#REF!</definedName>
    <definedName name="david" localSheetId="0">#REF!</definedName>
    <definedName name="david" localSheetId="6">#REF!</definedName>
    <definedName name="david">#REF!</definedName>
    <definedName name="DB" localSheetId="4">#REF!</definedName>
    <definedName name="DB" localSheetId="0">#REF!</definedName>
    <definedName name="DB" localSheetId="6">#REF!</definedName>
    <definedName name="DB">#REF!</definedName>
    <definedName name="DBMatch">#N/A</definedName>
    <definedName name="DBType" localSheetId="7">#REF!</definedName>
    <definedName name="DBType" localSheetId="5">#REF!</definedName>
    <definedName name="DBType" localSheetId="4">#REF!</definedName>
    <definedName name="DBType" localSheetId="6">#REF!</definedName>
    <definedName name="DBType">#REF!</definedName>
    <definedName name="dd" localSheetId="4" hidden="1">{#N/A,#N/A,TRUE,"OUTPUT";#N/A,#N/A,TRUE,"SF_Cal";#N/A,#N/A,TRUE,"HGA_Cal";#N/A,#N/A,TRUE,"MR_Cal";#N/A,#N/A,TRUE,"JIT_COST";#N/A,#N/A,TRUE,"MR_Cost";#N/A,#N/A,TRUE,"Space &amp; Utility"}</definedName>
    <definedName name="DDA" localSheetId="7">#REF!</definedName>
    <definedName name="DDA" localSheetId="5">#REF!</definedName>
    <definedName name="DDA" localSheetId="4">#REF!</definedName>
    <definedName name="DDA" localSheetId="0">#REF!</definedName>
    <definedName name="DDA" localSheetId="6">#REF!</definedName>
    <definedName name="DDA">#REF!</definedName>
    <definedName name="DDD">#N/A</definedName>
    <definedName name="dddddddddddddddddddddddddd" localSheetId="7">#REF!</definedName>
    <definedName name="dddddddddddddddddddddddddd" localSheetId="6">#REF!</definedName>
    <definedName name="dddddddddddddddddddddddddd">#REF!</definedName>
    <definedName name="DEBUG_HOURS18" localSheetId="7">#REF!</definedName>
    <definedName name="DEBUG_HOURS18">#REF!</definedName>
    <definedName name="Dec05_Act">#REF!</definedName>
    <definedName name="DefaultDoneDate">#REF!</definedName>
    <definedName name="defefe">#REF!</definedName>
    <definedName name="DEL">#REF!</definedName>
    <definedName name="DeltCost">#REF!</definedName>
    <definedName name="DEM">#REF!</definedName>
    <definedName name="DEMA">#REF!</definedName>
    <definedName name="Demand" localSheetId="5">#REF!</definedName>
    <definedName name="Demand" localSheetId="4">#REF!</definedName>
    <definedName name="Demand" localSheetId="6">#REF!</definedName>
    <definedName name="Demand">#REF!</definedName>
    <definedName name="DEMO">#REF!</definedName>
    <definedName name="Depart" localSheetId="4">#REF!</definedName>
    <definedName name="Depart" localSheetId="6">#REF!</definedName>
    <definedName name="Depart">#REF!</definedName>
    <definedName name="Depart__b" localSheetId="4">#REF!</definedName>
    <definedName name="Depart__b" localSheetId="6">#REF!</definedName>
    <definedName name="Depart__b">#REF!</definedName>
    <definedName name="Depop1" localSheetId="5">#REF!</definedName>
    <definedName name="Depop1" localSheetId="4">#REF!</definedName>
    <definedName name="Depop1" localSheetId="6">#REF!</definedName>
    <definedName name="Depop1">#REF!</definedName>
    <definedName name="DES">#REF!</definedName>
    <definedName name="DESIGN_HOURS18">#REF!</definedName>
    <definedName name="Detail">#REF!</definedName>
    <definedName name="Detail_Pricing_Level" localSheetId="5">#REF!</definedName>
    <definedName name="Detail_Pricing_Level" localSheetId="4">#REF!</definedName>
    <definedName name="Detail_Pricing_Level" localSheetId="6">#REF!</definedName>
    <definedName name="Detail_Pricing_Level">#REF!</definedName>
    <definedName name="DetailSheetNum">1</definedName>
    <definedName name="detg" localSheetId="7" hidden="1">{"one (KEY)",#N/A,FALSE,"P&amp;L"}</definedName>
    <definedName name="detg" hidden="1">{"one (KEY)",#N/A,FALSE,"P&amp;L"}</definedName>
    <definedName name="df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df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df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df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df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df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dfas" localSheetId="7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dfas" localSheetId="3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dfas" localSheetId="5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dfas" localSheetId="4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dfas" localSheetId="6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dfas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dfd">#N/A</definedName>
    <definedName name="dfds" localSheetId="4">alloc_start:alloc_end</definedName>
    <definedName name="dfg" localSheetId="7">#REF!</definedName>
    <definedName name="dfg" localSheetId="5">#REF!</definedName>
    <definedName name="dfg" localSheetId="4">#REF!</definedName>
    <definedName name="dfg" localSheetId="6">#REF!</definedName>
    <definedName name="dfg">#REF!</definedName>
    <definedName name="Diablo" localSheetId="7">#REF!</definedName>
    <definedName name="Diablo" localSheetId="4">#REF!</definedName>
    <definedName name="Diablo" localSheetId="6">#REF!</definedName>
    <definedName name="Diablo">#REF!</definedName>
    <definedName name="DIOB">#REF!</definedName>
    <definedName name="direct">#REF!</definedName>
    <definedName name="directlab">#REF!</definedName>
    <definedName name="directlabor">#REF!</definedName>
    <definedName name="DISK_MAX_12">1.71</definedName>
    <definedName name="DISK_MAX_5">1.54</definedName>
    <definedName name="division2" localSheetId="7">#REF!</definedName>
    <definedName name="division2" localSheetId="5">#REF!</definedName>
    <definedName name="division2" localSheetId="4">#REF!</definedName>
    <definedName name="division2" localSheetId="6">#REF!</definedName>
    <definedName name="division2">#REF!</definedName>
    <definedName name="DKK" localSheetId="7">#REF!</definedName>
    <definedName name="DKK">#REF!</definedName>
    <definedName name="DKKA" localSheetId="7">#REF!</definedName>
    <definedName name="DKKA">#REF!</definedName>
    <definedName name="dlsummary">#REF!</definedName>
    <definedName name="dlsummarypcba1">#REF!</definedName>
    <definedName name="DM_BE_Cost">#REF!</definedName>
    <definedName name="DM_FE_Cost">#REF!</definedName>
    <definedName name="DODA" localSheetId="5">#REF!</definedName>
    <definedName name="DODA" localSheetId="4">#REF!</definedName>
    <definedName name="DODA" localSheetId="0">#REF!</definedName>
    <definedName name="DODA" localSheetId="6">#REF!</definedName>
    <definedName name="DODA">#REF!</definedName>
    <definedName name="DODAA">#REF!</definedName>
    <definedName name="DPT" localSheetId="4">#REF!</definedName>
    <definedName name="DPT" localSheetId="0">#REF!</definedName>
    <definedName name="DPT" localSheetId="6">#REF!</definedName>
    <definedName name="DPT">#REF!</definedName>
    <definedName name="DPY_Articles" localSheetId="4">#REF!</definedName>
    <definedName name="DPY_Articles" localSheetId="6">#REF!</definedName>
    <definedName name="DPY_Articles">#REF!</definedName>
    <definedName name="DPY_Variants" localSheetId="4">#REF!</definedName>
    <definedName name="DPY_Variants" localSheetId="6">#REF!</definedName>
    <definedName name="DPY_Variants">#REF!</definedName>
    <definedName name="DPY_Volume" localSheetId="4">#REF!</definedName>
    <definedName name="DPY_Volume" localSheetId="6">#REF!</definedName>
    <definedName name="DPY_Volume">#REF!</definedName>
    <definedName name="ds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DSA" localSheetId="4">#REF!</definedName>
    <definedName name="dsa">#N/A</definedName>
    <definedName name="DSAD">#N/A</definedName>
    <definedName name="dsak">#N/A</definedName>
    <definedName name="dsakfsld">#N/A</definedName>
    <definedName name="dso" localSheetId="7">#REF!</definedName>
    <definedName name="dso">#REF!</definedName>
    <definedName name="DU" hidden="1">#N/A</definedName>
    <definedName name="E" localSheetId="7" hidden="1">{"'Broadway ML#4'!$J$7:$N$490"}</definedName>
    <definedName name="E">{"'Broadway ML#4'!$J$7:$N$490"}</definedName>
    <definedName name="E_DoneDate" localSheetId="7">#REF!</definedName>
    <definedName name="E_DoneDate">#REF!</definedName>
    <definedName name="Eclipse" localSheetId="5">#REF!</definedName>
    <definedName name="Eclipse" localSheetId="4">#REF!</definedName>
    <definedName name="Eclipse" localSheetId="6">#REF!</definedName>
    <definedName name="Eclipse">#REF!</definedName>
    <definedName name="ED" localSheetId="7" hidden="1">{"'sheet(22) (22)'!$A$64:$K$79"}</definedName>
    <definedName name="ED">{"'sheet(22) (22)'!$A$64:$K$79"}</definedName>
    <definedName name="EDREW">#N/A</definedName>
    <definedName name="eee" localSheetId="7">#REF!</definedName>
    <definedName name="eee" localSheetId="5">#REF!</definedName>
    <definedName name="eee" localSheetId="4">#REF!</definedName>
    <definedName name="eee" localSheetId="6">#REF!</definedName>
    <definedName name="eee">#REF!</definedName>
    <definedName name="eeee" localSheetId="7">#REF!</definedName>
    <definedName name="eeee" localSheetId="4">#REF!</definedName>
    <definedName name="eeee" localSheetId="6">#REF!</definedName>
    <definedName name="eeee">#REF!</definedName>
    <definedName name="eeeeeeee" localSheetId="7" hidden="1">{"'Broadway ML#4'!$J$7:$N$490"}</definedName>
    <definedName name="eeeeeeee">{"'Broadway ML#4'!$J$7:$N$490"}</definedName>
    <definedName name="eeeeeeeeeeee" localSheetId="7" hidden="1">{"'Broadway ML#4'!$J$7:$N$490"}</definedName>
    <definedName name="eeeeeeeeeeee">{"'Broadway ML#4'!$J$7:$N$490"}</definedName>
    <definedName name="efrf" localSheetId="7" hidden="1">{"one (KEY)",#N/A,FALSE,"P&amp;L"}</definedName>
    <definedName name="efrf" hidden="1">{"one (KEY)",#N/A,FALSE,"P&amp;L"}</definedName>
    <definedName name="efw" localSheetId="7" hidden="1">{"one (KEY)",#N/A,FALSE,"P&amp;L"}</definedName>
    <definedName name="efw" hidden="1">{"one (KEY)",#N/A,FALSE,"P&amp;L"}</definedName>
    <definedName name="EJ">#REF!</definedName>
    <definedName name="electronic" localSheetId="7">#REF!</definedName>
    <definedName name="electronic" localSheetId="4">#REF!</definedName>
    <definedName name="electronic" localSheetId="6">#REF!</definedName>
    <definedName name="electronic">#REF!</definedName>
    <definedName name="Electronics_Boutique" localSheetId="7">#REF!</definedName>
    <definedName name="Electronics_Boutique" localSheetId="4">#REF!</definedName>
    <definedName name="Electronics_Boutique" localSheetId="6">#REF!</definedName>
    <definedName name="Electronics_Boutique">#REF!</definedName>
    <definedName name="eltonwelke" localSheetId="7" hidden="1">{"whole",#N/A,FALSE,"Gen_Dist_Act_Bud";"whole",#N/A,FALSE,"Gen_Dist_T3months";"whole",#N/A,FALSE,"GD_PerP";"whole",#N/A,FALSE,"HR Dist'n"}</definedName>
    <definedName name="eltonwelke" localSheetId="3" hidden="1">{"whole",#N/A,FALSE,"Gen_Dist_Act_Bud";"whole",#N/A,FALSE,"Gen_Dist_T3months";"whole",#N/A,FALSE,"GD_PerP";"whole",#N/A,FALSE,"HR Dist'n"}</definedName>
    <definedName name="eltonwelke" localSheetId="5" hidden="1">{"whole",#N/A,FALSE,"Gen_Dist_Act_Bud";"whole",#N/A,FALSE,"Gen_Dist_T3months";"whole",#N/A,FALSE,"GD_PerP";"whole",#N/A,FALSE,"HR Dist'n"}</definedName>
    <definedName name="eltonwelke" localSheetId="4" hidden="1">{"whole",#N/A,FALSE,"Gen_Dist_Act_Bud";"whole",#N/A,FALSE,"Gen_Dist_T3months";"whole",#N/A,FALSE,"GD_PerP";"whole",#N/A,FALSE,"HR Dist'n"}</definedName>
    <definedName name="eltonwelke" localSheetId="6" hidden="1">{"whole",#N/A,FALSE,"Gen_Dist_Act_Bud";"whole",#N/A,FALSE,"Gen_Dist_T3months";"whole",#N/A,FALSE,"GD_PerP";"whole",#N/A,FALSE,"HR Dist'n"}</definedName>
    <definedName name="eltonwelke" hidden="1">{"whole",#N/A,FALSE,"Gen_Dist_Act_Bud";"whole",#N/A,FALSE,"Gen_Dist_T3months";"whole",#N/A,FALSE,"GD_PerP";"whole",#N/A,FALSE,"HR Dist'n"}</definedName>
    <definedName name="END" localSheetId="7">#REF!</definedName>
    <definedName name="END" localSheetId="5">#REF!</definedName>
    <definedName name="END" localSheetId="4">#REF!</definedName>
    <definedName name="END" localSheetId="0">#REF!</definedName>
    <definedName name="END" localSheetId="6">#REF!</definedName>
    <definedName name="END">#REF!</definedName>
    <definedName name="ENG" localSheetId="7">#REF!</definedName>
    <definedName name="ENG">#REF!</definedName>
    <definedName name="ENG._COST18" localSheetId="7">#REF!</definedName>
    <definedName name="ENG._COST18">#REF!</definedName>
    <definedName name="ENG._COST19">#REF!</definedName>
    <definedName name="ENG._COST20">#REF!</definedName>
    <definedName name="ENG._COST21">#REF!</definedName>
    <definedName name="ENG._COST22">#REF!</definedName>
    <definedName name="ENG._COST23">#REF!</definedName>
    <definedName name="EOLt_t">#REF!</definedName>
    <definedName name="ER">#N/A</definedName>
    <definedName name="Erdley_Baseline">#REF!</definedName>
    <definedName name="Erdley_Cost_Reduction">#REF!</definedName>
    <definedName name="Erdley_Ext_Cost">#REF!</definedName>
    <definedName name="Erdley_Reduction_Percentage">#REF!</definedName>
    <definedName name="ess">#N/A</definedName>
    <definedName name="Ess.Calc.Connection.1">"Sheet1!1"</definedName>
    <definedName name="Ess.Calc.File.1">"Sheet1!F1AggCus"</definedName>
    <definedName name="Ess.ColumnHeaderRange.1">#REF!</definedName>
    <definedName name="Ess.ColumnHeaderRange.2">#REF!</definedName>
    <definedName name="Ess.DataRange.1">#REF!</definedName>
    <definedName name="Ess.DataRange.2">#REF!</definedName>
    <definedName name="Ess.PageHeaderRange.1">#REF!</definedName>
    <definedName name="Ess.PageHeaderRange.2">#REF!</definedName>
    <definedName name="Ess.Retrieve.Connection.1">"Sheet1!1"</definedName>
    <definedName name="Ess.Retrieve.Connection.2">"Sheet1!1"</definedName>
    <definedName name="Ess.Retrieve.Range.1">#REF!</definedName>
    <definedName name="Ess.Retrieve.Range.2">#REF!</definedName>
    <definedName name="Ess.RowHeaderRange.1">#REF!</definedName>
    <definedName name="Ess.RowHeaderRange.2">#REF!</definedName>
    <definedName name="Ess.Send.Connection.1">"Sheet1!1"</definedName>
    <definedName name="Ess.Send.Connection.2">"Standard Hour Input!1"</definedName>
    <definedName name="Ess.Send.Range.1">#REF!</definedName>
    <definedName name="Ess.Send.Range.2">#REF!</definedName>
    <definedName name="EssAliasTable">"Default"</definedName>
    <definedName name="EssLatest">"JAN"</definedName>
    <definedName name="EssOptions">"110000000013010_0"</definedName>
    <definedName name="ETYRS564G54SG5">#REF!</definedName>
    <definedName name="EUROPE">#N/A</definedName>
    <definedName name="EV__CVPARAMS__" hidden="1">"P&amp;L by Product!$A$4:$B$16;"</definedName>
    <definedName name="EV__EXPOPTIONS__" hidden="1">0</definedName>
    <definedName name="EV__LASTREFTIME__" hidden="1">38845.855775463</definedName>
    <definedName name="EV__MAXEXPCOLS__" hidden="1">255</definedName>
    <definedName name="EV__MAXEXPROWS__" hidden="1">1000</definedName>
    <definedName name="EV__MEMORYCVW__" hidden="1">0</definedName>
    <definedName name="EV__MEMORYCVW__ACCOUNT_WT.XLS" hidden="1">"WEEKLY_TRACKER"</definedName>
    <definedName name="EV__MEMORYCVW__ACCOUNT_WT.XLS_ACCOUNT_WT" hidden="1">"NET_CASHFLOW"</definedName>
    <definedName name="EV__MEMORYCVW__ACCOUNT_WT.XLS_ACTIVEAPPLICATION" hidden="1">"WEEKLY_TRACKER"</definedName>
    <definedName name="EV__MEMORYCVW__ACCOUNT_WT.XLS_BUSORG" hidden="1">"BU_103"</definedName>
    <definedName name="EV__MEMORYCVW__ACCOUNT_WT.XLS_BUSPARTNER_WT" hidden="1">"UND_BP"</definedName>
    <definedName name="EV__MEMORYCVW__ACCOUNT_WT.XLS_CATEGORY" hidden="1">"CURR_FCST"</definedName>
    <definedName name="EV__MEMORYCVW__ACCOUNT_WT.XLS_DATASRC" hidden="1">"TotWithAdj"</definedName>
    <definedName name="EV__MEMORYCVW__ACCOUNT_WT.XLS_MEASURES" hidden="1">"PERIODIC"</definedName>
    <definedName name="EV__MEMORYCVW__ACCOUNT_WT.XLS_PRODLINE" hidden="1">"ALL_PRODLINES"</definedName>
    <definedName name="EV__MEMORYCVW__ACCOUNT_WT.XLS_PROJECT" hidden="1">"UND_PROJECT"</definedName>
    <definedName name="EV__MEMORYCVW__ACCOUNT_WT.XLS_RPTBASIS" hidden="1">"LC"</definedName>
    <definedName name="EV__MEMORYCVW__ACCOUNT_WT.XLS_TIME_WK" hidden="1">"2005.APR"</definedName>
    <definedName name="EV__MEMORYCVW__TEMPLATE11" hidden="1">"WEEKLY_TRACKER"</definedName>
    <definedName name="EV__MEMORYCVW__TEMPLATE11_ACCOUNT_WT" hidden="1">"NET_CASHFLOW"</definedName>
    <definedName name="EV__MEMORYCVW__TEMPLATE11_ACTIVEAPPLICATION" hidden="1">"WEEKLY_TRACKER"</definedName>
    <definedName name="EV__MEMORYCVW__TEMPLATE11_BUSORG" hidden="1">"BU_103"</definedName>
    <definedName name="EV__MEMORYCVW__TEMPLATE11_BUSPARTNER_WT" hidden="1">"UND_BP"</definedName>
    <definedName name="EV__MEMORYCVW__TEMPLATE11_CATEGORY" hidden="1">"CURR_FCST"</definedName>
    <definedName name="EV__MEMORYCVW__TEMPLATE11_DATASRC" hidden="1">"TotWithAdj"</definedName>
    <definedName name="EV__MEMORYCVW__TEMPLATE11_MEASURES" hidden="1">"PERIODIC"</definedName>
    <definedName name="EV__MEMORYCVW__TEMPLATE11_PRODLINE" hidden="1">"ALL_PRODLINES"</definedName>
    <definedName name="EV__MEMORYCVW__TEMPLATE11_PROJECT" hidden="1">"UND_PROJECT"</definedName>
    <definedName name="EV__MEMORYCVW__TEMPLATE11_RPTBASIS" hidden="1">"LC"</definedName>
    <definedName name="EV__MEMORYCVW__TEMPLATE11_TIME_WK" hidden="1">"2005.APR"</definedName>
    <definedName name="EV__MEMORYCVW__TEMPLATE31" hidden="1">"WEEKLY_TRACKER"</definedName>
    <definedName name="EV__MEMORYCVW__TEMPLATE31_ACCOUNT_WT" hidden="1">"NET_CASHFLOW"</definedName>
    <definedName name="EV__MEMORYCVW__TEMPLATE31_ACTIVEAPPLICATION" hidden="1">"WEEKLY_TRACKER"</definedName>
    <definedName name="EV__MEMORYCVW__TEMPLATE31_BUSORG" hidden="1">"BU_103"</definedName>
    <definedName name="EV__MEMORYCVW__TEMPLATE31_BUSPARTNER_WT" hidden="1">"UND_BP"</definedName>
    <definedName name="EV__MEMORYCVW__TEMPLATE31_CATEGORY" hidden="1">"CURR_FCST"</definedName>
    <definedName name="EV__MEMORYCVW__TEMPLATE31_DATASRC" hidden="1">"TotWithAdj"</definedName>
    <definedName name="EV__MEMORYCVW__TEMPLATE31_MEASURES" hidden="1">"PERIODIC"</definedName>
    <definedName name="EV__MEMORYCVW__TEMPLATE31_PRODLINE" hidden="1">"ALL_PRODLINES"</definedName>
    <definedName name="EV__MEMORYCVW__TEMPLATE31_PROJECT" hidden="1">"UND_PROJECT"</definedName>
    <definedName name="EV__MEMORYCVW__TEMPLATE31_RPTBASIS" hidden="1">"LC"</definedName>
    <definedName name="EV__MEMORYCVW__TEMPLATE31_TIME_WK" hidden="1">"2005.APR"</definedName>
    <definedName name="EV__MEMORYCVW__TEMPLATE51" hidden="1">"WEEKLY_TRACKER"</definedName>
    <definedName name="EV__MEMORYCVW__TEMPLATE511" hidden="1">"WEEKLY_TRACKER"</definedName>
    <definedName name="EV__MEMORYCVW__TEMPLATE7.XLT" hidden="1">"WEEKLY_TRACKER"</definedName>
    <definedName name="EV__MEMORYCVW__TEMPLATE71" hidden="1">"WEEKLY_TRACKER"</definedName>
    <definedName name="EV__WBEVMODE__" hidden="1">0</definedName>
    <definedName name="EV__WBREFOPTIONS__" hidden="1">134217751</definedName>
    <definedName name="EV__WBVERSION__" hidden="1">0</definedName>
    <definedName name="EV__WSINFO__" hidden="1">"flex"</definedName>
    <definedName name="EXCHANGE_RATE" localSheetId="7">#REF!</definedName>
    <definedName name="EXCHANGE_RATE" localSheetId="6">#REF!</definedName>
    <definedName name="EXCHANGE_RATE">#REF!</definedName>
    <definedName name="ExecutiveSummary" localSheetId="7" hidden="1">{#N/A,#N/A,FALSE,"Summary";#N/A,#N/A,FALSE,"Details";#N/A,#N/A,FALSE,"Month-Hd";#N/A,#N/A,FALSE,"YTD-Hd";#N/A,#N/A,FALSE,"Capital"}</definedName>
    <definedName name="ExecutiveSummary" localSheetId="3" hidden="1">{#N/A,#N/A,FALSE,"Summary";#N/A,#N/A,FALSE,"Details";#N/A,#N/A,FALSE,"Month-Hd";#N/A,#N/A,FALSE,"YTD-Hd";#N/A,#N/A,FALSE,"Capital"}</definedName>
    <definedName name="ExecutiveSummary" localSheetId="5" hidden="1">{#N/A,#N/A,FALSE,"Summary";#N/A,#N/A,FALSE,"Details";#N/A,#N/A,FALSE,"Month-Hd";#N/A,#N/A,FALSE,"YTD-Hd";#N/A,#N/A,FALSE,"Capital"}</definedName>
    <definedName name="ExecutiveSummary" localSheetId="4" hidden="1">{#N/A,#N/A,FALSE,"Summary";#N/A,#N/A,FALSE,"Details";#N/A,#N/A,FALSE,"Month-Hd";#N/A,#N/A,FALSE,"YTD-Hd";#N/A,#N/A,FALSE,"Capital"}</definedName>
    <definedName name="ExecutiveSummary" localSheetId="6" hidden="1">{#N/A,#N/A,FALSE,"Summary";#N/A,#N/A,FALSE,"Details";#N/A,#N/A,FALSE,"Month-Hd";#N/A,#N/A,FALSE,"YTD-Hd";#N/A,#N/A,FALSE,"Capital"}</definedName>
    <definedName name="ExecutiveSummary" hidden="1">{#N/A,#N/A,FALSE,"Summary";#N/A,#N/A,FALSE,"Details";#N/A,#N/A,FALSE,"Month-Hd";#N/A,#N/A,FALSE,"YTD-Hd";#N/A,#N/A,FALSE,"Capital"}</definedName>
    <definedName name="exp" localSheetId="7">#REF!</definedName>
    <definedName name="exp" localSheetId="6">#REF!</definedName>
    <definedName name="exp">#REF!</definedName>
    <definedName name="Expense" localSheetId="7">#REF!</definedName>
    <definedName name="Expense" localSheetId="5">#REF!</definedName>
    <definedName name="Expense" localSheetId="4">#REF!</definedName>
    <definedName name="Expense" localSheetId="6">#REF!</definedName>
    <definedName name="Expense">#REF!</definedName>
    <definedName name="ExpSumm" localSheetId="7">#REF!</definedName>
    <definedName name="ExpSumm" localSheetId="4">#REF!</definedName>
    <definedName name="ExpSumm" localSheetId="6">#REF!</definedName>
    <definedName name="ExpSumm">#REF!</definedName>
    <definedName name="ExtCost">#REF!</definedName>
    <definedName name="ey" localSheetId="5">#REF!</definedName>
    <definedName name="ey" localSheetId="4">#REF!</definedName>
    <definedName name="ey" localSheetId="6">#REF!</definedName>
    <definedName name="ey">#REF!</definedName>
    <definedName name="f" localSheetId="4">#REF!</definedName>
    <definedName name="f" hidden="1">#N/A</definedName>
    <definedName name="F_DoneDate">#REF!</definedName>
    <definedName name="F2__開窗指定_____功能">#N/A</definedName>
    <definedName name="FAD" localSheetId="7">#REF!</definedName>
    <definedName name="FAD" localSheetId="5">#REF!</definedName>
    <definedName name="FAD" localSheetId="4">#REF!</definedName>
    <definedName name="FAD" localSheetId="6">#REF!</definedName>
    <definedName name="FAD">#REF!</definedName>
    <definedName name="fasf" localSheetId="7">alloc_start:alloc_end</definedName>
    <definedName name="fasf" localSheetId="3">alloc_start:alloc_end</definedName>
    <definedName name="fasf" localSheetId="5">alloc_start:alloc_end</definedName>
    <definedName name="fasf" localSheetId="4">alloc_start:alloc_end</definedName>
    <definedName name="fasf" localSheetId="6">alloc_start:alloc_end</definedName>
    <definedName name="fasf">alloc_start:alloc_end</definedName>
    <definedName name="FAzie" localSheetId="7">#REF!,#REF!,#REF!,#REF!,#REF!,#REF!,#REF!,#REF!,#REF!,#REF!,#REF!</definedName>
    <definedName name="FAzie">#REF!,#REF!,#REF!,#REF!,#REF!,#REF!,#REF!,#REF!,#REF!,#REF!,#REF!</definedName>
    <definedName name="FC" localSheetId="7">#REF!</definedName>
    <definedName name="FC">#REF!</definedName>
    <definedName name="fct_time" localSheetId="7">#REF!</definedName>
    <definedName name="fct_time">#REF!</definedName>
    <definedName name="fd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fddf" localSheetId="7" hidden="1">{#N/A,#N/A,FALSE,"Summary";#N/A,#N/A,FALSE,"Details";#N/A,#N/A,FALSE,"Month-Hd";#N/A,#N/A,FALSE,"YTD-Hd";#N/A,#N/A,FALSE,"Capital"}</definedName>
    <definedName name="fddf" localSheetId="3" hidden="1">{#N/A,#N/A,FALSE,"Summary";#N/A,#N/A,FALSE,"Details";#N/A,#N/A,FALSE,"Month-Hd";#N/A,#N/A,FALSE,"YTD-Hd";#N/A,#N/A,FALSE,"Capital"}</definedName>
    <definedName name="fddf" localSheetId="5" hidden="1">{#N/A,#N/A,FALSE,"Summary";#N/A,#N/A,FALSE,"Details";#N/A,#N/A,FALSE,"Month-Hd";#N/A,#N/A,FALSE,"YTD-Hd";#N/A,#N/A,FALSE,"Capital"}</definedName>
    <definedName name="fddf" localSheetId="4" hidden="1">{#N/A,#N/A,FALSE,"Summary";#N/A,#N/A,FALSE,"Details";#N/A,#N/A,FALSE,"Month-Hd";#N/A,#N/A,FALSE,"YTD-Hd";#N/A,#N/A,FALSE,"Capital"}</definedName>
    <definedName name="fddf" localSheetId="6" hidden="1">{#N/A,#N/A,FALSE,"Summary";#N/A,#N/A,FALSE,"Details";#N/A,#N/A,FALSE,"Month-Hd";#N/A,#N/A,FALSE,"YTD-Hd";#N/A,#N/A,FALSE,"Capital"}</definedName>
    <definedName name="fddf" hidden="1">{#N/A,#N/A,FALSE,"Summary";#N/A,#N/A,FALSE,"Details";#N/A,#N/A,FALSE,"Month-Hd";#N/A,#N/A,FALSE,"YTD-Hd";#N/A,#N/A,FALSE,"Capital"}</definedName>
    <definedName name="fdf" localSheetId="4" hidden="1">{#N/A,#N/A,FALSE,"Summary";#N/A,#N/A,FALSE,"Expense";#N/A,#N/A,FALSE,"Capital"}</definedName>
    <definedName name="FDGDSGF.">#N/A</definedName>
    <definedName name="FDS" localSheetId="7">#REF!</definedName>
    <definedName name="fds" localSheetId="4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FDS" localSheetId="0">#REF!</definedName>
    <definedName name="FDS" localSheetId="6">#REF!</definedName>
    <definedName name="FDS">#REF!</definedName>
    <definedName name="fdsa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fdsa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fdsa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fdsa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fdsa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fds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fdsaa" localSheetId="7" hidden="1">{"whole",#N/A,FALSE,"Gen_Dist_Act_Bud";"whole",#N/A,FALSE,"Gen_Dist_T3months";"whole",#N/A,FALSE,"GD_PerP";"whole",#N/A,FALSE,"HR Dist'n"}</definedName>
    <definedName name="fdsaa" localSheetId="3" hidden="1">{"whole",#N/A,FALSE,"Gen_Dist_Act_Bud";"whole",#N/A,FALSE,"Gen_Dist_T3months";"whole",#N/A,FALSE,"GD_PerP";"whole",#N/A,FALSE,"HR Dist'n"}</definedName>
    <definedName name="fdsaa" localSheetId="5" hidden="1">{"whole",#N/A,FALSE,"Gen_Dist_Act_Bud";"whole",#N/A,FALSE,"Gen_Dist_T3months";"whole",#N/A,FALSE,"GD_PerP";"whole",#N/A,FALSE,"HR Dist'n"}</definedName>
    <definedName name="fdsaa" localSheetId="4" hidden="1">{"whole",#N/A,FALSE,"Gen_Dist_Act_Bud";"whole",#N/A,FALSE,"Gen_Dist_T3months";"whole",#N/A,FALSE,"GD_PerP";"whole",#N/A,FALSE,"HR Dist'n"}</definedName>
    <definedName name="fdsaa" localSheetId="6" hidden="1">{"whole",#N/A,FALSE,"Gen_Dist_Act_Bud";"whole",#N/A,FALSE,"Gen_Dist_T3months";"whole",#N/A,FALSE,"GD_PerP";"whole",#N/A,FALSE,"HR Dist'n"}</definedName>
    <definedName name="fdsaa" hidden="1">{"whole",#N/A,FALSE,"Gen_Dist_Act_Bud";"whole",#N/A,FALSE,"Gen_Dist_T3months";"whole",#N/A,FALSE,"GD_PerP";"whole",#N/A,FALSE,"HR Dist'n"}</definedName>
    <definedName name="fdsaasdfasdgasdf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fdsaasdfasdgasdf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fdsaasdfasdgasdf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fdsaasdfasdgasdf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fdsaasdfasdgasdf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fdsaasdfasdgasdf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fdsadsf" localSheetId="7" hidden="1">{#N/A,#N/A,FALSE,"Summary";#N/A,#N/A,FALSE,"Details";#N/A,#N/A,FALSE,"Month-Hd";#N/A,#N/A,FALSE,"YTD-Hd";#N/A,#N/A,FALSE,"Capital"}</definedName>
    <definedName name="fdsadsf" localSheetId="3" hidden="1">{#N/A,#N/A,FALSE,"Summary";#N/A,#N/A,FALSE,"Details";#N/A,#N/A,FALSE,"Month-Hd";#N/A,#N/A,FALSE,"YTD-Hd";#N/A,#N/A,FALSE,"Capital"}</definedName>
    <definedName name="fdsadsf" localSheetId="5" hidden="1">{#N/A,#N/A,FALSE,"Summary";#N/A,#N/A,FALSE,"Details";#N/A,#N/A,FALSE,"Month-Hd";#N/A,#N/A,FALSE,"YTD-Hd";#N/A,#N/A,FALSE,"Capital"}</definedName>
    <definedName name="fdsadsf" localSheetId="4" hidden="1">{#N/A,#N/A,FALSE,"Summary";#N/A,#N/A,FALSE,"Details";#N/A,#N/A,FALSE,"Month-Hd";#N/A,#N/A,FALSE,"YTD-Hd";#N/A,#N/A,FALSE,"Capital"}</definedName>
    <definedName name="fdsadsf" localSheetId="6" hidden="1">{#N/A,#N/A,FALSE,"Summary";#N/A,#N/A,FALSE,"Details";#N/A,#N/A,FALSE,"Month-Hd";#N/A,#N/A,FALSE,"YTD-Hd";#N/A,#N/A,FALSE,"Capital"}</definedName>
    <definedName name="fdsadsf" hidden="1">{#N/A,#N/A,FALSE,"Summary";#N/A,#N/A,FALSE,"Details";#N/A,#N/A,FALSE,"Month-Hd";#N/A,#N/A,FALSE,"YTD-Hd";#N/A,#N/A,FALSE,"Capital"}</definedName>
    <definedName name="fdsafdasdfasdf" localSheetId="7" hidden="1">{"whole",#N/A,FALSE,"Gen_Dist_Act_Bud";"whole",#N/A,FALSE,"Gen_Dist_T3months";"whole",#N/A,FALSE,"GD_PerP";"whole",#N/A,FALSE,"HR Dist'n"}</definedName>
    <definedName name="fdsafdasdfasdf" localSheetId="3" hidden="1">{"whole",#N/A,FALSE,"Gen_Dist_Act_Bud";"whole",#N/A,FALSE,"Gen_Dist_T3months";"whole",#N/A,FALSE,"GD_PerP";"whole",#N/A,FALSE,"HR Dist'n"}</definedName>
    <definedName name="fdsafdasdfasdf" localSheetId="5" hidden="1">{"whole",#N/A,FALSE,"Gen_Dist_Act_Bud";"whole",#N/A,FALSE,"Gen_Dist_T3months";"whole",#N/A,FALSE,"GD_PerP";"whole",#N/A,FALSE,"HR Dist'n"}</definedName>
    <definedName name="fdsafdasdfasdf" localSheetId="4" hidden="1">{"whole",#N/A,FALSE,"Gen_Dist_Act_Bud";"whole",#N/A,FALSE,"Gen_Dist_T3months";"whole",#N/A,FALSE,"GD_PerP";"whole",#N/A,FALSE,"HR Dist'n"}</definedName>
    <definedName name="fdsafdasdfasdf" localSheetId="6" hidden="1">{"whole",#N/A,FALSE,"Gen_Dist_Act_Bud";"whole",#N/A,FALSE,"Gen_Dist_T3months";"whole",#N/A,FALSE,"GD_PerP";"whole",#N/A,FALSE,"HR Dist'n"}</definedName>
    <definedName name="fdsafdasdfasdf" hidden="1">{"whole",#N/A,FALSE,"Gen_Dist_Act_Bud";"whole",#N/A,FALSE,"Gen_Dist_T3months";"whole",#N/A,FALSE,"GD_PerP";"whole",#N/A,FALSE,"HR Dist'n"}</definedName>
    <definedName name="fdsafsadf" localSheetId="7" hidden="1">{#N/A,#N/A,FALSE,"Summary";#N/A,#N/A,FALSE,"Expense";#N/A,#N/A,FALSE,"Capital"}</definedName>
    <definedName name="fdsafsadf" localSheetId="3" hidden="1">{#N/A,#N/A,FALSE,"Summary";#N/A,#N/A,FALSE,"Expense";#N/A,#N/A,FALSE,"Capital"}</definedName>
    <definedName name="fdsafsadf" localSheetId="5" hidden="1">{#N/A,#N/A,FALSE,"Summary";#N/A,#N/A,FALSE,"Expense";#N/A,#N/A,FALSE,"Capital"}</definedName>
    <definedName name="fdsafsadf" localSheetId="4" hidden="1">{#N/A,#N/A,FALSE,"Summary";#N/A,#N/A,FALSE,"Expense";#N/A,#N/A,FALSE,"Capital"}</definedName>
    <definedName name="fdsafsadf" localSheetId="6" hidden="1">{#N/A,#N/A,FALSE,"Summary";#N/A,#N/A,FALSE,"Expense";#N/A,#N/A,FALSE,"Capital"}</definedName>
    <definedName name="fdsafsadf" hidden="1">{#N/A,#N/A,FALSE,"Summary";#N/A,#N/A,FALSE,"Expense";#N/A,#N/A,FALSE,"Capital"}</definedName>
    <definedName name="fdsafsda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dsafsda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dsafsda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dsafsda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dsafsda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dsafsd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eb" localSheetId="7">#REF!</definedName>
    <definedName name="feb">#REF!</definedName>
    <definedName name="FEOH" localSheetId="7">#REF!</definedName>
    <definedName name="FEOH" localSheetId="6">#REF!</definedName>
    <definedName name="FEOH">#REF!</definedName>
    <definedName name="FEOO" localSheetId="5">#REF!</definedName>
    <definedName name="FEOO" localSheetId="4">#REF!</definedName>
    <definedName name="FEOO" localSheetId="6">#REF!</definedName>
    <definedName name="FEOO">#REF!</definedName>
    <definedName name="ffef" localSheetId="7" hidden="1">{"one (KEY)",#N/A,FALSE,"P&amp;L"}</definedName>
    <definedName name="ffef" hidden="1">{"one (KEY)",#N/A,FALSE,"P&amp;L"}</definedName>
    <definedName name="ffefg" localSheetId="7" hidden="1">{"one (KEY)",#N/A,FALSE,"P&amp;L"}</definedName>
    <definedName name="ffefg" hidden="1">{"one (KEY)",#N/A,FALSE,"P&amp;L"}</definedName>
    <definedName name="FFFF">#REF!</definedName>
    <definedName name="FFFFFFFAF" localSheetId="7">#REF!</definedName>
    <definedName name="FFFFFFFAF">#REF!</definedName>
    <definedName name="fg" localSheetId="7">#REF!</definedName>
    <definedName name="fg" localSheetId="4" hidden="1">{#N/A,#N/A,FALSE,"Summary";#N/A,#N/A,FALSE,"Details";#N/A,#N/A,FALSE,"Month-Hd";#N/A,#N/A,FALSE,"YTD-Hd";#N/A,#N/A,FALSE,"Capital"}</definedName>
    <definedName name="fg" localSheetId="0">#REF!</definedName>
    <definedName name="fg" localSheetId="6">#REF!</definedName>
    <definedName name="fg">#REF!</definedName>
    <definedName name="FI" localSheetId="7">#REF!</definedName>
    <definedName name="FI">#REF!</definedName>
    <definedName name="fichier_gui" localSheetId="4">#REF!</definedName>
    <definedName name="fichier_gui" localSheetId="6">#REF!</definedName>
    <definedName name="fichier_gui">#REF!</definedName>
    <definedName name="File" localSheetId="7" hidden="1">{"one (KEY)",#N/A,FALSE,"P&amp;L"}</definedName>
    <definedName name="File" hidden="1">{"one (KEY)",#N/A,FALSE,"P&amp;L"}</definedName>
    <definedName name="FILE_NMBR">#REF!</definedName>
    <definedName name="FIMA">#REF!</definedName>
    <definedName name="fin">100</definedName>
    <definedName name="Financial" localSheetId="7" hidden="1">{"one (KEY)",#N/A,FALSE,"P&amp;L"}</definedName>
    <definedName name="Financial" hidden="1">{"one (KEY)",#N/A,FALSE,"P&amp;L"}</definedName>
    <definedName name="FireAllocEventRange">#REF!</definedName>
    <definedName name="First.Data.Row">#REF!</definedName>
    <definedName name="Fiscal_Month" localSheetId="7">#REF!</definedName>
    <definedName name="Fiscal_Month" localSheetId="5">#REF!</definedName>
    <definedName name="Fiscal_Month" localSheetId="4">#REF!</definedName>
    <definedName name="Fiscal_Month" localSheetId="6">#REF!</definedName>
    <definedName name="Fiscal_Month">#REF!</definedName>
    <definedName name="FiscalPeriod" localSheetId="4">#REF!</definedName>
    <definedName name="FiscalPeriod" localSheetId="6">#REF!</definedName>
    <definedName name="FiscalPeriod">#REF!</definedName>
    <definedName name="FlatFIle" localSheetId="4">#REF!</definedName>
    <definedName name="FlatFIle" localSheetId="6">#REF!</definedName>
    <definedName name="FlatFIle">#REF!</definedName>
    <definedName name="flow" localSheetId="4">#REF!</definedName>
    <definedName name="flow" localSheetId="6">#REF!</definedName>
    <definedName name="flow">#REF!</definedName>
    <definedName name="flowchart" localSheetId="4">#REF!</definedName>
    <definedName name="flowchart" localSheetId="6">#REF!</definedName>
    <definedName name="flowchart">#REF!</definedName>
    <definedName name="fmxatp">#REF!</definedName>
    <definedName name="FOB">#REF!</definedName>
    <definedName name="Food">#REF!</definedName>
    <definedName name="forex">#REF!</definedName>
    <definedName name="FP" localSheetId="7" hidden="1">{"'Broadway ML#4'!$J$7:$N$490"}</definedName>
    <definedName name="FP">{"'Broadway ML#4'!$J$7:$N$490"}</definedName>
    <definedName name="FP_ee" localSheetId="7" hidden="1">{"'Broadway ML#4'!$J$7:$N$490"}</definedName>
    <definedName name="FP_ee">{"'Broadway ML#4'!$J$7:$N$490"}</definedName>
    <definedName name="FPPLUS" localSheetId="7" hidden="1">{"'Broadway ML#4'!$J$7:$N$490"}</definedName>
    <definedName name="FPPLUS">{"'Broadway ML#4'!$J$7:$N$490"}</definedName>
    <definedName name="FRAME_Head_Right____Right_Bowl_Sensor_Frame">#REF!</definedName>
    <definedName name="Frem4" localSheetId="7">#REF!</definedName>
    <definedName name="Frem4">#REF!</definedName>
    <definedName name="Frem5" localSheetId="7">#REF!</definedName>
    <definedName name="Frem5">#REF!</definedName>
    <definedName name="Frem6" localSheetId="7">#REF!</definedName>
    <definedName name="Frem6">#REF!</definedName>
    <definedName name="Frem7">#REF!</definedName>
    <definedName name="Frem8">#REF!</definedName>
    <definedName name="Frem9">#REF!</definedName>
    <definedName name="FRF">#REF!</definedName>
    <definedName name="FRFA">#REF!</definedName>
    <definedName name="fsdafdsaf" localSheetId="7" hidden="1">{#N/A,#N/A,FALSE,"Summary";#N/A,#N/A,FALSE,"Details";#N/A,#N/A,FALSE,"Month-Hd";#N/A,#N/A,FALSE,"YTD-Hd";#N/A,#N/A,FALSE,"Capital"}</definedName>
    <definedName name="fsdafdsaf" localSheetId="3" hidden="1">{#N/A,#N/A,FALSE,"Summary";#N/A,#N/A,FALSE,"Details";#N/A,#N/A,FALSE,"Month-Hd";#N/A,#N/A,FALSE,"YTD-Hd";#N/A,#N/A,FALSE,"Capital"}</definedName>
    <definedName name="fsdafdsaf" localSheetId="5" hidden="1">{#N/A,#N/A,FALSE,"Summary";#N/A,#N/A,FALSE,"Details";#N/A,#N/A,FALSE,"Month-Hd";#N/A,#N/A,FALSE,"YTD-Hd";#N/A,#N/A,FALSE,"Capital"}</definedName>
    <definedName name="fsdafdsaf" localSheetId="4" hidden="1">{#N/A,#N/A,FALSE,"Summary";#N/A,#N/A,FALSE,"Details";#N/A,#N/A,FALSE,"Month-Hd";#N/A,#N/A,FALSE,"YTD-Hd";#N/A,#N/A,FALSE,"Capital"}</definedName>
    <definedName name="fsdafdsaf" localSheetId="6" hidden="1">{#N/A,#N/A,FALSE,"Summary";#N/A,#N/A,FALSE,"Details";#N/A,#N/A,FALSE,"Month-Hd";#N/A,#N/A,FALSE,"YTD-Hd";#N/A,#N/A,FALSE,"Capital"}</definedName>
    <definedName name="fsdafdsaf" hidden="1">{#N/A,#N/A,FALSE,"Summary";#N/A,#N/A,FALSE,"Details";#N/A,#N/A,FALSE,"Month-Hd";#N/A,#N/A,FALSE,"YTD-Hd";#N/A,#N/A,FALSE,"Capital"}</definedName>
    <definedName name="Func_test_HPU">#REF!</definedName>
    <definedName name="fund">#REF!</definedName>
    <definedName name="FUSE">#REF!</definedName>
    <definedName name="FX" localSheetId="6">#REF!</definedName>
    <definedName name="FX">#REF!</definedName>
    <definedName name="FY06_Act">#REF!</definedName>
    <definedName name="FYCPHCopyRange" localSheetId="5">#REF!</definedName>
    <definedName name="FYCPHCopyRange" localSheetId="4">#REF!</definedName>
    <definedName name="FYCPHCopyRange" localSheetId="6">#REF!</definedName>
    <definedName name="FYCPHCopyRange">#REF!</definedName>
    <definedName name="G" localSheetId="7">#REF!</definedName>
    <definedName name="g" localSheetId="4" hidden="1">{"whole",#N/A,FALSE,"Gen_Dist_Act_Bud";"whole",#N/A,FALSE,"Gen_Dist_T3months";"whole",#N/A,FALSE,"GD_PerP";"whole",#N/A,FALSE,"HR Dist'n"}</definedName>
    <definedName name="G" localSheetId="0">#REF!</definedName>
    <definedName name="G" localSheetId="6">#REF!</definedName>
    <definedName name="G">#REF!</definedName>
    <definedName name="G_DoneDate" localSheetId="7">#REF!</definedName>
    <definedName name="G_DoneDate">#REF!</definedName>
    <definedName name="GA" localSheetId="7">#REF!</definedName>
    <definedName name="GA">#REF!</definedName>
    <definedName name="Gaida_Baseline">#REF!</definedName>
    <definedName name="Gaida_Cost_Reduction">#REF!</definedName>
    <definedName name="Gaida_Ext_Cost">#REF!</definedName>
    <definedName name="Gaida_Reduction_Percentage">#REF!</definedName>
    <definedName name="Gamecrazy" localSheetId="4">#REF!</definedName>
    <definedName name="Gamecrazy" localSheetId="6">#REF!</definedName>
    <definedName name="Gamecrazy">#REF!</definedName>
    <definedName name="GameStop" localSheetId="4">#REF!</definedName>
    <definedName name="GameStop" localSheetId="6">#REF!</definedName>
    <definedName name="GameStop">#REF!</definedName>
    <definedName name="GanttDate">#REF!</definedName>
    <definedName name="GanttInterval">#REF!</definedName>
    <definedName name="GBP">#REF!</definedName>
    <definedName name="GBPA">#REF!</definedName>
    <definedName name="gdgdgdg" localSheetId="5">#REF!</definedName>
    <definedName name="gdgdgdg" localSheetId="4">#REF!</definedName>
    <definedName name="gdgdgdg" localSheetId="0">#REF!</definedName>
    <definedName name="gdgdgdg" localSheetId="6">#REF!</definedName>
    <definedName name="gdgdgdg">#REF!</definedName>
    <definedName name="general" localSheetId="4">#REF!</definedName>
    <definedName name="general" localSheetId="6">#REF!</definedName>
    <definedName name="general">#REF!</definedName>
    <definedName name="GenSort">#N/A</definedName>
    <definedName name="Geo" localSheetId="7">#REF!</definedName>
    <definedName name="Geo" localSheetId="5">#REF!</definedName>
    <definedName name="Geo" localSheetId="4">#REF!</definedName>
    <definedName name="Geo" localSheetId="6">#REF!</definedName>
    <definedName name="Geo">#REF!</definedName>
    <definedName name="gg" localSheetId="4">gr_start:gr_end</definedName>
    <definedName name="GG">#N/A</definedName>
    <definedName name="GGGGGG" localSheetId="7" hidden="1">{"'Broadway ML#4'!$J$7:$N$490"}</definedName>
    <definedName name="GGGGGG">{"'Broadway ML#4'!$J$7:$N$490"}</definedName>
    <definedName name="gotovard">#N/A</definedName>
    <definedName name="Gotovaru">#N/A</definedName>
    <definedName name="gr_lines" localSheetId="7">gr_start:gr_end</definedName>
    <definedName name="gr_lines" localSheetId="3">gr_start:gr_end</definedName>
    <definedName name="gr_lines" localSheetId="5">gr_start:gr_end</definedName>
    <definedName name="gr_lines" localSheetId="4">gr_start:gr_end</definedName>
    <definedName name="gr_lines" localSheetId="6">gr_start:gr_end</definedName>
    <definedName name="gr_lines">gr_start:gr_end</definedName>
    <definedName name="gr_lines2" localSheetId="7">gr_start2:gr_end2</definedName>
    <definedName name="gr_lines2" localSheetId="3">gr_start2:gr_end2</definedName>
    <definedName name="gr_lines2" localSheetId="5">gr_start2:gr_end2</definedName>
    <definedName name="gr_lines2" localSheetId="4">gr_start2:gr_end2</definedName>
    <definedName name="gr_lines2" localSheetId="6">gr_start2:gr_end2</definedName>
    <definedName name="gr_lines2">gr_start2:gr_end2</definedName>
    <definedName name="gr_lines4" localSheetId="7">gr_start4:gr_end4</definedName>
    <definedName name="gr_lines4" localSheetId="3">gr_start4:gr_end4</definedName>
    <definedName name="gr_lines4" localSheetId="5">gr_start4:gr_end4</definedName>
    <definedName name="gr_lines4" localSheetId="4">gr_start4:gr_end4</definedName>
    <definedName name="gr_lines4" localSheetId="6">gr_start4:gr_end4</definedName>
    <definedName name="gr_lines4">gr_start4:gr_end4</definedName>
    <definedName name="gr_sp2" localSheetId="7">OFFSET(#REF!,MATCH("Gross Revenue",#REF!,0)-1,1)</definedName>
    <definedName name="gr_sp2" localSheetId="5">OFFSET(#REF!,MATCH("Gross Revenue",#REF!,0)-1,1)</definedName>
    <definedName name="gr_sp2" localSheetId="4">OFFSET(#REF!,MATCH("Gross Revenue",#REF!,0)-1,1)</definedName>
    <definedName name="gr_sp2" localSheetId="6">OFFSET(#REF!,MATCH("Gross Revenue",#REF!,0)-1,1)</definedName>
    <definedName name="gr_sp2">OFFSET(#REF!,MATCH("Gross Revenue",#REF!,0)-1,1)</definedName>
    <definedName name="GRINDING_HOURS18">#REF!</definedName>
    <definedName name="groupdesc" localSheetId="7">#REF!</definedName>
    <definedName name="groupdesc" localSheetId="5">#REF!</definedName>
    <definedName name="groupdesc" localSheetId="4">#REF!</definedName>
    <definedName name="groupdesc" localSheetId="6">#REF!</definedName>
    <definedName name="groupdesc">#REF!</definedName>
    <definedName name="GroupName" localSheetId="7">#REF!</definedName>
    <definedName name="GroupName" localSheetId="4">#REF!</definedName>
    <definedName name="GroupName" localSheetId="6">#REF!</definedName>
    <definedName name="GroupName">#REF!</definedName>
    <definedName name="gtjf" localSheetId="7" hidden="1">{"one (KEY)",#N/A,FALSE,"P&amp;L"}</definedName>
    <definedName name="gtjf" hidden="1">{"one (KEY)",#N/A,FALSE,"P&amp;L"}</definedName>
    <definedName name="GU01_LA" localSheetId="7">#REF!</definedName>
    <definedName name="GU01_LA" localSheetId="4">#REF!</definedName>
    <definedName name="GU01_LA" localSheetId="0">#REF!</definedName>
    <definedName name="GU01_LA" localSheetId="6">#REF!</definedName>
    <definedName name="GU01_LA">#REF!</definedName>
    <definedName name="Guad2" localSheetId="7">#REF!</definedName>
    <definedName name="Guad2">#REF!</definedName>
    <definedName name="Guad3" localSheetId="7">#REF!</definedName>
    <definedName name="Guad3">#REF!</definedName>
    <definedName name="Guad4">#REF!</definedName>
    <definedName name="Guad6">#REF!</definedName>
    <definedName name="Guad7">#REF!</definedName>
    <definedName name="Guad8">#REF!</definedName>
    <definedName name="Guad9">#REF!</definedName>
    <definedName name="GutenTag" localSheetId="4">#REF!</definedName>
    <definedName name="GutenTag" localSheetId="6">#REF!</definedName>
    <definedName name="GutenTag">#REF!</definedName>
    <definedName name="GWT">#REF!</definedName>
    <definedName name="h" localSheetId="7">#REF!</definedName>
    <definedName name="H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h" localSheetId="0">#REF!</definedName>
    <definedName name="h" localSheetId="6">#REF!</definedName>
    <definedName name="h">#REF!</definedName>
    <definedName name="H_DoneDate" localSheetId="7">#REF!</definedName>
    <definedName name="H_DoneDate">#REF!</definedName>
    <definedName name="HARDWARE" localSheetId="7">#REF!</definedName>
    <definedName name="HARDWARE">#REF!</definedName>
    <definedName name="haut" localSheetId="5">#REF!</definedName>
    <definedName name="haut" localSheetId="4">#REF!</definedName>
    <definedName name="haut" localSheetId="6">#REF!</definedName>
    <definedName name="haut">#REF!</definedName>
    <definedName name="HCArea" localSheetId="4">#REF!</definedName>
    <definedName name="HCArea" localSheetId="6">#REF!</definedName>
    <definedName name="HCArea">#REF!</definedName>
    <definedName name="HCTable" localSheetId="4">#REF!</definedName>
    <definedName name="HCTable" localSheetId="6">#REF!</definedName>
    <definedName name="HCTable">#REF!</definedName>
    <definedName name="HD_A">#REF!</definedName>
    <definedName name="HD_B">#REF!</definedName>
    <definedName name="HDD_Module_Check_List">#N/A</definedName>
    <definedName name="Headcount" localSheetId="7">#REF!</definedName>
    <definedName name="Headcount" localSheetId="5">#REF!</definedName>
    <definedName name="Headcount" localSheetId="4">#REF!</definedName>
    <definedName name="Headcount" localSheetId="6">#REF!</definedName>
    <definedName name="Headcount">#REF!</definedName>
    <definedName name="Heading" localSheetId="7">#REF!</definedName>
    <definedName name="Heading" localSheetId="4">#REF!</definedName>
    <definedName name="Heading" localSheetId="6">#REF!</definedName>
    <definedName name="Heading">#REF!</definedName>
    <definedName name="HELP" localSheetId="7">#REF!</definedName>
    <definedName name="HELP">#REF!</definedName>
    <definedName name="Hi" localSheetId="5">#REF!</definedName>
    <definedName name="Hi" localSheetId="4">#REF!</definedName>
    <definedName name="Hi" localSheetId="6">#REF!</definedName>
    <definedName name="Hi">#REF!</definedName>
    <definedName name="hide" localSheetId="4">#REF!</definedName>
    <definedName name="hide" localSheetId="6">#REF!</definedName>
    <definedName name="hide">#REF!</definedName>
    <definedName name="hjk" localSheetId="4">#REF!</definedName>
    <definedName name="hjk" localSheetId="6">#REF!</definedName>
    <definedName name="hjk">#REF!</definedName>
    <definedName name="HK_rate" localSheetId="4">#REF!</definedName>
    <definedName name="HK_rate" localSheetId="6">#REF!</definedName>
    <definedName name="HK_rate">#REF!</definedName>
    <definedName name="HKD">#REF!</definedName>
    <definedName name="HKDA">#REF!</definedName>
    <definedName name="hkl" localSheetId="7" hidden="1">{#N/A,#N/A,FALSE,"Summary";#N/A,#N/A,FALSE,"Details";#N/A,#N/A,FALSE,"Month-Hd";#N/A,#N/A,FALSE,"YTD-Hd";#N/A,#N/A,FALSE,"Capital"}</definedName>
    <definedName name="hkl" localSheetId="3" hidden="1">{#N/A,#N/A,FALSE,"Summary";#N/A,#N/A,FALSE,"Details";#N/A,#N/A,FALSE,"Month-Hd";#N/A,#N/A,FALSE,"YTD-Hd";#N/A,#N/A,FALSE,"Capital"}</definedName>
    <definedName name="hkl" localSheetId="5" hidden="1">{#N/A,#N/A,FALSE,"Summary";#N/A,#N/A,FALSE,"Details";#N/A,#N/A,FALSE,"Month-Hd";#N/A,#N/A,FALSE,"YTD-Hd";#N/A,#N/A,FALSE,"Capital"}</definedName>
    <definedName name="hkl" localSheetId="4" hidden="1">{#N/A,#N/A,FALSE,"Summary";#N/A,#N/A,FALSE,"Details";#N/A,#N/A,FALSE,"Month-Hd";#N/A,#N/A,FALSE,"YTD-Hd";#N/A,#N/A,FALSE,"Capital"}</definedName>
    <definedName name="hkl" localSheetId="6" hidden="1">{#N/A,#N/A,FALSE,"Summary";#N/A,#N/A,FALSE,"Details";#N/A,#N/A,FALSE,"Month-Hd";#N/A,#N/A,FALSE,"YTD-Hd";#N/A,#N/A,FALSE,"Capital"}</definedName>
    <definedName name="hkl" hidden="1">{#N/A,#N/A,FALSE,"Summary";#N/A,#N/A,FALSE,"Details";#N/A,#N/A,FALSE,"Month-Hd";#N/A,#N/A,FALSE,"YTD-Hd";#N/A,#N/A,FALSE,"Capital"}</definedName>
    <definedName name="HKRATE" localSheetId="7">#REF!</definedName>
    <definedName name="HKRATE" localSheetId="6">#REF!</definedName>
    <definedName name="HKRATE">#REF!</definedName>
    <definedName name="HM" localSheetId="7">#REF!</definedName>
    <definedName name="HM">#REF!</definedName>
    <definedName name="HMCT" localSheetId="7">#REF!</definedName>
    <definedName name="HMCT">#REF!</definedName>
    <definedName name="Holidays">#REF!</definedName>
    <definedName name="holstein">#REF!</definedName>
    <definedName name="hou_hub_cost">#REF!</definedName>
    <definedName name="Hourly_Labor_Rates">#REF!</definedName>
    <definedName name="Howard_Baseline">#REF!</definedName>
    <definedName name="Howard_Cost_Reduction">#REF!</definedName>
    <definedName name="Howard_Ext_Cost">#REF!</definedName>
    <definedName name="Howard_Reduction_Percentage">#REF!</definedName>
    <definedName name="HP66311B" localSheetId="5">#REF!</definedName>
    <definedName name="HP66311B" localSheetId="4">#REF!</definedName>
    <definedName name="HP66311B" localSheetId="6">#REF!</definedName>
    <definedName name="HP66311B">#REF!</definedName>
    <definedName name="HP8960A" localSheetId="4">#REF!</definedName>
    <definedName name="HP8960A" localSheetId="6">#REF!</definedName>
    <definedName name="HP8960A">#REF!</definedName>
    <definedName name="HP8960B" localSheetId="4">#REF!</definedName>
    <definedName name="HP8960B" localSheetId="6">#REF!</definedName>
    <definedName name="HP8960B">#REF!</definedName>
    <definedName name="HP8960C" localSheetId="4">#REF!</definedName>
    <definedName name="HP8960C" localSheetId="6">#REF!</definedName>
    <definedName name="HP8960C">#REF!</definedName>
    <definedName name="HPU">#REF!</definedName>
    <definedName name="HRD_MSSales_Query" localSheetId="4">#REF!</definedName>
    <definedName name="HRD_MSSales_Query" localSheetId="6">#REF!</definedName>
    <definedName name="HRD_MSSales_Query">#REF!</definedName>
    <definedName name="HRLYRATE">#REF!</definedName>
    <definedName name="htht" localSheetId="7" hidden="1">{"one (KEY)",#N/A,FALSE,"P&amp;L"}</definedName>
    <definedName name="htht" hidden="1">{"one (KEY)",#N/A,FALSE,"P&amp;L"}</definedName>
    <definedName name="HTML_CodePage" hidden="1">950</definedName>
    <definedName name="HTML_Control" localSheetId="7" hidden="1">{"'144A介電層阻抗切片'!$A$1:$T$47"}</definedName>
    <definedName name="HTML_Control" localSheetId="3" hidden="1">{"'144A介電層阻抗切片'!$A$1:$T$47"}</definedName>
    <definedName name="HTML_Control" localSheetId="5" hidden="1">{"'144A介電層阻抗切片'!$A$1:$T$47"}</definedName>
    <definedName name="HTML_Control" localSheetId="4" hidden="1">{"'144A介電層阻抗切片'!$A$1:$T$47"}</definedName>
    <definedName name="HTML_Control" localSheetId="0" hidden="1">{"'144A介電層阻抗切片'!$A$1:$T$47"}</definedName>
    <definedName name="HTML_Control" localSheetId="6" hidden="1">{"'144A介電層阻抗切片'!$A$1:$T$47"}</definedName>
    <definedName name="HTML_Control" hidden="1">{"'144A介電層阻抗切片'!$A$1:$T$47"}</definedName>
    <definedName name="HTML_Description" hidden="1">""</definedName>
    <definedName name="HTML_Email" hidden="1">""</definedName>
    <definedName name="HTML_Header" hidden="1">"760D8144A MICROSECTION &amp; IMPEDENCE"</definedName>
    <definedName name="HTML_LastUpdate" hidden="1">"2000/2/24"</definedName>
    <definedName name="HTML_LineAfter" hidden="1">FALSE</definedName>
    <definedName name="HTML_LineBefore" hidden="1">FALSE</definedName>
    <definedName name="HTML_Name" hidden="1">"金像電子"</definedName>
    <definedName name="HTML_OBDlg2" hidden="1">TRUE</definedName>
    <definedName name="HTML_OBDlg4" hidden="1">TRUE</definedName>
    <definedName name="HTML_OS" hidden="1">0</definedName>
    <definedName name="HTML_PathFile" hidden="1">"C:\WINDOWS\Desktop\丸子工作站\雜項工作\MyHTML.htm"</definedName>
    <definedName name="HTML_Title" hidden="1">"760D8144A"</definedName>
    <definedName name="HTML1_1" hidden="1">"'[anly9705.xls]EM02'!$A$1:$H$38"</definedName>
    <definedName name="HTML1_10">""</definedName>
    <definedName name="HTML1_11">1</definedName>
    <definedName name="HTML1_12">"C:\My Documents\MyHTML.htm"</definedName>
    <definedName name="HTML1_2">1</definedName>
    <definedName name="HTML1_3">"anly9705"</definedName>
    <definedName name="HTML1_4">"EM02"</definedName>
    <definedName name="HTML1_5">""</definedName>
    <definedName name="HTML1_6">-4146</definedName>
    <definedName name="HTML1_7">-4146</definedName>
    <definedName name="HTML1_8">"1997/7/7"</definedName>
    <definedName name="HTML1_9">"mis1"</definedName>
    <definedName name="HTMLCount">1</definedName>
    <definedName name="hty">#N/A</definedName>
    <definedName name="hub_cost" localSheetId="7">#REF!</definedName>
    <definedName name="hub_cost">#REF!</definedName>
    <definedName name="HUF" localSheetId="7">#REF!</definedName>
    <definedName name="HUF">#REF!</definedName>
    <definedName name="HUFA">#REF!</definedName>
    <definedName name="i" localSheetId="4" hidden="1">{"whole",#N/A,FALSE,"CS HC";"whole",#N/A,FALSE,"CS_ACTvsBud";"whole",#N/A,FALSE,"CSTrail3mo";"whole",#N/A,FALSE,"CS Cost Per Head ";"whole",#N/A,FALSE,"CS CPH YTD"}</definedName>
    <definedName name="I_DoneDate">#REF!</definedName>
    <definedName name="IC" localSheetId="7">#REF!</definedName>
    <definedName name="IC">#REF!</definedName>
    <definedName name="IC20P" localSheetId="7">#REF!</definedName>
    <definedName name="IC20P">#REF!</definedName>
    <definedName name="ict_time" localSheetId="7">#REF!</definedName>
    <definedName name="ict_time">#REF!</definedName>
    <definedName name="IEP">#REF!</definedName>
    <definedName name="IEPA">#REF!</definedName>
    <definedName name="indirectlabor">#REF!</definedName>
    <definedName name="inf">#REF!</definedName>
    <definedName name="infobase">#REF!</definedName>
    <definedName name="INS">#REF!</definedName>
    <definedName name="INS_CYCLE">#REF!</definedName>
    <definedName name="Insert.Marker">#REF!</definedName>
    <definedName name="INSPECT">#REF!</definedName>
    <definedName name="inteltarget">#N/A</definedName>
    <definedName name="Inventories" localSheetId="7">#REF!</definedName>
    <definedName name="Inventories" localSheetId="5">#REF!</definedName>
    <definedName name="Inventories" localSheetId="4">#REF!</definedName>
    <definedName name="Inventories" localSheetId="6">#REF!</definedName>
    <definedName name="Inventories">#REF!</definedName>
    <definedName name="inventoryturns" localSheetId="7">#REF!</definedName>
    <definedName name="inventoryturns">#REF!</definedName>
    <definedName name="IRP" localSheetId="7">#REF!</definedName>
    <definedName name="IRP" localSheetId="5">#REF!</definedName>
    <definedName name="IRP" localSheetId="4">#REF!</definedName>
    <definedName name="IRP" localSheetId="6">#REF!</definedName>
    <definedName name="IRP">#REF!</definedName>
    <definedName name="itemcheck">#REF!</definedName>
    <definedName name="ItemNumber" localSheetId="5">#REF!</definedName>
    <definedName name="ItemNumber" localSheetId="4">#REF!</definedName>
    <definedName name="ItemNumber" localSheetId="6">#REF!</definedName>
    <definedName name="ItemNumber">#REF!</definedName>
    <definedName name="ITL">#REF!</definedName>
    <definedName name="ITLA">#REF!</definedName>
    <definedName name="J" localSheetId="5">#REF!</definedName>
    <definedName name="j" localSheetId="4">#REF!</definedName>
    <definedName name="J" localSheetId="0">#REF!</definedName>
    <definedName name="J" localSheetId="6">#REF!</definedName>
    <definedName name="J">#REF!</definedName>
    <definedName name="J_DoneDate">#REF!</definedName>
    <definedName name="jeuatp">#REF!</definedName>
    <definedName name="jeufgi">#REF!</definedName>
    <definedName name="JH" hidden="1">#N/A</definedName>
    <definedName name="jig" localSheetId="7">#REF!</definedName>
    <definedName name="jig" localSheetId="5">#REF!</definedName>
    <definedName name="jig" localSheetId="4">#REF!</definedName>
    <definedName name="jig" localSheetId="0">#REF!</definedName>
    <definedName name="jig" localSheetId="6">#REF!</definedName>
    <definedName name="jig">#REF!</definedName>
    <definedName name="Jim">#N/A</definedName>
    <definedName name="jkl" localSheetId="7" hidden="1">{"'Broadway ML#4'!$J$7:$N$490"}</definedName>
    <definedName name="jkl">{"'Broadway ML#4'!$J$7:$N$490"}</definedName>
    <definedName name="JPY">#N/A</definedName>
    <definedName name="JPYA">#REF!</definedName>
    <definedName name="JUL" localSheetId="7">#REF!</definedName>
    <definedName name="JUL" localSheetId="5">#REF!</definedName>
    <definedName name="JUL" localSheetId="4">#REF!</definedName>
    <definedName name="JUL" localSheetId="6">#REF!</definedName>
    <definedName name="JUL">#REF!</definedName>
    <definedName name="July05_Act" localSheetId="7">#REF!</definedName>
    <definedName name="July05_Act">#REF!</definedName>
    <definedName name="June05_Act">#REF!</definedName>
    <definedName name="JZG" localSheetId="4">#REF!</definedName>
    <definedName name="JZG" localSheetId="0">#REF!</definedName>
    <definedName name="JZG" localSheetId="6">#REF!</definedName>
    <definedName name="JZG">#REF!</definedName>
    <definedName name="k" localSheetId="4">#REF!</definedName>
    <definedName name="K" localSheetId="0">#REF!</definedName>
    <definedName name="K" localSheetId="6">#REF!</definedName>
    <definedName name="K">#REF!</definedName>
    <definedName name="K_DoneDate">#REF!</definedName>
    <definedName name="ka" localSheetId="4">#REF!</definedName>
    <definedName name="ka" localSheetId="6">#REF!</definedName>
    <definedName name="ka">#REF!</definedName>
    <definedName name="KB_Toys" localSheetId="4">#REF!</definedName>
    <definedName name="KB_Toys" localSheetId="6">#REF!</definedName>
    <definedName name="KB_Toys">#REF!</definedName>
    <definedName name="kdl">#REF!</definedName>
    <definedName name="KING" localSheetId="4">#REF!</definedName>
    <definedName name="KING" localSheetId="0">#REF!</definedName>
    <definedName name="KING" localSheetId="6">#REF!</definedName>
    <definedName name="KING">#REF!</definedName>
    <definedName name="king1">#N/A</definedName>
    <definedName name="kjklsda" localSheetId="7" hidden="1">{"one (KEY)",#N/A,FALSE,"P&amp;L"}</definedName>
    <definedName name="kjklsda" hidden="1">{"one (KEY)",#N/A,FALSE,"P&amp;L"}</definedName>
    <definedName name="kk" localSheetId="7">#REF!</definedName>
    <definedName name="kk" localSheetId="5">#REF!</definedName>
    <definedName name="kk" localSheetId="4">#REF!</definedName>
    <definedName name="kk" localSheetId="0">#REF!</definedName>
    <definedName name="kk" localSheetId="6">#REF!</definedName>
    <definedName name="kk">#REF!</definedName>
    <definedName name="klk" localSheetId="7">#REF!</definedName>
    <definedName name="klk" localSheetId="4">#REF!</definedName>
    <definedName name="klk" localSheetId="6">#REF!</definedName>
    <definedName name="klk">#REF!</definedName>
    <definedName name="Kmart" localSheetId="7">#REF!</definedName>
    <definedName name="Kmart" localSheetId="4">#REF!</definedName>
    <definedName name="Kmart" localSheetId="6">#REF!</definedName>
    <definedName name="Kmart">#REF!</definedName>
    <definedName name="Koval_Baseline">#REF!</definedName>
    <definedName name="Koval_Cost_Reduction">#REF!</definedName>
    <definedName name="Koval_Ext_Cost">#REF!</definedName>
    <definedName name="Koval_Reduction_Percentage">#REF!</definedName>
    <definedName name="L" localSheetId="7">#REF!</definedName>
    <definedName name="l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L" localSheetId="0">#REF!</definedName>
    <definedName name="L" localSheetId="6">#REF!</definedName>
    <definedName name="L">#REF!</definedName>
    <definedName name="Last.Data.Row">98</definedName>
    <definedName name="last_updated" localSheetId="7">#REF!</definedName>
    <definedName name="last_updated" localSheetId="5">#REF!</definedName>
    <definedName name="last_updated" localSheetId="4">#REF!</definedName>
    <definedName name="last_updated" localSheetId="6">#REF!</definedName>
    <definedName name="last_updated">#REF!</definedName>
    <definedName name="LastRealCell" localSheetId="7">#REF!</definedName>
    <definedName name="LastRealCell" localSheetId="4">#REF!</definedName>
    <definedName name="LastRealCell" localSheetId="6">#REF!</definedName>
    <definedName name="LastRealCell">#REF!</definedName>
    <definedName name="LastUpdated" localSheetId="7">#REF!</definedName>
    <definedName name="LastUpdated" localSheetId="4">#REF!</definedName>
    <definedName name="LastUpdated" localSheetId="6">#REF!</definedName>
    <definedName name="LastUpdated">#REF!</definedName>
    <definedName name="LCD_Module_Check_List">#N/A</definedName>
    <definedName name="License_Type" localSheetId="7">#REF!</definedName>
    <definedName name="License_Type" localSheetId="5">#REF!</definedName>
    <definedName name="License_Type" localSheetId="4">#REF!</definedName>
    <definedName name="License_Type" localSheetId="6">#REF!</definedName>
    <definedName name="License_Type">#REF!</definedName>
    <definedName name="LifeCycle" localSheetId="7">#REF!</definedName>
    <definedName name="LifeCycle" localSheetId="4">#REF!</definedName>
    <definedName name="LifeCycle" localSheetId="6">#REF!</definedName>
    <definedName name="LifeCycle">#REF!</definedName>
    <definedName name="Lifter" localSheetId="7">#REF!</definedName>
    <definedName name="Lifter">#REF!</definedName>
    <definedName name="Line_Clearance">#REF!</definedName>
    <definedName name="line_items" localSheetId="5">#REF!</definedName>
    <definedName name="line_items" localSheetId="4">#REF!</definedName>
    <definedName name="line_items" localSheetId="6">#REF!</definedName>
    <definedName name="line_items">#REF!</definedName>
    <definedName name="line_items1" localSheetId="4">#REF!</definedName>
    <definedName name="line_items1" localSheetId="6">#REF!</definedName>
    <definedName name="line_items1">#REF!</definedName>
    <definedName name="line_items2" localSheetId="4">#REF!</definedName>
    <definedName name="line_items2" localSheetId="6">#REF!</definedName>
    <definedName name="line_items2">#REF!</definedName>
    <definedName name="line_items2b" localSheetId="4">#REF!</definedName>
    <definedName name="line_items2b" localSheetId="6">#REF!</definedName>
    <definedName name="line_items2b">#REF!</definedName>
    <definedName name="Lineitem" localSheetId="4">#REF!</definedName>
    <definedName name="Lineitem" localSheetId="6">#REF!</definedName>
    <definedName name="Lineitem">#REF!</definedName>
    <definedName name="LineItemList" localSheetId="4">#REF!</definedName>
    <definedName name="LineItemList" localSheetId="6">#REF!</definedName>
    <definedName name="LineItemList">#REF!</definedName>
    <definedName name="liteon" hidden="1">#REF!</definedName>
    <definedName name="ll" localSheetId="7" hidden="1">{"'Broadway ML#4'!$J$7:$N$490"}</definedName>
    <definedName name="ll">{"'Broadway ML#4'!$J$7:$N$490"}</definedName>
    <definedName name="load" localSheetId="5">#REF!</definedName>
    <definedName name="load" localSheetId="4">#REF!</definedName>
    <definedName name="load" localSheetId="6">#REF!</definedName>
    <definedName name="load">#REF!</definedName>
    <definedName name="Locations">#REF!</definedName>
    <definedName name="LS_120">#REF!</definedName>
    <definedName name="LT">#REF!</definedName>
    <definedName name="Lunch">#REF!</definedName>
    <definedName name="luo">#N/A</definedName>
    <definedName name="m" localSheetId="4">#REF!</definedName>
    <definedName name="M">#N/A</definedName>
    <definedName name="M_B_Module_Check_List">#N/A</definedName>
    <definedName name="M_DoneDate" localSheetId="7">#REF!</definedName>
    <definedName name="M_DoneDate">#REF!</definedName>
    <definedName name="MACH" localSheetId="7">#REF!</definedName>
    <definedName name="MACH">#REF!</definedName>
    <definedName name="Machine_List_Plastic">#REF!</definedName>
    <definedName name="Machine_List1">#REF!</definedName>
    <definedName name="Machine_Table_Metal">#REF!</definedName>
    <definedName name="Machine_Table_Plastic">#REF!</definedName>
    <definedName name="Machine_Tonnage">#REF!</definedName>
    <definedName name="Machine_Tonnage2">#REF!</definedName>
    <definedName name="macpac_code" localSheetId="5">#REF!</definedName>
    <definedName name="macpac_code" localSheetId="4">#REF!</definedName>
    <definedName name="macpac_code" localSheetId="6">#REF!</definedName>
    <definedName name="macpac_code">#REF!</definedName>
    <definedName name="madrian" localSheetId="4">#REF!</definedName>
    <definedName name="madrian" localSheetId="6">#REF!</definedName>
    <definedName name="madrian">#REF!</definedName>
    <definedName name="madriansalesthru" localSheetId="4">#REF!</definedName>
    <definedName name="madriansalesthru" localSheetId="6">#REF!</definedName>
    <definedName name="madriansalesthru">#REF!</definedName>
    <definedName name="MAINT">#REF!</definedName>
    <definedName name="Manifold">#REF!</definedName>
    <definedName name="manpower" localSheetId="4">#REF!</definedName>
    <definedName name="manpower" localSheetId="6">#REF!</definedName>
    <definedName name="manpower">#REF!</definedName>
    <definedName name="Manual_Data" localSheetId="4">#REF!</definedName>
    <definedName name="Manual_Data" localSheetId="6">#REF!</definedName>
    <definedName name="Manual_Data">#REF!</definedName>
    <definedName name="Marsstartxbox" localSheetId="5">#REF!</definedName>
    <definedName name="Marsstartxbox" localSheetId="4">#REF!</definedName>
    <definedName name="Marsstartxbox" localSheetId="6">#REF!</definedName>
    <definedName name="Marsstartxbox">#REF!</definedName>
    <definedName name="mast">#REF!</definedName>
    <definedName name="MasterPCList" localSheetId="4">#REF!</definedName>
    <definedName name="MasterPCList" localSheetId="6">#REF!</definedName>
    <definedName name="MasterPCList">#REF!</definedName>
    <definedName name="MAT">#REF!</definedName>
    <definedName name="mat_3d">#N/A</definedName>
    <definedName name="mat_66">#N/A</definedName>
    <definedName name="mat_765">#N/A</definedName>
    <definedName name="mat_ark">#N/A</definedName>
    <definedName name="mat_cond">#REF!</definedName>
    <definedName name="mat_tele">#N/A</definedName>
    <definedName name="mat_virge">#N/A</definedName>
    <definedName name="Material_list">#REF!</definedName>
    <definedName name="Material_List_Plastic">#REF!</definedName>
    <definedName name="MATERIAL_PREP_HOURS18">#REF!</definedName>
    <definedName name="Material_Table_Metal">#REF!</definedName>
    <definedName name="Material_Table_Plastic">#REF!</definedName>
    <definedName name="MATL">#REF!</definedName>
    <definedName name="Max." localSheetId="5">#REF!</definedName>
    <definedName name="Max." localSheetId="4">#REF!</definedName>
    <definedName name="Max." localSheetId="0">#REF!</definedName>
    <definedName name="Max." localSheetId="6">#REF!</definedName>
    <definedName name="Max.">#REF!</definedName>
    <definedName name="Max_Outsourc">#N/A</definedName>
    <definedName name="MaxAmbientTemp">40</definedName>
    <definedName name="MAY" localSheetId="7" hidden="1">{"'Broadway ML#4'!$J$7:$N$490"}</definedName>
    <definedName name="MAY">{"'Broadway ML#4'!$J$7:$N$490"}</definedName>
    <definedName name="May05_Act" localSheetId="7">#REF!</definedName>
    <definedName name="May05_Act">#REF!</definedName>
    <definedName name="Mayl2" localSheetId="7">#REF!</definedName>
    <definedName name="Mayl2">#REF!</definedName>
    <definedName name="Mayl3" localSheetId="7">#REF!</definedName>
    <definedName name="Mayl3">#REF!</definedName>
    <definedName name="Mayl4">#REF!</definedName>
    <definedName name="Mayl6">#REF!</definedName>
    <definedName name="Mayl7">#REF!</definedName>
    <definedName name="Mayl8">#REF!</definedName>
    <definedName name="Mayl9">#REF!</definedName>
    <definedName name="MBA人力總表" hidden="1">#N/A</definedName>
    <definedName name="mc">#REF!</definedName>
    <definedName name="ME_0829" localSheetId="7">#REF!</definedName>
    <definedName name="ME_0829" localSheetId="5">#REF!</definedName>
    <definedName name="ME_0829" localSheetId="4">#REF!</definedName>
    <definedName name="ME_0829" localSheetId="6">#REF!</definedName>
    <definedName name="ME_0829">#REF!</definedName>
    <definedName name="MEAuth" localSheetId="7">#REF!</definedName>
    <definedName name="MEAuth">#REF!</definedName>
    <definedName name="Meijer" localSheetId="4">#REF!</definedName>
    <definedName name="Meijer" localSheetId="6">#REF!</definedName>
    <definedName name="Meijer">#REF!</definedName>
    <definedName name="Member" localSheetId="4">#REF!</definedName>
    <definedName name="Member" localSheetId="6">#REF!</definedName>
    <definedName name="Member">#REF!</definedName>
    <definedName name="mescmbud" localSheetId="4">#REF!</definedName>
    <definedName name="mescmbud" localSheetId="6">#REF!</definedName>
    <definedName name="mescmbud">#REF!</definedName>
    <definedName name="Methodology2" localSheetId="4">#REF!</definedName>
    <definedName name="Methodology2" localSheetId="6">#REF!</definedName>
    <definedName name="Methodology2">#REF!</definedName>
    <definedName name="Metric" localSheetId="4">#REF!</definedName>
    <definedName name="Metric" localSheetId="6">#REF!</definedName>
    <definedName name="Metric">#REF!</definedName>
    <definedName name="Millennium">#REF!</definedName>
    <definedName name="MIN">#REF!</definedName>
    <definedName name="Miro_Baseline">#REF!</definedName>
    <definedName name="Miro_Cost_Reduction">#REF!</definedName>
    <definedName name="Miro_Ext_Cost">#REF!</definedName>
    <definedName name="Miro_Reduction_Percentage">#REF!</definedName>
    <definedName name="MixPage">10</definedName>
    <definedName name="MKP_MANUFACTORING_WEEK_REPORT_____TOP11" localSheetId="7">#REF!</definedName>
    <definedName name="MKP_MANUFACTORING_WEEK_REPORT_____TOP11" localSheetId="5">#REF!</definedName>
    <definedName name="MKP_MANUFACTORING_WEEK_REPORT_____TOP11" localSheetId="4">#REF!</definedName>
    <definedName name="MKP_MANUFACTORING_WEEK_REPORT_____TOP11" localSheetId="0">#REF!</definedName>
    <definedName name="MKP_MANUFACTORING_WEEK_REPORT_____TOP11" localSheetId="6">#REF!</definedName>
    <definedName name="MKP_MANUFACTORING_WEEK_REPORT_____TOP11">#REF!</definedName>
    <definedName name="Mo" localSheetId="7">#REF!</definedName>
    <definedName name="Mo" localSheetId="5">#REF!</definedName>
    <definedName name="Mo" localSheetId="4">#REF!</definedName>
    <definedName name="Mo" localSheetId="6">#REF!</definedName>
    <definedName name="Mo">#REF!</definedName>
    <definedName name="Model_1" localSheetId="7">#REF!</definedName>
    <definedName name="Model_1">#REF!</definedName>
    <definedName name="modules">#REF!</definedName>
    <definedName name="Mold_Set_Up">#REF!</definedName>
    <definedName name="Moldbase">#REF!</definedName>
    <definedName name="MONDRI" localSheetId="5">#REF!</definedName>
    <definedName name="MONDRI" localSheetId="4">#REF!</definedName>
    <definedName name="MONDRI" localSheetId="6">#REF!</definedName>
    <definedName name="MONDRI">#REF!</definedName>
    <definedName name="MONO">#REF!</definedName>
    <definedName name="Month" localSheetId="4">#REF!</definedName>
    <definedName name="Month_Lag" localSheetId="5">#REF!</definedName>
    <definedName name="Month_Lag" localSheetId="4">#REF!</definedName>
    <definedName name="Month_Lag" localSheetId="6">#REF!</definedName>
    <definedName name="Month_Lag">#REF!</definedName>
    <definedName name="Month_Lag2" localSheetId="4">#REF!</definedName>
    <definedName name="Month_Lag2" localSheetId="6">#REF!</definedName>
    <definedName name="Month_Lag2">#REF!</definedName>
    <definedName name="month1">#REF!</definedName>
    <definedName name="month2" localSheetId="4">#REF!</definedName>
    <definedName name="MONTH2">#N/A</definedName>
    <definedName name="MONTH3">#N/A</definedName>
    <definedName name="month4">#REF!</definedName>
    <definedName name="month5">#REF!</definedName>
    <definedName name="MonthLookup" localSheetId="7">#REF!</definedName>
    <definedName name="MonthLookup" localSheetId="5">#REF!</definedName>
    <definedName name="MonthLookup" localSheetId="4">#REF!</definedName>
    <definedName name="MonthLookup" localSheetId="6">#REF!</definedName>
    <definedName name="MonthLookup">#REF!</definedName>
    <definedName name="Monthly" localSheetId="4">#REF!</definedName>
    <definedName name="Monthly" localSheetId="6">#REF!</definedName>
    <definedName name="Monthly">#REF!</definedName>
    <definedName name="Monthly_volume">#REF!</definedName>
    <definedName name="monthno" localSheetId="4">#REF!</definedName>
    <definedName name="monthno" localSheetId="6">#REF!</definedName>
    <definedName name="monthno">#REF!</definedName>
    <definedName name="MonthQty" localSheetId="4">#REF!</definedName>
    <definedName name="MonthQty" localSheetId="6">#REF!</definedName>
    <definedName name="MonthQty">#REF!</definedName>
    <definedName name="Mony9">#REF!</definedName>
    <definedName name="Moth" localSheetId="6">#REF!</definedName>
    <definedName name="Moth">#REF!</definedName>
    <definedName name="MPSData" localSheetId="4">#REF!</definedName>
    <definedName name="MPSData" localSheetId="6">#REF!</definedName>
    <definedName name="MPSData">#REF!</definedName>
    <definedName name="MRP">#REF!</definedName>
    <definedName name="MS_Sales_Adj_Amount_LC" localSheetId="4">#REF!</definedName>
    <definedName name="MS_Sales_Adj_Amount_LC" localSheetId="6">#REF!</definedName>
    <definedName name="MS_Sales_Adj_Amount_LC">#REF!</definedName>
    <definedName name="MS_Sales_Adjustments_LC" localSheetId="4">#REF!</definedName>
    <definedName name="MS_Sales_Adjustments_LC" localSheetId="6">#REF!</definedName>
    <definedName name="MS_Sales_Adjustments_LC">#REF!</definedName>
    <definedName name="MS_Sales_Amount_LC" localSheetId="4">#REF!</definedName>
    <definedName name="MS_Sales_Amount_LC" localSheetId="6">#REF!</definedName>
    <definedName name="MS_Sales_Amount_LC">#REF!</definedName>
    <definedName name="MTDActHRD" localSheetId="5">#REF!</definedName>
    <definedName name="MTDActHRD" localSheetId="4">#REF!</definedName>
    <definedName name="MTDActHRD" localSheetId="6">#REF!</definedName>
    <definedName name="MTDActHRD">#REF!</definedName>
    <definedName name="MU">#REF!</definedName>
    <definedName name="Mu10.1">#REF!</definedName>
    <definedName name="MU10.2">#REF!</definedName>
    <definedName name="MU100.1">#REF!</definedName>
    <definedName name="MU101.1">#REF!</definedName>
    <definedName name="Mu11.1">#REF!</definedName>
    <definedName name="MU11.2">#REF!</definedName>
    <definedName name="Mu15.1">#REF!</definedName>
    <definedName name="MU15.2">#REF!</definedName>
    <definedName name="Mu17.1">#REF!</definedName>
    <definedName name="MU17.2">#REF!</definedName>
    <definedName name="Mu18.1">#REF!</definedName>
    <definedName name="MU18.2">#REF!</definedName>
    <definedName name="Mu20.1">#REF!</definedName>
    <definedName name="MU20.2">#REF!</definedName>
    <definedName name="Mu23.1">#REF!</definedName>
    <definedName name="MU23.2">#REF!</definedName>
    <definedName name="Mu24.1">#REF!</definedName>
    <definedName name="MU24.2">#REF!</definedName>
    <definedName name="Mu32.1">#REF!</definedName>
    <definedName name="MU32.2">#REF!</definedName>
    <definedName name="Mu33.1">#REF!</definedName>
    <definedName name="MU33.2">#REF!</definedName>
    <definedName name="Mu34.1">#REF!</definedName>
    <definedName name="MU34.2">#REF!</definedName>
    <definedName name="Mu35.1">#REF!</definedName>
    <definedName name="MU35.2">#REF!</definedName>
    <definedName name="Mu37.1">#REF!</definedName>
    <definedName name="MU37.2">#REF!</definedName>
    <definedName name="mu38.1">#REF!</definedName>
    <definedName name="MU38.2">#REF!</definedName>
    <definedName name="Mu4.1">#REF!</definedName>
    <definedName name="MU4.2">#REF!</definedName>
    <definedName name="Mu40.1">#REF!</definedName>
    <definedName name="MU40.2">#REF!</definedName>
    <definedName name="Mu41.1">#REF!</definedName>
    <definedName name="Mu41.2">#REF!</definedName>
    <definedName name="Mu43.1">#REF!</definedName>
    <definedName name="Mu43.2">#REF!</definedName>
    <definedName name="Mu44.1">#REF!</definedName>
    <definedName name="Mu44.2">#REF!</definedName>
    <definedName name="Mu46.1">#REF!</definedName>
    <definedName name="Mu46.2">#REF!</definedName>
    <definedName name="Mu47.1">#REF!</definedName>
    <definedName name="Mu47.2">#REF!</definedName>
    <definedName name="Mu5.1">#REF!</definedName>
    <definedName name="MU5.2">#REF!</definedName>
    <definedName name="Mu51.1">#REF!</definedName>
    <definedName name="Mu51.2">#REF!</definedName>
    <definedName name="mu52.1">#REF!</definedName>
    <definedName name="mu52.2">#REF!</definedName>
    <definedName name="MU54.1">#REF!</definedName>
    <definedName name="MU54.2">#REF!</definedName>
    <definedName name="MU55.1">#REF!</definedName>
    <definedName name="MU55.2">#REF!</definedName>
    <definedName name="MU56.1">#REF!</definedName>
    <definedName name="MU56.2">#REF!</definedName>
    <definedName name="mU57.1">#REF!</definedName>
    <definedName name="MU57.2">#REF!</definedName>
    <definedName name="Mu59.1">#REF!</definedName>
    <definedName name="Mu59.2">#REF!</definedName>
    <definedName name="Mu6.1">#REF!</definedName>
    <definedName name="MU6.2">#REF!</definedName>
    <definedName name="Mu64.1">#REF!</definedName>
    <definedName name="Mu64.2">#REF!</definedName>
    <definedName name="Mu65.1">#REF!</definedName>
    <definedName name="Mu65.2">#REF!</definedName>
    <definedName name="Mu66.1">#REF!</definedName>
    <definedName name="Mu66.2">#REF!</definedName>
    <definedName name="Mu67.1">#REF!</definedName>
    <definedName name="Mu67.2">#REF!</definedName>
    <definedName name="Mu68.1">#REF!</definedName>
    <definedName name="Mu68.2">#REF!</definedName>
    <definedName name="Mu69.1">#REF!</definedName>
    <definedName name="Mu69.2">#REF!</definedName>
    <definedName name="Mu70.1">#REF!</definedName>
    <definedName name="Mu70.2">#REF!</definedName>
    <definedName name="Mu71.1">#REF!</definedName>
    <definedName name="Mu71.2">#REF!</definedName>
    <definedName name="Mu73.1">#REF!</definedName>
    <definedName name="Mu73.2">#REF!</definedName>
    <definedName name="MU75.1">#REF!</definedName>
    <definedName name="MU75.2">#REF!</definedName>
    <definedName name="MU76.1">#REF!</definedName>
    <definedName name="MU76.2">#REF!</definedName>
    <definedName name="MU77.1">#REF!</definedName>
    <definedName name="MU77.2">#REF!</definedName>
    <definedName name="MU78.1">#REF!</definedName>
    <definedName name="MU78.2">#REF!</definedName>
    <definedName name="MU79.1">#REF!</definedName>
    <definedName name="MU79.2">#REF!</definedName>
    <definedName name="Mu80.1">#REF!</definedName>
    <definedName name="Mu80.2">#REF!</definedName>
    <definedName name="MU81.1">#REF!</definedName>
    <definedName name="MU81.2">#REF!</definedName>
    <definedName name="MU82.1">#REF!</definedName>
    <definedName name="MU82.2">#REF!</definedName>
    <definedName name="MU83.1">#REF!</definedName>
    <definedName name="MU83.2">#REF!</definedName>
    <definedName name="MU84.1">#REF!</definedName>
    <definedName name="mU84.2">#REF!</definedName>
    <definedName name="MU85.1">#REF!</definedName>
    <definedName name="MU85.2">#REF!</definedName>
    <definedName name="MU86.1">#REF!</definedName>
    <definedName name="MU86.2">#REF!</definedName>
    <definedName name="Mu87.1">#REF!</definedName>
    <definedName name="Mu87.2">#REF!</definedName>
    <definedName name="Mu88.1">#REF!</definedName>
    <definedName name="Mu88.2">#REF!</definedName>
    <definedName name="MU89.1">#REF!</definedName>
    <definedName name="MU89.2">#REF!</definedName>
    <definedName name="mu90.1">#REF!</definedName>
    <definedName name="mu90.2">#REF!</definedName>
    <definedName name="mu92.1">#REF!</definedName>
    <definedName name="mu92.2">#REF!</definedName>
    <definedName name="MU93.1">#REF!</definedName>
    <definedName name="MU93.2">#REF!</definedName>
    <definedName name="MU94.1">#REF!</definedName>
    <definedName name="MU94.2">#REF!</definedName>
    <definedName name="MU95.1">#REF!</definedName>
    <definedName name="MU95.2">#REF!</definedName>
    <definedName name="MU96.1">#REF!</definedName>
    <definedName name="MU96.2">#REF!</definedName>
    <definedName name="MU97.1">#REF!</definedName>
    <definedName name="MU97.2">#REF!</definedName>
    <definedName name="MU98.1">#REF!</definedName>
    <definedName name="MU98.2">#REF!</definedName>
    <definedName name="mu99.1">#REF!</definedName>
    <definedName name="MultipleLotDiscount" localSheetId="3">#REF!</definedName>
    <definedName name="MultipleLotDiscount" localSheetId="4">#REF!</definedName>
    <definedName name="MultipleLotDiscount" localSheetId="0">#REF!</definedName>
    <definedName name="MultipleLotDiscount" localSheetId="6">#REF!</definedName>
    <definedName name="MultipleLotDiscount">#REF!</definedName>
    <definedName name="Musicland" localSheetId="5">#REF!</definedName>
    <definedName name="Musicland" localSheetId="4">#REF!</definedName>
    <definedName name="Musicland" localSheetId="6">#REF!</definedName>
    <definedName name="Musicland">#REF!</definedName>
    <definedName name="MYR">#REF!</definedName>
    <definedName name="MYRA">#REF!</definedName>
    <definedName name="MyRange" localSheetId="5">#REF!</definedName>
    <definedName name="MyRange" localSheetId="4">#REF!</definedName>
    <definedName name="MyRange" localSheetId="6">#REF!</definedName>
    <definedName name="MyRange">#REF!</definedName>
    <definedName name="n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n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n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n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n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n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N._America">#N/A</definedName>
    <definedName name="N.America">#N/A</definedName>
    <definedName name="ne" localSheetId="7" hidden="1">{"one (KEY)",#N/A,FALSE,"P&amp;L"}</definedName>
    <definedName name="ne" hidden="1">{"one (KEY)",#N/A,FALSE,"P&amp;L"}</definedName>
    <definedName name="new">#REF!</definedName>
    <definedName name="Newman_Baseline">#REF!</definedName>
    <definedName name="Newman_Cost_Reduction">#REF!</definedName>
    <definedName name="Newman_Ext_Cost">#REF!</definedName>
    <definedName name="Newman_Reduction_Percentage">#REF!</definedName>
    <definedName name="NewMTDHRD" localSheetId="5">#REF!</definedName>
    <definedName name="NewMTDHRD" localSheetId="4">#REF!</definedName>
    <definedName name="NewMTDHRD" localSheetId="6">#REF!</definedName>
    <definedName name="NewMTDHRD">#REF!</definedName>
    <definedName name="NF.Downrate">INDIRECT(ADDRESS(ROW()-(#REF!+2),COLUMN()+1))</definedName>
    <definedName name="NLG">#REF!</definedName>
    <definedName name="NLGA">#REF!</definedName>
    <definedName name="No">"No, Please Check"</definedName>
    <definedName name="notold" localSheetId="7">#REF!</definedName>
    <definedName name="notold">#REF!</definedName>
    <definedName name="Nov05_Act" localSheetId="7">#REF!</definedName>
    <definedName name="Nov05_Act">#REF!</definedName>
    <definedName name="NvsASD">"V2001-11-04"</definedName>
    <definedName name="NvsAutoDrillOk">"VN"</definedName>
    <definedName name="NvsElapsedTime">0.0000599537015659735</definedName>
    <definedName name="NvsEndTime">37200.6158005787</definedName>
    <definedName name="NvsInstSpec">"%,LACTUALS,SPER,FBUSINESS_UNIT,VRRT2,FACCOUNT,V732000"</definedName>
    <definedName name="NvsLayoutType">"M3"</definedName>
    <definedName name="NvsNplSpec">"%,XZF.ACCOUNT.PSDetail"</definedName>
    <definedName name="NvsPanelEffdt">"V1995-01-01"</definedName>
    <definedName name="NvsPanelSetid">"VMFG"</definedName>
    <definedName name="NvsReqBU">"VRRT2"</definedName>
    <definedName name="NvsReqBUOnly">"VY"</definedName>
    <definedName name="NvsTransLed">"VN"</definedName>
    <definedName name="NvsTreeASD">"V2001-11-04"</definedName>
    <definedName name="NvsValTbl.DEPTID">"DEPT_DEPTSET_VW"</definedName>
    <definedName name="Oct05_Act">#REF!</definedName>
    <definedName name="OH">#REF!</definedName>
    <definedName name="ol" localSheetId="7" hidden="1">{"'Broadway ML#4'!$J$7:$N$490"}</definedName>
    <definedName name="ol">{"'Broadway ML#4'!$J$7:$N$490"}</definedName>
    <definedName name="ON_SITE18" localSheetId="7">#REF!</definedName>
    <definedName name="ON_SITE18">#REF!</definedName>
    <definedName name="ON_SITE19">#REF!</definedName>
    <definedName name="ON_SITE20">#REF!</definedName>
    <definedName name="ON_SITE21">#REF!</definedName>
    <definedName name="ON_SITE22">#REF!</definedName>
    <definedName name="ON_SITE23">#REF!</definedName>
    <definedName name="one" localSheetId="5">#REF!</definedName>
    <definedName name="one" localSheetId="4">#REF!</definedName>
    <definedName name="one" localSheetId="6">#REF!</definedName>
    <definedName name="one">#REF!</definedName>
    <definedName name="OO">#REF!</definedName>
    <definedName name="op" localSheetId="7" hidden="1">{"'Broadway ML#4'!$J$7:$N$490"}</definedName>
    <definedName name="op">{"'Broadway ML#4'!$J$7:$N$490"}</definedName>
    <definedName name="OpenMonth" localSheetId="4">#REF!</definedName>
    <definedName name="OpenMonth" localSheetId="6">#REF!</definedName>
    <definedName name="OpenMonth">#REF!</definedName>
    <definedName name="OpenYear" localSheetId="4">#REF!</definedName>
    <definedName name="OpenYear" localSheetId="6">#REF!</definedName>
    <definedName name="OpenYear">#REF!</definedName>
    <definedName name="Operational.Hours.Input.Range">#REF!</definedName>
    <definedName name="opex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1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1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1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1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1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1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Area1" localSheetId="7">#REF!</definedName>
    <definedName name="OpexArea1" localSheetId="6">#REF!</definedName>
    <definedName name="OpexArea1">#REF!</definedName>
    <definedName name="OpexArea2" localSheetId="7">#REF!</definedName>
    <definedName name="OpexArea2" localSheetId="5">#REF!</definedName>
    <definedName name="OpexArea2" localSheetId="4">#REF!</definedName>
    <definedName name="OpexArea2" localSheetId="6">#REF!</definedName>
    <definedName name="OpexArea2">#REF!</definedName>
    <definedName name="OpexArea3" localSheetId="7">#REF!</definedName>
    <definedName name="OpexArea3" localSheetId="4">#REF!</definedName>
    <definedName name="OpexArea3" localSheetId="6">#REF!</definedName>
    <definedName name="OpexArea3">#REF!</definedName>
    <definedName name="OpexArea4" localSheetId="4">#REF!</definedName>
    <definedName name="OpexArea4" localSheetId="6">#REF!</definedName>
    <definedName name="OpexArea4">#REF!</definedName>
    <definedName name="OpexArea5" localSheetId="4">#REF!</definedName>
    <definedName name="OpexArea5" localSheetId="6">#REF!</definedName>
    <definedName name="OpexArea5">#REF!</definedName>
    <definedName name="OpexRefreshDate" localSheetId="5">MID(#REF!,FIND("Last Refreshed",#REF!)+16,12)</definedName>
    <definedName name="OpexRefreshDate" localSheetId="4">MID(#REF!,FIND("Last Refreshed",#REF!)+16,12)</definedName>
    <definedName name="OpexRefreshDate" localSheetId="6">MID(#REF!,FIND("Last Refreshed",#REF!)+16,12)</definedName>
    <definedName name="OpexRefreshDate">MID(#REF!,FIND("Last Refreshed",#REF!)+16,12)</definedName>
    <definedName name="opp" localSheetId="7" hidden="1">{"'Broadway ML#4'!$J$7:$N$490"}</definedName>
    <definedName name="opp">{"'Broadway ML#4'!$J$7:$N$490"}</definedName>
    <definedName name="OPTexponents">"0 3 6"</definedName>
    <definedName name="OPTvec">"1 1 0 0 0 0 0 0 0 0 0 8 11 1 0 35 1 1 1 0 1 0 1 0 1 0 0 0 0 0 1 0 100 300 0 0 0 0 12 0 0 0 0"</definedName>
    <definedName name="ORATE" localSheetId="7">#REF!</definedName>
    <definedName name="ORATE" localSheetId="5">#REF!</definedName>
    <definedName name="ORATE" localSheetId="4">#REF!</definedName>
    <definedName name="ORATE" localSheetId="6">#REF!</definedName>
    <definedName name="ORATE">#REF!</definedName>
    <definedName name="OrgDetail" localSheetId="7">#REF!</definedName>
    <definedName name="OrgDetail" localSheetId="4">#REF!</definedName>
    <definedName name="OrgDetail" localSheetId="6">#REF!</definedName>
    <definedName name="OrgDetail">#REF!</definedName>
    <definedName name="OT" localSheetId="7">#REF!</definedName>
    <definedName name="OT">#REF!</definedName>
    <definedName name="OtherPriceImpacts" localSheetId="3">#REF!</definedName>
    <definedName name="OtherPriceImpacts" localSheetId="4">#REF!</definedName>
    <definedName name="OtherPriceImpacts" localSheetId="0">#REF!</definedName>
    <definedName name="OtherPriceImpacts" localSheetId="6">#REF!</definedName>
    <definedName name="OtherPriceImpacts">#REF!</definedName>
    <definedName name="overheads">#REF!</definedName>
    <definedName name="OverrideRange">#REF!</definedName>
    <definedName name="P" localSheetId="5">#REF!</definedName>
    <definedName name="P" localSheetId="4">#REF!</definedName>
    <definedName name="P" localSheetId="0">#REF!</definedName>
    <definedName name="P" localSheetId="6">#REF!</definedName>
    <definedName name="P">#REF!</definedName>
    <definedName name="P_Area" localSheetId="5">#REF!</definedName>
    <definedName name="P_Area" localSheetId="4">#REF!</definedName>
    <definedName name="P_Area" localSheetId="0">#REF!</definedName>
    <definedName name="P_Area" localSheetId="6">#REF!</definedName>
    <definedName name="P_Area">#REF!</definedName>
    <definedName name="P_DoneDate">#REF!</definedName>
    <definedName name="P_L_Grouping" localSheetId="4">#REF!</definedName>
    <definedName name="P_L_Grouping" localSheetId="6">#REF!</definedName>
    <definedName name="P_L_Grouping">#REF!</definedName>
    <definedName name="P6_200_256">#REF!</definedName>
    <definedName name="P6_200_512">#REF!</definedName>
    <definedName name="pa">#REF!</definedName>
    <definedName name="PACK">#REF!</definedName>
    <definedName name="page1" localSheetId="5">#REF!</definedName>
    <definedName name="page1" localSheetId="4">#REF!</definedName>
    <definedName name="page1" localSheetId="6">#REF!</definedName>
    <definedName name="page1">#REF!</definedName>
    <definedName name="page2" localSheetId="4">#REF!</definedName>
    <definedName name="page2" localSheetId="6">#REF!</definedName>
    <definedName name="page2">#REF!</definedName>
    <definedName name="page3" localSheetId="4">#REF!</definedName>
    <definedName name="page3" localSheetId="6">#REF!</definedName>
    <definedName name="page3">#REF!</definedName>
    <definedName name="pandlsystems">#REF!</definedName>
    <definedName name="PART_NAME18" localSheetId="7">#REF!</definedName>
    <definedName name="PART_NAME18">#REF!</definedName>
    <definedName name="PART_NO18" localSheetId="7">#REF!</definedName>
    <definedName name="PART_NO18">#REF!</definedName>
    <definedName name="PART_NO19" localSheetId="7">#REF!</definedName>
    <definedName name="PART_NO19">#REF!</definedName>
    <definedName name="PART_NO20">#REF!</definedName>
    <definedName name="PART_NO21">#REF!</definedName>
    <definedName name="PART_NO22">#REF!</definedName>
    <definedName name="PART_NO23">#REF!</definedName>
    <definedName name="partes_y_grupos">#REF!</definedName>
    <definedName name="pas" localSheetId="5">#REF!</definedName>
    <definedName name="pas" localSheetId="4">#REF!</definedName>
    <definedName name="pas" localSheetId="6">#REF!</definedName>
    <definedName name="pas">#REF!</definedName>
    <definedName name="PC" localSheetId="4">#REF!</definedName>
    <definedName name="PC" localSheetId="6">#REF!</definedName>
    <definedName name="PC">#REF!</definedName>
    <definedName name="pcb共用人力">#REF!</definedName>
    <definedName name="pcb輪值表">#REF!</definedName>
    <definedName name="pci">#REF!</definedName>
    <definedName name="PDCD">#REF!</definedName>
    <definedName name="PercentDrivers">#REF!</definedName>
    <definedName name="PercentType" localSheetId="5">#REF!</definedName>
    <definedName name="PercentType" localSheetId="4">#REF!</definedName>
    <definedName name="PercentType" localSheetId="6">#REF!</definedName>
    <definedName name="PercentType">#REF!</definedName>
    <definedName name="PercentTypeDesc" localSheetId="4">#REF!</definedName>
    <definedName name="PercentTypeDesc" localSheetId="6">#REF!</definedName>
    <definedName name="PercentTypeDesc">#REF!</definedName>
    <definedName name="PF">#REF!</definedName>
    <definedName name="PHP">#REF!</definedName>
    <definedName name="Pick" localSheetId="5">#REF!</definedName>
    <definedName name="Pick" localSheetId="4">#REF!</definedName>
    <definedName name="Pick" localSheetId="6">#REF!</definedName>
    <definedName name="Pick">#REF!</definedName>
    <definedName name="Pioneer" localSheetId="5">#REF!</definedName>
    <definedName name="Pioneer" localSheetId="0">#REF!</definedName>
    <definedName name="Pioneer" localSheetId="6">#REF!</definedName>
    <definedName name="Pioneer">#REF!</definedName>
    <definedName name="PIPCAct" localSheetId="4">#REF!</definedName>
    <definedName name="PIPCAct" localSheetId="6">#REF!</definedName>
    <definedName name="PIPCAct">#REF!</definedName>
    <definedName name="PIPCBud" localSheetId="4">#REF!</definedName>
    <definedName name="PIPCBud" localSheetId="6">#REF!</definedName>
    <definedName name="PIPCBud">#REF!</definedName>
    <definedName name="Pivot" localSheetId="4">#REF!</definedName>
    <definedName name="Pivot" localSheetId="6">#REF!</definedName>
    <definedName name="Pivot">#REF!</definedName>
    <definedName name="Pivot_CostElements" localSheetId="4">#REF!</definedName>
    <definedName name="Pivot_CostElements" localSheetId="6">#REF!</definedName>
    <definedName name="Pivot_CostElements">#REF!</definedName>
    <definedName name="pivotdata" localSheetId="4">#REF!</definedName>
    <definedName name="pivotdata" localSheetId="6">#REF!</definedName>
    <definedName name="pivotdata">#REF!</definedName>
    <definedName name="PivotTable" localSheetId="4">#REF!</definedName>
    <definedName name="PivotTable" localSheetId="6">#REF!</definedName>
    <definedName name="PivotTable">#REF!</definedName>
    <definedName name="PivotTable2.doc" localSheetId="4" hidden="1">#REF!</definedName>
    <definedName name="PivotTable2.doc" localSheetId="6" hidden="1">#REF!</definedName>
    <definedName name="PivotTable2.doc" hidden="1">#REF!</definedName>
    <definedName name="PK">#REF!</definedName>
    <definedName name="pkg">#REF!</definedName>
    <definedName name="PKG10.1">#REF!</definedName>
    <definedName name="PKG10.2">#REF!</definedName>
    <definedName name="PKG11.1">#REF!</definedName>
    <definedName name="PKG11.2">#REF!</definedName>
    <definedName name="PKG14.1">#REF!</definedName>
    <definedName name="PKG14.2">#REF!</definedName>
    <definedName name="PKG15.1">#REF!</definedName>
    <definedName name="PKG15.2">#REF!</definedName>
    <definedName name="PKG16.1">#REF!</definedName>
    <definedName name="PKG16.2">#REF!</definedName>
    <definedName name="PKG17.1">#REF!</definedName>
    <definedName name="PKG17.2">#REF!</definedName>
    <definedName name="PKG18.1">#REF!</definedName>
    <definedName name="PKG18.2">#REF!</definedName>
    <definedName name="PKG20.1">#REF!</definedName>
    <definedName name="PKG20.2">#REF!</definedName>
    <definedName name="PKG23.1">#REF!</definedName>
    <definedName name="PKG23.2">#REF!</definedName>
    <definedName name="PKG24.1">#REF!</definedName>
    <definedName name="PKG24.2">#REF!</definedName>
    <definedName name="PKG32.1">#REF!</definedName>
    <definedName name="PKG32.2">#REF!</definedName>
    <definedName name="PKG33.1">#REF!</definedName>
    <definedName name="PKG33.2">#REF!</definedName>
    <definedName name="PKG34.1">#REF!</definedName>
    <definedName name="PKG34.2">#REF!</definedName>
    <definedName name="PKG35.1">#REF!</definedName>
    <definedName name="PKG35.2">#REF!</definedName>
    <definedName name="PKG37.1">#REF!</definedName>
    <definedName name="PKG37.2">#REF!</definedName>
    <definedName name="PKG38.1">#REF!</definedName>
    <definedName name="PKG38.2">#REF!</definedName>
    <definedName name="PKG4.1">#REF!</definedName>
    <definedName name="PKG4.2">#REF!</definedName>
    <definedName name="PKG40.1">#REF!</definedName>
    <definedName name="PKG40.2">#REF!</definedName>
    <definedName name="PKG5.1">#REF!</definedName>
    <definedName name="PKG5.2">#REF!</definedName>
    <definedName name="PKG6.1">#REF!</definedName>
    <definedName name="PKG6.2">#REF!</definedName>
    <definedName name="PkgCost">#REF!</definedName>
    <definedName name="plastictonnage" localSheetId="7">#REF!</definedName>
    <definedName name="plastictonnage">#REF!</definedName>
    <definedName name="plnCap" localSheetId="4">#REF!</definedName>
    <definedName name="plnCap" localSheetId="6">#REF!</definedName>
    <definedName name="plnCap">#REF!</definedName>
    <definedName name="plnEVA" localSheetId="4">#REF!</definedName>
    <definedName name="plnEVA" localSheetId="6">#REF!</definedName>
    <definedName name="plnEVA">#REF!</definedName>
    <definedName name="plnOP" localSheetId="4">#REF!</definedName>
    <definedName name="plnOP" localSheetId="6">#REF!</definedName>
    <definedName name="plnOP">#REF!</definedName>
    <definedName name="plnOth" localSheetId="4">#REF!</definedName>
    <definedName name="plnOth" localSheetId="6">#REF!</definedName>
    <definedName name="plnOth">#REF!</definedName>
    <definedName name="plnRev" localSheetId="4">#REF!</definedName>
    <definedName name="plnRev" localSheetId="6">#REF!</definedName>
    <definedName name="plnRev">#REF!</definedName>
    <definedName name="PLP">#REF!</definedName>
    <definedName name="PM" localSheetId="7" hidden="1">{"'Broadway ML#4'!$J$7:$N$490"}</definedName>
    <definedName name="PM">{"'Broadway ML#4'!$J$7:$N$490"}</definedName>
    <definedName name="PN">#REF!</definedName>
    <definedName name="PNDESC">#REF!</definedName>
    <definedName name="Port">#REF!</definedName>
    <definedName name="Port1">#REF!</definedName>
    <definedName name="Port2">#REF!</definedName>
    <definedName name="Port3">#REF!</definedName>
    <definedName name="Port4">#REF!</definedName>
    <definedName name="Port5">#REF!</definedName>
    <definedName name="Port6">#REF!</definedName>
    <definedName name="posdebut">53</definedName>
    <definedName name="pospfpp1">8</definedName>
    <definedName name="pospfpp2">60</definedName>
    <definedName name="PostingType" localSheetId="7">#REF!</definedName>
    <definedName name="PostingType" localSheetId="5">#REF!</definedName>
    <definedName name="PostingType" localSheetId="4">#REF!</definedName>
    <definedName name="PostingType" localSheetId="6">#REF!</definedName>
    <definedName name="PostingType">#REF!</definedName>
    <definedName name="PostType" localSheetId="7">#REF!</definedName>
    <definedName name="PostType" localSheetId="4">#REF!</definedName>
    <definedName name="PostType" localSheetId="6">#REF!</definedName>
    <definedName name="PostType">#REF!</definedName>
    <definedName name="pp" localSheetId="7" hidden="1">{"'Broadway ML#4'!$J$7:$N$490"}</definedName>
    <definedName name="pp">{"'Broadway ML#4'!$J$7:$N$490"}</definedName>
    <definedName name="PPP">#REF!</definedName>
    <definedName name="ppppppp" localSheetId="7" hidden="1">{"'Broadway ML#4'!$J$7:$N$490"}</definedName>
    <definedName name="ppppppp">{"'Broadway ML#4'!$J$7:$N$490"}</definedName>
    <definedName name="PPVpivot" localSheetId="5">#REF!</definedName>
    <definedName name="PPVpivot" localSheetId="4">#REF!</definedName>
    <definedName name="PPVpivot" localSheetId="6">#REF!</definedName>
    <definedName name="PPVpivot">#REF!</definedName>
    <definedName name="pr_lookup6" localSheetId="5">#REF!</definedName>
    <definedName name="pr_lookup6" localSheetId="4">#REF!</definedName>
    <definedName name="pr_lookup6" localSheetId="0">#REF!</definedName>
    <definedName name="pr_lookup6" localSheetId="6">#REF!</definedName>
    <definedName name="pr_lookup6">#REF!</definedName>
    <definedName name="PRE">#REF!</definedName>
    <definedName name="Presentation.Range">#REF!</definedName>
    <definedName name="Presentation.Range.1">#REF!</definedName>
    <definedName name="Presentation.Range.2">#REF!</definedName>
    <definedName name="PrevCost">#REF!</definedName>
    <definedName name="pri01FiscalYear" localSheetId="5">#REF!</definedName>
    <definedName name="pri01FiscalYear" localSheetId="4">#REF!</definedName>
    <definedName name="pri01FiscalYear" localSheetId="6">#REF!</definedName>
    <definedName name="pri01FiscalYear">#REF!</definedName>
    <definedName name="pri02FiscalMonthName" localSheetId="4">#REF!</definedName>
    <definedName name="pri02FiscalMonthName" localSheetId="6">#REF!</definedName>
    <definedName name="pri02FiscalMonthName">#REF!</definedName>
    <definedName name="pri02FiscalYear" localSheetId="4">#REF!</definedName>
    <definedName name="pri02FiscalYear" localSheetId="6">#REF!</definedName>
    <definedName name="pri02FiscalYear">#REF!</definedName>
    <definedName name="pri03FiscalMonthName" localSheetId="4">#REF!</definedName>
    <definedName name="pri03FiscalMonthName" localSheetId="6">#REF!</definedName>
    <definedName name="pri03FiscalMonthName">#REF!</definedName>
    <definedName name="pri03FiscalYear" localSheetId="4">#REF!</definedName>
    <definedName name="pri03FiscalYear" localSheetId="6">#REF!</definedName>
    <definedName name="pri03FiscalYear">#REF!</definedName>
    <definedName name="pri04FiscalMonthName" localSheetId="4">#REF!</definedName>
    <definedName name="pri04FiscalMonthName" localSheetId="6">#REF!</definedName>
    <definedName name="pri04FiscalMonthName">#REF!</definedName>
    <definedName name="pri04FiscalYear" localSheetId="4">#REF!</definedName>
    <definedName name="pri04FiscalYear" localSheetId="6">#REF!</definedName>
    <definedName name="pri04FiscalYear">#REF!</definedName>
    <definedName name="pri05FiscalMonthName" localSheetId="4">#REF!</definedName>
    <definedName name="pri05FiscalMonthName" localSheetId="6">#REF!</definedName>
    <definedName name="pri05FiscalMonthName">#REF!</definedName>
    <definedName name="pri05FiscalYear" localSheetId="4">#REF!</definedName>
    <definedName name="pri05FiscalYear" localSheetId="6">#REF!</definedName>
    <definedName name="pri05FiscalYear">#REF!</definedName>
    <definedName name="pri06FiscalMonthName" localSheetId="4">#REF!</definedName>
    <definedName name="pri06FiscalMonthName" localSheetId="6">#REF!</definedName>
    <definedName name="pri06FiscalMonthName">#REF!</definedName>
    <definedName name="pri06FiscalYear" localSheetId="4">#REF!</definedName>
    <definedName name="pri06FiscalYear" localSheetId="6">#REF!</definedName>
    <definedName name="pri06FiscalYear">#REF!</definedName>
    <definedName name="pri07FiscalMonthName" localSheetId="4">#REF!</definedName>
    <definedName name="pri07FiscalMonthName" localSheetId="6">#REF!</definedName>
    <definedName name="pri07FiscalMonthName">#REF!</definedName>
    <definedName name="pri07FiscalYear" localSheetId="4">#REF!</definedName>
    <definedName name="pri07FiscalYear" localSheetId="6">#REF!</definedName>
    <definedName name="pri07FiscalYear">#REF!</definedName>
    <definedName name="pri08FiscalMonthName" localSheetId="4">#REF!</definedName>
    <definedName name="pri08FiscalMonthName" localSheetId="6">#REF!</definedName>
    <definedName name="pri08FiscalMonthName">#REF!</definedName>
    <definedName name="pri08FiscalYear" localSheetId="4">#REF!</definedName>
    <definedName name="pri08FiscalYear" localSheetId="6">#REF!</definedName>
    <definedName name="pri08FiscalYear">#REF!</definedName>
    <definedName name="pri09FiscalMonthName" localSheetId="4">#REF!</definedName>
    <definedName name="pri09FiscalMonthName" localSheetId="6">#REF!</definedName>
    <definedName name="pri09FiscalMonthName">#REF!</definedName>
    <definedName name="pri09FiscalYear" localSheetId="4">#REF!</definedName>
    <definedName name="pri09FiscalYear" localSheetId="6">#REF!</definedName>
    <definedName name="pri09FiscalYear">#REF!</definedName>
    <definedName name="pri10FiscalMonthName" localSheetId="4">#REF!</definedName>
    <definedName name="pri10FiscalMonthName" localSheetId="6">#REF!</definedName>
    <definedName name="pri10FiscalMonthName">#REF!</definedName>
    <definedName name="pri10FiscalYear" localSheetId="4">#REF!</definedName>
    <definedName name="pri10FiscalYear" localSheetId="6">#REF!</definedName>
    <definedName name="pri10FiscalYear">#REF!</definedName>
    <definedName name="pri11FiscalMonthName" localSheetId="4">#REF!</definedName>
    <definedName name="pri11FiscalMonthName" localSheetId="6">#REF!</definedName>
    <definedName name="pri11FiscalMonthName">#REF!</definedName>
    <definedName name="pri11FiscalYear" localSheetId="4">#REF!</definedName>
    <definedName name="pri11FiscalYear" localSheetId="6">#REF!</definedName>
    <definedName name="pri11FiscalYear">#REF!</definedName>
    <definedName name="pri12FiscalMonthName" localSheetId="4">#REF!</definedName>
    <definedName name="pri12FiscalMonthName" localSheetId="6">#REF!</definedName>
    <definedName name="pri12FiscalMonthName">#REF!</definedName>
    <definedName name="pri12FiscalYear" localSheetId="4">#REF!</definedName>
    <definedName name="pri12FiscalYear" localSheetId="6">#REF!</definedName>
    <definedName name="pri12FiscalYear">#REF!</definedName>
    <definedName name="price">#REF!</definedName>
    <definedName name="Pricing_Level" localSheetId="5">#REF!</definedName>
    <definedName name="Pricing_Level" localSheetId="4">#REF!</definedName>
    <definedName name="Pricing_Level" localSheetId="6">#REF!</definedName>
    <definedName name="Pricing_Level">#REF!</definedName>
    <definedName name="print" localSheetId="4">#REF!</definedName>
    <definedName name="print" localSheetId="6">#REF!</definedName>
    <definedName name="print">#REF!</definedName>
    <definedName name="_xlnm.Print_Area" localSheetId="4">#REF!</definedName>
    <definedName name="_xlnm.Print_Area">#N/A</definedName>
    <definedName name="Print_Area_MI" localSheetId="4">#REF!</definedName>
    <definedName name="PRINT_AREA_MI">#N/A</definedName>
    <definedName name="print_area1">#N/A</definedName>
    <definedName name="_xlnm.Print_Titles">#N/A</definedName>
    <definedName name="printdollardetail">#N/A</definedName>
    <definedName name="printunitsdetail">#N/A</definedName>
    <definedName name="PRN" localSheetId="7">#REF!</definedName>
    <definedName name="PRN">#REF!</definedName>
    <definedName name="prnFiscalMonth" localSheetId="7">#REF!</definedName>
    <definedName name="prnFiscalMonth" localSheetId="5">#REF!</definedName>
    <definedName name="prnFiscalMonth" localSheetId="4">#REF!</definedName>
    <definedName name="prnFiscalMonth" localSheetId="6">#REF!</definedName>
    <definedName name="prnFiscalMonth">#REF!</definedName>
    <definedName name="prnFiscalQuarter" localSheetId="7">#REF!</definedName>
    <definedName name="prnFiscalQuarter" localSheetId="4">#REF!</definedName>
    <definedName name="prnFiscalQuarter" localSheetId="6">#REF!</definedName>
    <definedName name="prnFiscalQuarter">#REF!</definedName>
    <definedName name="prnFiscalYear" localSheetId="4">#REF!</definedName>
    <definedName name="prnFiscalYear" localSheetId="6">#REF!</definedName>
    <definedName name="prnFiscalYear">#REF!</definedName>
    <definedName name="prnFunctionSummaryChannel" localSheetId="4">#REF!</definedName>
    <definedName name="prnFunctionSummaryChannel" localSheetId="6">#REF!</definedName>
    <definedName name="prnFunctionSummaryChannel">#REF!</definedName>
    <definedName name="prnOrigin" localSheetId="4">#REF!</definedName>
    <definedName name="prnOrigin" localSheetId="6">#REF!</definedName>
    <definedName name="prnOrigin">#REF!</definedName>
    <definedName name="prnSalesLocation" localSheetId="4">#REF!</definedName>
    <definedName name="prnSalesLocation" localSheetId="6">#REF!</definedName>
    <definedName name="prnSalesLocation">#REF!</definedName>
    <definedName name="prnWWArea" localSheetId="4">#REF!</definedName>
    <definedName name="prnWWArea" localSheetId="6">#REF!</definedName>
    <definedName name="prnWWArea">#REF!</definedName>
    <definedName name="prnWWOpsRegion2" localSheetId="4">#REF!</definedName>
    <definedName name="prnWWOpsRegion2" localSheetId="6">#REF!</definedName>
    <definedName name="prnWWOpsRegion2">#REF!</definedName>
    <definedName name="prnWWRegion" localSheetId="4">#REF!</definedName>
    <definedName name="prnWWRegion" localSheetId="6">#REF!</definedName>
    <definedName name="prnWWRegion">#REF!</definedName>
    <definedName name="prnWWSubRegion" localSheetId="4">#REF!</definedName>
    <definedName name="prnWWSubRegion" localSheetId="6">#REF!</definedName>
    <definedName name="prnWWSubRegion">#REF!</definedName>
    <definedName name="Pro">#REF!</definedName>
    <definedName name="PROCESS">#REF!</definedName>
    <definedName name="Product_Division" localSheetId="5">#REF!</definedName>
    <definedName name="Product_Division" localSheetId="4">#REF!</definedName>
    <definedName name="Product_Division" localSheetId="6">#REF!</definedName>
    <definedName name="Product_Division">#REF!</definedName>
    <definedName name="Product_Family" localSheetId="4">#REF!</definedName>
    <definedName name="Product_Family" localSheetId="6">#REF!</definedName>
    <definedName name="Product_Family">#REF!</definedName>
    <definedName name="Program" localSheetId="4">#REF!</definedName>
    <definedName name="Program" localSheetId="6">#REF!</definedName>
    <definedName name="Program">#REF!</definedName>
    <definedName name="ProjEndDate" localSheetId="5">#REF!</definedName>
    <definedName name="ProjEndDate" localSheetId="4">#REF!</definedName>
    <definedName name="ProjEndDate" localSheetId="6">#REF!</definedName>
    <definedName name="ProjEndDate">#REF!</definedName>
    <definedName name="ProjStartDate" localSheetId="4">#REF!</definedName>
    <definedName name="ProjStartDate" localSheetId="6">#REF!</definedName>
    <definedName name="ProjStartDate">#REF!</definedName>
    <definedName name="PTE">#REF!</definedName>
    <definedName name="PTEA">#REF!</definedName>
    <definedName name="PU">#N/A</definedName>
    <definedName name="PWP">#REF!</definedName>
    <definedName name="q___0">#REF!</definedName>
    <definedName name="QCard_Data" localSheetId="7">#REF!</definedName>
    <definedName name="QCard_Data" localSheetId="5">#REF!</definedName>
    <definedName name="QCard_Data" localSheetId="4">#REF!</definedName>
    <definedName name="QCard_Data" localSheetId="6">#REF!</definedName>
    <definedName name="QCard_Data">#REF!</definedName>
    <definedName name="QEAuth">#REF!</definedName>
    <definedName name="QOH" localSheetId="4">#REF!</definedName>
    <definedName name="QOH" localSheetId="6">#REF!</definedName>
    <definedName name="QOH">#REF!</definedName>
    <definedName name="QOO" localSheetId="4">#REF!</definedName>
    <definedName name="QOO" localSheetId="6">#REF!</definedName>
    <definedName name="QOO">#REF!</definedName>
    <definedName name="qq" localSheetId="7">#REF!</definedName>
    <definedName name="qq" localSheetId="4">#REF!</definedName>
    <definedName name="qq" localSheetId="6">#REF!</definedName>
    <definedName name="qq">#REF!</definedName>
    <definedName name="qqq" localSheetId="7">#REF!</definedName>
    <definedName name="qqq" localSheetId="4">#REF!</definedName>
    <definedName name="qqq" localSheetId="6">#REF!</definedName>
    <definedName name="qqq">#REF!</definedName>
    <definedName name="qqqq" localSheetId="4">#REF!</definedName>
    <definedName name="qqqq" localSheetId="6">#REF!</definedName>
    <definedName name="qqqq">#REF!</definedName>
    <definedName name="qqqqq" localSheetId="4">#REF!</definedName>
    <definedName name="qqqqq" localSheetId="6">#REF!</definedName>
    <definedName name="qqqqq">#REF!</definedName>
    <definedName name="qryExportCapsheet">#REF!</definedName>
    <definedName name="qrytest____CAP_Sht_Crosstab_Query">#REF!</definedName>
    <definedName name="QT_Transition_Plan" localSheetId="5">#REF!</definedName>
    <definedName name="QT_Transition_Plan" localSheetId="4">#REF!</definedName>
    <definedName name="QT_Transition_Plan" localSheetId="6">#REF!</definedName>
    <definedName name="QT_Transition_Plan">#REF!</definedName>
    <definedName name="Qtr" localSheetId="4">#REF!</definedName>
    <definedName name="Qtr" localSheetId="6">#REF!</definedName>
    <definedName name="Qtr">#REF!</definedName>
    <definedName name="QTY">#REF!</definedName>
    <definedName name="Qualification">#REF!</definedName>
    <definedName name="Quality明細1" hidden="1">#N/A</definedName>
    <definedName name="QualSort">#N/A</definedName>
    <definedName name="Quarter">1</definedName>
    <definedName name="QuarterInsertFlag">0</definedName>
    <definedName name="Query1___SMTC_MPP_Only" localSheetId="4">#REF!</definedName>
    <definedName name="Query1___SMTC_MPP_Only" localSheetId="0">#REF!</definedName>
    <definedName name="Query1___SMTC_MPP_Only" localSheetId="6">#REF!</definedName>
    <definedName name="Query1___SMTC_MPP_Only">#REF!</definedName>
    <definedName name="Queryww50">#N/A</definedName>
    <definedName name="Quotation2" localSheetId="7">#REF!</definedName>
    <definedName name="Quotation2" localSheetId="5">#REF!</definedName>
    <definedName name="Quotation2" localSheetId="4">#REF!</definedName>
    <definedName name="Quotation2" localSheetId="6">#REF!</definedName>
    <definedName name="Quotation2">#REF!</definedName>
    <definedName name="QUOTE_NO18" localSheetId="7">#REF!</definedName>
    <definedName name="QUOTE_NO18">#REF!</definedName>
    <definedName name="QUOTE_NO19" localSheetId="7">#REF!</definedName>
    <definedName name="QUOTE_NO19">#REF!</definedName>
    <definedName name="QUOTE_NO20">#REF!</definedName>
    <definedName name="QUOTE_NO21">#REF!</definedName>
    <definedName name="QUOTE_NO22">#REF!</definedName>
    <definedName name="QUOTE_NO23">#REF!</definedName>
    <definedName name="qvl">#REF!</definedName>
    <definedName name="qw">#REF!</definedName>
    <definedName name="qy" localSheetId="4">#REF!</definedName>
    <definedName name="qy" localSheetId="0">#REF!</definedName>
    <definedName name="qy" localSheetId="6">#REF!</definedName>
    <definedName name="qy">#REF!</definedName>
    <definedName name="R_charge" localSheetId="4">#REF!</definedName>
    <definedName name="R_charge" localSheetId="6">#REF!</definedName>
    <definedName name="R_charge">#REF!</definedName>
    <definedName name="Raate" localSheetId="4">#REF!</definedName>
    <definedName name="Raate" localSheetId="6">#REF!</definedName>
    <definedName name="Raate">#REF!</definedName>
    <definedName name="RAD">#REF!</definedName>
    <definedName name="radial5">#REF!</definedName>
    <definedName name="rampup" localSheetId="4">#REF!</definedName>
    <definedName name="rampup" localSheetId="6">#REF!</definedName>
    <definedName name="rampup">#REF!</definedName>
    <definedName name="Range1">#REF!</definedName>
    <definedName name="Range2">#REF!</definedName>
    <definedName name="Rank1">#N/A</definedName>
    <definedName name="Rank10">#N/A</definedName>
    <definedName name="Rank11">#N/A</definedName>
    <definedName name="Rank13">#N/A</definedName>
    <definedName name="Rank14">#N/A</definedName>
    <definedName name="Rank15">#N/A</definedName>
    <definedName name="Rank16">#N/A</definedName>
    <definedName name="Rank17">#N/A</definedName>
    <definedName name="Rank18">#N/A</definedName>
    <definedName name="Rank19">#N/A</definedName>
    <definedName name="Rank2">#N/A</definedName>
    <definedName name="Rank20">#N/A</definedName>
    <definedName name="Rank21">#N/A</definedName>
    <definedName name="Rank22">#N/A</definedName>
    <definedName name="Rank23">#N/A</definedName>
    <definedName name="Rank24">#N/A</definedName>
    <definedName name="Rank25">#N/A</definedName>
    <definedName name="Rank26">#N/A</definedName>
    <definedName name="Rank27">#N/A</definedName>
    <definedName name="Rank28">#N/A</definedName>
    <definedName name="Rank3">#N/A</definedName>
    <definedName name="Rank4">#N/A</definedName>
    <definedName name="Rank5">#N/A</definedName>
    <definedName name="Rank6">#N/A</definedName>
    <definedName name="Rank7">#N/A</definedName>
    <definedName name="Rank8">#N/A</definedName>
    <definedName name="Rank9">#N/A</definedName>
    <definedName name="Rate" localSheetId="7">#REF!</definedName>
    <definedName name="Rate" localSheetId="5">#REF!</definedName>
    <definedName name="Rate" localSheetId="4">#REF!</definedName>
    <definedName name="Rate" localSheetId="6">#REF!</definedName>
    <definedName name="Rate">#REF!</definedName>
    <definedName name="Rate__USD" localSheetId="7">#REF!</definedName>
    <definedName name="Rate__USD" localSheetId="4">#REF!</definedName>
    <definedName name="Rate__USD" localSheetId="6">#REF!</definedName>
    <definedName name="Rate__USD">#REF!</definedName>
    <definedName name="Rate1" localSheetId="7">#REF!</definedName>
    <definedName name="Rate1" localSheetId="4">#REF!</definedName>
    <definedName name="Rate1" localSheetId="6">#REF!</definedName>
    <definedName name="Rate1">#REF!</definedName>
    <definedName name="Rater" localSheetId="4">#REF!</definedName>
    <definedName name="Rater" localSheetId="6">#REF!</definedName>
    <definedName name="Rater">#REF!</definedName>
    <definedName name="Rates" localSheetId="4">#REF!</definedName>
    <definedName name="Rates" localSheetId="6">#REF!</definedName>
    <definedName name="Rates">#REF!</definedName>
    <definedName name="Raw_Del_Method">#REF!</definedName>
    <definedName name="Raw_Del_Region">#REF!</definedName>
    <definedName name="re">#N/A</definedName>
    <definedName name="Record_Type" localSheetId="7">#REF!</definedName>
    <definedName name="Record_Type" localSheetId="5">#REF!</definedName>
    <definedName name="Record_Type" localSheetId="4">#REF!</definedName>
    <definedName name="Record_Type" localSheetId="6">#REF!</definedName>
    <definedName name="Record_Type">#REF!</definedName>
    <definedName name="RED" localSheetId="7">#REF!</definedName>
    <definedName name="RED">#REF!</definedName>
    <definedName name="Reg" localSheetId="7">#REF!</definedName>
    <definedName name="Reg" localSheetId="5">#REF!</definedName>
    <definedName name="Reg" localSheetId="4">#REF!</definedName>
    <definedName name="Reg" localSheetId="6">#REF!</definedName>
    <definedName name="Reg">#REF!</definedName>
    <definedName name="REPAIR">#REF!</definedName>
    <definedName name="Report_Maintenance" localSheetId="5">#REF!</definedName>
    <definedName name="Report_Maintenance" localSheetId="4">#REF!</definedName>
    <definedName name="Report_Maintenance" localSheetId="6">#REF!</definedName>
    <definedName name="Report_Maintenance">#REF!</definedName>
    <definedName name="req">#REF!</definedName>
    <definedName name="REREWQ">#N/A</definedName>
    <definedName name="RescSort">#N/A</definedName>
    <definedName name="Reserves_Restated" localSheetId="7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Reserves_Restated" localSheetId="3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Reserves_Restated" localSheetId="5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Reserves_Restated" localSheetId="4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Reserves_Restated" localSheetId="6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Reserves_Restated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RESI">#REF!</definedName>
    <definedName name="Resin_Type">#REF!</definedName>
    <definedName name="ResinPricing" localSheetId="7">#REF!</definedName>
    <definedName name="ResinPricing" localSheetId="3">#REF!</definedName>
    <definedName name="ResinPricing" localSheetId="4">#REF!</definedName>
    <definedName name="ResinPricing" localSheetId="0">#REF!</definedName>
    <definedName name="ResinPricing" localSheetId="6">#REF!</definedName>
    <definedName name="ResinPricing">#REF!</definedName>
    <definedName name="Results" localSheetId="4">#REF!</definedName>
    <definedName name="Results" localSheetId="6">#REF!</definedName>
    <definedName name="Results">#REF!</definedName>
    <definedName name="Rev_Sum_Category" localSheetId="4">#REF!</definedName>
    <definedName name="Rev_Sum_Category" localSheetId="6">#REF!</definedName>
    <definedName name="Rev_Sum_Category">#REF!</definedName>
    <definedName name="Rev_Sum_Division" localSheetId="4">#REF!</definedName>
    <definedName name="Rev_Sum_Division" localSheetId="6">#REF!</definedName>
    <definedName name="Rev_Sum_Division">#REF!</definedName>
    <definedName name="Revcalc" localSheetId="4">#REF!</definedName>
    <definedName name="Revcalc" localSheetId="6">#REF!</definedName>
    <definedName name="Revcalc">#REF!</definedName>
    <definedName name="rfq" localSheetId="5">#REF!</definedName>
    <definedName name="rfq" localSheetId="4">#REF!</definedName>
    <definedName name="rfq" localSheetId="6">#REF!</definedName>
    <definedName name="rfq">#REF!</definedName>
    <definedName name="rggrd" localSheetId="7" hidden="1">{"one (KEY)",#N/A,FALSE,"P&amp;L"}</definedName>
    <definedName name="rggrd" hidden="1">{"one (KEY)",#N/A,FALSE,"P&amp;L"}</definedName>
    <definedName name="Rgn" localSheetId="7">#REF!</definedName>
    <definedName name="Rgn" localSheetId="4">#REF!</definedName>
    <definedName name="Rgn" localSheetId="6">#REF!</definedName>
    <definedName name="Rgn">#REF!</definedName>
    <definedName name="Rico2" localSheetId="7">#REF!</definedName>
    <definedName name="Rico2">#REF!</definedName>
    <definedName name="Rico3" localSheetId="7">#REF!</definedName>
    <definedName name="Rico3">#REF!</definedName>
    <definedName name="Rico4">#REF!</definedName>
    <definedName name="Rico6">#REF!</definedName>
    <definedName name="Rico7">#REF!</definedName>
    <definedName name="Rico8">#REF!</definedName>
    <definedName name="Rico9">#REF!</definedName>
    <definedName name="RiskCollectDistributionSamples">2</definedName>
    <definedName name="RiskFixedSeed">1</definedName>
    <definedName name="RiskMinimizeOnStart">FALSE</definedName>
    <definedName name="RiskMonitorConvergence">FALSE</definedName>
    <definedName name="RiskNumIterations">3000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StatFunctions">TRUE</definedName>
    <definedName name="RiskUseDifferentSeedForEachSim">FALSE</definedName>
    <definedName name="RiskUseFixedSeed">FALSE</definedName>
    <definedName name="rngComplDate" localSheetId="5">#REF!</definedName>
    <definedName name="rngComplDate" localSheetId="4">#REF!</definedName>
    <definedName name="rngComplDate" localSheetId="6">#REF!</definedName>
    <definedName name="rngComplDate">#REF!</definedName>
    <definedName name="rngDueDate" localSheetId="4">#REF!</definedName>
    <definedName name="rngDueDate" localSheetId="6">#REF!</definedName>
    <definedName name="rngDueDate">#REF!</definedName>
    <definedName name="rngGate0" localSheetId="4">#REF!</definedName>
    <definedName name="rngGate0" localSheetId="6">#REF!</definedName>
    <definedName name="rngGate0">#REF!</definedName>
    <definedName name="rngGate1" localSheetId="4">#REF!</definedName>
    <definedName name="rngGate1" localSheetId="6">#REF!</definedName>
    <definedName name="rngGate1">#REF!</definedName>
    <definedName name="rngGate2" localSheetId="4">#REF!</definedName>
    <definedName name="rngGate2" localSheetId="6">#REF!</definedName>
    <definedName name="rngGate2">#REF!</definedName>
    <definedName name="rngGate3" localSheetId="4">#REF!</definedName>
    <definedName name="rngGate3" localSheetId="6">#REF!</definedName>
    <definedName name="rngGate3">#REF!</definedName>
    <definedName name="rngGate4" localSheetId="4">#REF!</definedName>
    <definedName name="rngGate4" localSheetId="6">#REF!</definedName>
    <definedName name="rngGate4">#REF!</definedName>
    <definedName name="rngGate41" localSheetId="4">#REF!</definedName>
    <definedName name="rngGate41" localSheetId="6">#REF!</definedName>
    <definedName name="rngGate41">#REF!</definedName>
    <definedName name="rngGate5" localSheetId="4">#REF!</definedName>
    <definedName name="rngGate5" localSheetId="6">#REF!</definedName>
    <definedName name="rngGate5">#REF!</definedName>
    <definedName name="rngGate6" localSheetId="4">#REF!</definedName>
    <definedName name="rngGate6" localSheetId="6">#REF!</definedName>
    <definedName name="rngGate6">#REF!</definedName>
    <definedName name="rngGate7" localSheetId="4">#REF!</definedName>
    <definedName name="rngGate7" localSheetId="6">#REF!</definedName>
    <definedName name="rngGate7">#REF!</definedName>
    <definedName name="rngGate8" localSheetId="4">#REF!</definedName>
    <definedName name="rngGate8" localSheetId="6">#REF!</definedName>
    <definedName name="rngGate8">#REF!</definedName>
    <definedName name="rngGate9" localSheetId="4">#REF!</definedName>
    <definedName name="rngGate9" localSheetId="6">#REF!</definedName>
    <definedName name="rngGate9">#REF!</definedName>
    <definedName name="rngMile" localSheetId="4">#REF!</definedName>
    <definedName name="rngMile" localSheetId="6">#REF!</definedName>
    <definedName name="rngMile">#REF!</definedName>
    <definedName name="rngProjPlanStep" localSheetId="4">#REF!</definedName>
    <definedName name="rngProjPlanStep" localSheetId="6">#REF!</definedName>
    <definedName name="rngProjPlanStep">#REF!</definedName>
    <definedName name="rngRealValues" localSheetId="4">#REF!</definedName>
    <definedName name="rngRealValues" localSheetId="6">#REF!</definedName>
    <definedName name="rngRealValues">#REF!</definedName>
    <definedName name="rngRevDueDate" localSheetId="4">#REF!</definedName>
    <definedName name="rngRevDueDate" localSheetId="6">#REF!</definedName>
    <definedName name="rngRevDueDate">#REF!</definedName>
    <definedName name="rngStopLight" localSheetId="4">#REF!</definedName>
    <definedName name="rngStopLight" localSheetId="6">#REF!</definedName>
    <definedName name="rngStopLight">#REF!</definedName>
    <definedName name="roic">#REF!</definedName>
    <definedName name="Row.Template">#REF!</definedName>
    <definedName name="Row.Template.NoPMDownrate">#REF!</definedName>
    <definedName name="Row.Template.SubTotal">#REF!</definedName>
    <definedName name="rr" localSheetId="4">#REF!</definedName>
    <definedName name="rr" localSheetId="0">#REF!</definedName>
    <definedName name="rr" localSheetId="6">#REF!</definedName>
    <definedName name="rr">#REF!</definedName>
    <definedName name="RRate" localSheetId="4">#REF!</definedName>
    <definedName name="RRate" localSheetId="6">#REF!</definedName>
    <definedName name="RRate">#REF!</definedName>
    <definedName name="rrr" localSheetId="4">#REF!</definedName>
    <definedName name="rrr" localSheetId="0">#REF!</definedName>
    <definedName name="rrr" localSheetId="6">#REF!</definedName>
    <definedName name="rrr">#REF!</definedName>
    <definedName name="RRRate" localSheetId="4">#REF!</definedName>
    <definedName name="RRRate" localSheetId="6">#REF!</definedName>
    <definedName name="RRRate">#REF!</definedName>
    <definedName name="rrrr" localSheetId="5">#REF!</definedName>
    <definedName name="rrrr" localSheetId="4">#REF!</definedName>
    <definedName name="rrrr" localSheetId="0">#REF!</definedName>
    <definedName name="rrrr" localSheetId="6">#REF!</definedName>
    <definedName name="rrrr">#REF!</definedName>
    <definedName name="RRRRate" localSheetId="4">#REF!</definedName>
    <definedName name="RRRRate" localSheetId="6">#REF!</definedName>
    <definedName name="RRRRate">#REF!</definedName>
    <definedName name="rrrrr" localSheetId="7" hidden="1">{"whole",#N/A,FALSE,"Gen_Dist_Act_Bud";"whole",#N/A,FALSE,"Gen_Dist_T3months";"whole",#N/A,FALSE,"GD_PerP";"whole",#N/A,FALSE,"HR Dist'n"}</definedName>
    <definedName name="rrrrr" localSheetId="3" hidden="1">{"whole",#N/A,FALSE,"Gen_Dist_Act_Bud";"whole",#N/A,FALSE,"Gen_Dist_T3months";"whole",#N/A,FALSE,"GD_PerP";"whole",#N/A,FALSE,"HR Dist'n"}</definedName>
    <definedName name="rrrrr" localSheetId="5" hidden="1">{"whole",#N/A,FALSE,"Gen_Dist_Act_Bud";"whole",#N/A,FALSE,"Gen_Dist_T3months";"whole",#N/A,FALSE,"GD_PerP";"whole",#N/A,FALSE,"HR Dist'n"}</definedName>
    <definedName name="rrrrr" localSheetId="4" hidden="1">{"whole",#N/A,FALSE,"Gen_Dist_Act_Bud";"whole",#N/A,FALSE,"Gen_Dist_T3months";"whole",#N/A,FALSE,"GD_PerP";"whole",#N/A,FALSE,"HR Dist'n"}</definedName>
    <definedName name="rrrrr" localSheetId="6" hidden="1">{"whole",#N/A,FALSE,"Gen_Dist_Act_Bud";"whole",#N/A,FALSE,"Gen_Dist_T3months";"whole",#N/A,FALSE,"GD_PerP";"whole",#N/A,FALSE,"HR Dist'n"}</definedName>
    <definedName name="rrrrr" hidden="1">{"whole",#N/A,FALSE,"Gen_Dist_Act_Bud";"whole",#N/A,FALSE,"Gen_Dist_T3months";"whole",#N/A,FALSE,"GD_PerP";"whole",#N/A,FALSE,"HR Dist'n"}</definedName>
    <definedName name="RTAE" localSheetId="7">#REF!</definedName>
    <definedName name="RTAE" localSheetId="5">#REF!</definedName>
    <definedName name="RTAE" localSheetId="4">#REF!</definedName>
    <definedName name="RTAE" localSheetId="6">#REF!</definedName>
    <definedName name="RTAE">#REF!</definedName>
    <definedName name="RunChosenQueries">"RunChosenQueries"</definedName>
    <definedName name="s" localSheetId="4">gr_start4:gr_end4</definedName>
    <definedName name="S">#N/A</definedName>
    <definedName name="S._America">#N/A</definedName>
    <definedName name="S.America">#N/A</definedName>
    <definedName name="S_DoneDate" localSheetId="7">#REF!</definedName>
    <definedName name="S_DoneDate">#REF!</definedName>
    <definedName name="s_hub_cost" localSheetId="7">#REF!</definedName>
    <definedName name="s_hub_cost">#REF!</definedName>
    <definedName name="s_rate" localSheetId="7">#REF!</definedName>
    <definedName name="s_rate">#REF!</definedName>
    <definedName name="S1.5V">1.5</definedName>
    <definedName name="S1.5V_LOAD">#REF!</definedName>
    <definedName name="S12V">12</definedName>
    <definedName name="S12V_LOAD">#REF!</definedName>
    <definedName name="S3.3V">3.3</definedName>
    <definedName name="S3.3V_LOAD">#REF!</definedName>
    <definedName name="S5V">5</definedName>
    <definedName name="S5V_LOAD">#REF!</definedName>
    <definedName name="sadfasdfasdf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fasdfasdf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fasdfasdf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fasdfasdf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fasdfasdf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fasdfasdf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fasdgasdfsadg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sadfasdgasdfsadg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sadfasdgasdfsadg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sadfasdgasdfsadg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sadfasdgasdfsadg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sadfasdgasdfsadg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sadgewrzaf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gewrzaf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gewrzaf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gewrzaf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gewrzaf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dgewrzaf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afari" localSheetId="7">#REF!</definedName>
    <definedName name="Safari" localSheetId="6">#REF!</definedName>
    <definedName name="Safari">#REF!</definedName>
    <definedName name="salesfcast" localSheetId="7">#REF!</definedName>
    <definedName name="salesfcast">#REF!</definedName>
    <definedName name="SalesLoc" localSheetId="7">#REF!</definedName>
    <definedName name="SalesLoc" localSheetId="5">#REF!</definedName>
    <definedName name="SalesLoc" localSheetId="4">#REF!</definedName>
    <definedName name="SalesLoc" localSheetId="6">#REF!</definedName>
    <definedName name="SalesLoc">#REF!</definedName>
    <definedName name="Sam_s_Club" localSheetId="4">#REF!</definedName>
    <definedName name="Sam_s_Club" localSheetId="6">#REF!</definedName>
    <definedName name="Sam_s_Club">#REF!</definedName>
    <definedName name="Sample">#REF!</definedName>
    <definedName name="SAPBEXrevision" hidden="1">0</definedName>
    <definedName name="SAPBEXsysID" hidden="1">"P26"</definedName>
    <definedName name="SAPBEXwbID" hidden="1">"BENMQQPFSWO64XSQBV2UVEK5O"</definedName>
    <definedName name="Savings">#REF!</definedName>
    <definedName name="SC" localSheetId="7">#REF!</definedName>
    <definedName name="SC">#REF!</definedName>
    <definedName name="schedule" localSheetId="7">#REF!</definedName>
    <definedName name="schedule">#REF!</definedName>
    <definedName name="scope" localSheetId="5">#REF!</definedName>
    <definedName name="scope" localSheetId="4">#REF!</definedName>
    <definedName name="scope" localSheetId="6">#REF!</definedName>
    <definedName name="scope">#REF!</definedName>
    <definedName name="Scorpio" localSheetId="4">#REF!</definedName>
    <definedName name="Scorpio" localSheetId="6">#REF!</definedName>
    <definedName name="Scorpio">#REF!</definedName>
    <definedName name="scot_hub_cost">#REF!</definedName>
    <definedName name="SCP" localSheetId="4">#REF!</definedName>
    <definedName name="SCP" localSheetId="6">#REF!</definedName>
    <definedName name="SCP">#REF!</definedName>
    <definedName name="Scrap1" localSheetId="5">#REF!</definedName>
    <definedName name="Scrap1" localSheetId="4">#REF!</definedName>
    <definedName name="Scrap1" localSheetId="6">#REF!</definedName>
    <definedName name="Scrap1">#REF!</definedName>
    <definedName name="Scrap2" localSheetId="4">#REF!</definedName>
    <definedName name="Scrap2" localSheetId="6">#REF!</definedName>
    <definedName name="Scrap2">#REF!</definedName>
    <definedName name="Screw_Wear">#REF!</definedName>
    <definedName name="sdd">#N/A</definedName>
    <definedName name="SDFG" localSheetId="7" hidden="1">{#N/A,#N/A,FALSE,"Summary";#N/A,#N/A,FALSE,"Details";#N/A,#N/A,FALSE,"Month-Hd";#N/A,#N/A,FALSE,"YTD-Hd";#N/A,#N/A,FALSE,"Capital"}</definedName>
    <definedName name="SDFG" localSheetId="3" hidden="1">{#N/A,#N/A,FALSE,"Summary";#N/A,#N/A,FALSE,"Details";#N/A,#N/A,FALSE,"Month-Hd";#N/A,#N/A,FALSE,"YTD-Hd";#N/A,#N/A,FALSE,"Capital"}</definedName>
    <definedName name="SDFG" localSheetId="5" hidden="1">{#N/A,#N/A,FALSE,"Summary";#N/A,#N/A,FALSE,"Details";#N/A,#N/A,FALSE,"Month-Hd";#N/A,#N/A,FALSE,"YTD-Hd";#N/A,#N/A,FALSE,"Capital"}</definedName>
    <definedName name="SDFG" localSheetId="4" hidden="1">{#N/A,#N/A,FALSE,"Summary";#N/A,#N/A,FALSE,"Details";#N/A,#N/A,FALSE,"Month-Hd";#N/A,#N/A,FALSE,"YTD-Hd";#N/A,#N/A,FALSE,"Capital"}</definedName>
    <definedName name="SDFG" localSheetId="6" hidden="1">{#N/A,#N/A,FALSE,"Summary";#N/A,#N/A,FALSE,"Details";#N/A,#N/A,FALSE,"Month-Hd";#N/A,#N/A,FALSE,"YTD-Hd";#N/A,#N/A,FALSE,"Capital"}</definedName>
    <definedName name="SDFG" hidden="1">{#N/A,#N/A,FALSE,"Summary";#N/A,#N/A,FALSE,"Details";#N/A,#N/A,FALSE,"Month-Hd";#N/A,#N/A,FALSE,"YTD-Hd";#N/A,#N/A,FALSE,"Capital"}</definedName>
    <definedName name="sdfsa">#N/A</definedName>
    <definedName name="SDGUSD">#REF!</definedName>
    <definedName name="SDS">#N/A</definedName>
    <definedName name="SDSAD">#N/A</definedName>
    <definedName name="Sears" localSheetId="7">#REF!</definedName>
    <definedName name="Sears" localSheetId="5">#REF!</definedName>
    <definedName name="Sears" localSheetId="4">#REF!</definedName>
    <definedName name="Sears" localSheetId="6">#REF!</definedName>
    <definedName name="Sears">#REF!</definedName>
    <definedName name="SECP" localSheetId="7">#REF!</definedName>
    <definedName name="SECP">#REF!</definedName>
    <definedName name="selActFcst" localSheetId="7">#REF!</definedName>
    <definedName name="selActFcst" localSheetId="4">#REF!</definedName>
    <definedName name="selActFcst" localSheetId="6">#REF!</definedName>
    <definedName name="selActFcst">#REF!</definedName>
    <definedName name="selAnnualizedDenominator" localSheetId="4">#REF!</definedName>
    <definedName name="selAnnualizedDenominator" localSheetId="6">#REF!</definedName>
    <definedName name="selAnnualizedDenominator">#REF!</definedName>
    <definedName name="selBudFcst" localSheetId="4">#REF!</definedName>
    <definedName name="selBudFcst" localSheetId="6">#REF!</definedName>
    <definedName name="selBudFcst">#REF!</definedName>
    <definedName name="selFiscalMonthNumber" localSheetId="4">#REF!</definedName>
    <definedName name="selFiscalMonthNumber" localSheetId="6">#REF!</definedName>
    <definedName name="selFiscalMonthNumber">#REF!</definedName>
    <definedName name="selFiscalQuarterName" localSheetId="4">#REF!</definedName>
    <definedName name="selFiscalQuarterName" localSheetId="6">#REF!</definedName>
    <definedName name="selFiscalQuarterName">#REF!</definedName>
    <definedName name="selFiscalQuarterNumber" localSheetId="4">#REF!</definedName>
    <definedName name="selFiscalQuarterNumber" localSheetId="6">#REF!</definedName>
    <definedName name="selFiscalQuarterNumber">#REF!</definedName>
    <definedName name="selReportDate" localSheetId="4">#REF!</definedName>
    <definedName name="selReportDate" localSheetId="6">#REF!</definedName>
    <definedName name="selReportDate">#REF!</definedName>
    <definedName name="selReportOrgSummary" localSheetId="4">#REF!</definedName>
    <definedName name="selReportOrgSummary" localSheetId="6">#REF!</definedName>
    <definedName name="selReportOrgSummary">#REF!</definedName>
    <definedName name="selReportPeriodTitle" localSheetId="4">#REF!</definedName>
    <definedName name="selReportPeriodTitle" localSheetId="6">#REF!</definedName>
    <definedName name="selReportPeriodTitle">#REF!</definedName>
    <definedName name="selReportSubTitle" localSheetId="4">#REF!</definedName>
    <definedName name="selReportSubTitle" localSheetId="6">#REF!</definedName>
    <definedName name="selReportSubTitle">#REF!</definedName>
    <definedName name="selReportTitle" localSheetId="7">#REF!</definedName>
    <definedName name="selReportTitle" localSheetId="4">#REF!</definedName>
    <definedName name="selReportTitle" localSheetId="6">#REF!</definedName>
    <definedName name="selReportTitle">#REF!</definedName>
    <definedName name="selSalesLocation" localSheetId="4">#REF!</definedName>
    <definedName name="selSalesLocation" localSheetId="6">#REF!</definedName>
    <definedName name="selSalesLocation">#REF!</definedName>
    <definedName name="selView" localSheetId="4">#REF!</definedName>
    <definedName name="selView" localSheetId="6">#REF!</definedName>
    <definedName name="selView">#REF!</definedName>
    <definedName name="selViewDesc" localSheetId="4">#REF!</definedName>
    <definedName name="selViewDesc" localSheetId="6">#REF!</definedName>
    <definedName name="selViewDesc">#REF!</definedName>
    <definedName name="selWWArea" localSheetId="4">#REF!</definedName>
    <definedName name="selWWArea" localSheetId="6">#REF!</definedName>
    <definedName name="selWWArea">#REF!</definedName>
    <definedName name="selWWRegion" localSheetId="4">#REF!</definedName>
    <definedName name="selWWRegion" localSheetId="6">#REF!</definedName>
    <definedName name="selWWRegion">#REF!</definedName>
    <definedName name="selWWSubRegion" localSheetId="4">#REF!</definedName>
    <definedName name="selWWSubRegion" localSheetId="6">#REF!</definedName>
    <definedName name="selWWSubRegion">#REF!</definedName>
    <definedName name="Sep05_Act">#REF!</definedName>
    <definedName name="Serial" localSheetId="4">#REF!</definedName>
    <definedName name="Serial" localSheetId="6">#REF!</definedName>
    <definedName name="Serial">#REF!</definedName>
    <definedName name="SFX_Data">#N/A</definedName>
    <definedName name="SFX_WBData">#N/A</definedName>
    <definedName name="SFX_WBData_A_First">#N/A</definedName>
    <definedName name="SFX_WBData_A_Last">#N/A</definedName>
    <definedName name="SFX_WBData_B_First">#N/A</definedName>
    <definedName name="SFX_WBData_B_Last">#N/A</definedName>
    <definedName name="SGD">#REF!</definedName>
    <definedName name="SGDA">#REF!</definedName>
    <definedName name="SGDRM">#REF!</definedName>
    <definedName name="SGDUSD">#REF!</definedName>
    <definedName name="SGP_USA" localSheetId="5">#REF!</definedName>
    <definedName name="SGP_USA" localSheetId="4">#REF!</definedName>
    <definedName name="SGP_USA" localSheetId="6">#REF!</definedName>
    <definedName name="SGP_USA">#REF!</definedName>
    <definedName name="share" localSheetId="5">#REF!</definedName>
    <definedName name="share" localSheetId="4">#REF!</definedName>
    <definedName name="share" localSheetId="6">#REF!</definedName>
    <definedName name="share">#REF!</definedName>
    <definedName name="Sheehan_Baseline">#REF!</definedName>
    <definedName name="Sheehan_Cost_Reduction">#REF!</definedName>
    <definedName name="Sheehan_Ext_Cost">#REF!</definedName>
    <definedName name="Sheehan_Reduction_Percentage">#REF!</definedName>
    <definedName name="Sheet.Number">1</definedName>
    <definedName name="Sheet1t">#REF!</definedName>
    <definedName name="Sheet1t_t">#REF!</definedName>
    <definedName name="Sheet2t">#REF!</definedName>
    <definedName name="Sheet2t_t">#REF!</definedName>
    <definedName name="Sheet3t">#REF!</definedName>
    <definedName name="Sheet3t_t">#REF!</definedName>
    <definedName name="Sher_Baseline">#REF!</definedName>
    <definedName name="Sher_Cost_Reduction">#REF!</definedName>
    <definedName name="Sher_Ext_Cost">#REF!</definedName>
    <definedName name="Sher_Reduction_Percentage">#REF!</definedName>
    <definedName name="Shield" localSheetId="4">#REF!</definedName>
    <definedName name="Shield" localSheetId="6">#REF!</definedName>
    <definedName name="Shield">#REF!</definedName>
    <definedName name="Shield_Box" localSheetId="4">#REF!</definedName>
    <definedName name="Shield_Box" localSheetId="6">#REF!</definedName>
    <definedName name="Shield_Box">#REF!</definedName>
    <definedName name="shieldingbox" localSheetId="4">#REF!</definedName>
    <definedName name="shieldingbox" localSheetId="6">#REF!</definedName>
    <definedName name="shieldingbox">#REF!</definedName>
    <definedName name="shift_time1" localSheetId="4">#REF!</definedName>
    <definedName name="shift_time1" localSheetId="6">#REF!</definedName>
    <definedName name="shift_time1">#REF!</definedName>
    <definedName name="Shop_rate">#REF!</definedName>
    <definedName name="Show_All">"CommandButton1"</definedName>
    <definedName name="Show_M">#N/A</definedName>
    <definedName name="Show_M1">#N/A</definedName>
    <definedName name="Show_M2">#N/A</definedName>
    <definedName name="SIN2US">#REF!</definedName>
    <definedName name="sing_hub_cost">#REF!</definedName>
    <definedName name="Site_Selected">#REF!</definedName>
    <definedName name="siwei" hidden="1">#N/A</definedName>
    <definedName name="size">#REF!</definedName>
    <definedName name="skm" localSheetId="7" hidden="1">{"'Broadway ML#4'!$J$7:$N$490"}</definedName>
    <definedName name="skm">{"'Broadway ML#4'!$J$7:$N$490"}</definedName>
    <definedName name="skydive" localSheetId="7">#REF!</definedName>
    <definedName name="skydive">#REF!</definedName>
    <definedName name="SL73Z" localSheetId="5">#REF!</definedName>
    <definedName name="SL73Z" localSheetId="4">#REF!</definedName>
    <definedName name="SL73Z" localSheetId="0">#REF!</definedName>
    <definedName name="SL73Z" localSheetId="6">#REF!</definedName>
    <definedName name="SL73Z">#REF!</definedName>
    <definedName name="Slide">#REF!</definedName>
    <definedName name="slide30" localSheetId="4">#REF!</definedName>
    <definedName name="slide30" localSheetId="6">#REF!</definedName>
    <definedName name="slide30">#REF!</definedName>
    <definedName name="slide31" localSheetId="4">#REF!</definedName>
    <definedName name="slide31" localSheetId="6">#REF!</definedName>
    <definedName name="slide31">#REF!</definedName>
    <definedName name="slide32" localSheetId="4">#REF!</definedName>
    <definedName name="slide32" localSheetId="6">#REF!</definedName>
    <definedName name="slide32">#REF!</definedName>
    <definedName name="slide33" localSheetId="4">#REF!</definedName>
    <definedName name="slide33" localSheetId="6">#REF!</definedName>
    <definedName name="slide33">#REF!</definedName>
    <definedName name="slide34" localSheetId="4">#REF!</definedName>
    <definedName name="slide34" localSheetId="6">#REF!</definedName>
    <definedName name="slide34">#REF!</definedName>
    <definedName name="slide35" localSheetId="4">#REF!</definedName>
    <definedName name="slide35" localSheetId="6">#REF!</definedName>
    <definedName name="slide35">#REF!</definedName>
    <definedName name="slide36" localSheetId="4">#REF!</definedName>
    <definedName name="slide36" localSheetId="6">#REF!</definedName>
    <definedName name="slide36">#REF!</definedName>
    <definedName name="slide37a" localSheetId="4">#REF!</definedName>
    <definedName name="slide37a" localSheetId="6">#REF!</definedName>
    <definedName name="slide37a">#REF!</definedName>
    <definedName name="slide37b" localSheetId="4">#REF!</definedName>
    <definedName name="slide37b" localSheetId="6">#REF!</definedName>
    <definedName name="slide37b">#REF!</definedName>
    <definedName name="slide37c" localSheetId="4">#REF!</definedName>
    <definedName name="slide37c" localSheetId="6">#REF!</definedName>
    <definedName name="slide37c">#REF!</definedName>
    <definedName name="slide38" localSheetId="7">#REF!</definedName>
    <definedName name="slide38" localSheetId="4">#REF!</definedName>
    <definedName name="slide38" localSheetId="6">#REF!</definedName>
    <definedName name="slide38">#REF!</definedName>
    <definedName name="slide43" localSheetId="7">#REF!</definedName>
    <definedName name="slide43" localSheetId="4">#REF!</definedName>
    <definedName name="slide43" localSheetId="6">#REF!</definedName>
    <definedName name="slide43">#REF!</definedName>
    <definedName name="slide44" localSheetId="7">#REF!</definedName>
    <definedName name="slide44" localSheetId="4">#REF!</definedName>
    <definedName name="slide44" localSheetId="6">#REF!</definedName>
    <definedName name="slide44">#REF!</definedName>
    <definedName name="Slide5" localSheetId="4">#REF!</definedName>
    <definedName name="Slide5" localSheetId="6">#REF!</definedName>
    <definedName name="Slide5">#REF!</definedName>
    <definedName name="Slide8" localSheetId="4">#REF!</definedName>
    <definedName name="Slide8" localSheetId="6">#REF!</definedName>
    <definedName name="Slide8">#REF!</definedName>
    <definedName name="Slide9" localSheetId="4">#REF!</definedName>
    <definedName name="Slide9" localSheetId="6">#REF!</definedName>
    <definedName name="Slide9">#REF!</definedName>
    <definedName name="SMT_LOAD">#REF!</definedName>
    <definedName name="SMT_LOAD_B">#REF!</definedName>
    <definedName name="SMTA">#REF!</definedName>
    <definedName name="SMTB">#REF!</definedName>
    <definedName name="sop">#REF!</definedName>
    <definedName name="sour">#REF!</definedName>
    <definedName name="source">#REF!</definedName>
    <definedName name="SP" localSheetId="5">#REF!</definedName>
    <definedName name="SP" localSheetId="4">#REF!</definedName>
    <definedName name="SP" localSheetId="6">#REF!</definedName>
    <definedName name="SP">#REF!</definedName>
    <definedName name="spd" localSheetId="4">#REF!</definedName>
    <definedName name="spd" localSheetId="6">#REF!</definedName>
    <definedName name="spd">#REF!</definedName>
    <definedName name="SpecificationChanges" localSheetId="3">#REF!</definedName>
    <definedName name="SpecificationChanges" localSheetId="4">#REF!</definedName>
    <definedName name="SpecificationChanges" localSheetId="0">#REF!</definedName>
    <definedName name="SpecificationChanges" localSheetId="6">#REF!</definedName>
    <definedName name="SpecificationChanges">#REF!</definedName>
    <definedName name="spectrum" localSheetId="4">#REF!</definedName>
    <definedName name="spectrum" localSheetId="6">#REF!</definedName>
    <definedName name="spectrum">#REF!</definedName>
    <definedName name="SPEED">#REF!</definedName>
    <definedName name="split" localSheetId="4">#REF!</definedName>
    <definedName name="split" localSheetId="6">#REF!</definedName>
    <definedName name="split">#REF!</definedName>
    <definedName name="SPoint" localSheetId="4">#REF!</definedName>
    <definedName name="SPoint" localSheetId="6">#REF!</definedName>
    <definedName name="SPoint">#REF!</definedName>
    <definedName name="spu">#REF!</definedName>
    <definedName name="SPURR">#REF!</definedName>
    <definedName name="spurra">#REF!</definedName>
    <definedName name="SPWS_WBID">"4A4D7162-7386-11D4-9EB4-00C04FF3A6C6"</definedName>
    <definedName name="sqlCommand">1146159107</definedName>
    <definedName name="sqlError">754647045</definedName>
    <definedName name="sqlLogin">-249626624</definedName>
    <definedName name="sqlLogoff">1642528770</definedName>
    <definedName name="sqlPassword">526581764</definedName>
    <definedName name="sqlQuery">-1686372351</definedName>
    <definedName name="sqlUpdate">-1036517370</definedName>
    <definedName name="ss">#N/A</definedName>
    <definedName name="sss">#N/A</definedName>
    <definedName name="ST" localSheetId="7">#REF!</definedName>
    <definedName name="ST">#REF!</definedName>
    <definedName name="STADT" localSheetId="7">#REF!</definedName>
    <definedName name="STADT">#REF!</definedName>
    <definedName name="stampingtonnage" localSheetId="7">#REF!</definedName>
    <definedName name="stampingtonnage">#REF!</definedName>
    <definedName name="start" localSheetId="5">#REF!</definedName>
    <definedName name="start" localSheetId="4">#REF!</definedName>
    <definedName name="start" localSheetId="6">#REF!</definedName>
    <definedName name="start">#REF!</definedName>
    <definedName name="Start.Sheet1">#REF!</definedName>
    <definedName name="Start.Sheet2">#REF!</definedName>
    <definedName name="Startpoint" localSheetId="4">#REF!</definedName>
    <definedName name="Startpoint" localSheetId="6">#REF!</definedName>
    <definedName name="Startpoint">#REF!</definedName>
    <definedName name="Startpoint1" localSheetId="4">#REF!</definedName>
    <definedName name="Startpoint1" localSheetId="6">#REF!</definedName>
    <definedName name="Startpoint1">#REF!</definedName>
    <definedName name="Starttime">36217.5785484954</definedName>
    <definedName name="STD">#REF!</definedName>
    <definedName name="stk">#REF!</definedName>
    <definedName name="stock" localSheetId="7">#REF!</definedName>
    <definedName name="stock" localSheetId="5">#REF!</definedName>
    <definedName name="stock" localSheetId="4">#REF!</definedName>
    <definedName name="stock" localSheetId="6">#REF!</definedName>
    <definedName name="stock">#REF!</definedName>
    <definedName name="Stock_OH" localSheetId="4">#REF!</definedName>
    <definedName name="Stock_OH" localSheetId="6">#REF!</definedName>
    <definedName name="Stock_OH">#REF!</definedName>
    <definedName name="Stream" localSheetId="4">#REF!</definedName>
    <definedName name="Stream" localSheetId="6">#REF!</definedName>
    <definedName name="Stream">#REF!</definedName>
    <definedName name="SU">#REF!</definedName>
    <definedName name="sub">#REF!</definedName>
    <definedName name="Subtotal.Block.Columns">#REF!</definedName>
    <definedName name="SubTotal.Directives">#REF!</definedName>
    <definedName name="SUCOST">#REF!</definedName>
    <definedName name="SUM_TABLE">#REF!</definedName>
    <definedName name="Summary.Template">#REF!</definedName>
    <definedName name="SummarySheetNum">1</definedName>
    <definedName name="SuperAuth">#REF!</definedName>
    <definedName name="superman">#REF!</definedName>
    <definedName name="Supplier_Code">#REF!</definedName>
    <definedName name="SupplierInfo" localSheetId="3">#REF!</definedName>
    <definedName name="SupplierInfo" localSheetId="4">#REF!</definedName>
    <definedName name="SupplierInfo" localSheetId="0">#REF!</definedName>
    <definedName name="SupplierInfo" localSheetId="6">#REF!</definedName>
    <definedName name="SupplierInfo">#REF!</definedName>
    <definedName name="supply">#REF!</definedName>
    <definedName name="switches">#REF!</definedName>
    <definedName name="SWT">#REF!</definedName>
    <definedName name="SYS320N" localSheetId="4">#REF!</definedName>
    <definedName name="SYS320N" localSheetId="0">#REF!</definedName>
    <definedName name="SYS320N" localSheetId="6">#REF!</definedName>
    <definedName name="SYS320N">#REF!</definedName>
    <definedName name="SYS320SLI" localSheetId="4">#REF!</definedName>
    <definedName name="SYS320SLI" localSheetId="0">#REF!</definedName>
    <definedName name="SYS320SLI" localSheetId="6">#REF!</definedName>
    <definedName name="SYS320SLI">#REF!</definedName>
    <definedName name="SYS325P" localSheetId="4">#REF!</definedName>
    <definedName name="SYS325P" localSheetId="0">#REF!</definedName>
    <definedName name="SYS325P" localSheetId="6">#REF!</definedName>
    <definedName name="SYS325P">#REF!</definedName>
    <definedName name="SYS325SX" localSheetId="4">#REF!</definedName>
    <definedName name="SYS325SX" localSheetId="0">#REF!</definedName>
    <definedName name="SYS325SX" localSheetId="6">#REF!</definedName>
    <definedName name="SYS325SX">#REF!</definedName>
    <definedName name="SYS333SL" localSheetId="4">#REF!</definedName>
    <definedName name="SYS333SL" localSheetId="0">#REF!</definedName>
    <definedName name="SYS333SL" localSheetId="6">#REF!</definedName>
    <definedName name="SYS333SL">#REF!</definedName>
    <definedName name="SYS420DE" localSheetId="4">#REF!</definedName>
    <definedName name="SYS420DE" localSheetId="0">#REF!</definedName>
    <definedName name="SYS420DE" localSheetId="6">#REF!</definedName>
    <definedName name="SYS420DE">#REF!</definedName>
    <definedName name="SYS420SE" localSheetId="4">#REF!</definedName>
    <definedName name="SYS420SE" localSheetId="0">#REF!</definedName>
    <definedName name="SYS420SE" localSheetId="6">#REF!</definedName>
    <definedName name="SYS420SE">#REF!</definedName>
    <definedName name="SYS466DSA" localSheetId="4">#REF!</definedName>
    <definedName name="SYS466DSA" localSheetId="0">#REF!</definedName>
    <definedName name="SYS466DSA" localSheetId="6">#REF!</definedName>
    <definedName name="SYS466DSA">#REF!</definedName>
    <definedName name="SYS486D" localSheetId="4">#REF!</definedName>
    <definedName name="SYS486D" localSheetId="0">#REF!</definedName>
    <definedName name="SYS486D" localSheetId="6">#REF!</definedName>
    <definedName name="SYS486D">#REF!</definedName>
    <definedName name="SYS486L" localSheetId="4">#REF!</definedName>
    <definedName name="SYS486L" localSheetId="0">#REF!</definedName>
    <definedName name="SYS486L" localSheetId="6">#REF!</definedName>
    <definedName name="SYS486L">#REF!</definedName>
    <definedName name="SYS486M" localSheetId="4">#REF!</definedName>
    <definedName name="SYS486M" localSheetId="0">#REF!</definedName>
    <definedName name="SYS486M" localSheetId="6">#REF!</definedName>
    <definedName name="SYS486M">#REF!</definedName>
    <definedName name="SYS486ME" localSheetId="4">#REF!</definedName>
    <definedName name="SYS486ME" localSheetId="0">#REF!</definedName>
    <definedName name="SYS486ME" localSheetId="6">#REF!</definedName>
    <definedName name="SYS486ME">#REF!</definedName>
    <definedName name="SYS486P" localSheetId="4">#REF!</definedName>
    <definedName name="SYS486P" localSheetId="0">#REF!</definedName>
    <definedName name="SYS486P" localSheetId="6">#REF!</definedName>
    <definedName name="SYS486P">#REF!</definedName>
    <definedName name="SYS486T" localSheetId="4">#REF!</definedName>
    <definedName name="SYS486T" localSheetId="0">#REF!</definedName>
    <definedName name="SYS486T" localSheetId="6">#REF!</definedName>
    <definedName name="SYS486T">#REF!</definedName>
    <definedName name="SYSDGX" localSheetId="4">#REF!</definedName>
    <definedName name="SYSDGX" localSheetId="0">#REF!</definedName>
    <definedName name="SYSDGX" localSheetId="6">#REF!</definedName>
    <definedName name="SYSDGX">#REF!</definedName>
    <definedName name="SYSEMS753" localSheetId="4">#REF!</definedName>
    <definedName name="SYSEMS753" localSheetId="0">#REF!</definedName>
    <definedName name="SYSEMS753" localSheetId="6">#REF!</definedName>
    <definedName name="SYSEMS753">#REF!</definedName>
    <definedName name="SYSNL25" localSheetId="4">#REF!</definedName>
    <definedName name="SYSNL25" localSheetId="0">#REF!</definedName>
    <definedName name="SYSNL25" localSheetId="6">#REF!</definedName>
    <definedName name="SYSNL25">#REF!</definedName>
    <definedName name="System__Check_List">#N/A</definedName>
    <definedName name="T" localSheetId="7">#REF!</definedName>
    <definedName name="T" localSheetId="5">#REF!</definedName>
    <definedName name="t" localSheetId="4">#REF!</definedName>
    <definedName name="T" localSheetId="0">#REF!</definedName>
    <definedName name="T" localSheetId="6">#REF!</definedName>
    <definedName name="T">#REF!</definedName>
    <definedName name="T3_Crosstab_2" localSheetId="7">#REF!</definedName>
    <definedName name="T3_Crosstab_2" localSheetId="4">#REF!</definedName>
    <definedName name="T3_Crosstab_2" localSheetId="6">#REF!</definedName>
    <definedName name="T3_Crosstab_2">#REF!</definedName>
    <definedName name="T3003Q2">#N/A</definedName>
    <definedName name="T3003Q3">#N/A</definedName>
    <definedName name="T3003Q4">#N/A</definedName>
    <definedName name="T3007Q2">#N/A</definedName>
    <definedName name="T3007Q3">#N/A</definedName>
    <definedName name="T3007Q4">#N/A</definedName>
    <definedName name="T3009Q2">#N/A</definedName>
    <definedName name="T3009Q3">#N/A</definedName>
    <definedName name="T3009Q4">#N/A</definedName>
    <definedName name="T3011Q2" localSheetId="7">#REF!</definedName>
    <definedName name="T3011Q2" localSheetId="5">#REF!</definedName>
    <definedName name="T3011Q2" localSheetId="4">#REF!</definedName>
    <definedName name="T3011Q2" localSheetId="0">#REF!</definedName>
    <definedName name="T3011Q2" localSheetId="6">#REF!</definedName>
    <definedName name="T3011Q2">#REF!</definedName>
    <definedName name="T3011Q3" localSheetId="7">#REF!</definedName>
    <definedName name="T3011Q3" localSheetId="4">#REF!</definedName>
    <definedName name="T3011Q3" localSheetId="0">#REF!</definedName>
    <definedName name="T3011Q3" localSheetId="6">#REF!</definedName>
    <definedName name="T3011Q3">#REF!</definedName>
    <definedName name="T3011Q4" localSheetId="7">#REF!</definedName>
    <definedName name="T3011Q4" localSheetId="4">#REF!</definedName>
    <definedName name="T3011Q4" localSheetId="0">#REF!</definedName>
    <definedName name="T3011Q4" localSheetId="6">#REF!</definedName>
    <definedName name="T3011Q4">#REF!</definedName>
    <definedName name="t3011q6">#N/A</definedName>
    <definedName name="T3012Q2">#N/A</definedName>
    <definedName name="T3012Q3">#N/A</definedName>
    <definedName name="T3012Q4">#N/A</definedName>
    <definedName name="T3021Q2">#N/A</definedName>
    <definedName name="T3021Q3">#N/A</definedName>
    <definedName name="T3021Q4">#N/A</definedName>
    <definedName name="T3032Q2">#N/A</definedName>
    <definedName name="T3032Q3">#N/A</definedName>
    <definedName name="T3032Q4">#N/A</definedName>
    <definedName name="T3041Q2">#N/A</definedName>
    <definedName name="T3041Q3">#N/A</definedName>
    <definedName name="T3041Q4">#N/A</definedName>
    <definedName name="T3052Q2">#N/A</definedName>
    <definedName name="T3052Q3">#N/A</definedName>
    <definedName name="T3052Q4">#N/A</definedName>
    <definedName name="T3061Q2">#N/A</definedName>
    <definedName name="T3061Q3">#N/A</definedName>
    <definedName name="T3061Q4">#N/A</definedName>
    <definedName name="T3072Q2">#N/A</definedName>
    <definedName name="T3072Q3">#N/A</definedName>
    <definedName name="T3072Q4">#N/A</definedName>
    <definedName name="T3162Q2">#N/A</definedName>
    <definedName name="T3162Q3">#N/A</definedName>
    <definedName name="T3162Q4">#N/A</definedName>
    <definedName name="T3292Q2">#N/A</definedName>
    <definedName name="T3292Q3">#N/A</definedName>
    <definedName name="T3292Q4">#N/A</definedName>
    <definedName name="T402147B21Q2">#N/A</definedName>
    <definedName name="T402147B21Q3">#N/A</definedName>
    <definedName name="T402147B21Q4">#N/A</definedName>
    <definedName name="TAB">#REF!</definedName>
    <definedName name="TAB_SET">#REF!</definedName>
    <definedName name="table">#REF!</definedName>
    <definedName name="TABLE_1" localSheetId="5">#REF!</definedName>
    <definedName name="TABLE_1" localSheetId="4">#REF!</definedName>
    <definedName name="TABLE_1" localSheetId="6">#REF!</definedName>
    <definedName name="TABLE_1">#REF!</definedName>
    <definedName name="TABLE_1a">#REF!</definedName>
    <definedName name="TABLE_2" localSheetId="4">#REF!</definedName>
    <definedName name="TABLE_2" localSheetId="6">#REF!</definedName>
    <definedName name="TABLE_2">#REF!</definedName>
    <definedName name="TABLE_2a">#REF!</definedName>
    <definedName name="Taiwan">#N/A</definedName>
    <definedName name="Taiwan_Cur_Cap">#N/A</definedName>
    <definedName name="TANT">#REF!</definedName>
    <definedName name="Target" localSheetId="7">#REF!</definedName>
    <definedName name="Target" localSheetId="5">#REF!</definedName>
    <definedName name="Target" localSheetId="4">#REF!</definedName>
    <definedName name="Target" localSheetId="6">#REF!</definedName>
    <definedName name="Target">#REF!</definedName>
    <definedName name="tax" localSheetId="7">#REF!</definedName>
    <definedName name="tax">#REF!</definedName>
    <definedName name="TaxTV">10%</definedName>
    <definedName name="TaxXL">5%</definedName>
    <definedName name="Tbl_Plrs" localSheetId="7">#REF!</definedName>
    <definedName name="Tbl_Plrs" localSheetId="5">#REF!</definedName>
    <definedName name="Tbl_Plrs" localSheetId="4">#REF!</definedName>
    <definedName name="Tbl_Plrs" localSheetId="6">#REF!</definedName>
    <definedName name="Tbl_Plrs">#REF!</definedName>
    <definedName name="tblCumMonthCount" localSheetId="7">#REF!</definedName>
    <definedName name="tblCumMonthCount" localSheetId="4">#REF!</definedName>
    <definedName name="tblCumMonthCount" localSheetId="6">#REF!</definedName>
    <definedName name="tblCumMonthCount">#REF!</definedName>
    <definedName name="tblFiscalQuarterName" localSheetId="7">#REF!</definedName>
    <definedName name="tblFiscalQuarterName" localSheetId="4">#REF!</definedName>
    <definedName name="tblFiscalQuarterName" localSheetId="6">#REF!</definedName>
    <definedName name="tblFiscalQuarterName">#REF!</definedName>
    <definedName name="tblPOPUPwOEM" localSheetId="4">#REF!</definedName>
    <definedName name="tblPOPUPwOEM" localSheetId="6">#REF!</definedName>
    <definedName name="tblPOPUPwOEM">#REF!</definedName>
    <definedName name="Teac" localSheetId="5">#REF!</definedName>
    <definedName name="Teac" localSheetId="4">#REF!</definedName>
    <definedName name="Teac" localSheetId="0">#REF!</definedName>
    <definedName name="Teac" localSheetId="6">#REF!</definedName>
    <definedName name="Teac">#REF!</definedName>
    <definedName name="ted">#REF!</definedName>
    <definedName name="Terr" localSheetId="5">#REF!</definedName>
    <definedName name="Terr" localSheetId="4">#REF!</definedName>
    <definedName name="Terr" localSheetId="6">#REF!</definedName>
    <definedName name="Terr">#REF!</definedName>
    <definedName name="test" localSheetId="4" hidden="1">{"closed",#N/A,FALSE,"Consolidated Products - Budget";"expanded",#N/A,FALSE,"Consolidated Products - Budget"}</definedName>
    <definedName name="test_type">#REF!</definedName>
    <definedName name="TEST0">#REF!</definedName>
    <definedName name="test1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test1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test1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test1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test1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test1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Test100Percent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0">#REF!</definedName>
    <definedName name="TESTHKEY">#REF!</definedName>
    <definedName name="TESTKEYS">#REF!</definedName>
    <definedName name="TestSort">#N/A</definedName>
    <definedName name="TESTVKEY">#REF!</definedName>
    <definedName name="ThisDB" localSheetId="7">#REF!</definedName>
    <definedName name="ThisDB" localSheetId="5">#REF!</definedName>
    <definedName name="ThisDB" localSheetId="4">#REF!</definedName>
    <definedName name="ThisDB" localSheetId="0">#REF!</definedName>
    <definedName name="ThisDB" localSheetId="6">#REF!</definedName>
    <definedName name="ThisDB">#REF!</definedName>
    <definedName name="time_fct" localSheetId="7">#REF!</definedName>
    <definedName name="time_fct">#REF!</definedName>
    <definedName name="time_ict">#REF!</definedName>
    <definedName name="Tiptop__NDPS_排程_asfi640_P____M.修改備註">#N/A</definedName>
    <definedName name="Tiptop__NDPS_排程_asfi640_P____S.設定上線日">#N/A</definedName>
    <definedName name="Tiptop__NDPS_排程_asfi640_P____T.輸入完工數量">#N/A</definedName>
    <definedName name="Tiptop__NDPS_排程_asfi640_P____U.排程實績更新">#N/A</definedName>
    <definedName name="title" localSheetId="7">#REF!</definedName>
    <definedName name="title" localSheetId="5">#REF!</definedName>
    <definedName name="title" localSheetId="4">#REF!</definedName>
    <definedName name="title" localSheetId="6">#REF!</definedName>
    <definedName name="title">#REF!</definedName>
    <definedName name="TM" localSheetId="7">#REF!</definedName>
    <definedName name="TM">#REF!</definedName>
    <definedName name="TMAINT" localSheetId="7">#REF!</definedName>
    <definedName name="TMAINT">#REF!</definedName>
    <definedName name="tony">#REF!</definedName>
    <definedName name="too">#REF!</definedName>
    <definedName name="TOOL_COST18">#REF!</definedName>
    <definedName name="TOOL_COST19">#REF!</definedName>
    <definedName name="TOOL_COST20">#REF!</definedName>
    <definedName name="TOOL_COST21">#REF!</definedName>
    <definedName name="TOOL_COST22">#REF!</definedName>
    <definedName name="TOOL_COST23">#REF!</definedName>
    <definedName name="TOOL_WEIGHT18">#REF!</definedName>
    <definedName name="TOOL_WEIGHT19">#REF!</definedName>
    <definedName name="TOOL_WEIGHT20">#REF!</definedName>
    <definedName name="TOOL_WEIGHT21">#REF!</definedName>
    <definedName name="TOOL_WEIGHT22">#REF!</definedName>
    <definedName name="TOOL_WEIGHT23">#REF!</definedName>
    <definedName name="TOOLCOST">#REF!</definedName>
    <definedName name="tooling1">#REF!</definedName>
    <definedName name="TOOLS">#REF!</definedName>
    <definedName name="toolsdebut">94</definedName>
    <definedName name="toolspfpp1">7</definedName>
    <definedName name="toolspfpp2">100</definedName>
    <definedName name="TOP">#REF!</definedName>
    <definedName name="Top_Case_Module_Check_List">#N/A</definedName>
    <definedName name="topside_CS1_timeLine1" localSheetId="7">#REF!</definedName>
    <definedName name="topside_CS1_timeLine1" localSheetId="5">#REF!</definedName>
    <definedName name="topside_CS1_timeLine1" localSheetId="4">#REF!</definedName>
    <definedName name="topside_CS1_timeLine1" localSheetId="6">#REF!</definedName>
    <definedName name="topside_CS1_timeLine1">#REF!</definedName>
    <definedName name="topside_CS1_timeLine1b" localSheetId="7">#REF!</definedName>
    <definedName name="topside_CS1_timeLine1b" localSheetId="4">#REF!</definedName>
    <definedName name="topside_CS1_timeLine1b" localSheetId="6">#REF!</definedName>
    <definedName name="topside_CS1_timeLine1b">#REF!</definedName>
    <definedName name="topside_CS1_timeLine2" localSheetId="7">#REF!</definedName>
    <definedName name="topside_CS1_timeLine2" localSheetId="4">#REF!</definedName>
    <definedName name="topside_CS1_timeLine2" localSheetId="6">#REF!</definedName>
    <definedName name="topside_CS1_timeLine2">#REF!</definedName>
    <definedName name="topside_CS1_timeLine3" localSheetId="4">#REF!</definedName>
    <definedName name="topside_CS1_timeLine3" localSheetId="6">#REF!</definedName>
    <definedName name="topside_CS1_timeLine3">#REF!</definedName>
    <definedName name="topside_CS1_timeLine5" localSheetId="4">#REF!</definedName>
    <definedName name="topside_CS1_timeLine5" localSheetId="6">#REF!</definedName>
    <definedName name="topside_CS1_timeLine5">#REF!</definedName>
    <definedName name="topside_CS2_timeLine5" localSheetId="4">#REF!</definedName>
    <definedName name="topside_CS2_timeLine5" localSheetId="6">#REF!</definedName>
    <definedName name="topside_CS2_timeLine5">#REF!</definedName>
    <definedName name="topside_CS3_timeLine5" localSheetId="4">#REF!</definedName>
    <definedName name="topside_CS3_timeLine5" localSheetId="6">#REF!</definedName>
    <definedName name="topside_CS3_timeLine5">#REF!</definedName>
    <definedName name="topside_GDM_timeLine1b" localSheetId="4">#REF!</definedName>
    <definedName name="topside_GDM_timeLine1b" localSheetId="6">#REF!</definedName>
    <definedName name="topside_GDM_timeLine1b">#REF!</definedName>
    <definedName name="topside_ICP1_timeLine1" localSheetId="4">#REF!</definedName>
    <definedName name="topside_ICP1_timeLine1" localSheetId="6">#REF!</definedName>
    <definedName name="topside_ICP1_timeLine1">#REF!</definedName>
    <definedName name="topside_ICP1_timeLine1b" localSheetId="4">#REF!</definedName>
    <definedName name="topside_ICP1_timeLine1b" localSheetId="6">#REF!</definedName>
    <definedName name="topside_ICP1_timeLine1b">#REF!</definedName>
    <definedName name="topside_ICP1_timeLine2" localSheetId="4">#REF!</definedName>
    <definedName name="topside_ICP1_timeLine2" localSheetId="6">#REF!</definedName>
    <definedName name="topside_ICP1_timeLine2">#REF!</definedName>
    <definedName name="topside_ICP1_timeLine3" localSheetId="4">#REF!</definedName>
    <definedName name="topside_ICP1_timeLine3" localSheetId="6">#REF!</definedName>
    <definedName name="topside_ICP1_timeLine3">#REF!</definedName>
    <definedName name="topside_ICP1_timeLine5" localSheetId="4">#REF!</definedName>
    <definedName name="topside_ICP1_timeLine5" localSheetId="6">#REF!</definedName>
    <definedName name="topside_ICP1_timeLine5">#REF!</definedName>
    <definedName name="topside_ICP2_timeLine1" localSheetId="4">#REF!</definedName>
    <definedName name="topside_ICP2_timeLine1" localSheetId="6">#REF!</definedName>
    <definedName name="topside_ICP2_timeLine1">#REF!</definedName>
    <definedName name="topside_machine_setupLine1" localSheetId="4">#REF!</definedName>
    <definedName name="topside_machine_setupLine1" localSheetId="6">#REF!</definedName>
    <definedName name="topside_machine_setupLine1">#REF!</definedName>
    <definedName name="topside_machine_setupLine1b" localSheetId="4">#REF!</definedName>
    <definedName name="topside_machine_setupLine1b" localSheetId="6">#REF!</definedName>
    <definedName name="topside_machine_setupLine1b">#REF!</definedName>
    <definedName name="topside_machine_setupLine2" localSheetId="4">#REF!</definedName>
    <definedName name="topside_machine_setupLine2" localSheetId="6">#REF!</definedName>
    <definedName name="topside_machine_setupLine2">#REF!</definedName>
    <definedName name="topside_machine_setupLine3" localSheetId="4">#REF!</definedName>
    <definedName name="topside_machine_setupLine3" localSheetId="6">#REF!</definedName>
    <definedName name="topside_machine_setupLine3">#REF!</definedName>
    <definedName name="topside_machine_setupLine5" localSheetId="4">#REF!</definedName>
    <definedName name="topside_machine_setupLine5" localSheetId="6">#REF!</definedName>
    <definedName name="topside_machine_setupLine5">#REF!</definedName>
    <definedName name="topside_machine_setupline6" localSheetId="4">#REF!</definedName>
    <definedName name="topside_machine_setupline6" localSheetId="6">#REF!</definedName>
    <definedName name="topside_machine_setupline6">#REF!</definedName>
    <definedName name="topside_no_shifts_needed1" localSheetId="4">#REF!</definedName>
    <definedName name="topside_no_shifts_needed1" localSheetId="6">#REF!</definedName>
    <definedName name="topside_no_shifts_needed1">#REF!</definedName>
    <definedName name="topside_rework_timeLine1" localSheetId="5">#REF!</definedName>
    <definedName name="topside_rework_timeLine1" localSheetId="4">#REF!</definedName>
    <definedName name="topside_rework_timeLine1" localSheetId="6">#REF!</definedName>
    <definedName name="topside_rework_timeLine1">#REF!</definedName>
    <definedName name="topside_rework_timeLine1b" localSheetId="4">#REF!</definedName>
    <definedName name="topside_rework_timeLine1b" localSheetId="6">#REF!</definedName>
    <definedName name="topside_rework_timeLine1b">#REF!</definedName>
    <definedName name="topside_rework_timeLine2" localSheetId="4">#REF!</definedName>
    <definedName name="topside_rework_timeLine2" localSheetId="6">#REF!</definedName>
    <definedName name="topside_rework_timeLine2">#REF!</definedName>
    <definedName name="topside_rework_timeLine3" localSheetId="4">#REF!</definedName>
    <definedName name="topside_rework_timeLine3" localSheetId="6">#REF!</definedName>
    <definedName name="topside_rework_timeLine3">#REF!</definedName>
    <definedName name="topside_rework_timeLine5" localSheetId="4">#REF!</definedName>
    <definedName name="topside_rework_timeLine5" localSheetId="6">#REF!</definedName>
    <definedName name="topside_rework_timeLine5">#REF!</definedName>
    <definedName name="topside_rework_timeline6" localSheetId="4">#REF!</definedName>
    <definedName name="topside_rework_timeline6" localSheetId="6">#REF!</definedName>
    <definedName name="topside_rework_timeline6">#REF!</definedName>
    <definedName name="topside_smt_timeBatchsize1" localSheetId="4">#REF!</definedName>
    <definedName name="topside_smt_timeBatchsize1" localSheetId="6">#REF!</definedName>
    <definedName name="topside_smt_timeBatchsize1">#REF!</definedName>
    <definedName name="topside_xy_table_allowCS1Line1" localSheetId="4">#REF!</definedName>
    <definedName name="topside_xy_table_allowCS1Line1" localSheetId="6">#REF!</definedName>
    <definedName name="topside_xy_table_allowCS1Line1">#REF!</definedName>
    <definedName name="topside_xy_table_allowCS1Line1b" localSheetId="4">#REF!</definedName>
    <definedName name="topside_xy_table_allowCS1Line1b" localSheetId="6">#REF!</definedName>
    <definedName name="topside_xy_table_allowCS1Line1b">#REF!</definedName>
    <definedName name="topside_xy_table_allowCS1Line2" localSheetId="4">#REF!</definedName>
    <definedName name="topside_xy_table_allowCS1Line2" localSheetId="6">#REF!</definedName>
    <definedName name="topside_xy_table_allowCS1Line2">#REF!</definedName>
    <definedName name="topside_xy_table_allowCS1Line3" localSheetId="4">#REF!</definedName>
    <definedName name="topside_xy_table_allowCS1Line3" localSheetId="6">#REF!</definedName>
    <definedName name="topside_xy_table_allowCS1Line3">#REF!</definedName>
    <definedName name="topside_xy_table_allowCS1Line5" localSheetId="4">#REF!</definedName>
    <definedName name="topside_xy_table_allowCS1Line5" localSheetId="6">#REF!</definedName>
    <definedName name="topside_xy_table_allowCS1Line5">#REF!</definedName>
    <definedName name="topside_xy_table_allowCS2Line5" localSheetId="4">#REF!</definedName>
    <definedName name="topside_xy_table_allowCS2Line5" localSheetId="6">#REF!</definedName>
    <definedName name="topside_xy_table_allowCS2Line5">#REF!</definedName>
    <definedName name="topside_xy_table_allowCS3Line5" localSheetId="4">#REF!</definedName>
    <definedName name="topside_xy_table_allowCS3Line5" localSheetId="6">#REF!</definedName>
    <definedName name="topside_xy_table_allowCS3Line5">#REF!</definedName>
    <definedName name="topside_xy_table_allowICP1Line1" localSheetId="4">#REF!</definedName>
    <definedName name="topside_xy_table_allowICP1Line1" localSheetId="6">#REF!</definedName>
    <definedName name="topside_xy_table_allowICP1Line1">#REF!</definedName>
    <definedName name="topside_xy_table_allowICP1Line1b" localSheetId="4">#REF!</definedName>
    <definedName name="topside_xy_table_allowICP1Line1b" localSheetId="6">#REF!</definedName>
    <definedName name="topside_xy_table_allowICP1Line1b">#REF!</definedName>
    <definedName name="topside_xy_table_allowICP1Line2" localSheetId="4">#REF!</definedName>
    <definedName name="topside_xy_table_allowICP1Line2" localSheetId="6">#REF!</definedName>
    <definedName name="topside_xy_table_allowICP1Line2">#REF!</definedName>
    <definedName name="topside_xy_table_allowICP1Line3" localSheetId="4">#REF!</definedName>
    <definedName name="topside_xy_table_allowICP1Line3" localSheetId="6">#REF!</definedName>
    <definedName name="topside_xy_table_allowICP1Line3">#REF!</definedName>
    <definedName name="topside_xy_table_allowICP1Line5" localSheetId="4">#REF!</definedName>
    <definedName name="topside_xy_table_allowICP1Line5" localSheetId="6">#REF!</definedName>
    <definedName name="topside_xy_table_allowICP1Line5">#REF!</definedName>
    <definedName name="topside_xy_table_allowICP2Line1" localSheetId="4">#REF!</definedName>
    <definedName name="topside_xy_table_allowICP2Line1" localSheetId="6">#REF!</definedName>
    <definedName name="topside_xy_table_allowICP2Line1">#REF!</definedName>
    <definedName name="tot" localSheetId="4">#REF!</definedName>
    <definedName name="tot" localSheetId="6">#REF!</definedName>
    <definedName name="tot">#REF!</definedName>
    <definedName name="total_cost">#REF!</definedName>
    <definedName name="TotalOpexReport" localSheetId="5">#REF!</definedName>
    <definedName name="TotalOpexReport" localSheetId="4">#REF!</definedName>
    <definedName name="TotalOpexReport" localSheetId="6">#REF!</definedName>
    <definedName name="TotalOpexReport">#REF!</definedName>
    <definedName name="TotHours">#REF!</definedName>
    <definedName name="Toys_R_Us" localSheetId="4">#REF!</definedName>
    <definedName name="Toys_R_Us" localSheetId="6">#REF!</definedName>
    <definedName name="Toys_R_Us">#REF!</definedName>
    <definedName name="tq" localSheetId="6">#REF!</definedName>
    <definedName name="tq">#REF!</definedName>
    <definedName name="TRAN">#REF!</definedName>
    <definedName name="Trans">#REF!</definedName>
    <definedName name="Transworld" localSheetId="4">#REF!</definedName>
    <definedName name="Transworld" localSheetId="6">#REF!</definedName>
    <definedName name="Transworld">#REF!</definedName>
    <definedName name="Trial">#REF!</definedName>
    <definedName name="Trise">7</definedName>
    <definedName name="trrr" localSheetId="7" hidden="1">{"one (KEY)",#N/A,FALSE,"P&amp;L"}</definedName>
    <definedName name="trrr" hidden="1">{"one (KEY)",#N/A,FALSE,"P&amp;L"}</definedName>
    <definedName name="tt" localSheetId="4">#REF!</definedName>
    <definedName name="TT">#N/A</definedName>
    <definedName name="ttt" localSheetId="7">#REF!</definedName>
    <definedName name="ttt" localSheetId="5">#REF!</definedName>
    <definedName name="ttt" localSheetId="4">#REF!</definedName>
    <definedName name="ttt" localSheetId="6">#REF!</definedName>
    <definedName name="ttt">#REF!</definedName>
    <definedName name="tttt" localSheetId="7">#REF!</definedName>
    <definedName name="tttt" localSheetId="4">#REF!</definedName>
    <definedName name="tttt" localSheetId="6">#REF!</definedName>
    <definedName name="tttt">#REF!</definedName>
    <definedName name="tu" localSheetId="7">#REF!</definedName>
    <definedName name="tu">#REF!</definedName>
    <definedName name="Tully_Baseline">#REF!</definedName>
    <definedName name="Tully_Cost_Reduction">#REF!</definedName>
    <definedName name="Tully_Ext_Cost">#REF!</definedName>
    <definedName name="Tully_Reduction_Percentage">#REF!</definedName>
    <definedName name="Turns">#REF!</definedName>
    <definedName name="TWN">#N/A</definedName>
    <definedName name="two" localSheetId="7">#REF!</definedName>
    <definedName name="two" localSheetId="5">#REF!</definedName>
    <definedName name="two" localSheetId="4">#REF!</definedName>
    <definedName name="two" localSheetId="6">#REF!</definedName>
    <definedName name="two">#REF!</definedName>
    <definedName name="TYP" localSheetId="7" hidden="1">{"'Broadway ML#4'!$J$7:$N$490"}</definedName>
    <definedName name="TYP">{"'Broadway ML#4'!$J$7:$N$490"}</definedName>
    <definedName name="u" localSheetId="5">#REF!</definedName>
    <definedName name="u" localSheetId="4">#REF!</definedName>
    <definedName name="u" localSheetId="0">#REF!</definedName>
    <definedName name="u" localSheetId="6">#REF!</definedName>
    <definedName name="u">#REF!</definedName>
    <definedName name="ub">#REF!</definedName>
    <definedName name="unit_cost">#REF!</definedName>
    <definedName name="UP">#REF!</definedName>
    <definedName name="UpdateFromFY00List" localSheetId="5">#REF!</definedName>
    <definedName name="UpdateFromFY00List" localSheetId="4">#REF!</definedName>
    <definedName name="UpdateFromFY00List" localSheetId="6">#REF!</definedName>
    <definedName name="UpdateFromFY00List">#REF!</definedName>
    <definedName name="UpdateStart" localSheetId="4">#REF!</definedName>
    <definedName name="UpdateStart" localSheetId="6">#REF!</definedName>
    <definedName name="UpdateStart">#REF!</definedName>
    <definedName name="UploadData" localSheetId="5">#REF!</definedName>
    <definedName name="UploadData" localSheetId="4">#REF!</definedName>
    <definedName name="UploadData" localSheetId="6">#REF!</definedName>
    <definedName name="UploadData">#REF!</definedName>
    <definedName name="US" localSheetId="4">#REF!</definedName>
    <definedName name="US" localSheetId="6">#REF!</definedName>
    <definedName name="US">#REF!</definedName>
    <definedName name="US__rate" localSheetId="4">#REF!</definedName>
    <definedName name="US__rate" localSheetId="6">#REF!</definedName>
    <definedName name="US__rate">#REF!</definedName>
    <definedName name="US_currency" localSheetId="4">#REF!</definedName>
    <definedName name="US_currency" localSheetId="6">#REF!</definedName>
    <definedName name="US_currency">#REF!</definedName>
    <definedName name="US_ME" localSheetId="4">#REF!</definedName>
    <definedName name="US_ME" localSheetId="6">#REF!</definedName>
    <definedName name="US_ME">#REF!</definedName>
    <definedName name="US_rate" localSheetId="5">#REF!</definedName>
    <definedName name="US_rate" localSheetId="4">#REF!</definedName>
    <definedName name="US_rate" localSheetId="6">#REF!</definedName>
    <definedName name="US_rate">#REF!</definedName>
    <definedName name="Usable_OH" localSheetId="4">#REF!</definedName>
    <definedName name="Usable_OH" localSheetId="6">#REF!</definedName>
    <definedName name="Usable_OH">#REF!</definedName>
    <definedName name="USD" localSheetId="4">#REF!</definedName>
    <definedName name="USD">#N/A</definedName>
    <definedName name="USD_HKD" localSheetId="7">#REF!</definedName>
    <definedName name="USD_HKD" localSheetId="5">#REF!</definedName>
    <definedName name="USD_HKD" localSheetId="4">#REF!</definedName>
    <definedName name="USD_HKD" localSheetId="6">#REF!</definedName>
    <definedName name="USD_HKD">#REF!</definedName>
    <definedName name="USD_NTD" localSheetId="7">#REF!</definedName>
    <definedName name="USD_NTD" localSheetId="4">#REF!</definedName>
    <definedName name="USD_NTD" localSheetId="6">#REF!</definedName>
    <definedName name="USD_NTD">#REF!</definedName>
    <definedName name="USD_TW" localSheetId="7">#REF!</definedName>
    <definedName name="USD_TW" localSheetId="4">#REF!</definedName>
    <definedName name="USD_TW" localSheetId="6">#REF!</definedName>
    <definedName name="USD_TW">#REF!</definedName>
    <definedName name="USDA">#REF!</definedName>
    <definedName name="USDRM">#REF!</definedName>
    <definedName name="USrate" localSheetId="5">#REF!</definedName>
    <definedName name="USrate" localSheetId="4">#REF!</definedName>
    <definedName name="USrate" localSheetId="6">#REF!</definedName>
    <definedName name="USrate">#REF!</definedName>
    <definedName name="UU">#N/A</definedName>
    <definedName name="v" localSheetId="4">#REF!</definedName>
    <definedName name="v">#N/A</definedName>
    <definedName name="v_M" localSheetId="7">#REF!</definedName>
    <definedName name="v_M">#REF!</definedName>
    <definedName name="Vacation" localSheetId="7">#REF!</definedName>
    <definedName name="Vacation">#REF!</definedName>
    <definedName name="Vacation_Bonus" localSheetId="7">#REF!</definedName>
    <definedName name="Vacation_Bonus">#REF!</definedName>
    <definedName name="VALIDATION" localSheetId="5">#REF!</definedName>
    <definedName name="VALIDATION" localSheetId="4">#REF!</definedName>
    <definedName name="VALIDATION" localSheetId="6">#REF!</definedName>
    <definedName name="VALIDATION">#REF!</definedName>
    <definedName name="varCap" localSheetId="5">#REF!</definedName>
    <definedName name="varCap" localSheetId="4">#REF!</definedName>
    <definedName name="varCap" localSheetId="6">#REF!</definedName>
    <definedName name="varCap">#REF!</definedName>
    <definedName name="varEVA" localSheetId="4">#REF!</definedName>
    <definedName name="varEVA" localSheetId="6">#REF!</definedName>
    <definedName name="varEVA">#REF!</definedName>
    <definedName name="VarNetRev" localSheetId="4">#REF!</definedName>
    <definedName name="VarNetRev" localSheetId="6">#REF!</definedName>
    <definedName name="VarNetRev">#REF!</definedName>
    <definedName name="varOP" localSheetId="4">#REF!</definedName>
    <definedName name="varOP" localSheetId="6">#REF!</definedName>
    <definedName name="varOP">#REF!</definedName>
    <definedName name="varOth" localSheetId="4">#REF!</definedName>
    <definedName name="varOth" localSheetId="6">#REF!</definedName>
    <definedName name="varOth">#REF!</definedName>
    <definedName name="varRev" localSheetId="4">#REF!</definedName>
    <definedName name="varRev" localSheetId="6">#REF!</definedName>
    <definedName name="varRev">#REF!</definedName>
    <definedName name="VCscWW10" localSheetId="4">#REF!</definedName>
    <definedName name="VCscWW10" localSheetId="0">#REF!</definedName>
    <definedName name="VCscWW10" localSheetId="6">#REF!</definedName>
    <definedName name="VCscWW10">#REF!</definedName>
    <definedName name="VDZ">#N/A</definedName>
    <definedName name="VELE">#REF!</definedName>
    <definedName name="verification" localSheetId="7">#REF!</definedName>
    <definedName name="verification" localSheetId="5">#REF!</definedName>
    <definedName name="verification" localSheetId="4">#REF!</definedName>
    <definedName name="verification" localSheetId="6">#REF!</definedName>
    <definedName name="verification">#REF!</definedName>
    <definedName name="VFG" localSheetId="7">#REF!</definedName>
    <definedName name="VFG" localSheetId="4">#REF!</definedName>
    <definedName name="VFG" localSheetId="6">#REF!</definedName>
    <definedName name="VFG">#REF!</definedName>
    <definedName name="View" localSheetId="4">#REF!</definedName>
    <definedName name="View" localSheetId="6">#REF!</definedName>
    <definedName name="View">#REF!</definedName>
    <definedName name="virgin_time_btmLine1" localSheetId="4">#REF!</definedName>
    <definedName name="virgin_time_btmLine1" localSheetId="6">#REF!</definedName>
    <definedName name="virgin_time_btmLine1">#REF!</definedName>
    <definedName name="virgin_time_btmLine1b" localSheetId="4">#REF!</definedName>
    <definedName name="virgin_time_btmLine1b" localSheetId="6">#REF!</definedName>
    <definedName name="virgin_time_btmLine1b">#REF!</definedName>
    <definedName name="virgin_time_btmLine2" localSheetId="4">#REF!</definedName>
    <definedName name="virgin_time_btmLine2" localSheetId="6">#REF!</definedName>
    <definedName name="virgin_time_btmLine2">#REF!</definedName>
    <definedName name="virgin_time_btmLine3" localSheetId="4">#REF!</definedName>
    <definedName name="virgin_time_btmLine3" localSheetId="6">#REF!</definedName>
    <definedName name="virgin_time_btmLine3">#REF!</definedName>
    <definedName name="virgin_time_btmLine5" localSheetId="4">#REF!</definedName>
    <definedName name="virgin_time_btmLine5" localSheetId="6">#REF!</definedName>
    <definedName name="virgin_time_btmLine5">#REF!</definedName>
    <definedName name="virgin_time_btmline6" localSheetId="4">#REF!</definedName>
    <definedName name="virgin_time_btmline6" localSheetId="6">#REF!</definedName>
    <definedName name="virgin_time_btmline6">#REF!</definedName>
    <definedName name="virgin_time_topLine1" localSheetId="4">#REF!</definedName>
    <definedName name="virgin_time_topLine1" localSheetId="6">#REF!</definedName>
    <definedName name="virgin_time_topLine1">#REF!</definedName>
    <definedName name="virgin_time_topLine1b" localSheetId="4">#REF!</definedName>
    <definedName name="virgin_time_topLine1b" localSheetId="6">#REF!</definedName>
    <definedName name="virgin_time_topLine1b">#REF!</definedName>
    <definedName name="virgin_time_topLine2" localSheetId="4">#REF!</definedName>
    <definedName name="virgin_time_topLine2" localSheetId="6">#REF!</definedName>
    <definedName name="virgin_time_topLine2">#REF!</definedName>
    <definedName name="virgin_time_topLine3" localSheetId="4">#REF!</definedName>
    <definedName name="virgin_time_topLine3" localSheetId="6">#REF!</definedName>
    <definedName name="virgin_time_topLine3">#REF!</definedName>
    <definedName name="virgin_time_topLine5" localSheetId="4">#REF!</definedName>
    <definedName name="virgin_time_topLine5" localSheetId="6">#REF!</definedName>
    <definedName name="virgin_time_topLine5">#REF!</definedName>
    <definedName name="virgin_time_topline6" localSheetId="4">#REF!</definedName>
    <definedName name="virgin_time_topline6" localSheetId="6">#REF!</definedName>
    <definedName name="virgin_time_topline6">#REF!</definedName>
    <definedName name="VIRHOME">#REF!</definedName>
    <definedName name="VIRTUALITY">#REF!</definedName>
    <definedName name="VLKWeeklyReport" localSheetId="4">#REF!</definedName>
    <definedName name="VLKWeeklyReport" localSheetId="6">#REF!</definedName>
    <definedName name="VLKWeeklyReport">#REF!</definedName>
    <definedName name="VolumeBids" localSheetId="5">#REF!</definedName>
    <definedName name="VolumeBids" localSheetId="4">#REF!</definedName>
    <definedName name="VolumeBids" localSheetId="6">#REF!</definedName>
    <definedName name="VolumeBids">#REF!</definedName>
    <definedName name="VR">#REF!</definedName>
    <definedName name="VRAW" localSheetId="5">#REF!</definedName>
    <definedName name="VRAW" localSheetId="4">#REF!</definedName>
    <definedName name="VRAW" localSheetId="6">#REF!</definedName>
    <definedName name="VRAW">#REF!</definedName>
    <definedName name="vrm">#REF!</definedName>
    <definedName name="vyn" localSheetId="7" hidden="1">{"'Broadway ML#4'!$J$7:$N$490"}</definedName>
    <definedName name="vyn">{"'Broadway ML#4'!$J$7:$N$490"}</definedName>
    <definedName name="w" localSheetId="4">#REF!</definedName>
    <definedName name="w" localSheetId="0">#REF!</definedName>
    <definedName name="w" localSheetId="6">#REF!</definedName>
    <definedName name="w">#REF!</definedName>
    <definedName name="w3m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2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2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2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2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2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2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run" localSheetId="7" hidden="1">{"Chart 1",#N/A,FALSE,"Run Rate";"Chart 2",#N/A,FALSE,"Run Rate (2)"}</definedName>
    <definedName name="w3run" localSheetId="3" hidden="1">{"Chart 1",#N/A,FALSE,"Run Rate";"Chart 2",#N/A,FALSE,"Run Rate (2)"}</definedName>
    <definedName name="w3run" localSheetId="5" hidden="1">{"Chart 1",#N/A,FALSE,"Run Rate";"Chart 2",#N/A,FALSE,"Run Rate (2)"}</definedName>
    <definedName name="w3run" localSheetId="4" hidden="1">{"Chart 1",#N/A,FALSE,"Run Rate";"Chart 2",#N/A,FALSE,"Run Rate (2)"}</definedName>
    <definedName name="w3run" localSheetId="6" hidden="1">{"Chart 1",#N/A,FALSE,"Run Rate";"Chart 2",#N/A,FALSE,"Run Rate (2)"}</definedName>
    <definedName name="w3run" hidden="1">{"Chart 1",#N/A,FALSE,"Run Rate";"Chart 2",#N/A,FALSE,"Run Rate (2)"}</definedName>
    <definedName name="w3w2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w3w2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w3w2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w3w2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w3w2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w3w2" hidden="1">{"whole",#N/A,FALSE,"CS FIN Sum For Rox";"whole",#N/A,FALSE,"Gen_Dist_Act_Bud";"whole",#N/A,FALSE,"Gen_Dist_T3months";"whole",#N/A,FALSE,"GD_PerP";"whole",#N/A,FALSE,"CS_DIST_ActvsBud";"whole",#N/A,FALSE,"CS_DIST_SUM_trail3mo"}</definedName>
    <definedName name="wa">#REF!</definedName>
    <definedName name="wacc">#REF!</definedName>
    <definedName name="Wal_Mart" localSheetId="7">#REF!</definedName>
    <definedName name="Wal_Mart" localSheetId="6">#REF!</definedName>
    <definedName name="Wal_Mart">#REF!</definedName>
    <definedName name="Wale2">#REF!</definedName>
    <definedName name="Wale3">#REF!</definedName>
    <definedName name="Wale4">#REF!</definedName>
    <definedName name="Wale6">#REF!</definedName>
    <definedName name="Wale7">#REF!</definedName>
    <definedName name="Wale8">#REF!</definedName>
    <definedName name="Wale9">#REF!</definedName>
    <definedName name="Warranty" localSheetId="5">#REF!</definedName>
    <definedName name="Warranty" localSheetId="4">#REF!</definedName>
    <definedName name="Warranty" localSheetId="6">#REF!</definedName>
    <definedName name="Warranty">#REF!</definedName>
    <definedName name="WAS">#REF!</definedName>
    <definedName name="Wavesoft">#REF!</definedName>
    <definedName name="Weekdays">#REF!</definedName>
    <definedName name="Weekly_Cases_Opened">#N/A</definedName>
    <definedName name="WEFS" localSheetId="7">#REF!</definedName>
    <definedName name="WEFS" localSheetId="5">#REF!</definedName>
    <definedName name="WEFS" localSheetId="4">#REF!</definedName>
    <definedName name="WEFS" localSheetId="0">#REF!</definedName>
    <definedName name="WEFS" localSheetId="6">#REF!</definedName>
    <definedName name="WEFS">#REF!</definedName>
    <definedName name="wewq">#N/A</definedName>
    <definedName name="wip" localSheetId="7">#REF!</definedName>
    <definedName name="wip">#REF!</definedName>
    <definedName name="WIP_STATION_REPAIR_Q" localSheetId="7">#REF!</definedName>
    <definedName name="WIP_STATION_REPAIR_Q" localSheetId="5">#REF!</definedName>
    <definedName name="WIP_STATION_REPAIR_Q" localSheetId="4">#REF!</definedName>
    <definedName name="WIP_STATION_REPAIR_Q" localSheetId="0">#REF!</definedName>
    <definedName name="WIP_STATION_REPAIR_Q" localSheetId="6">#REF!</definedName>
    <definedName name="WIP_STATION_REPAIR_Q">#REF!</definedName>
    <definedName name="WIRE_HOURS18" localSheetId="7">#REF!</definedName>
    <definedName name="WIRE_HOURS18">#REF!</definedName>
    <definedName name="WORK_AREA">#REF!</definedName>
    <definedName name="WORK1">#REF!</definedName>
    <definedName name="WORK2">#REF!</definedName>
    <definedName name="WORK3">#REF!</definedName>
    <definedName name="wrn" localSheetId="7" hidden="1">{"one (KEY)",#N/A,FALSE,"P&amp;L"}</definedName>
    <definedName name="wrn" localSheetId="3" hidden="1">{"one (KEY)",#N/A,FALSE,"P&amp;L"}</definedName>
    <definedName name="wrn" localSheetId="5" hidden="1">{"one (KEY)",#N/A,FALSE,"P&amp;L"}</definedName>
    <definedName name="wrn" localSheetId="4" hidden="1">{"one (KEY)",#N/A,FALSE,"P&amp;L"}</definedName>
    <definedName name="wrn" localSheetId="6" hidden="1">{"one (KEY)",#N/A,FALSE,"P&amp;L"}</definedName>
    <definedName name="wrn" hidden="1">{"one (KEY)",#N/A,FALSE,"P&amp;L"}</definedName>
    <definedName name="wrn.6713_Financials." localSheetId="7" hidden="1">{#N/A,#N/A,FALSE,"Summary";#N/A,#N/A,FALSE,"Details";#N/A,#N/A,FALSE,"Month-Hd";#N/A,#N/A,FALSE,"YTD-Hd";#N/A,#N/A,FALSE,"Capital"}</definedName>
    <definedName name="wrn.6713_Financials." localSheetId="3" hidden="1">{#N/A,#N/A,FALSE,"Summary";#N/A,#N/A,FALSE,"Details";#N/A,#N/A,FALSE,"Month-Hd";#N/A,#N/A,FALSE,"YTD-Hd";#N/A,#N/A,FALSE,"Capital"}</definedName>
    <definedName name="wrn.6713_Financials." localSheetId="5" hidden="1">{#N/A,#N/A,FALSE,"Summary";#N/A,#N/A,FALSE,"Details";#N/A,#N/A,FALSE,"Month-Hd";#N/A,#N/A,FALSE,"YTD-Hd";#N/A,#N/A,FALSE,"Capital"}</definedName>
    <definedName name="wrn.6713_Financials." localSheetId="4" hidden="1">{#N/A,#N/A,FALSE,"Summary";#N/A,#N/A,FALSE,"Details";#N/A,#N/A,FALSE,"Month-Hd";#N/A,#N/A,FALSE,"YTD-Hd";#N/A,#N/A,FALSE,"Capital"}</definedName>
    <definedName name="wrn.6713_Financials." localSheetId="6" hidden="1">{#N/A,#N/A,FALSE,"Summary";#N/A,#N/A,FALSE,"Details";#N/A,#N/A,FALSE,"Month-Hd";#N/A,#N/A,FALSE,"YTD-Hd";#N/A,#N/A,FALSE,"Capital"}</definedName>
    <definedName name="wrn.6713_Financials." hidden="1">{#N/A,#N/A,FALSE,"Summary";#N/A,#N/A,FALSE,"Details";#N/A,#N/A,FALSE,"Month-Hd";#N/A,#N/A,FALSE,"YTD-Hd";#N/A,#N/A,FALSE,"Capital"}</definedName>
    <definedName name="wrn.All." localSheetId="7" hidden="1">{#N/A,#N/A,TRUE,"OUTPUT";#N/A,#N/A,TRUE,"SF_Cal";#N/A,#N/A,TRUE,"HGA_Cal";#N/A,#N/A,TRUE,"MR_Cal";#N/A,#N/A,TRUE,"JIT_COST";#N/A,#N/A,TRUE,"MR_Cost";#N/A,#N/A,TRUE,"Space &amp; Utility"}</definedName>
    <definedName name="wrn.All." localSheetId="3" hidden="1">{#N/A,#N/A,TRUE,"OUTPUT";#N/A,#N/A,TRUE,"SF_Cal";#N/A,#N/A,TRUE,"HGA_Cal";#N/A,#N/A,TRUE,"MR_Cal";#N/A,#N/A,TRUE,"JIT_COST";#N/A,#N/A,TRUE,"MR_Cost";#N/A,#N/A,TRUE,"Space &amp; Utility"}</definedName>
    <definedName name="wrn.All." localSheetId="5" hidden="1">{#N/A,#N/A,TRUE,"OUTPUT";#N/A,#N/A,TRUE,"SF_Cal";#N/A,#N/A,TRUE,"HGA_Cal";#N/A,#N/A,TRUE,"MR_Cal";#N/A,#N/A,TRUE,"JIT_COST";#N/A,#N/A,TRUE,"MR_Cost";#N/A,#N/A,TRUE,"Space &amp; Utility"}</definedName>
    <definedName name="wrn.All." localSheetId="4" hidden="1">{#N/A,#N/A,TRUE,"OUTPUT";#N/A,#N/A,TRUE,"SF_Cal";#N/A,#N/A,TRUE,"HGA_Cal";#N/A,#N/A,TRUE,"MR_Cal";#N/A,#N/A,TRUE,"JIT_COST";#N/A,#N/A,TRUE,"MR_Cost";#N/A,#N/A,TRUE,"Space &amp; Utility"}</definedName>
    <definedName name="wrn.All." localSheetId="6" hidden="1">{#N/A,#N/A,TRUE,"OUTPUT";#N/A,#N/A,TRUE,"SF_Cal";#N/A,#N/A,TRUE,"HGA_Cal";#N/A,#N/A,TRUE,"MR_Cal";#N/A,#N/A,TRUE,"JIT_COST";#N/A,#N/A,TRUE,"MR_Cost";#N/A,#N/A,TRUE,"Space &amp; Utility"}</definedName>
    <definedName name="wrn.All." hidden="1">{#N/A,#N/A,TRUE,"OUTPUT";#N/A,#N/A,TRUE,"SF_Cal";#N/A,#N/A,TRUE,"HGA_Cal";#N/A,#N/A,TRUE,"MR_Cal";#N/A,#N/A,TRUE,"JIT_COST";#N/A,#N/A,TRUE,"MR_Cost";#N/A,#N/A,TRUE,"Space &amp; Utility"}</definedName>
    <definedName name="wrn.All.1" localSheetId="7" hidden="1">{#N/A,#N/A,TRUE,"OUTPUT";#N/A,#N/A,TRUE,"SF_Cal";#N/A,#N/A,TRUE,"HGA_Cal";#N/A,#N/A,TRUE,"MR_Cal";#N/A,#N/A,TRUE,"JIT_COST";#N/A,#N/A,TRUE,"MR_Cost";#N/A,#N/A,TRUE,"Space &amp; Utility"}</definedName>
    <definedName name="wrn.All.1" localSheetId="3" hidden="1">{#N/A,#N/A,TRUE,"OUTPUT";#N/A,#N/A,TRUE,"SF_Cal";#N/A,#N/A,TRUE,"HGA_Cal";#N/A,#N/A,TRUE,"MR_Cal";#N/A,#N/A,TRUE,"JIT_COST";#N/A,#N/A,TRUE,"MR_Cost";#N/A,#N/A,TRUE,"Space &amp; Utility"}</definedName>
    <definedName name="wrn.All.1" localSheetId="5" hidden="1">{#N/A,#N/A,TRUE,"OUTPUT";#N/A,#N/A,TRUE,"SF_Cal";#N/A,#N/A,TRUE,"HGA_Cal";#N/A,#N/A,TRUE,"MR_Cal";#N/A,#N/A,TRUE,"JIT_COST";#N/A,#N/A,TRUE,"MR_Cost";#N/A,#N/A,TRUE,"Space &amp; Utility"}</definedName>
    <definedName name="wrn.All.1" localSheetId="4" hidden="1">{#N/A,#N/A,TRUE,"OUTPUT";#N/A,#N/A,TRUE,"SF_Cal";#N/A,#N/A,TRUE,"HGA_Cal";#N/A,#N/A,TRUE,"MR_Cal";#N/A,#N/A,TRUE,"JIT_COST";#N/A,#N/A,TRUE,"MR_Cost";#N/A,#N/A,TRUE,"Space &amp; Utility"}</definedName>
    <definedName name="wrn.All.1" localSheetId="6" hidden="1">{#N/A,#N/A,TRUE,"OUTPUT";#N/A,#N/A,TRUE,"SF_Cal";#N/A,#N/A,TRUE,"HGA_Cal";#N/A,#N/A,TRUE,"MR_Cal";#N/A,#N/A,TRUE,"JIT_COST";#N/A,#N/A,TRUE,"MR_Cost";#N/A,#N/A,TRUE,"Space &amp; Utility"}</definedName>
    <definedName name="wrn.All.1" hidden="1">{#N/A,#N/A,TRUE,"OUTPUT";#N/A,#N/A,TRUE,"SF_Cal";#N/A,#N/A,TRUE,"HGA_Cal";#N/A,#N/A,TRUE,"MR_Cal";#N/A,#N/A,TRUE,"JIT_COST";#N/A,#N/A,TRUE,"MR_Cost";#N/A,#N/A,TRUE,"Space &amp; Utility"}</definedName>
    <definedName name="wrn.All1" localSheetId="7" hidden="1">{#N/A,#N/A,TRUE,"OUTPUT";#N/A,#N/A,TRUE,"SF_Cal";#N/A,#N/A,TRUE,"HGA_Cal";#N/A,#N/A,TRUE,"MR_Cal";#N/A,#N/A,TRUE,"JIT_COST";#N/A,#N/A,TRUE,"MR_Cost";#N/A,#N/A,TRUE,"Space &amp; Utility"}</definedName>
    <definedName name="wrn.All1" localSheetId="3" hidden="1">{#N/A,#N/A,TRUE,"OUTPUT";#N/A,#N/A,TRUE,"SF_Cal";#N/A,#N/A,TRUE,"HGA_Cal";#N/A,#N/A,TRUE,"MR_Cal";#N/A,#N/A,TRUE,"JIT_COST";#N/A,#N/A,TRUE,"MR_Cost";#N/A,#N/A,TRUE,"Space &amp; Utility"}</definedName>
    <definedName name="wrn.All1" localSheetId="5" hidden="1">{#N/A,#N/A,TRUE,"OUTPUT";#N/A,#N/A,TRUE,"SF_Cal";#N/A,#N/A,TRUE,"HGA_Cal";#N/A,#N/A,TRUE,"MR_Cal";#N/A,#N/A,TRUE,"JIT_COST";#N/A,#N/A,TRUE,"MR_Cost";#N/A,#N/A,TRUE,"Space &amp; Utility"}</definedName>
    <definedName name="wrn.All1" localSheetId="4" hidden="1">{#N/A,#N/A,TRUE,"OUTPUT";#N/A,#N/A,TRUE,"SF_Cal";#N/A,#N/A,TRUE,"HGA_Cal";#N/A,#N/A,TRUE,"MR_Cal";#N/A,#N/A,TRUE,"JIT_COST";#N/A,#N/A,TRUE,"MR_Cost";#N/A,#N/A,TRUE,"Space &amp; Utility"}</definedName>
    <definedName name="wrn.All1" localSheetId="6" hidden="1">{#N/A,#N/A,TRUE,"OUTPUT";#N/A,#N/A,TRUE,"SF_Cal";#N/A,#N/A,TRUE,"HGA_Cal";#N/A,#N/A,TRUE,"MR_Cal";#N/A,#N/A,TRUE,"JIT_COST";#N/A,#N/A,TRUE,"MR_Cost";#N/A,#N/A,TRUE,"Space &amp; Utility"}</definedName>
    <definedName name="wrn.All1" hidden="1">{#N/A,#N/A,TRUE,"OUTPUT";#N/A,#N/A,TRUE,"SF_Cal";#N/A,#N/A,TRUE,"HGA_Cal";#N/A,#N/A,TRUE,"MR_Cal";#N/A,#N/A,TRUE,"JIT_COST";#N/A,#N/A,TRUE,"MR_Cost";#N/A,#N/A,TRUE,"Space &amp; Utility"}</definedName>
    <definedName name="wrn.All3" localSheetId="7" hidden="1">{#N/A,#N/A,TRUE,"OUTPUT";#N/A,#N/A,TRUE,"SF_Cal";#N/A,#N/A,TRUE,"HGA_Cal";#N/A,#N/A,TRUE,"MR_Cal";#N/A,#N/A,TRUE,"JIT_COST";#N/A,#N/A,TRUE,"MR_Cost";#N/A,#N/A,TRUE,"Space &amp; Utility"}</definedName>
    <definedName name="wrn.All3" localSheetId="3" hidden="1">{#N/A,#N/A,TRUE,"OUTPUT";#N/A,#N/A,TRUE,"SF_Cal";#N/A,#N/A,TRUE,"HGA_Cal";#N/A,#N/A,TRUE,"MR_Cal";#N/A,#N/A,TRUE,"JIT_COST";#N/A,#N/A,TRUE,"MR_Cost";#N/A,#N/A,TRUE,"Space &amp; Utility"}</definedName>
    <definedName name="wrn.All3" localSheetId="5" hidden="1">{#N/A,#N/A,TRUE,"OUTPUT";#N/A,#N/A,TRUE,"SF_Cal";#N/A,#N/A,TRUE,"HGA_Cal";#N/A,#N/A,TRUE,"MR_Cal";#N/A,#N/A,TRUE,"JIT_COST";#N/A,#N/A,TRUE,"MR_Cost";#N/A,#N/A,TRUE,"Space &amp; Utility"}</definedName>
    <definedName name="wrn.All3" localSheetId="4" hidden="1">{#N/A,#N/A,TRUE,"OUTPUT";#N/A,#N/A,TRUE,"SF_Cal";#N/A,#N/A,TRUE,"HGA_Cal";#N/A,#N/A,TRUE,"MR_Cal";#N/A,#N/A,TRUE,"JIT_COST";#N/A,#N/A,TRUE,"MR_Cost";#N/A,#N/A,TRUE,"Space &amp; Utility"}</definedName>
    <definedName name="wrn.All3" localSheetId="6" hidden="1">{#N/A,#N/A,TRUE,"OUTPUT";#N/A,#N/A,TRUE,"SF_Cal";#N/A,#N/A,TRUE,"HGA_Cal";#N/A,#N/A,TRUE,"MR_Cal";#N/A,#N/A,TRUE,"JIT_COST";#N/A,#N/A,TRUE,"MR_Cost";#N/A,#N/A,TRUE,"Space &amp; Utility"}</definedName>
    <definedName name="wrn.All3" hidden="1">{#N/A,#N/A,TRUE,"OUTPUT";#N/A,#N/A,TRUE,"SF_Cal";#N/A,#N/A,TRUE,"HGA_Cal";#N/A,#N/A,TRUE,"MR_Cal";#N/A,#N/A,TRUE,"JIT_COST";#N/A,#N/A,TRUE,"MR_Cost";#N/A,#N/A,TRUE,"Space &amp; Utility"}</definedName>
    <definedName name="wrn.elton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2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2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2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2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2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w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w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w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w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w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w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Field_PSS." localSheetId="7" hidden="1">{#N/A,#N/A,FALSE,"Summary";#N/A,#N/A,FALSE,"Expense";#N/A,#N/A,FALSE,"Capital"}</definedName>
    <definedName name="wrn.Field_PSS." localSheetId="3" hidden="1">{#N/A,#N/A,FALSE,"Summary";#N/A,#N/A,FALSE,"Expense";#N/A,#N/A,FALSE,"Capital"}</definedName>
    <definedName name="wrn.Field_PSS." localSheetId="5" hidden="1">{#N/A,#N/A,FALSE,"Summary";#N/A,#N/A,FALSE,"Expense";#N/A,#N/A,FALSE,"Capital"}</definedName>
    <definedName name="wrn.Field_PSS." localSheetId="4" hidden="1">{#N/A,#N/A,FALSE,"Summary";#N/A,#N/A,FALSE,"Expense";#N/A,#N/A,FALSE,"Capital"}</definedName>
    <definedName name="wrn.Field_PSS." localSheetId="6" hidden="1">{#N/A,#N/A,FALSE,"Summary";#N/A,#N/A,FALSE,"Expense";#N/A,#N/A,FALSE,"Capital"}</definedName>
    <definedName name="wrn.Field_PSS." hidden="1">{#N/A,#N/A,FALSE,"Summary";#N/A,#N/A,FALSE,"Expense";#N/A,#N/A,FALSE,"Capital"}</definedName>
    <definedName name="wrn.FY9908EMEA." localSheetId="7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wrn.FY9908EMEA." localSheetId="3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wrn.FY9908EMEA." localSheetId="5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wrn.FY9908EMEA." localSheetId="4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wrn.FY9908EMEA." localSheetId="6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wrn.FY9908EMEA.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wrn.GenDistPac.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.GenDistPac.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.GenDistPac.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.GenDistPac.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.GenDistPac.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.GenDistPac.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.HR_Details.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Details.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Details.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Details.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Details.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Details.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HR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HR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HR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HR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HR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HR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Mikemur.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Mikemur.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Mikemur.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Mikemur.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Mikemur.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Mikemur.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Mikemurdist." localSheetId="7" hidden="1">{"whole",#N/A,FALSE,"Gen_Dist_Act_Bud";"whole",#N/A,FALSE,"Gen_Dist_T3months";"whole",#N/A,FALSE,"GD_PerP";"whole",#N/A,FALSE,"HR Dist'n"}</definedName>
    <definedName name="wrn.Mikemurdist." localSheetId="3" hidden="1">{"whole",#N/A,FALSE,"Gen_Dist_Act_Bud";"whole",#N/A,FALSE,"Gen_Dist_T3months";"whole",#N/A,FALSE,"GD_PerP";"whole",#N/A,FALSE,"HR Dist'n"}</definedName>
    <definedName name="wrn.Mikemurdist." localSheetId="5" hidden="1">{"whole",#N/A,FALSE,"Gen_Dist_Act_Bud";"whole",#N/A,FALSE,"Gen_Dist_T3months";"whole",#N/A,FALSE,"GD_PerP";"whole",#N/A,FALSE,"HR Dist'n"}</definedName>
    <definedName name="wrn.Mikemurdist." localSheetId="4" hidden="1">{"whole",#N/A,FALSE,"Gen_Dist_Act_Bud";"whole",#N/A,FALSE,"Gen_Dist_T3months";"whole",#N/A,FALSE,"GD_PerP";"whole",#N/A,FALSE,"HR Dist'n"}</definedName>
    <definedName name="wrn.Mikemurdist." localSheetId="6" hidden="1">{"whole",#N/A,FALSE,"Gen_Dist_Act_Bud";"whole",#N/A,FALSE,"Gen_Dist_T3months";"whole",#N/A,FALSE,"GD_PerP";"whole",#N/A,FALSE,"HR Dist'n"}</definedName>
    <definedName name="wrn.Mikemurdist." hidden="1">{"whole",#N/A,FALSE,"Gen_Dist_Act_Bud";"whole",#N/A,FALSE,"Gen_Dist_T3months";"whole",#N/A,FALSE,"GD_PerP";"whole",#N/A,FALSE,"HR Dist'n"}</definedName>
    <definedName name="wrn.MYR._.Template.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.MYR._.Template.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.MYR._.Template.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.MYR._.Template.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.MYR._.Template.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.MYR._.Template.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.prodcom." localSheetId="7" hidden="1">{"closed",#N/A,FALSE,"Consolidated Products - Budget";"expanded",#N/A,FALSE,"Consolidated Products - Budget"}</definedName>
    <definedName name="wrn.prodcom." localSheetId="3" hidden="1">{"closed",#N/A,FALSE,"Consolidated Products - Budget";"expanded",#N/A,FALSE,"Consolidated Products - Budget"}</definedName>
    <definedName name="wrn.prodcom." localSheetId="5" hidden="1">{"closed",#N/A,FALSE,"Consolidated Products - Budget";"expanded",#N/A,FALSE,"Consolidated Products - Budget"}</definedName>
    <definedName name="wrn.prodcom." localSheetId="4" hidden="1">{"closed",#N/A,FALSE,"Consolidated Products - Budget";"expanded",#N/A,FALSE,"Consolidated Products - Budget"}</definedName>
    <definedName name="wrn.prodcom." localSheetId="6" hidden="1">{"closed",#N/A,FALSE,"Consolidated Products - Budget";"expanded",#N/A,FALSE,"Consolidated Products - Budget"}</definedName>
    <definedName name="wrn.prodcom." hidden="1">{"closed",#N/A,FALSE,"Consolidated Products - Budget";"expanded",#N/A,FALSE,"Consolidated Products - Budget"}</definedName>
    <definedName name="wrn.prodcon." localSheetId="7" hidden="1">{"closed",#N/A,FALSE,"Consolidated Products - Budget";"expanded",#N/A,FALSE,"Consolidated Products - Budget"}</definedName>
    <definedName name="wrn.prodcon." localSheetId="3" hidden="1">{"closed",#N/A,FALSE,"Consolidated Products - Budget";"expanded",#N/A,FALSE,"Consolidated Products - Budget"}</definedName>
    <definedName name="wrn.prodcon." localSheetId="5" hidden="1">{"closed",#N/A,FALSE,"Consolidated Products - Budget";"expanded",#N/A,FALSE,"Consolidated Products - Budget"}</definedName>
    <definedName name="wrn.prodcon." localSheetId="4" hidden="1">{"closed",#N/A,FALSE,"Consolidated Products - Budget";"expanded",#N/A,FALSE,"Consolidated Products - Budget"}</definedName>
    <definedName name="wrn.prodcon." localSheetId="6" hidden="1">{"closed",#N/A,FALSE,"Consolidated Products - Budget";"expanded",#N/A,FALSE,"Consolidated Products - Budget"}</definedName>
    <definedName name="wrn.prodcon." hidden="1">{"closed",#N/A,FALSE,"Consolidated Products - Budget";"expanded",#N/A,FALSE,"Consolidated Products - Budget"}</definedName>
    <definedName name="wrn.Roxanna." localSheetId="7" hidden="1">{"whole",#N/A,FALSE,"CS HC";"whole",#N/A,FALSE,"CS_ACTvsBud";"whole",#N/A,FALSE,"CSTrail3mo";"whole",#N/A,FALSE,"CS Cost Per Head ";"whole",#N/A,FALSE,"CS CPH YTD"}</definedName>
    <definedName name="wrn.Roxanna." localSheetId="3" hidden="1">{"whole",#N/A,FALSE,"CS HC";"whole",#N/A,FALSE,"CS_ACTvsBud";"whole",#N/A,FALSE,"CSTrail3mo";"whole",#N/A,FALSE,"CS Cost Per Head ";"whole",#N/A,FALSE,"CS CPH YTD"}</definedName>
    <definedName name="wrn.Roxanna." localSheetId="5" hidden="1">{"whole",#N/A,FALSE,"CS HC";"whole",#N/A,FALSE,"CS_ACTvsBud";"whole",#N/A,FALSE,"CSTrail3mo";"whole",#N/A,FALSE,"CS Cost Per Head ";"whole",#N/A,FALSE,"CS CPH YTD"}</definedName>
    <definedName name="wrn.Roxanna." localSheetId="4" hidden="1">{"whole",#N/A,FALSE,"CS HC";"whole",#N/A,FALSE,"CS_ACTvsBud";"whole",#N/A,FALSE,"CSTrail3mo";"whole",#N/A,FALSE,"CS Cost Per Head ";"whole",#N/A,FALSE,"CS CPH YTD"}</definedName>
    <definedName name="wrn.Roxanna." localSheetId="6" hidden="1">{"whole",#N/A,FALSE,"CS HC";"whole",#N/A,FALSE,"CS_ACTvsBud";"whole",#N/A,FALSE,"CSTrail3mo";"whole",#N/A,FALSE,"CS Cost Per Head ";"whole",#N/A,FALSE,"CS CPH YTD"}</definedName>
    <definedName name="wrn.Roxanna." hidden="1">{"whole",#N/A,FALSE,"CS HC";"whole",#N/A,FALSE,"CS_ACTvsBud";"whole",#N/A,FALSE,"CSTrail3mo";"whole",#N/A,FALSE,"CS Cost Per Head ";"whole",#N/A,FALSE,"CS CPH YTD"}</definedName>
    <definedName name="wrn.Roxydist.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.Roxydist.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.Roxydist.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.Roxydist.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.Roxydist.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.Roxydist.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.Run._.Rates." localSheetId="7" hidden="1">{"Chart 1",#N/A,FALSE,"Run Rate";"Chart 2",#N/A,FALSE,"Run Rate (2)"}</definedName>
    <definedName name="wrn.Run._.Rates." localSheetId="3" hidden="1">{"Chart 1",#N/A,FALSE,"Run Rate";"Chart 2",#N/A,FALSE,"Run Rate (2)"}</definedName>
    <definedName name="wrn.Run._.Rates." localSheetId="5" hidden="1">{"Chart 1",#N/A,FALSE,"Run Rate";"Chart 2",#N/A,FALSE,"Run Rate (2)"}</definedName>
    <definedName name="wrn.Run._.Rates." localSheetId="4" hidden="1">{"Chart 1",#N/A,FALSE,"Run Rate";"Chart 2",#N/A,FALSE,"Run Rate (2)"}</definedName>
    <definedName name="wrn.Run._.Rates." localSheetId="6" hidden="1">{"Chart 1",#N/A,FALSE,"Run Rate";"Chart 2",#N/A,FALSE,"Run Rate (2)"}</definedName>
    <definedName name="wrn.Run._.Rates." hidden="1">{"Chart 1",#N/A,FALSE,"Run Rate";"Chart 2",#N/A,FALSE,"Run Rate (2)"}</definedName>
    <definedName name="wrn.singapore." localSheetId="7" hidden="1">{"one (KEY)",#N/A,FALSE,"P&amp;L"}</definedName>
    <definedName name="wrn.singapore." localSheetId="3" hidden="1">{"one (KEY)",#N/A,FALSE,"P&amp;L"}</definedName>
    <definedName name="wrn.singapore." localSheetId="5" hidden="1">{"one (KEY)",#N/A,FALSE,"P&amp;L"}</definedName>
    <definedName name="wrn.singapore." localSheetId="4" hidden="1">{"one (KEY)",#N/A,FALSE,"P&amp;L"}</definedName>
    <definedName name="wrn.singapore." localSheetId="6" hidden="1">{"one (KEY)",#N/A,FALSE,"P&amp;L"}</definedName>
    <definedName name="wrn.singapore." hidden="1">{"one (KEY)",#N/A,FALSE,"P&amp;L"}</definedName>
    <definedName name="wrn1.prodcon" localSheetId="7" hidden="1">{"closed",#N/A,FALSE,"Consolidated Products - Budget";"expanded",#N/A,FALSE,"Consolidated Products - Budget"}</definedName>
    <definedName name="wrn1.prodcon" localSheetId="3" hidden="1">{"closed",#N/A,FALSE,"Consolidated Products - Budget";"expanded",#N/A,FALSE,"Consolidated Products - Budget"}</definedName>
    <definedName name="wrn1.prodcon" localSheetId="5" hidden="1">{"closed",#N/A,FALSE,"Consolidated Products - Budget";"expanded",#N/A,FALSE,"Consolidated Products - Budget"}</definedName>
    <definedName name="wrn1.prodcon" localSheetId="4" hidden="1">{"closed",#N/A,FALSE,"Consolidated Products - Budget";"expanded",#N/A,FALSE,"Consolidated Products - Budget"}</definedName>
    <definedName name="wrn1.prodcon" localSheetId="6" hidden="1">{"closed",#N/A,FALSE,"Consolidated Products - Budget";"expanded",#N/A,FALSE,"Consolidated Products - Budget"}</definedName>
    <definedName name="wrn1.prodcon" hidden="1">{"closed",#N/A,FALSE,"Consolidated Products - Budget";"expanded",#N/A,FALSE,"Consolidated Products - Budget"}</definedName>
    <definedName name="wrneltonw2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eltonw2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eltonw2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eltonw2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eltonw2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eltonw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gdp" localSheetId="7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gdp" localSheetId="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gdp" localSheetId="5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gdp" localSheetId="4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gdp" localSheetId="6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gdp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hr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hr" localSheetId="7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hr" localSheetId="3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hr" localSheetId="5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hr" localSheetId="4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hr" localSheetId="6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hr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mike" localSheetId="7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mike" localSheetId="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mike" localSheetId="5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mike" localSheetId="4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mike" localSheetId="6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mike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mike2" localSheetId="7" hidden="1">{"whole",#N/A,FALSE,"Gen_Dist_Act_Bud";"whole",#N/A,FALSE,"Gen_Dist_T3months";"whole",#N/A,FALSE,"GD_PerP";"whole",#N/A,FALSE,"HR Dist'n"}</definedName>
    <definedName name="wrnmike2" localSheetId="3" hidden="1">{"whole",#N/A,FALSE,"Gen_Dist_Act_Bud";"whole",#N/A,FALSE,"Gen_Dist_T3months";"whole",#N/A,FALSE,"GD_PerP";"whole",#N/A,FALSE,"HR Dist'n"}</definedName>
    <definedName name="wrnmike2" localSheetId="5" hidden="1">{"whole",#N/A,FALSE,"Gen_Dist_Act_Bud";"whole",#N/A,FALSE,"Gen_Dist_T3months";"whole",#N/A,FALSE,"GD_PerP";"whole",#N/A,FALSE,"HR Dist'n"}</definedName>
    <definedName name="wrnmike2" localSheetId="4" hidden="1">{"whole",#N/A,FALSE,"Gen_Dist_Act_Bud";"whole",#N/A,FALSE,"Gen_Dist_T3months";"whole",#N/A,FALSE,"GD_PerP";"whole",#N/A,FALSE,"HR Dist'n"}</definedName>
    <definedName name="wrnmike2" localSheetId="6" hidden="1">{"whole",#N/A,FALSE,"Gen_Dist_Act_Bud";"whole",#N/A,FALSE,"Gen_Dist_T3months";"whole",#N/A,FALSE,"GD_PerP";"whole",#N/A,FALSE,"HR Dist'n"}</definedName>
    <definedName name="wrnmike2" hidden="1">{"whole",#N/A,FALSE,"Gen_Dist_Act_Bud";"whole",#N/A,FALSE,"Gen_Dist_T3months";"whole",#N/A,FALSE,"GD_PerP";"whole",#N/A,FALSE,"HR Dist'n"}</definedName>
    <definedName name="wrnmyr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myr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myr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myr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myr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myr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pss" localSheetId="7" hidden="1">{#N/A,#N/A,FALSE,"Summary";#N/A,#N/A,FALSE,"Expense";#N/A,#N/A,FALSE,"Capital"}</definedName>
    <definedName name="wrnpss" localSheetId="3" hidden="1">{#N/A,#N/A,FALSE,"Summary";#N/A,#N/A,FALSE,"Expense";#N/A,#N/A,FALSE,"Capital"}</definedName>
    <definedName name="wrnpss" localSheetId="5" hidden="1">{#N/A,#N/A,FALSE,"Summary";#N/A,#N/A,FALSE,"Expense";#N/A,#N/A,FALSE,"Capital"}</definedName>
    <definedName name="wrnpss" localSheetId="4" hidden="1">{#N/A,#N/A,FALSE,"Summary";#N/A,#N/A,FALSE,"Expense";#N/A,#N/A,FALSE,"Capital"}</definedName>
    <definedName name="wrnpss" localSheetId="6" hidden="1">{#N/A,#N/A,FALSE,"Summary";#N/A,#N/A,FALSE,"Expense";#N/A,#N/A,FALSE,"Capital"}</definedName>
    <definedName name="wrnpss" hidden="1">{#N/A,#N/A,FALSE,"Summary";#N/A,#N/A,FALSE,"Expense";#N/A,#N/A,FALSE,"Capital"}</definedName>
    <definedName name="wrnrox" localSheetId="7" hidden="1">{"whole",#N/A,FALSE,"CS HC";"whole",#N/A,FALSE,"CS_ACTvsBud";"whole",#N/A,FALSE,"CSTrail3mo";"whole",#N/A,FALSE,"CS Cost Per Head ";"whole",#N/A,FALSE,"CS CPH YTD"}</definedName>
    <definedName name="wrnrox" localSheetId="3" hidden="1">{"whole",#N/A,FALSE,"CS HC";"whole",#N/A,FALSE,"CS_ACTvsBud";"whole",#N/A,FALSE,"CSTrail3mo";"whole",#N/A,FALSE,"CS Cost Per Head ";"whole",#N/A,FALSE,"CS CPH YTD"}</definedName>
    <definedName name="wrnrox" localSheetId="5" hidden="1">{"whole",#N/A,FALSE,"CS HC";"whole",#N/A,FALSE,"CS_ACTvsBud";"whole",#N/A,FALSE,"CSTrail3mo";"whole",#N/A,FALSE,"CS Cost Per Head ";"whole",#N/A,FALSE,"CS CPH YTD"}</definedName>
    <definedName name="wrnrox" localSheetId="4" hidden="1">{"whole",#N/A,FALSE,"CS HC";"whole",#N/A,FALSE,"CS_ACTvsBud";"whole",#N/A,FALSE,"CSTrail3mo";"whole",#N/A,FALSE,"CS Cost Per Head ";"whole",#N/A,FALSE,"CS CPH YTD"}</definedName>
    <definedName name="wrnrox" localSheetId="6" hidden="1">{"whole",#N/A,FALSE,"CS HC";"whole",#N/A,FALSE,"CS_ACTvsBud";"whole",#N/A,FALSE,"CSTrail3mo";"whole",#N/A,FALSE,"CS Cost Per Head ";"whole",#N/A,FALSE,"CS CPH YTD"}</definedName>
    <definedName name="wrnrox" hidden="1">{"whole",#N/A,FALSE,"CS HC";"whole",#N/A,FALSE,"CS_ACTvsBud";"whole",#N/A,FALSE,"CSTrail3mo";"whole",#N/A,FALSE,"CS Cost Per Head ";"whole",#N/A,FALSE,"CS CPH YTD"}</definedName>
    <definedName name="wrnrox2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rox2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rox2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rox2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rox2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rox2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run" localSheetId="7" hidden="1">{"Chart 1",#N/A,FALSE,"Run Rate";"Chart 2",#N/A,FALSE,"Run Rate (2)"}</definedName>
    <definedName name="wrnrun" localSheetId="3" hidden="1">{"Chart 1",#N/A,FALSE,"Run Rate";"Chart 2",#N/A,FALSE,"Run Rate (2)"}</definedName>
    <definedName name="wrnrun" localSheetId="5" hidden="1">{"Chart 1",#N/A,FALSE,"Run Rate";"Chart 2",#N/A,FALSE,"Run Rate (2)"}</definedName>
    <definedName name="wrnrun" localSheetId="4" hidden="1">{"Chart 1",#N/A,FALSE,"Run Rate";"Chart 2",#N/A,FALSE,"Run Rate (2)"}</definedName>
    <definedName name="wrnrun" localSheetId="6" hidden="1">{"Chart 1",#N/A,FALSE,"Run Rate";"Chart 2",#N/A,FALSE,"Run Rate (2)"}</definedName>
    <definedName name="wrnrun" hidden="1">{"Chart 1",#N/A,FALSE,"Run Rate";"Chart 2",#N/A,FALSE,"Run Rate (2)"}</definedName>
    <definedName name="WT">#REF!</definedName>
    <definedName name="ww" localSheetId="4">#REF!</definedName>
    <definedName name="Wwrn.6713" localSheetId="7" hidden="1">{#N/A,#N/A,FALSE,"Summary";#N/A,#N/A,FALSE,"Details";#N/A,#N/A,FALSE,"Month-Hd";#N/A,#N/A,FALSE,"YTD-Hd";#N/A,#N/A,FALSE,"Capital"}</definedName>
    <definedName name="Wwrn.6713" localSheetId="3" hidden="1">{#N/A,#N/A,FALSE,"Summary";#N/A,#N/A,FALSE,"Details";#N/A,#N/A,FALSE,"Month-Hd";#N/A,#N/A,FALSE,"YTD-Hd";#N/A,#N/A,FALSE,"Capital"}</definedName>
    <definedName name="Wwrn.6713" localSheetId="5" hidden="1">{#N/A,#N/A,FALSE,"Summary";#N/A,#N/A,FALSE,"Details";#N/A,#N/A,FALSE,"Month-Hd";#N/A,#N/A,FALSE,"YTD-Hd";#N/A,#N/A,FALSE,"Capital"}</definedName>
    <definedName name="Wwrn.6713" localSheetId="4" hidden="1">{#N/A,#N/A,FALSE,"Summary";#N/A,#N/A,FALSE,"Details";#N/A,#N/A,FALSE,"Month-Hd";#N/A,#N/A,FALSE,"YTD-Hd";#N/A,#N/A,FALSE,"Capital"}</definedName>
    <definedName name="Wwrn.6713" localSheetId="6" hidden="1">{#N/A,#N/A,FALSE,"Summary";#N/A,#N/A,FALSE,"Details";#N/A,#N/A,FALSE,"Month-Hd";#N/A,#N/A,FALSE,"YTD-Hd";#N/A,#N/A,FALSE,"Capital"}</definedName>
    <definedName name="Wwrn.6713" hidden="1">{#N/A,#N/A,FALSE,"Summary";#N/A,#N/A,FALSE,"Details";#N/A,#N/A,FALSE,"Month-Hd";#N/A,#N/A,FALSE,"YTD-Hd";#N/A,#N/A,FALSE,"Capital"}</definedName>
    <definedName name="Wwrn.Field_PSS" localSheetId="7" hidden="1">{#N/A,#N/A,FALSE,"Summary";#N/A,#N/A,FALSE,"Expense";#N/A,#N/A,FALSE,"Capital"}</definedName>
    <definedName name="Wwrn.Field_PSS" localSheetId="3" hidden="1">{#N/A,#N/A,FALSE,"Summary";#N/A,#N/A,FALSE,"Expense";#N/A,#N/A,FALSE,"Capital"}</definedName>
    <definedName name="Wwrn.Field_PSS" localSheetId="5" hidden="1">{#N/A,#N/A,FALSE,"Summary";#N/A,#N/A,FALSE,"Expense";#N/A,#N/A,FALSE,"Capital"}</definedName>
    <definedName name="Wwrn.Field_PSS" localSheetId="4" hidden="1">{#N/A,#N/A,FALSE,"Summary";#N/A,#N/A,FALSE,"Expense";#N/A,#N/A,FALSE,"Capital"}</definedName>
    <definedName name="Wwrn.Field_PSS" localSheetId="6" hidden="1">{#N/A,#N/A,FALSE,"Summary";#N/A,#N/A,FALSE,"Expense";#N/A,#N/A,FALSE,"Capital"}</definedName>
    <definedName name="Wwrn.Field_PSS" hidden="1">{#N/A,#N/A,FALSE,"Summary";#N/A,#N/A,FALSE,"Expense";#N/A,#N/A,FALSE,"Capital"}</definedName>
    <definedName name="www" localSheetId="7">#REF!</definedName>
    <definedName name="www" localSheetId="6">#REF!</definedName>
    <definedName name="www">#REF!</definedName>
    <definedName name="www.mike" localSheetId="7" hidden="1">{"whole",#N/A,FALSE,"Gen_Dist_Act_Bud";"whole",#N/A,FALSE,"Gen_Dist_T3months";"whole",#N/A,FALSE,"GD_PerP";"whole",#N/A,FALSE,"HR Dist'n"}</definedName>
    <definedName name="www.mike" localSheetId="3" hidden="1">{"whole",#N/A,FALSE,"Gen_Dist_Act_Bud";"whole",#N/A,FALSE,"Gen_Dist_T3months";"whole",#N/A,FALSE,"GD_PerP";"whole",#N/A,FALSE,"HR Dist'n"}</definedName>
    <definedName name="www.mike" localSheetId="5" hidden="1">{"whole",#N/A,FALSE,"Gen_Dist_Act_Bud";"whole",#N/A,FALSE,"Gen_Dist_T3months";"whole",#N/A,FALSE,"GD_PerP";"whole",#N/A,FALSE,"HR Dist'n"}</definedName>
    <definedName name="www.mike" localSheetId="4" hidden="1">{"whole",#N/A,FALSE,"Gen_Dist_Act_Bud";"whole",#N/A,FALSE,"Gen_Dist_T3months";"whole",#N/A,FALSE,"GD_PerP";"whole",#N/A,FALSE,"HR Dist'n"}</definedName>
    <definedName name="www.mike" localSheetId="6" hidden="1">{"whole",#N/A,FALSE,"Gen_Dist_Act_Bud";"whole",#N/A,FALSE,"Gen_Dist_T3months";"whole",#N/A,FALSE,"GD_PerP";"whole",#N/A,FALSE,"HR Dist'n"}</definedName>
    <definedName name="www.mike" hidden="1">{"whole",#N/A,FALSE,"Gen_Dist_Act_Bud";"whole",#N/A,FALSE,"Gen_Dist_T3months";"whole",#N/A,FALSE,"GD_PerP";"whole",#N/A,FALSE,"HR Dist'n"}</definedName>
    <definedName name="www.myr" localSheetId="7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ww.myr" localSheetId="3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ww.myr" localSheetId="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ww.myr" localSheetId="4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ww.myr" localSheetId="6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ww.myr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ww.run" localSheetId="7" hidden="1">{"Chart 1",#N/A,FALSE,"Run Rate";"Chart 2",#N/A,FALSE,"Run Rate (2)"}</definedName>
    <definedName name="www.run" localSheetId="3" hidden="1">{"Chart 1",#N/A,FALSE,"Run Rate";"Chart 2",#N/A,FALSE,"Run Rate (2)"}</definedName>
    <definedName name="www.run" localSheetId="5" hidden="1">{"Chart 1",#N/A,FALSE,"Run Rate";"Chart 2",#N/A,FALSE,"Run Rate (2)"}</definedName>
    <definedName name="www.run" localSheetId="4" hidden="1">{"Chart 1",#N/A,FALSE,"Run Rate";"Chart 2",#N/A,FALSE,"Run Rate (2)"}</definedName>
    <definedName name="www.run" localSheetId="6" hidden="1">{"Chart 1",#N/A,FALSE,"Run Rate";"Chart 2",#N/A,FALSE,"Run Rate (2)"}</definedName>
    <definedName name="www.run" hidden="1">{"Chart 1",#N/A,FALSE,"Run Rate";"Chart 2",#N/A,FALSE,"Run Rate (2)"}</definedName>
    <definedName name="www.ww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ww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ww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ww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ww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ww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xxx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xxx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xxx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xxx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xxx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xxx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w" localSheetId="7">#REF!</definedName>
    <definedName name="wwww" localSheetId="6">#REF!</definedName>
    <definedName name="wwww">#REF!</definedName>
    <definedName name="wwwww" localSheetId="7" hidden="1">{"one (KEY)",#N/A,FALSE,"P&amp;L"}</definedName>
    <definedName name="wwwww" hidden="1">{"one (KEY)",#N/A,FALSE,"P&amp;L"}</definedName>
    <definedName name="x" localSheetId="4" hidden="1">{#N/A,#N/A,FALSE,"Summary";#N/A,#N/A,FALSE,"Details";#N/A,#N/A,FALSE,"Month-Hd";#N/A,#N/A,FALSE,"YTD-Hd";#N/A,#N/A,FALSE,"Capital"}</definedName>
    <definedName name="x">#N/A</definedName>
    <definedName name="X_DoneDate">#REF!</definedName>
    <definedName name="XAxis" localSheetId="7">#REF!</definedName>
    <definedName name="XAxis" localSheetId="5">#REF!</definedName>
    <definedName name="XAxis" localSheetId="4">#REF!</definedName>
    <definedName name="XAxis" localSheetId="6">#REF!</definedName>
    <definedName name="XAxis">#REF!</definedName>
    <definedName name="XBOX" localSheetId="7">#REF!</definedName>
    <definedName name="XBOX" localSheetId="4">#REF!</definedName>
    <definedName name="XBOX" localSheetId="6">#REF!</definedName>
    <definedName name="XBOX">#REF!</definedName>
    <definedName name="xl">#N/A</definedName>
    <definedName name="XLOPTvec">"12 14 1 125 1 0 1 1 1 1 1 1 0 0 0 0 0 0 0 0"</definedName>
    <definedName name="Xn_Mmth" localSheetId="7">#REF!</definedName>
    <definedName name="Xn_Mmth" localSheetId="5">#REF!</definedName>
    <definedName name="Xn_Mmth" localSheetId="4">#REF!</definedName>
    <definedName name="Xn_Mmth" localSheetId="6">#REF!</definedName>
    <definedName name="Xn_Mmth">#REF!</definedName>
    <definedName name="xx" localSheetId="7">#REF!</definedName>
    <definedName name="xx" localSheetId="4" hidden="1">{#N/A,#N/A,FALSE,"Summary";#N/A,#N/A,FALSE,"Details";#N/A,#N/A,FALSE,"Month-Hd";#N/A,#N/A,FALSE,"YTD-Hd";#N/A,#N/A,FALSE,"Capital"}</definedName>
    <definedName name="xx" localSheetId="0">#REF!</definedName>
    <definedName name="xx" localSheetId="6">#REF!</definedName>
    <definedName name="xx">#REF!</definedName>
    <definedName name="xxllskdkf" localSheetId="7" hidden="1">{"whole",#N/A,FALSE,"CS HC";"whole",#N/A,FALSE,"CS_ACTvsBud";"whole",#N/A,FALSE,"CSTrail3mo";"whole",#N/A,FALSE,"CS Cost Per Head ";"whole",#N/A,FALSE,"CS CPH YTD"}</definedName>
    <definedName name="xxllskdkf" localSheetId="3" hidden="1">{"whole",#N/A,FALSE,"CS HC";"whole",#N/A,FALSE,"CS_ACTvsBud";"whole",#N/A,FALSE,"CSTrail3mo";"whole",#N/A,FALSE,"CS Cost Per Head ";"whole",#N/A,FALSE,"CS CPH YTD"}</definedName>
    <definedName name="xxllskdkf" localSheetId="5" hidden="1">{"whole",#N/A,FALSE,"CS HC";"whole",#N/A,FALSE,"CS_ACTvsBud";"whole",#N/A,FALSE,"CSTrail3mo";"whole",#N/A,FALSE,"CS Cost Per Head ";"whole",#N/A,FALSE,"CS CPH YTD"}</definedName>
    <definedName name="xxllskdkf" localSheetId="4" hidden="1">{"whole",#N/A,FALSE,"CS HC";"whole",#N/A,FALSE,"CS_ACTvsBud";"whole",#N/A,FALSE,"CSTrail3mo";"whole",#N/A,FALSE,"CS Cost Per Head ";"whole",#N/A,FALSE,"CS CPH YTD"}</definedName>
    <definedName name="xxllskdkf" localSheetId="6" hidden="1">{"whole",#N/A,FALSE,"CS HC";"whole",#N/A,FALSE,"CS_ACTvsBud";"whole",#N/A,FALSE,"CSTrail3mo";"whole",#N/A,FALSE,"CS Cost Per Head ";"whole",#N/A,FALSE,"CS CPH YTD"}</definedName>
    <definedName name="xxllskdkf" hidden="1">{"whole",#N/A,FALSE,"CS HC";"whole",#N/A,FALSE,"CS_ACTvsBud";"whole",#N/A,FALSE,"CSTrail3mo";"whole",#N/A,FALSE,"CS Cost Per Head ";"whole",#N/A,FALSE,"CS CPH YTD"}</definedName>
    <definedName name="xxx" localSheetId="7">#REF!</definedName>
    <definedName name="xxx" localSheetId="6">#REF!</definedName>
    <definedName name="xxx">#REF!</definedName>
    <definedName name="xxxx" localSheetId="7">#REF!</definedName>
    <definedName name="xxxx" localSheetId="4">#REF!</definedName>
    <definedName name="xxxx" localSheetId="0">#REF!</definedName>
    <definedName name="xxxx" localSheetId="6">#REF!</definedName>
    <definedName name="xxxx">#REF!</definedName>
    <definedName name="xxxxx" localSheetId="7" hidden="1">{"whole",#N/A,FALSE,"CS FIN Sum For Rox";"whole",#N/A,FALSE,"Gen_Dist_Act_Bud";"whole",#N/A,FALSE,"Gen_Dist_T3months";"whole",#N/A,FALSE,"GD_PerP";"whole",#N/A,FALSE,"CS_DIST_ActvsBud";"whole",#N/A,FALSE,"CS_DIST_SUM_trail3mo"}</definedName>
    <definedName name="xxxxx" localSheetId="3" hidden="1">{"whole",#N/A,FALSE,"CS FIN Sum For Rox";"whole",#N/A,FALSE,"Gen_Dist_Act_Bud";"whole",#N/A,FALSE,"Gen_Dist_T3months";"whole",#N/A,FALSE,"GD_PerP";"whole",#N/A,FALSE,"CS_DIST_ActvsBud";"whole",#N/A,FALSE,"CS_DIST_SUM_trail3mo"}</definedName>
    <definedName name="xxxxx" localSheetId="5" hidden="1">{"whole",#N/A,FALSE,"CS FIN Sum For Rox";"whole",#N/A,FALSE,"Gen_Dist_Act_Bud";"whole",#N/A,FALSE,"Gen_Dist_T3months";"whole",#N/A,FALSE,"GD_PerP";"whole",#N/A,FALSE,"CS_DIST_ActvsBud";"whole",#N/A,FALSE,"CS_DIST_SUM_trail3mo"}</definedName>
    <definedName name="xxxxx" localSheetId="4" hidden="1">{"whole",#N/A,FALSE,"CS FIN Sum For Rox";"whole",#N/A,FALSE,"Gen_Dist_Act_Bud";"whole",#N/A,FALSE,"Gen_Dist_T3months";"whole",#N/A,FALSE,"GD_PerP";"whole",#N/A,FALSE,"CS_DIST_ActvsBud";"whole",#N/A,FALSE,"CS_DIST_SUM_trail3mo"}</definedName>
    <definedName name="xxxxx" localSheetId="6" hidden="1">{"whole",#N/A,FALSE,"CS FIN Sum For Rox";"whole",#N/A,FALSE,"Gen_Dist_Act_Bud";"whole",#N/A,FALSE,"Gen_Dist_T3months";"whole",#N/A,FALSE,"GD_PerP";"whole",#N/A,FALSE,"CS_DIST_ActvsBud";"whole",#N/A,FALSE,"CS_DIST_SUM_trail3mo"}</definedName>
    <definedName name="xxxxx" hidden="1">{"whole",#N/A,FALSE,"CS FIN Sum For Rox";"whole",#N/A,FALSE,"Gen_Dist_Act_Bud";"whole",#N/A,FALSE,"Gen_Dist_T3months";"whole",#N/A,FALSE,"GD_PerP";"whole",#N/A,FALSE,"CS_DIST_ActvsBud";"whole",#N/A,FALSE,"CS_DIST_SUM_trail3mo"}</definedName>
    <definedName name="xxxxxxxx" localSheetId="7">#REF!</definedName>
    <definedName name="xxxxxxxx" localSheetId="6">#REF!</definedName>
    <definedName name="xxxxxxxx">#REF!</definedName>
    <definedName name="xz" localSheetId="7">#REF!</definedName>
    <definedName name="xz" localSheetId="5">#REF!</definedName>
    <definedName name="xz" localSheetId="4">#REF!</definedName>
    <definedName name="xz" localSheetId="6">#REF!</definedName>
    <definedName name="xz">#REF!</definedName>
    <definedName name="y" localSheetId="4">#REF!</definedName>
    <definedName name="YAxis" localSheetId="7">#REF!</definedName>
    <definedName name="YAxis" localSheetId="5">#REF!</definedName>
    <definedName name="YAxis" localSheetId="4">#REF!</definedName>
    <definedName name="YAxis" localSheetId="6">#REF!</definedName>
    <definedName name="YAxis">#REF!</definedName>
    <definedName name="Year" localSheetId="4">#REF!</definedName>
    <definedName name="Year">1998</definedName>
    <definedName name="Yes">"Yes"</definedName>
    <definedName name="Yield1" localSheetId="7">#REF!</definedName>
    <definedName name="Yield1" localSheetId="5">#REF!</definedName>
    <definedName name="Yield1" localSheetId="4">#REF!</definedName>
    <definedName name="Yield1" localSheetId="6">#REF!</definedName>
    <definedName name="Yield1">#REF!</definedName>
    <definedName name="Yield2" localSheetId="7">#REF!</definedName>
    <definedName name="Yield2" localSheetId="4">#REF!</definedName>
    <definedName name="Yield2" localSheetId="6">#REF!</definedName>
    <definedName name="Yield2">#REF!</definedName>
    <definedName name="Yr" localSheetId="7">#REF!</definedName>
    <definedName name="Yr" localSheetId="5">#REF!</definedName>
    <definedName name="Yr" localSheetId="4">#REF!</definedName>
    <definedName name="Yr" localSheetId="6">#REF!</definedName>
    <definedName name="Yr">#REF!</definedName>
    <definedName name="yy">#N/A</definedName>
    <definedName name="z" localSheetId="7">#REF!</definedName>
    <definedName name="z" localSheetId="5">#REF!</definedName>
    <definedName name="z" localSheetId="4">#REF!</definedName>
    <definedName name="z" localSheetId="0">#REF!</definedName>
    <definedName name="z" localSheetId="6">#REF!</definedName>
    <definedName name="z">#REF!</definedName>
    <definedName name="Z_06685B21_AA05_11D2_AA72_00C04FCC440D_.wvu.Cols" hidden="1">#REF!</definedName>
    <definedName name="Z_06685B21_AA05_11D2_AA72_00C04FCC440D_.wvu.PrintArea" hidden="1">#REF!</definedName>
    <definedName name="Z_06685B21_AA05_11D2_AA72_00C04FCC440D_.wvu.Rows" hidden="1">#REF!</definedName>
    <definedName name="Z_0F587A09_3B67_42BA_B531_8AE439C30BBB_.wvu.Cols" localSheetId="7" hidden="1">#REF!,#REF!,#REF!</definedName>
    <definedName name="Z_0F587A09_3B67_42BA_B531_8AE439C30BBB_.wvu.Cols" hidden="1">#REF!,#REF!,#REF!</definedName>
    <definedName name="Z_0F587A09_3B67_42BA_B531_8AE439C30BBB_.wvu.PrintArea" localSheetId="7" hidden="1">#REF!</definedName>
    <definedName name="Z_0F587A09_3B67_42BA_B531_8AE439C30BBB_.wvu.PrintArea" hidden="1">#REF!</definedName>
    <definedName name="Z_0F587A09_3B67_42BA_B531_8AE439C30BBB_.wvu.PrintTitles" localSheetId="7" hidden="1">#REF!</definedName>
    <definedName name="Z_0F587A09_3B67_42BA_B531_8AE439C30BBB_.wvu.PrintTitles" hidden="1">#REF!</definedName>
    <definedName name="Z_15707667_0911_4A22_960C_598FEE0296A8_.wvu.Rows" localSheetId="7" hidden="1">#REF!,#REF!,#REF!,#REF!</definedName>
    <definedName name="Z_15707667_0911_4A22_960C_598FEE0296A8_.wvu.Rows" localSheetId="5" hidden="1">#REF!,#REF!,#REF!,#REF!</definedName>
    <definedName name="Z_15707667_0911_4A22_960C_598FEE0296A8_.wvu.Rows" localSheetId="4" hidden="1">#REF!,#REF!,#REF!,#REF!</definedName>
    <definedName name="Z_15707667_0911_4A22_960C_598FEE0296A8_.wvu.Rows" localSheetId="6" hidden="1">#REF!,#REF!,#REF!,#REF!</definedName>
    <definedName name="Z_15707667_0911_4A22_960C_598FEE0296A8_.wvu.Rows" hidden="1">#REF!,#REF!,#REF!,#REF!</definedName>
    <definedName name="Z_243188E0_F983_4507_93AD_B7EA4368FB27_.wvu.Cols" localSheetId="7" hidden="1">#REF!</definedName>
    <definedName name="Z_243188E0_F983_4507_93AD_B7EA4368FB27_.wvu.Cols" hidden="1">#REF!</definedName>
    <definedName name="Z_A3693F2F_F10E_4FD3_BC9A_8F7D9E490731_.wvu.PrintArea" localSheetId="7" hidden="1">#REF!</definedName>
    <definedName name="Z_A3693F2F_F10E_4FD3_BC9A_8F7D9E490731_.wvu.PrintArea" localSheetId="5" hidden="1">#REF!</definedName>
    <definedName name="Z_A3693F2F_F10E_4FD3_BC9A_8F7D9E490731_.wvu.PrintArea" localSheetId="4" hidden="1">#REF!</definedName>
    <definedName name="Z_A3693F2F_F10E_4FD3_BC9A_8F7D9E490731_.wvu.PrintArea" localSheetId="6" hidden="1">#REF!</definedName>
    <definedName name="Z_A3693F2F_F10E_4FD3_BC9A_8F7D9E490731_.wvu.PrintArea" hidden="1">#REF!</definedName>
    <definedName name="Z_A3693F2F_F10E_4FD3_BC9A_8F7D9E490731_.wvu.PrintTitles" localSheetId="7" hidden="1">#REF!</definedName>
    <definedName name="Z_A3693F2F_F10E_4FD3_BC9A_8F7D9E490731_.wvu.PrintTitles" localSheetId="4" hidden="1">#REF!</definedName>
    <definedName name="Z_A3693F2F_F10E_4FD3_BC9A_8F7D9E490731_.wvu.PrintTitles" localSheetId="6" hidden="1">#REF!</definedName>
    <definedName name="Z_A3693F2F_F10E_4FD3_BC9A_8F7D9E490731_.wvu.PrintTitles" hidden="1">#REF!</definedName>
    <definedName name="Z_A3693F2F_F10E_4FD3_BC9A_8F7D9E490731_.wvu.Rows" localSheetId="4" hidden="1">#REF!</definedName>
    <definedName name="Z_A3693F2F_F10E_4FD3_BC9A_8F7D9E490731_.wvu.Rows" localSheetId="6" hidden="1">#REF!</definedName>
    <definedName name="Z_A3693F2F_F10E_4FD3_BC9A_8F7D9E490731_.wvu.Rows" hidden="1">#REF!</definedName>
    <definedName name="Z_BD1B612E_7EB1_4E19_920D_D886E886B084_.wvu.Cols" hidden="1">#REF!</definedName>
    <definedName name="Z_CD2F0EFF_E68B_4387_A20D_243EA20ED80E_.wvu.Cols" localSheetId="6" hidden="1">#REF!</definedName>
    <definedName name="Z_CD2F0EFF_E68B_4387_A20D_243EA20ED80E_.wvu.Cols" hidden="1">#REF!</definedName>
    <definedName name="Z_CD2F0EFF_E68B_4387_A20D_243EA20ED80E_.wvu.Rows" localSheetId="7" hidden="1">#REF!,#REF!,#REF!</definedName>
    <definedName name="Z_CD2F0EFF_E68B_4387_A20D_243EA20ED80E_.wvu.Rows" localSheetId="5" hidden="1">#REF!,#REF!,#REF!</definedName>
    <definedName name="Z_CD2F0EFF_E68B_4387_A20D_243EA20ED80E_.wvu.Rows" localSheetId="4" hidden="1">#REF!,#REF!,#REF!</definedName>
    <definedName name="Z_CD2F0EFF_E68B_4387_A20D_243EA20ED80E_.wvu.Rows" localSheetId="6" hidden="1">#REF!,#REF!,#REF!</definedName>
    <definedName name="Z_CD2F0EFF_E68B_4387_A20D_243EA20ED80E_.wvu.Rows" hidden="1">#REF!,#REF!,#REF!</definedName>
    <definedName name="Z03L" localSheetId="7">#REF!</definedName>
    <definedName name="Z03L" localSheetId="5">#REF!</definedName>
    <definedName name="Z03L" localSheetId="4">#REF!</definedName>
    <definedName name="Z03L" localSheetId="6">#REF!</definedName>
    <definedName name="Z03L">#REF!</definedName>
    <definedName name="Z03U" localSheetId="7">#REF!</definedName>
    <definedName name="Z03U" localSheetId="4">#REF!</definedName>
    <definedName name="Z03U" localSheetId="6">#REF!</definedName>
    <definedName name="Z03U">#REF!</definedName>
    <definedName name="zz" localSheetId="7" hidden="1">{"whole",#N/A,FALSE,"Gen_Dist_Act_Bud";"whole",#N/A,FALSE,"Gen_Dist_T3months";"whole",#N/A,FALSE,"GD_PerP";"whole",#N/A,FALSE,"HR Dist'n"}</definedName>
    <definedName name="zz" localSheetId="3" hidden="1">{"whole",#N/A,FALSE,"Gen_Dist_Act_Bud";"whole",#N/A,FALSE,"Gen_Dist_T3months";"whole",#N/A,FALSE,"GD_PerP";"whole",#N/A,FALSE,"HR Dist'n"}</definedName>
    <definedName name="zz" localSheetId="5" hidden="1">{"whole",#N/A,FALSE,"Gen_Dist_Act_Bud";"whole",#N/A,FALSE,"Gen_Dist_T3months";"whole",#N/A,FALSE,"GD_PerP";"whole",#N/A,FALSE,"HR Dist'n"}</definedName>
    <definedName name="zz" localSheetId="4" hidden="1">{"whole",#N/A,FALSE,"Gen_Dist_Act_Bud";"whole",#N/A,FALSE,"Gen_Dist_T3months";"whole",#N/A,FALSE,"GD_PerP";"whole",#N/A,FALSE,"HR Dist'n"}</definedName>
    <definedName name="zz" localSheetId="6" hidden="1">{"whole",#N/A,FALSE,"Gen_Dist_Act_Bud";"whole",#N/A,FALSE,"Gen_Dist_T3months";"whole",#N/A,FALSE,"GD_PerP";"whole",#N/A,FALSE,"HR Dist'n"}</definedName>
    <definedName name="zz" hidden="1">{"whole",#N/A,FALSE,"Gen_Dist_Act_Bud";"whole",#N/A,FALSE,"Gen_Dist_T3months";"whole",#N/A,FALSE,"GD_PerP";"whole",#N/A,FALSE,"HR Dist'n"}</definedName>
    <definedName name="zzz" localSheetId="7" hidden="1">{"whole",#N/A,FALSE,"CS HC";"whole",#N/A,FALSE,"CS_ACTvsBud";"whole",#N/A,FALSE,"CSTrail3mo";"whole",#N/A,FALSE,"CS Cost Per Head ";"whole",#N/A,FALSE,"CS CPH YTD"}</definedName>
    <definedName name="zzz" localSheetId="3" hidden="1">{"whole",#N/A,FALSE,"CS HC";"whole",#N/A,FALSE,"CS_ACTvsBud";"whole",#N/A,FALSE,"CSTrail3mo";"whole",#N/A,FALSE,"CS Cost Per Head ";"whole",#N/A,FALSE,"CS CPH YTD"}</definedName>
    <definedName name="zzz" localSheetId="5" hidden="1">{"whole",#N/A,FALSE,"CS HC";"whole",#N/A,FALSE,"CS_ACTvsBud";"whole",#N/A,FALSE,"CSTrail3mo";"whole",#N/A,FALSE,"CS Cost Per Head ";"whole",#N/A,FALSE,"CS CPH YTD"}</definedName>
    <definedName name="zzz" localSheetId="4" hidden="1">{"whole",#N/A,FALSE,"CS HC";"whole",#N/A,FALSE,"CS_ACTvsBud";"whole",#N/A,FALSE,"CSTrail3mo";"whole",#N/A,FALSE,"CS Cost Per Head ";"whole",#N/A,FALSE,"CS CPH YTD"}</definedName>
    <definedName name="zzz" localSheetId="6" hidden="1">{"whole",#N/A,FALSE,"CS HC";"whole",#N/A,FALSE,"CS_ACTvsBud";"whole",#N/A,FALSE,"CSTrail3mo";"whole",#N/A,FALSE,"CS Cost Per Head ";"whole",#N/A,FALSE,"CS CPH YTD"}</definedName>
    <definedName name="zzz" hidden="1">{"whole",#N/A,FALSE,"CS HC";"whole",#N/A,FALSE,"CS_ACTvsBud";"whole",#N/A,FALSE,"CSTrail3mo";"whole",#N/A,FALSE,"CS Cost Per Head ";"whole",#N/A,FALSE,"CS CPH YTD"}</definedName>
    <definedName name="上">#N/A</definedName>
    <definedName name="下">#N/A</definedName>
    <definedName name="口">#N/A</definedName>
    <definedName name="不">#N/A</definedName>
    <definedName name="不是" localSheetId="7">#REF!</definedName>
    <definedName name="不是" localSheetId="5">#REF!</definedName>
    <definedName name="不是" localSheetId="4">#REF!</definedName>
    <definedName name="不是" localSheetId="0">#REF!</definedName>
    <definedName name="不是" localSheetId="6">#REF!</definedName>
    <definedName name="不是">#REF!</definedName>
    <definedName name="不要">#N/A</definedName>
    <definedName name="中" hidden="1">#N/A</definedName>
    <definedName name="付款方式簡表" localSheetId="7">#REF!</definedName>
    <definedName name="付款方式簡表" localSheetId="4">#REF!</definedName>
    <definedName name="付款方式簡表" localSheetId="0">#REF!</definedName>
    <definedName name="付款方式簡表" localSheetId="6">#REF!</definedName>
    <definedName name="付款方式簡表">#REF!</definedName>
    <definedName name="以">#N/A</definedName>
    <definedName name="台幣對美金" localSheetId="7">#REF!</definedName>
    <definedName name="台幣對美金" localSheetId="4">#REF!</definedName>
    <definedName name="台幣對美金" localSheetId="6">#REF!</definedName>
    <definedName name="台幣對美金">#REF!</definedName>
    <definedName name="瓦">#N/A</definedName>
    <definedName name="生產進度Follow_up及異常狀況回饋之處理" localSheetId="7">#REF!</definedName>
    <definedName name="生產進度Follow_up及異常狀況回饋之處理" localSheetId="5">#REF!</definedName>
    <definedName name="生產進度Follow_up及異常狀況回饋之處理" localSheetId="4">#REF!</definedName>
    <definedName name="生產進度Follow_up及異常狀況回饋之處理" localSheetId="0">#REF!</definedName>
    <definedName name="生產進度Follow_up及異常狀況回饋之處理" localSheetId="6">#REF!</definedName>
    <definedName name="生產進度Follow_up及異常狀況回饋之處理">#REF!</definedName>
    <definedName name="在">#N/A</definedName>
    <definedName name="地">#N/A</definedName>
    <definedName name="如">#N/A</definedName>
    <definedName name="成本明細" localSheetId="7">#REF!</definedName>
    <definedName name="成本明細" localSheetId="5">#REF!</definedName>
    <definedName name="成本明細" localSheetId="4">#REF!</definedName>
    <definedName name="成本明細" localSheetId="0">#REF!</definedName>
    <definedName name="成本明細" localSheetId="6">#REF!</definedName>
    <definedName name="成本明細">#REF!</definedName>
    <definedName name="行動" localSheetId="7">#REF!</definedName>
    <definedName name="行動" localSheetId="5">#REF!</definedName>
    <definedName name="行動" localSheetId="4">#REF!</definedName>
    <definedName name="行動" localSheetId="0">#REF!</definedName>
    <definedName name="行動" localSheetId="6">#REF!</definedName>
    <definedName name="行動">#REF!</definedName>
    <definedName name="改善彙總表" localSheetId="5">#REF!</definedName>
    <definedName name="改善彙總表" localSheetId="4">#REF!</definedName>
    <definedName name="改善彙總表" localSheetId="0">#REF!</definedName>
    <definedName name="改善彙總表" localSheetId="6">#REF!</definedName>
    <definedName name="改善彙總表">#REF!</definedName>
    <definedName name="沒" localSheetId="7">#REF!</definedName>
    <definedName name="沒" localSheetId="5">#REF!</definedName>
    <definedName name="沒" localSheetId="4">#REF!</definedName>
    <definedName name="沒" localSheetId="0">#REF!</definedName>
    <definedName name="沒" localSheetId="6">#REF!</definedName>
    <definedName name="沒">#REF!</definedName>
    <definedName name="和主" hidden="1">#N/A</definedName>
    <definedName name="波" hidden="1">#N/A</definedName>
    <definedName name="的">#N/A</definedName>
    <definedName name="股" hidden="1">#N/A</definedName>
    <definedName name="金">#N/A</definedName>
    <definedName name="阿A1" localSheetId="7">#REF!</definedName>
    <definedName name="阿A1" localSheetId="5">#REF!</definedName>
    <definedName name="阿A1" localSheetId="4">#REF!</definedName>
    <definedName name="阿A1" localSheetId="0">#REF!</definedName>
    <definedName name="阿A1" localSheetId="6">#REF!</definedName>
    <definedName name="阿A1">#REF!</definedName>
    <definedName name="是" localSheetId="7">#REF!</definedName>
    <definedName name="是" localSheetId="4">#REF!</definedName>
    <definedName name="是" localSheetId="0">#REF!</definedName>
    <definedName name="是" localSheetId="6">#REF!</definedName>
    <definedName name="是">#REF!</definedName>
    <definedName name="為">#N/A</definedName>
    <definedName name="美金對美金" localSheetId="7">#REF!</definedName>
    <definedName name="美金對美金" localSheetId="5">#REF!</definedName>
    <definedName name="美金對美金" localSheetId="4">#REF!</definedName>
    <definedName name="美金對美金" localSheetId="6">#REF!</definedName>
    <definedName name="美金對美金">#REF!</definedName>
    <definedName name="要">#N/A</definedName>
    <definedName name="缺件分析2" localSheetId="7">#REF!</definedName>
    <definedName name="缺件分析2" localSheetId="5">#REF!</definedName>
    <definedName name="缺件分析2" localSheetId="4">#REF!</definedName>
    <definedName name="缺件分析2" localSheetId="0">#REF!</definedName>
    <definedName name="缺件分析2" localSheetId="6">#REF!</definedName>
    <definedName name="缺件分析2">#REF!</definedName>
    <definedName name="針對ASS_Y_WIP之管控_以降低存貨週轉天數" localSheetId="7">#REF!</definedName>
    <definedName name="針對ASS_Y_WIP之管控_以降低存貨週轉天數" localSheetId="3">#REF!</definedName>
    <definedName name="針對ASS_Y_WIP之管控_以降低存貨週轉天數" localSheetId="4">#REF!</definedName>
    <definedName name="針對ASS_Y_WIP之管控_以降低存貨週轉天數" localSheetId="0">#REF!</definedName>
    <definedName name="針對ASS_Y_WIP之管控_以降低存貨週轉天數" localSheetId="6">#REF!</definedName>
    <definedName name="針對ASS_Y_WIP之管控_以降低存貨週轉天數">#REF!</definedName>
    <definedName name="國">#N/A</definedName>
    <definedName name="得" localSheetId="7" hidden="1">{"'sheet(22) (22)'!$A$64:$K$79"}</definedName>
    <definedName name="得">{"'sheet(22) (22)'!$A$64:$K$79"}</definedName>
    <definedName name="現状" localSheetId="7">#REF!</definedName>
    <definedName name="現状" localSheetId="5">#REF!</definedName>
    <definedName name="現状" localSheetId="4">#REF!</definedName>
    <definedName name="現状" localSheetId="6">#REF!</definedName>
    <definedName name="現状">#REF!</definedName>
    <definedName name="產">#N/A</definedName>
    <definedName name="產少">#N/A</definedName>
    <definedName name="設定出貨時間" localSheetId="7">#REF!</definedName>
    <definedName name="設定出貨時間" localSheetId="5">#REF!</definedName>
    <definedName name="設定出貨時間" localSheetId="4">#REF!</definedName>
    <definedName name="設定出貨時間" localSheetId="0">#REF!</definedName>
    <definedName name="設定出貨時間" localSheetId="6">#REF!</definedName>
    <definedName name="設定出貨時間">#REF!</definedName>
    <definedName name="這" hidden="1">#N/A</definedName>
    <definedName name="喔">#N/A</definedName>
    <definedName name="報廢處理" localSheetId="7">#REF!</definedName>
    <definedName name="報廢處理" localSheetId="5">#REF!</definedName>
    <definedName name="報廢處理" localSheetId="4">#REF!</definedName>
    <definedName name="報廢處理" localSheetId="0">#REF!</definedName>
    <definedName name="報廢處理" localSheetId="6">#REF!</definedName>
    <definedName name="報廢處理">#REF!</definedName>
    <definedName name="港幣對美金" localSheetId="7">#REF!</definedName>
    <definedName name="港幣對美金" localSheetId="4">#REF!</definedName>
    <definedName name="港幣對美金" localSheetId="6">#REF!</definedName>
    <definedName name="港幣對美金">#REF!</definedName>
    <definedName name="湯" hidden="1">#N/A</definedName>
    <definedName name="無" localSheetId="7">#REF!</definedName>
    <definedName name="無" localSheetId="5">#REF!</definedName>
    <definedName name="無" localSheetId="4">#REF!</definedName>
    <definedName name="無" localSheetId="0">#REF!</definedName>
    <definedName name="無" localSheetId="6">#REF!</definedName>
    <definedName name="無">#REF!</definedName>
    <definedName name="楊烈" localSheetId="7">#REF!</definedName>
    <definedName name="楊烈" localSheetId="5">#REF!</definedName>
    <definedName name="楊烈" localSheetId="4">#REF!</definedName>
    <definedName name="楊烈" localSheetId="0">#REF!</definedName>
    <definedName name="楊烈" localSheetId="6">#REF!</definedName>
    <definedName name="楊烈">#REF!</definedName>
    <definedName name="蛾" localSheetId="7">#REF!</definedName>
    <definedName name="蛾" localSheetId="5">#REF!</definedName>
    <definedName name="蛾" localSheetId="4">#REF!</definedName>
    <definedName name="蛾" localSheetId="6">#REF!</definedName>
    <definedName name="蛾">#REF!</definedName>
    <definedName name="解雄偉" localSheetId="7">#REF!</definedName>
    <definedName name="解雄偉" localSheetId="3">#REF!</definedName>
    <definedName name="解雄偉" localSheetId="4">#REF!</definedName>
    <definedName name="解雄偉" localSheetId="0">#REF!</definedName>
    <definedName name="解雄偉" localSheetId="6">#REF!</definedName>
    <definedName name="解雄偉">#REF!</definedName>
    <definedName name="綠點">"群組 303"</definedName>
    <definedName name="與前段製程Link" localSheetId="7">#REF!</definedName>
    <definedName name="與前段製程Link" localSheetId="5">#REF!</definedName>
    <definedName name="與前段製程Link" localSheetId="4">#REF!</definedName>
    <definedName name="與前段製程Link" localSheetId="0">#REF!</definedName>
    <definedName name="與前段製程Link" localSheetId="6">#REF!</definedName>
    <definedName name="與前段製程Link">#REF!</definedName>
    <definedName name="樓層參考表" localSheetId="7">#REF!</definedName>
    <definedName name="樓層參考表">#REF!</definedName>
    <definedName name="確認訂單合同及BOM版本" localSheetId="7">#REF!</definedName>
    <definedName name="確認訂單合同及BOM版本" localSheetId="5">#REF!</definedName>
    <definedName name="確認訂單合同及BOM版本" localSheetId="4">#REF!</definedName>
    <definedName name="確認訂單合同及BOM版本" localSheetId="0">#REF!</definedName>
    <definedName name="確認訂單合同及BOM版本" localSheetId="6">#REF!</definedName>
    <definedName name="確認訂單合同及BOM版本">#REF!</definedName>
    <definedName name="線" localSheetId="7">#REF!</definedName>
    <definedName name="線" localSheetId="4">#REF!</definedName>
    <definedName name="線" localSheetId="0">#REF!</definedName>
    <definedName name="線" localSheetId="6">#REF!</definedName>
    <definedName name="線">#REF!</definedName>
    <definedName name="線數" localSheetId="7">#REF!</definedName>
    <definedName name="線數" localSheetId="4">#REF!</definedName>
    <definedName name="線數" localSheetId="0">#REF!</definedName>
    <definedName name="線數" localSheetId="6">#REF!</definedName>
    <definedName name="線數">#REF!</definedName>
    <definedName name="機">#N/A</definedName>
    <definedName name="機器">#N/A</definedName>
    <definedName name="離職原因分析" hidden="1">#N/A</definedName>
    <definedName name="懲處">"物件 65"</definedName>
  </definedNames>
  <calcPr calcId="144525"/>
  <pivotCaches>
    <pivotCache cacheId="0" r:id="rId13"/>
  </pivotCaches>
</workbook>
</file>

<file path=xl/sharedStrings.xml><?xml version="1.0" encoding="utf-8"?>
<sst xmlns="http://schemas.openxmlformats.org/spreadsheetml/2006/main" count="859" uniqueCount="402">
  <si>
    <t>to Supplier</t>
  </si>
  <si>
    <t>Guidelines for Labor Allocation  --- Mass Production labor only</t>
  </si>
  <si>
    <t>Supplier doesn't need to fill data in the tab "price summary". The BOM cost assumption is listed in this tab.</t>
  </si>
  <si>
    <t>Operations/Production Manager</t>
  </si>
  <si>
    <t>Bucket</t>
  </si>
  <si>
    <t>Equipment Type</t>
  </si>
  <si>
    <t>Type</t>
  </si>
  <si>
    <t>Please only fill data in the grey area in the tabs of "SupplierBaseInput" and "Cleansheet".</t>
  </si>
  <si>
    <r>
      <rPr>
        <sz val="11"/>
        <color indexed="8"/>
        <rFont val="Calibri"/>
        <charset val="134"/>
      </rPr>
      <t>1.</t>
    </r>
    <r>
      <rPr>
        <sz val="11"/>
        <color rgb="FF000000"/>
        <rFont val="Times New Roman"/>
        <charset val="134"/>
      </rPr>
      <t xml:space="preserve">       </t>
    </r>
    <r>
      <rPr>
        <sz val="11"/>
        <color indexed="8"/>
        <rFont val="Calibri"/>
        <charset val="134"/>
      </rPr>
      <t>An operations manager owns the manufacturing of the product. A product line will usually have one operations manager.</t>
    </r>
  </si>
  <si>
    <t>SMT</t>
  </si>
  <si>
    <t>Custom</t>
  </si>
  <si>
    <t>Equipment</t>
  </si>
  <si>
    <t>Please provide process flow as required in the tabs</t>
  </si>
  <si>
    <t>SMT Testing</t>
  </si>
  <si>
    <t>Standard</t>
  </si>
  <si>
    <t>MRO</t>
  </si>
  <si>
    <t>Please provide equipment cost breakdown as required in the tabs</t>
  </si>
  <si>
    <t>Section Manager</t>
  </si>
  <si>
    <t>BB Assy</t>
  </si>
  <si>
    <t>Please provide consumable cost breakdown as required in the tabs</t>
  </si>
  <si>
    <r>
      <rPr>
        <sz val="11"/>
        <color indexed="8"/>
        <rFont val="Calibri"/>
        <charset val="134"/>
      </rPr>
      <t>1.</t>
    </r>
    <r>
      <rPr>
        <sz val="11"/>
        <color rgb="FF000000"/>
        <rFont val="Times New Roman"/>
        <charset val="134"/>
      </rPr>
      <t xml:space="preserve">       </t>
    </r>
    <r>
      <rPr>
        <sz val="11"/>
        <color indexed="8"/>
        <rFont val="Calibri"/>
        <charset val="134"/>
      </rPr>
      <t>A section manager is a functional head and they are in-charge of the entire division for the whole factory. E.g quality, engineering, materials … etc</t>
    </r>
  </si>
  <si>
    <t>BB Testing</t>
  </si>
  <si>
    <t>Material Management</t>
  </si>
  <si>
    <t>Program Assumptions:</t>
  </si>
  <si>
    <t>Engineers</t>
  </si>
  <si>
    <t>Quality (SMT)</t>
  </si>
  <si>
    <t>Tier 2 supplies mechanicals…</t>
  </si>
  <si>
    <r>
      <rPr>
        <sz val="11"/>
        <color indexed="8"/>
        <rFont val="Calibri"/>
        <charset val="134"/>
      </rPr>
      <t>1.</t>
    </r>
    <r>
      <rPr>
        <sz val="11"/>
        <color rgb="FF000000"/>
        <rFont val="Times New Roman"/>
        <charset val="134"/>
      </rPr>
      <t>      O</t>
    </r>
    <r>
      <rPr>
        <sz val="11"/>
        <color indexed="8"/>
        <rFont val="Calibri"/>
        <charset val="134"/>
      </rPr>
      <t xml:space="preserve">nly </t>
    </r>
    <r>
      <rPr>
        <b/>
        <sz val="11"/>
        <color indexed="8"/>
        <rFont val="Calibri"/>
        <charset val="134"/>
      </rPr>
      <t>Mass Production</t>
    </r>
    <r>
      <rPr>
        <sz val="11"/>
        <color indexed="8"/>
        <rFont val="Calibri"/>
        <charset val="134"/>
      </rPr>
      <t xml:space="preserve"> engineers should be included in this cleansheet.</t>
    </r>
  </si>
  <si>
    <t>Quality (BB)</t>
  </si>
  <si>
    <t>Tier 1 factory assembles mechanicals into sub-assemblies.  Mechanical parts are binned for color Tier 2 and laser engraved with unique part number at Tier 1 for traceability.</t>
  </si>
  <si>
    <t>Technician</t>
  </si>
  <si>
    <t>Tier 1 factory produces PCBAs (Motherboard and Touchboard)</t>
  </si>
  <si>
    <r>
      <rPr>
        <sz val="11"/>
        <color indexed="8"/>
        <rFont val="Calibri"/>
        <charset val="134"/>
      </rPr>
      <t>1.</t>
    </r>
    <r>
      <rPr>
        <sz val="11"/>
        <color rgb="FF000000"/>
        <rFont val="Times New Roman"/>
        <charset val="134"/>
      </rPr>
      <t>     </t>
    </r>
    <r>
      <rPr>
        <sz val="11"/>
        <color indexed="8"/>
        <rFont val="Calibri"/>
        <charset val="134"/>
      </rPr>
      <t xml:space="preserve">Technicians work for the engineers or supervisors to solve problems that arise on the line. </t>
    </r>
  </si>
  <si>
    <t>Tier 1 factory performs final assembly and final test operation</t>
  </si>
  <si>
    <t>2.       Maintenance and regular work on the line will be done by technicians.</t>
  </si>
  <si>
    <t>Manufacturing Assumptions:</t>
  </si>
  <si>
    <t>Line Leader</t>
  </si>
  <si>
    <t>Takt Time: seconds per unit</t>
  </si>
  <si>
    <r>
      <rPr>
        <sz val="11"/>
        <color indexed="8"/>
        <rFont val="Calibri"/>
        <charset val="134"/>
      </rPr>
      <t>1.</t>
    </r>
    <r>
      <rPr>
        <sz val="11"/>
        <color rgb="FF000000"/>
        <rFont val="Times New Roman"/>
        <charset val="134"/>
      </rPr>
      <t xml:space="preserve">       </t>
    </r>
    <r>
      <rPr>
        <sz val="11"/>
        <color indexed="8"/>
        <rFont val="Calibri"/>
        <charset val="134"/>
      </rPr>
      <t xml:space="preserve">A line leader owns a line and in some cases more than one line depending on the length and number of stations present in that line. </t>
    </r>
  </si>
  <si>
    <t>Factory Labor: 6 day schedule (plan), 7 day (burst)</t>
  </si>
  <si>
    <r>
      <rPr>
        <sz val="11"/>
        <color indexed="8"/>
        <rFont val="Calibri"/>
        <charset val="134"/>
      </rPr>
      <t>2.</t>
    </r>
    <r>
      <rPr>
        <sz val="11"/>
        <color rgb="FF000000"/>
        <rFont val="Times New Roman"/>
        <charset val="134"/>
      </rPr>
      <t xml:space="preserve">       </t>
    </r>
    <r>
      <rPr>
        <sz val="11"/>
        <color indexed="8"/>
        <rFont val="Calibri"/>
        <charset val="134"/>
      </rPr>
      <t xml:space="preserve">A single line can only have a maximum of one line leader. </t>
    </r>
  </si>
  <si>
    <t>Note: If you need multi-functional operators then they should be designated as “multi-functional operator” which falls in the “DL” category. This should be classified under "Functional DL" in the cleansheet.</t>
  </si>
  <si>
    <t>Special Manufacturing requirements:</t>
  </si>
  <si>
    <t>PCBA: Underfill &amp; Depanelization</t>
  </si>
  <si>
    <t>Supervisor</t>
  </si>
  <si>
    <t xml:space="preserve">XXX Assembly: </t>
  </si>
  <si>
    <r>
      <rPr>
        <sz val="11"/>
        <color indexed="8"/>
        <rFont val="Calibri"/>
        <charset val="134"/>
      </rPr>
      <t>1.</t>
    </r>
    <r>
      <rPr>
        <sz val="11"/>
        <color rgb="FF000000"/>
        <rFont val="Times New Roman"/>
        <charset val="134"/>
      </rPr>
      <t xml:space="preserve">       </t>
    </r>
    <r>
      <rPr>
        <sz val="11"/>
        <color indexed="8"/>
        <rFont val="Calibri"/>
        <charset val="134"/>
      </rPr>
      <t xml:space="preserve">A supervisor is the operations leader for an entire category such as SMT or Box build. </t>
    </r>
  </si>
  <si>
    <r>
      <rPr>
        <sz val="11"/>
        <color indexed="8"/>
        <rFont val="Calibri"/>
        <charset val="134"/>
      </rPr>
      <t>2.</t>
    </r>
    <r>
      <rPr>
        <sz val="11"/>
        <color rgb="FF000000"/>
        <rFont val="Times New Roman"/>
        <charset val="134"/>
      </rPr>
      <t xml:space="preserve">       </t>
    </r>
    <r>
      <rPr>
        <sz val="11"/>
        <color indexed="8"/>
        <rFont val="Calibri"/>
        <charset val="134"/>
      </rPr>
      <t>If new lines are added then line leaders should be added and not supervisors.</t>
    </r>
  </si>
  <si>
    <t xml:space="preserve">Equipment &amp; Consumables: </t>
  </si>
  <si>
    <t>OBA/IPQC</t>
  </si>
  <si>
    <t xml:space="preserve">Equipments and Consumables do not need to be updated on the cleansheet. They should be added onto their respective tabs and they will be populated. </t>
  </si>
  <si>
    <t>1.       Quality Labor should be designated under Quality(SMT) and Quality(BB), they should not be separately classified.</t>
  </si>
  <si>
    <t>SMT Process Layout &amp; BB Process Flow Layout</t>
  </si>
  <si>
    <t>The supplier should provide a layout of the assembly process.</t>
  </si>
  <si>
    <t>Note: Fill in baseline variables before proceeding to other tabs.</t>
  </si>
  <si>
    <t>CM input required in grey cells</t>
  </si>
  <si>
    <t>MS input required in white cells</t>
  </si>
  <si>
    <t>TYPE</t>
  </si>
  <si>
    <t>Line Item</t>
  </si>
  <si>
    <t xml:space="preserve">Rate </t>
  </si>
  <si>
    <t>Volume</t>
  </si>
  <si>
    <t>Annual Demand Assumption</t>
  </si>
  <si>
    <t>Direct Labor Wage Rates</t>
  </si>
  <si>
    <t>Wage per hour per person (DL) (including benefits)</t>
  </si>
  <si>
    <t>Annual Rate</t>
  </si>
  <si>
    <t>Weekly Rate</t>
  </si>
  <si>
    <t>Indirect Labor Wage Rates</t>
  </si>
  <si>
    <t>Operation/Production Manager</t>
  </si>
  <si>
    <t>Section Manager (SMT, BB, QA, test, process etc.)</t>
  </si>
  <si>
    <t>Engineer (QA,Test, Process, IE)</t>
  </si>
  <si>
    <t>Lead Engineer</t>
  </si>
  <si>
    <t>IT staff</t>
  </si>
  <si>
    <t>Administrative Services staff</t>
  </si>
  <si>
    <t>Customs/Logistics staff</t>
  </si>
  <si>
    <t>Security staff</t>
  </si>
  <si>
    <t>HR staff</t>
  </si>
  <si>
    <t>Freight/Logistics staff</t>
  </si>
  <si>
    <t>Facilities staff</t>
  </si>
  <si>
    <t>Planning &amp; Order Fulfillment</t>
  </si>
  <si>
    <t>Purchasing</t>
  </si>
  <si>
    <t>IQC</t>
  </si>
  <si>
    <t>IPQC</t>
  </si>
  <si>
    <t>Technician (Equipment, process, IE, Electrical, Test, Diagnostic, automation etc.)</t>
  </si>
  <si>
    <t>Line Leader (SMT, Assy, Test, Pack)</t>
  </si>
  <si>
    <t>Floor Space</t>
  </si>
  <si>
    <r>
      <rPr>
        <sz val="9"/>
        <rFont val="Calibri"/>
        <charset val="134"/>
      </rPr>
      <t>Annual Cost per Square Feet</t>
    </r>
  </si>
  <si>
    <t>Annual Cost per Square Feet(Warehouse)</t>
  </si>
  <si>
    <t>Box Build</t>
  </si>
  <si>
    <t xml:space="preserve">Machine Depreciation Length </t>
  </si>
  <si>
    <t>Machine Depreciation years</t>
  </si>
  <si>
    <t>IT Equipment</t>
  </si>
  <si>
    <t>PCBA Loss Factor %</t>
  </si>
  <si>
    <t>Loss Factor</t>
  </si>
  <si>
    <t>Motherboard Cost</t>
  </si>
  <si>
    <t xml:space="preserve"> </t>
  </si>
  <si>
    <t>Transformation Cost Summary</t>
  </si>
  <si>
    <t>TC Should-Be Cost Model Summary</t>
  </si>
  <si>
    <t>Common</t>
  </si>
  <si>
    <t>SMT 
Main Board1</t>
  </si>
  <si>
    <t>Wave Solder</t>
  </si>
  <si>
    <t>offine line 
Router</t>
  </si>
  <si>
    <t xml:space="preserve"> laser etching</t>
  </si>
  <si>
    <t>Total</t>
  </si>
  <si>
    <t>%</t>
  </si>
  <si>
    <t>UPH</t>
  </si>
  <si>
    <t>UPPH</t>
  </si>
  <si>
    <t>DL/IDL ratio</t>
  </si>
  <si>
    <t>Lines and TAKT TIME (seconds)</t>
  </si>
  <si>
    <t>Direct Labors (HC) per day</t>
  </si>
  <si>
    <t>Indirect Labors (HC) per day</t>
  </si>
  <si>
    <t>Direct Labors (CPU)</t>
  </si>
  <si>
    <t>Indirect Labors (CPU)</t>
  </si>
  <si>
    <t>Equipment Maintenance Spares (MRO)</t>
  </si>
  <si>
    <t>Equipment Depreciation</t>
  </si>
  <si>
    <t>Indirect Materials</t>
  </si>
  <si>
    <t>Facility &amp; Utility</t>
  </si>
  <si>
    <t>Inbound Frieght</t>
  </si>
  <si>
    <t>VAT</t>
  </si>
  <si>
    <t>MVA</t>
  </si>
  <si>
    <t>Assy</t>
  </si>
  <si>
    <t>SG&amp;A &amp; Profit</t>
  </si>
  <si>
    <t>TC</t>
  </si>
  <si>
    <t>Total Transformation Cost per Unit</t>
  </si>
  <si>
    <t>Consignment and Vertical Integration</t>
  </si>
  <si>
    <t>Total BOM cost</t>
  </si>
  <si>
    <t>Total Vertical Integration</t>
  </si>
  <si>
    <t>BOM Less Consigned</t>
  </si>
  <si>
    <t>PRODUCT: Rival+ Wired Mouse</t>
  </si>
  <si>
    <t>RFQ Date: 20240226</t>
  </si>
  <si>
    <t>A. Direct Labor Cost: PCBA + Box Build and Packout + Debug</t>
  </si>
  <si>
    <t>Category</t>
  </si>
  <si>
    <t xml:space="preserve">SMT </t>
  </si>
  <si>
    <t>Staffed Hours</t>
  </si>
  <si>
    <t>Working hours per line per day</t>
  </si>
  <si>
    <t>Working days per line per week</t>
  </si>
  <si>
    <t>Working hours per line per week</t>
  </si>
  <si>
    <t>Shifts per line per day</t>
  </si>
  <si>
    <t xml:space="preserve">Throughput </t>
  </si>
  <si>
    <t>TAKT time (s)</t>
  </si>
  <si>
    <t>Yield %</t>
  </si>
  <si>
    <t>Efficiency Rate per line</t>
  </si>
  <si>
    <t xml:space="preserve">Volume </t>
  </si>
  <si>
    <t>Avg weekly demand</t>
  </si>
  <si>
    <t>Maximum demand per week</t>
  </si>
  <si>
    <t>Max Output per line per week</t>
  </si>
  <si>
    <t>Production Capacity</t>
  </si>
  <si>
    <t>Lines installed</t>
  </si>
  <si>
    <t>Weekly output based on installed lines</t>
  </si>
  <si>
    <t>Upside potential</t>
  </si>
  <si>
    <t>·</t>
  </si>
  <si>
    <t>Debug lines installed</t>
  </si>
  <si>
    <t>Direct Labor Requirements</t>
  </si>
  <si>
    <t>Per Line per shift</t>
  </si>
  <si>
    <t>DL per line per shift</t>
  </si>
  <si>
    <t>Debug DL per line per shift</t>
  </si>
  <si>
    <t>Functional DL per shift</t>
  </si>
  <si>
    <t>Warehouse DL</t>
  </si>
  <si>
    <t>Total DL per Line per Shift</t>
  </si>
  <si>
    <t>Total DL per day</t>
  </si>
  <si>
    <t>In-Direct Labor (Line dependant)</t>
  </si>
  <si>
    <t>Line Leader Per Line Per Shift</t>
  </si>
  <si>
    <t>Technician Per Line Per Shift</t>
  </si>
  <si>
    <t>Line Leader Per Day</t>
  </si>
  <si>
    <t>Technician Per Day</t>
  </si>
  <si>
    <t>IQC Per Day</t>
  </si>
  <si>
    <t>Supervisor Per Day</t>
  </si>
  <si>
    <t>Total IDL per day</t>
  </si>
  <si>
    <t>In-Direct Labor Wage Rates</t>
  </si>
  <si>
    <t>(Line Dependant)</t>
  </si>
  <si>
    <t>Line Leader wage per week</t>
  </si>
  <si>
    <t>Technician wage per week</t>
  </si>
  <si>
    <t>IQC wage per week</t>
  </si>
  <si>
    <t>Supervisor wage per week</t>
  </si>
  <si>
    <t>SEA</t>
  </si>
  <si>
    <t>Per person hours worked per day</t>
  </si>
  <si>
    <t>Per person hours worked per week</t>
  </si>
  <si>
    <t>Multiplier 1 (hours/wk)</t>
  </si>
  <si>
    <t>Multiplier</t>
  </si>
  <si>
    <t>Total IDL Cost per week (demand)</t>
  </si>
  <si>
    <t>Total DL Cost per week (demand)</t>
  </si>
  <si>
    <t>BB and Packout Cost per Unit</t>
  </si>
  <si>
    <t>Cost per Unit</t>
  </si>
  <si>
    <t>B. Indirect Labor Cost</t>
  </si>
  <si>
    <t>Total H/C</t>
  </si>
  <si>
    <t>Rate ($)</t>
  </si>
  <si>
    <t>SMT De-panel</t>
  </si>
  <si>
    <t>"Cost per Unit" calculation</t>
  </si>
  <si>
    <t>Manufacturing Indirect Labor</t>
  </si>
  <si>
    <t>(Annual Wage * Multiplier) / Annual Volume</t>
  </si>
  <si>
    <t>Total Manufacturing Indirect Labor</t>
  </si>
  <si>
    <t>Others</t>
  </si>
  <si>
    <t>Centralized Services Indirect Labor</t>
  </si>
  <si>
    <t>Total Centralized Services Indirect Labor</t>
  </si>
  <si>
    <t>C. Equipment &amp; Facilities</t>
  </si>
  <si>
    <t>Rates ($)</t>
  </si>
  <si>
    <t>Annual Spend / Annual Volume</t>
  </si>
  <si>
    <t xml:space="preserve">Equipment (Depreciation or Leasing) Costs </t>
  </si>
  <si>
    <t>Total Depreciation Cost / Annual Volume/years</t>
  </si>
  <si>
    <t>Indirect Material (consumables)</t>
  </si>
  <si>
    <t>Total Equipment</t>
  </si>
  <si>
    <t>Facilities</t>
  </si>
  <si>
    <t>Annual Cost per Square Feet</t>
  </si>
  <si>
    <t>(Total Square Feet * Annual Cost per Square Foot) / Annual Volume</t>
  </si>
  <si>
    <t>Total Facilities</t>
  </si>
  <si>
    <t>D. Others</t>
  </si>
  <si>
    <t>Inbound Freight</t>
  </si>
  <si>
    <t>Shipping Costs (FCA HK) Duties, broker fees, customs fees, insurance</t>
  </si>
  <si>
    <t>Total Inbound Freight</t>
  </si>
  <si>
    <t>Scrap</t>
  </si>
  <si>
    <t>Motherboard Cost * Loss Factor</t>
  </si>
  <si>
    <t>Total Scrap</t>
  </si>
  <si>
    <t>Value Add Tax</t>
  </si>
  <si>
    <t>Material Cost * VAT rate/Annual Volume</t>
  </si>
  <si>
    <t>E. Transformation Total</t>
  </si>
  <si>
    <t>MVA SUM</t>
  </si>
  <si>
    <t>SG&amp;A</t>
  </si>
  <si>
    <t>Margin</t>
  </si>
  <si>
    <t>Profit</t>
  </si>
  <si>
    <t>Spare</t>
  </si>
  <si>
    <t>Column Labels</t>
  </si>
  <si>
    <t>Type Name</t>
  </si>
  <si>
    <t>Equipment type (Custom/Standard)</t>
  </si>
  <si>
    <t>Description</t>
  </si>
  <si>
    <t>Manufacturer</t>
  </si>
  <si>
    <t>Model</t>
  </si>
  <si>
    <t>P/N</t>
  </si>
  <si>
    <t>Useful Life</t>
  </si>
  <si>
    <t>Line Qty</t>
  </si>
  <si>
    <t>Qty per line</t>
  </si>
  <si>
    <t>Extended Qty</t>
  </si>
  <si>
    <t>Spare quanitiy</t>
  </si>
  <si>
    <t>Equipment Cost</t>
  </si>
  <si>
    <t>Extended Cost per line</t>
  </si>
  <si>
    <t>Extended Cost for all lines</t>
  </si>
  <si>
    <t>Unit Cost</t>
  </si>
  <si>
    <t>Comments</t>
  </si>
  <si>
    <t>(blank)</t>
  </si>
  <si>
    <t>Total Sum of Extended Cost for all lines</t>
  </si>
  <si>
    <t>Total Sum of Unit Cost</t>
  </si>
  <si>
    <t>Feeder parts</t>
  </si>
  <si>
    <t>N/A</t>
  </si>
  <si>
    <t>Row Labels</t>
  </si>
  <si>
    <t>Sum of Extended Cost for all lines</t>
  </si>
  <si>
    <t>Sum of Unit Cost</t>
  </si>
  <si>
    <t>Nozzle parts</t>
  </si>
  <si>
    <t>Equipment Maintenance(SMT)</t>
  </si>
  <si>
    <t>Titanium catch</t>
  </si>
  <si>
    <t>Equipment Maintenance(W/S)</t>
  </si>
  <si>
    <t>DEK</t>
  </si>
  <si>
    <t>SPI TRI-7007</t>
  </si>
  <si>
    <t>Grand Total</t>
  </si>
  <si>
    <r>
      <rPr>
        <sz val="11"/>
        <color indexed="8"/>
        <rFont val="Calibri"/>
        <charset val="134"/>
      </rPr>
      <t>FUJI NXT</t>
    </r>
    <r>
      <rPr>
        <sz val="11"/>
        <rFont val="細明體"/>
        <charset val="136"/>
      </rPr>
      <t>Ⅱ</t>
    </r>
    <r>
      <rPr>
        <sz val="11"/>
        <rFont val="Calibri"/>
        <charset val="134"/>
      </rPr>
      <t>M3S*6+FUJI NXT</t>
    </r>
    <r>
      <rPr>
        <sz val="11"/>
        <rFont val="細明體"/>
        <charset val="136"/>
      </rPr>
      <t>Ⅱ</t>
    </r>
    <r>
      <rPr>
        <sz val="11"/>
        <rFont val="Calibri"/>
        <charset val="134"/>
      </rPr>
      <t>M6S*1</t>
    </r>
  </si>
  <si>
    <t>KWA-1225</t>
  </si>
  <si>
    <t>TR7500 (AOI)</t>
  </si>
  <si>
    <t>Conveyor</t>
  </si>
  <si>
    <t>Reject Conveyor</t>
  </si>
  <si>
    <t>store conveyor</t>
  </si>
  <si>
    <t>Shopfloor computer</t>
  </si>
  <si>
    <t>X-ray</t>
  </si>
  <si>
    <t>Wave solder</t>
  </si>
  <si>
    <t xml:space="preserve">Laser ething  machine for ID/2D barcode </t>
  </si>
  <si>
    <t>Sensor IC 剪腳機</t>
  </si>
  <si>
    <t>(Main +LED) Board SMT Paste Stencil_Bot</t>
  </si>
  <si>
    <t>(Main +LED) Board SMT Paste Stencil_Top</t>
  </si>
  <si>
    <t>(Main +LED) Board SMTPCB Carrier_Bot</t>
  </si>
  <si>
    <t>(Main +LED) Board SMT PCB Carrier_Top</t>
  </si>
  <si>
    <t>(Main +LED) Board SMT Router Fixture</t>
  </si>
  <si>
    <t>(Main +LED) Board  WS PCB Carrier_Bot</t>
  </si>
  <si>
    <t>(Main +LED) Board  WS PCB Carrier_Top</t>
  </si>
  <si>
    <t>(Main +LED) Board  WS WS Touch Up Fixture </t>
  </si>
  <si>
    <t>(Main +LED) Board   PCBA ESD Tray</t>
  </si>
  <si>
    <t xml:space="preserve"> SWITCH Board  Router Fixture</t>
  </si>
  <si>
    <t xml:space="preserve"> SWITCH Board WS PCB Carrier_Bot</t>
  </si>
  <si>
    <t>SWITCH Board WS PCB Carrier_Top</t>
  </si>
  <si>
    <t xml:space="preserve"> SWITCH Board WS Touch Up Fixture </t>
  </si>
  <si>
    <t>SWITCH Board PCBA ESD Tray</t>
  </si>
  <si>
    <t>Agilent DAQ973+DAQM901 (Digit Multi-meters)</t>
  </si>
  <si>
    <t>Arduino Board</t>
  </si>
  <si>
    <t>Barcode scanner(USB port)</t>
  </si>
  <si>
    <t>Digital Power Supply Agilent E3646A</t>
  </si>
  <si>
    <t>Generic desktop PC (KEYBOARD , MOUSE , Monitor ) Win10</t>
  </si>
  <si>
    <t>KEYSIGHT 34401A (Digit Multi-meters)</t>
  </si>
  <si>
    <t>marble or glass (TBD)</t>
  </si>
  <si>
    <t>NI GPIB card and cable (NI GPIB-USB-HS)</t>
  </si>
  <si>
    <t>Tracking and Wheel Tester</t>
  </si>
  <si>
    <t>维护费用</t>
  </si>
  <si>
    <t>USB 2.0 Type A Male to USB 2.0 Type A Female 100cm CABLE</t>
  </si>
  <si>
    <t>USB 2.0 Type A Male to USB 2.0 Type A Male 100cm Cable</t>
  </si>
  <si>
    <t>USB Type A Male to RS-232 100 cm Cable</t>
  </si>
  <si>
    <t>NA</t>
  </si>
  <si>
    <t>USB 2.0 Type A Male to USB 2.0 Type B Male 100cm Cable</t>
  </si>
  <si>
    <t>BB ASSY</t>
  </si>
  <si>
    <t>Defect box不良品放置盒</t>
  </si>
  <si>
    <t>TPS table</t>
  </si>
  <si>
    <t>Setup line material架線材料</t>
  </si>
  <si>
    <t>Auto screws machine</t>
  </si>
  <si>
    <r>
      <rPr>
        <sz val="12"/>
        <color rgb="FF000000"/>
        <rFont val="Calibri"/>
        <charset val="134"/>
      </rPr>
      <t xml:space="preserve">Electric screwdriver </t>
    </r>
    <r>
      <rPr>
        <sz val="12"/>
        <color rgb="FF000000"/>
        <rFont val="細明體"/>
        <charset val="136"/>
      </rPr>
      <t>電批</t>
    </r>
  </si>
  <si>
    <r>
      <rPr>
        <sz val="12"/>
        <color rgb="FF000000"/>
        <rFont val="Calibri"/>
        <charset val="134"/>
      </rPr>
      <t xml:space="preserve">Screw feeder </t>
    </r>
    <r>
      <rPr>
        <sz val="12"/>
        <color rgb="FF000000"/>
        <rFont val="細明體"/>
        <charset val="136"/>
      </rPr>
      <t>螺絲機</t>
    </r>
  </si>
  <si>
    <t>electronic scale電子稱</t>
  </si>
  <si>
    <t>Barcode scanner(USB port,2D)</t>
  </si>
  <si>
    <t>Printer</t>
  </si>
  <si>
    <t>Test PC DELL3010 (Including LCD,Keyboard,Mouse)</t>
  </si>
  <si>
    <t>Item description</t>
  </si>
  <si>
    <t>Spec.</t>
  </si>
  <si>
    <t>Est Q'ty</t>
  </si>
  <si>
    <t>Item Cost</t>
  </si>
  <si>
    <t>Unit Usage</t>
  </si>
  <si>
    <t>Total Cost</t>
  </si>
  <si>
    <t>Unit Cost2</t>
  </si>
  <si>
    <t>Remark</t>
  </si>
  <si>
    <t>列1</t>
  </si>
  <si>
    <t>Solder paste</t>
  </si>
  <si>
    <t>Solder wire</t>
  </si>
  <si>
    <t>1.0 mm</t>
  </si>
  <si>
    <t>Solder stick</t>
  </si>
  <si>
    <t>Solder flux</t>
  </si>
  <si>
    <t>Cleaning solution</t>
  </si>
  <si>
    <t>Printer head</t>
  </si>
  <si>
    <t>Lubrication</t>
  </si>
  <si>
    <t>INK RIBBON,DEPLETION
(0952-0002-00E0)</t>
  </si>
  <si>
    <t>60mm</t>
  </si>
  <si>
    <t>INK RIBBON,DEPLETION
(0952-0005-00E0)</t>
  </si>
  <si>
    <t>110mm</t>
  </si>
  <si>
    <t>Production Line Layout</t>
  </si>
  <si>
    <t>ProjectRival 3+ Wired MouseSMT Process Flow</t>
  </si>
  <si>
    <t>(Main+LED) Board</t>
  </si>
  <si>
    <t xml:space="preserve">UPH:  </t>
  </si>
  <si>
    <t>Station</t>
  </si>
  <si>
    <t>Process Flow</t>
  </si>
  <si>
    <t>C/T</t>
  </si>
  <si>
    <t>H/C</t>
  </si>
  <si>
    <t xml:space="preserve">Solder printing Bot side
</t>
  </si>
  <si>
    <t>SPI</t>
  </si>
  <si>
    <t>Mounting components</t>
  </si>
  <si>
    <t>Reflow</t>
  </si>
  <si>
    <t>AOI</t>
  </si>
  <si>
    <t>Visual Inspection</t>
  </si>
  <si>
    <t>Repair</t>
  </si>
  <si>
    <t xml:space="preserve">Solder printing Top side
</t>
  </si>
  <si>
    <t>Project Rival 3Wave Solder Process Flow</t>
  </si>
  <si>
    <t>Total:</t>
  </si>
  <si>
    <t xml:space="preserve"> Main board Wave Solder</t>
  </si>
  <si>
    <t xml:space="preserve"> SWITCH board Wave Solder</t>
  </si>
  <si>
    <t>Loading PCBA to pallet</t>
  </si>
  <si>
    <t>Manual insert components</t>
  </si>
  <si>
    <t>Visual ispection</t>
  </si>
  <si>
    <t>Wave soldering</t>
  </si>
  <si>
    <t>Unloading PCBA</t>
  </si>
  <si>
    <t>Touch UP</t>
  </si>
  <si>
    <t>Inspection &amp; packing</t>
  </si>
  <si>
    <t>Project Rival 3 Out line Process Flow</t>
  </si>
  <si>
    <r>
      <rPr>
        <b/>
        <sz val="18"/>
        <color theme="1" tint="0.349986266670736"/>
        <rFont val="Calibri"/>
        <charset val="134"/>
      </rPr>
      <t xml:space="preserve"> </t>
    </r>
    <r>
      <rPr>
        <b/>
        <sz val="18"/>
        <color theme="1"/>
        <rFont val="Calibri"/>
        <charset val="134"/>
      </rPr>
      <t>Main board Depanel/Router</t>
    </r>
  </si>
  <si>
    <t xml:space="preserve"> SWITCH board Depanel/Router</t>
  </si>
  <si>
    <t>Depanel-Router</t>
  </si>
  <si>
    <t>Load&amp;unload</t>
  </si>
  <si>
    <t>SMT 1D/2D Barcode laser etching</t>
  </si>
  <si>
    <t xml:space="preserve"> Main board </t>
  </si>
  <si>
    <t>Uploading PCB</t>
  </si>
  <si>
    <t xml:space="preserve">laser etching </t>
  </si>
  <si>
    <t>unloading</t>
  </si>
  <si>
    <t>Box Build Flow Chart For NPI build</t>
  </si>
  <si>
    <t>Flow</t>
  </si>
  <si>
    <t>CT</t>
  </si>
  <si>
    <t>BB assembly HC</t>
  </si>
  <si>
    <t>Process</t>
  </si>
  <si>
    <t>BB test HC</t>
  </si>
  <si>
    <t>Assembly</t>
  </si>
  <si>
    <r>
      <rPr>
        <sz val="10"/>
        <rFont val="Calibri"/>
        <charset val="134"/>
      </rPr>
      <t>LED</t>
    </r>
    <r>
      <rPr>
        <sz val="10"/>
        <rFont val="細明體"/>
        <charset val="136"/>
      </rPr>
      <t>加工</t>
    </r>
    <r>
      <rPr>
        <sz val="10"/>
        <rFont val="Calibri"/>
        <charset val="134"/>
      </rPr>
      <t>&amp;</t>
    </r>
    <r>
      <rPr>
        <sz val="10"/>
        <rFont val="細明體"/>
        <charset val="136"/>
      </rPr>
      <t>焊接</t>
    </r>
    <r>
      <rPr>
        <sz val="10"/>
        <rFont val="Calibri"/>
        <charset val="134"/>
      </rPr>
      <t>LED</t>
    </r>
    <r>
      <rPr>
        <sz val="10"/>
        <rFont val="細明體"/>
        <charset val="136"/>
      </rPr>
      <t>于</t>
    </r>
    <r>
      <rPr>
        <sz val="10"/>
        <rFont val="Calibri"/>
        <charset val="134"/>
      </rPr>
      <t>Main Board/Soldering LED on  Main Board</t>
    </r>
  </si>
  <si>
    <t>模組化,減少0.5人</t>
  </si>
  <si>
    <r>
      <rPr>
        <sz val="10"/>
        <rFont val="細明體"/>
        <charset val="136"/>
      </rPr>
      <t>組裝</t>
    </r>
    <r>
      <rPr>
        <sz val="10"/>
        <rFont val="Calibri"/>
        <charset val="134"/>
      </rPr>
      <t>Wheel module/Assembly Wheel module</t>
    </r>
  </si>
  <si>
    <r>
      <rPr>
        <sz val="10"/>
        <rFont val="細明體"/>
        <charset val="136"/>
      </rPr>
      <t>焊接</t>
    </r>
    <r>
      <rPr>
        <sz val="10"/>
        <rFont val="Calibri"/>
        <charset val="134"/>
      </rPr>
      <t>4pin</t>
    </r>
    <r>
      <rPr>
        <sz val="10"/>
        <rFont val="細明體"/>
        <charset val="136"/>
      </rPr>
      <t>排線至</t>
    </r>
    <r>
      <rPr>
        <sz val="10"/>
        <rFont val="Calibri"/>
        <charset val="134"/>
      </rPr>
      <t>Switch board/Soldering the 4pin cable on Switch board</t>
    </r>
  </si>
  <si>
    <r>
      <rPr>
        <sz val="10"/>
        <rFont val="細明體"/>
        <charset val="136"/>
      </rPr>
      <t>組裝</t>
    </r>
    <r>
      <rPr>
        <sz val="10"/>
        <rFont val="Calibri"/>
        <charset val="134"/>
      </rPr>
      <t>CPI Button</t>
    </r>
    <r>
      <rPr>
        <sz val="10"/>
        <rFont val="細明體"/>
        <charset val="136"/>
      </rPr>
      <t>于</t>
    </r>
    <r>
      <rPr>
        <sz val="10"/>
        <rFont val="Calibri"/>
        <charset val="134"/>
      </rPr>
      <t>Middle housing,</t>
    </r>
    <r>
      <rPr>
        <sz val="10"/>
        <rFont val="細明體"/>
        <charset val="136"/>
      </rPr>
      <t>然后用</t>
    </r>
    <r>
      <rPr>
        <sz val="10"/>
        <rFont val="Calibri"/>
        <charset val="134"/>
      </rPr>
      <t>1</t>
    </r>
    <r>
      <rPr>
        <sz val="10"/>
        <rFont val="細明體"/>
        <charset val="136"/>
      </rPr>
      <t>顆螺絲鎖付</t>
    </r>
    <r>
      <rPr>
        <sz val="10"/>
        <rFont val="Calibri"/>
        <charset val="134"/>
      </rPr>
      <t>,</t>
    </r>
    <r>
      <rPr>
        <sz val="10"/>
        <rFont val="細明體"/>
        <charset val="136"/>
      </rPr>
      <t>組裝</t>
    </r>
    <r>
      <rPr>
        <sz val="10"/>
        <rFont val="Calibri"/>
        <charset val="134"/>
      </rPr>
      <t>side button</t>
    </r>
    <r>
      <rPr>
        <sz val="10"/>
        <rFont val="細明體"/>
        <charset val="136"/>
      </rPr>
      <t>于</t>
    </r>
    <r>
      <rPr>
        <sz val="10"/>
        <rFont val="Calibri"/>
        <charset val="134"/>
      </rPr>
      <t>Middle housing.</t>
    </r>
  </si>
  <si>
    <r>
      <rPr>
        <sz val="10"/>
        <rFont val="細明體"/>
        <charset val="136"/>
      </rPr>
      <t>組裝</t>
    </r>
    <r>
      <rPr>
        <sz val="10"/>
        <rFont val="Calibri"/>
        <charset val="134"/>
      </rPr>
      <t xml:space="preserve">Trigger  Button  LEFT/RIGHT </t>
    </r>
    <r>
      <rPr>
        <sz val="10"/>
        <rFont val="細明體"/>
        <charset val="136"/>
      </rPr>
      <t>至</t>
    </r>
    <r>
      <rPr>
        <sz val="10"/>
        <rFont val="Calibri"/>
        <charset val="134"/>
      </rPr>
      <t>Middle housing,</t>
    </r>
    <r>
      <rPr>
        <sz val="10"/>
        <rFont val="細明體"/>
        <charset val="136"/>
      </rPr>
      <t>然后用兩顆螺絲鎖付</t>
    </r>
    <r>
      <rPr>
        <sz val="10"/>
        <rFont val="Calibri"/>
        <charset val="134"/>
      </rPr>
      <t>,Assemble and screwing Trigger  Button  LEFT/RIGHT &amp; Middle housing.</t>
    </r>
  </si>
  <si>
    <r>
      <rPr>
        <sz val="10"/>
        <rFont val="Calibri"/>
        <charset val="134"/>
      </rPr>
      <t>(F1) VOLTAGE / CURRENT &amp; BASIC FUNCTION TEST&amp;</t>
    </r>
    <r>
      <rPr>
        <sz val="10"/>
        <rFont val="細明體"/>
        <charset val="136"/>
      </rPr>
      <t>組裝</t>
    </r>
    <r>
      <rPr>
        <sz val="10"/>
        <rFont val="Calibri"/>
        <charset val="134"/>
      </rPr>
      <t>Wheel</t>
    </r>
    <r>
      <rPr>
        <sz val="10"/>
        <rFont val="細明體"/>
        <charset val="136"/>
      </rPr>
      <t>至</t>
    </r>
    <r>
      <rPr>
        <sz val="10"/>
        <rFont val="Calibri"/>
        <charset val="134"/>
      </rPr>
      <t>main Board</t>
    </r>
  </si>
  <si>
    <t>模組化,減少1人</t>
  </si>
  <si>
    <r>
      <rPr>
        <sz val="10"/>
        <rFont val="細明體"/>
        <charset val="136"/>
      </rPr>
      <t>揭去隔熱膠</t>
    </r>
    <r>
      <rPr>
        <sz val="10"/>
        <rFont val="Calibri"/>
        <charset val="134"/>
      </rPr>
      <t>,</t>
    </r>
    <r>
      <rPr>
        <sz val="10"/>
        <rFont val="細明體"/>
        <charset val="136"/>
      </rPr>
      <t>組裝</t>
    </r>
    <r>
      <rPr>
        <sz val="10"/>
        <rFont val="Calibri"/>
        <charset val="134"/>
      </rPr>
      <t>Wheel</t>
    </r>
    <r>
      <rPr>
        <sz val="10"/>
        <rFont val="細明體"/>
        <charset val="136"/>
      </rPr>
      <t>至</t>
    </r>
    <r>
      <rPr>
        <sz val="10"/>
        <rFont val="Calibri"/>
        <charset val="134"/>
      </rPr>
      <t>Main board</t>
    </r>
  </si>
  <si>
    <r>
      <rPr>
        <sz val="10"/>
        <rFont val="細明體"/>
        <charset val="136"/>
      </rPr>
      <t>組裝</t>
    </r>
    <r>
      <rPr>
        <sz val="10"/>
        <rFont val="Calibri"/>
        <charset val="134"/>
      </rPr>
      <t>Cable</t>
    </r>
    <r>
      <rPr>
        <sz val="10"/>
        <rFont val="細明體"/>
        <charset val="136"/>
      </rPr>
      <t>至</t>
    </r>
    <r>
      <rPr>
        <sz val="10"/>
        <rFont val="Calibri"/>
        <charset val="134"/>
      </rPr>
      <t>Bottom Cover/Assembly Cable  in Bottom.</t>
    </r>
  </si>
  <si>
    <r>
      <rPr>
        <sz val="10"/>
        <rFont val="細明體"/>
        <charset val="136"/>
      </rPr>
      <t>組裝</t>
    </r>
    <r>
      <rPr>
        <sz val="10"/>
        <rFont val="Calibri"/>
        <charset val="134"/>
      </rPr>
      <t xml:space="preserve">Sensor Lens </t>
    </r>
    <r>
      <rPr>
        <sz val="10"/>
        <rFont val="細明體"/>
        <charset val="136"/>
      </rPr>
      <t>至</t>
    </r>
    <r>
      <rPr>
        <sz val="10"/>
        <rFont val="Calibri"/>
        <charset val="134"/>
      </rPr>
      <t xml:space="preserve">Bottom Cover &amp; </t>
    </r>
    <r>
      <rPr>
        <sz val="10"/>
        <rFont val="細明體"/>
        <charset val="136"/>
      </rPr>
      <t>組裝</t>
    </r>
    <r>
      <rPr>
        <sz val="10"/>
        <rFont val="Calibri"/>
        <charset val="134"/>
      </rPr>
      <t xml:space="preserve">Main PCB </t>
    </r>
    <r>
      <rPr>
        <sz val="10"/>
        <rFont val="細明體"/>
        <charset val="136"/>
      </rPr>
      <t>與</t>
    </r>
    <r>
      <rPr>
        <sz val="10"/>
        <rFont val="Calibri"/>
        <charset val="134"/>
      </rPr>
      <t>Bottom cover/Aseemble sensor Lensin the Main PCB &amp; Assemble main Board and Bottom cover</t>
    </r>
  </si>
  <si>
    <r>
      <rPr>
        <sz val="10"/>
        <rFont val="細明體"/>
        <charset val="136"/>
      </rPr>
      <t>自動鎖付</t>
    </r>
    <r>
      <rPr>
        <sz val="10"/>
        <rFont val="Calibri"/>
        <charset val="134"/>
      </rPr>
      <t>main board/Automatic lock main board</t>
    </r>
  </si>
  <si>
    <t>Auto screwing machine</t>
  </si>
  <si>
    <r>
      <rPr>
        <sz val="10"/>
        <rFont val="細明體"/>
        <charset val="136"/>
      </rPr>
      <t>涂潤滑油</t>
    </r>
    <r>
      <rPr>
        <sz val="10"/>
        <rFont val="Calibri"/>
        <charset val="134"/>
      </rPr>
      <t>&amp;</t>
    </r>
    <r>
      <rPr>
        <sz val="10"/>
        <rFont val="細明體"/>
        <charset val="136"/>
      </rPr>
      <t>插</t>
    </r>
    <r>
      <rPr>
        <sz val="10"/>
        <rFont val="Calibri"/>
        <charset val="134"/>
      </rPr>
      <t>Cable</t>
    </r>
    <r>
      <rPr>
        <sz val="10"/>
        <rFont val="細明體"/>
        <charset val="136"/>
      </rPr>
      <t>至</t>
    </r>
    <r>
      <rPr>
        <sz val="10"/>
        <rFont val="Calibri"/>
        <charset val="134"/>
      </rPr>
      <t>Main PCB/Lubrication&amp;Insert  Cable in the Main PCB</t>
    </r>
  </si>
  <si>
    <r>
      <rPr>
        <sz val="10"/>
        <rFont val="細明體"/>
        <charset val="136"/>
      </rPr>
      <t>組裝側鍵</t>
    </r>
    <r>
      <rPr>
        <sz val="10"/>
        <rFont val="Calibri"/>
        <charset val="134"/>
      </rPr>
      <t xml:space="preserve"> &amp; Switch PCB</t>
    </r>
    <r>
      <rPr>
        <sz val="10"/>
        <rFont val="細明體"/>
        <charset val="136"/>
      </rPr>
      <t>于</t>
    </r>
    <r>
      <rPr>
        <sz val="10"/>
        <rFont val="Calibri"/>
        <charset val="134"/>
      </rPr>
      <t>Middle housing/Assembly of Side Keys&amp;Switch PCB in Middle House</t>
    </r>
  </si>
  <si>
    <r>
      <rPr>
        <sz val="10"/>
        <rFont val="細明體"/>
        <charset val="136"/>
      </rPr>
      <t>自動鎖付</t>
    </r>
    <r>
      <rPr>
        <sz val="10"/>
        <rFont val="Calibri"/>
        <charset val="134"/>
      </rPr>
      <t>SWITCH PCB</t>
    </r>
    <r>
      <rPr>
        <sz val="10"/>
        <rFont val="細明體"/>
        <charset val="136"/>
      </rPr>
      <t>于</t>
    </r>
    <r>
      <rPr>
        <sz val="10"/>
        <rFont val="Calibri"/>
        <charset val="134"/>
      </rPr>
      <t xml:space="preserve">Middle housing./Auto  Screwing Switch PCB &amp; Middle housing </t>
    </r>
  </si>
  <si>
    <r>
      <rPr>
        <sz val="10"/>
        <rFont val="細明體"/>
        <charset val="136"/>
      </rPr>
      <t>插</t>
    </r>
    <r>
      <rPr>
        <sz val="10"/>
        <rFont val="Calibri"/>
        <charset val="134"/>
      </rPr>
      <t>SW PCB 4pin</t>
    </r>
    <r>
      <rPr>
        <sz val="10"/>
        <rFont val="細明體"/>
        <charset val="136"/>
      </rPr>
      <t>排線至</t>
    </r>
    <r>
      <rPr>
        <sz val="10"/>
        <rFont val="Calibri"/>
        <charset val="134"/>
      </rPr>
      <t>Main PCB&amp;</t>
    </r>
    <r>
      <rPr>
        <sz val="10"/>
        <rFont val="細明體"/>
        <charset val="136"/>
      </rPr>
      <t>組裝</t>
    </r>
    <r>
      <rPr>
        <sz val="10"/>
        <rFont val="Calibri"/>
        <charset val="134"/>
      </rPr>
      <t xml:space="preserve"> Middle housing </t>
    </r>
    <r>
      <rPr>
        <sz val="10"/>
        <rFont val="細明體"/>
        <charset val="136"/>
      </rPr>
      <t>與</t>
    </r>
    <r>
      <rPr>
        <sz val="10"/>
        <rFont val="Calibri"/>
        <charset val="134"/>
      </rPr>
      <t>Bottom cover/Insert SW PCB 4pin cable in the Main PCB&amp;Assemble Middle housing and  Bottom cover.</t>
    </r>
  </si>
  <si>
    <r>
      <rPr>
        <sz val="10"/>
        <rFont val="細明體"/>
        <charset val="136"/>
      </rPr>
      <t>自動鎖付</t>
    </r>
    <r>
      <rPr>
        <sz val="10"/>
        <rFont val="Calibri"/>
        <charset val="134"/>
      </rPr>
      <t xml:space="preserve">Middle housing </t>
    </r>
    <r>
      <rPr>
        <sz val="10"/>
        <rFont val="細明體"/>
        <charset val="136"/>
      </rPr>
      <t>與</t>
    </r>
    <r>
      <rPr>
        <sz val="10"/>
        <rFont val="Calibri"/>
        <charset val="134"/>
      </rPr>
      <t>Bottom cover/Auto Screwing Middle housing and Bottom cover..</t>
    </r>
  </si>
  <si>
    <r>
      <rPr>
        <sz val="10"/>
        <rFont val="細明體"/>
        <charset val="136"/>
      </rPr>
      <t>贴後腳墊</t>
    </r>
    <r>
      <rPr>
        <sz val="10"/>
        <rFont val="Calibri"/>
        <charset val="134"/>
      </rPr>
      <t>&amp;</t>
    </r>
    <r>
      <rPr>
        <sz val="10"/>
        <rFont val="細明體"/>
        <charset val="136"/>
      </rPr>
      <t>貼</t>
    </r>
    <r>
      <rPr>
        <sz val="10"/>
        <rFont val="Calibri"/>
        <charset val="134"/>
      </rPr>
      <t>S/N/Stick the rear foot pad&amp;stick S/N</t>
    </r>
  </si>
  <si>
    <r>
      <rPr>
        <sz val="10"/>
        <rFont val="細明體"/>
        <charset val="136"/>
      </rPr>
      <t>贴前腳墊並壓緊</t>
    </r>
    <r>
      <rPr>
        <sz val="10"/>
        <rFont val="Calibri"/>
        <charset val="134"/>
      </rPr>
      <t>/Attach the front foot pad and press it tightly</t>
    </r>
  </si>
  <si>
    <t>(F2) KEY FUNCTION AND FEELING &amp; LED CHECK</t>
  </si>
  <si>
    <t>(F3) TRACKING &amp; WHEEL TEST</t>
  </si>
  <si>
    <t>(F4)IPS&amp;Lift off test /(F4)IPS&amp;Lift off test</t>
  </si>
  <si>
    <r>
      <rPr>
        <sz val="10"/>
        <rFont val="細明體"/>
        <charset val="136"/>
      </rPr>
      <t>外觀檢查</t>
    </r>
    <r>
      <rPr>
        <sz val="10"/>
        <rFont val="Calibri"/>
        <charset val="134"/>
      </rPr>
      <t>&amp;</t>
    </r>
    <r>
      <rPr>
        <sz val="10"/>
        <rFont val="細明體"/>
        <charset val="136"/>
      </rPr>
      <t>產品清潔</t>
    </r>
    <r>
      <rPr>
        <sz val="10"/>
        <rFont val="Calibri"/>
        <charset val="134"/>
      </rPr>
      <t>/Visual inspection&amp;Clean the product</t>
    </r>
  </si>
  <si>
    <r>
      <rPr>
        <sz val="10"/>
        <rFont val="細明體"/>
        <charset val="136"/>
      </rPr>
      <t>異音檢查</t>
    </r>
    <r>
      <rPr>
        <sz val="10"/>
        <rFont val="Calibri"/>
        <charset val="134"/>
      </rPr>
      <t>&amp;</t>
    </r>
    <r>
      <rPr>
        <sz val="10"/>
        <rFont val="細明體"/>
        <charset val="136"/>
      </rPr>
      <t>按鍵檢查</t>
    </r>
    <r>
      <rPr>
        <sz val="10"/>
        <rFont val="Calibri"/>
        <charset val="134"/>
      </rPr>
      <t>/Voice and button checking</t>
    </r>
  </si>
  <si>
    <r>
      <rPr>
        <sz val="10"/>
        <rFont val="細明體"/>
        <charset val="136"/>
      </rPr>
      <t>打印并貼</t>
    </r>
    <r>
      <rPr>
        <sz val="10"/>
        <rFont val="Calibri"/>
        <charset val="134"/>
      </rPr>
      <t>PID&amp;</t>
    </r>
    <r>
      <rPr>
        <sz val="10"/>
        <rFont val="細明體"/>
        <charset val="136"/>
      </rPr>
      <t>撕腳墊膜</t>
    </r>
    <r>
      <rPr>
        <sz val="10"/>
        <rFont val="Calibri"/>
        <charset val="134"/>
      </rPr>
      <t>/Scan S/N barcode to print PID and affix it&amp;Tearing up foot pads</t>
    </r>
  </si>
  <si>
    <t>Packaging</t>
  </si>
  <si>
    <t>裝產品入PE袋/Put the product into a PE bag</t>
  </si>
  <si>
    <t>裝產品入內卡/Loading products into internal cards</t>
  </si>
  <si>
    <t>整理包裝線材/Packaging USB cable</t>
  </si>
  <si>
    <t>加工彩盒Flod color box</t>
  </si>
  <si>
    <t>裝內卡及說明書入彩盒/Put the inner card and manual into  color box</t>
  </si>
  <si>
    <t>封盒并貼封口貼/Seal the box and apply sealing tape</t>
  </si>
  <si>
    <t>清潔彩盒&amp;打印并貼彩盒標簽/Cleaning the color box&amp;printing and labeling the color box</t>
  </si>
  <si>
    <t>列印Shipping label，掃描稱重,裝箱,封箱.堆棧板/Scan the retail label and print the shipper label . Affix the shipper label on the color card, seal the box and load pallet</t>
  </si>
</sst>
</file>

<file path=xl/styles.xml><?xml version="1.0" encoding="utf-8"?>
<styleSheet xmlns="http://schemas.openxmlformats.org/spreadsheetml/2006/main">
  <numFmts count="143">
    <numFmt numFmtId="176" formatCode=";;;"/>
    <numFmt numFmtId="44" formatCode="_-&quot;$&quot;* #,##0.00_-;\-&quot;$&quot;* #,##0.00_-;_-&quot;$&quot;* &quot;-&quot;??_-;_-@_-"/>
    <numFmt numFmtId="177" formatCode="0.00%;[Red]\-0.00%"/>
    <numFmt numFmtId="178" formatCode="_ * #,##0_ ;_ * &quot;\&quot;&quot;\&quot;&quot;\&quot;\-#,##0_ ;_ * &quot;-&quot;_ ;_ @_ "/>
    <numFmt numFmtId="179" formatCode="#0,,_);\(#0,,\)"/>
    <numFmt numFmtId="180" formatCode="&quot;$&quot;____#########0_);[Red]\(&quot;$&quot;____#######0\)"/>
    <numFmt numFmtId="41" formatCode="_-* #,##0_-;\-* #,##0_-;_-* &quot;-&quot;_-;_-@_-"/>
    <numFmt numFmtId="181" formatCode="General_)"/>
    <numFmt numFmtId="182" formatCode="_(&quot;$&quot;* #,##0.0000_);_(&quot;$&quot;* \(#,##0.0000\);_(&quot;$&quot;* &quot;-&quot;??_);_(@_)"/>
    <numFmt numFmtId="183" formatCode="_-* #,##0.00\ &quot;kr&quot;_-;\-* #,##0.00\ &quot;kr&quot;_-;_-* &quot;-&quot;??\ &quot;kr&quot;_-;_-@_-"/>
    <numFmt numFmtId="43" formatCode="_-* #,##0.00_-;\-* #,##0.00_-;_-* &quot;-&quot;??_-;_-@_-"/>
    <numFmt numFmtId="184" formatCode="&quot;$&quot;#,##0.0000_);\(&quot;$&quot;#,##0.0000\)"/>
    <numFmt numFmtId="185" formatCode="0.000"/>
    <numFmt numFmtId="186" formatCode="#,##0.0"/>
    <numFmt numFmtId="187" formatCode="&quot;\&quot;&quot;\&quot;&quot;\&quot;&quot;\&quot;&quot;\&quot;&quot;$&quot;#,##0.00_);[Red]&quot;\&quot;&quot;\&quot;&quot;\&quot;&quot;\&quot;&quot;\&quot;\(&quot;\&quot;&quot;\&quot;&quot;\&quot;&quot;\&quot;&quot;\&quot;&quot;$&quot;#,##0.00&quot;\&quot;&quot;\&quot;&quot;\&quot;&quot;\&quot;&quot;\&quot;\)"/>
    <numFmt numFmtId="42" formatCode="_-&quot;$&quot;* #,##0_-;\-&quot;$&quot;* #,##0_-;_-&quot;$&quot;* &quot;-&quot;_-;_-@_-"/>
    <numFmt numFmtId="188" formatCode="0.00_)"/>
    <numFmt numFmtId="189" formatCode="#,##0;[Red]\(#,##0\)"/>
    <numFmt numFmtId="190" formatCode="_(* #,##0.00_);_(* \(#,##0.00\);_(* &quot;-&quot;??_);_(@_)"/>
    <numFmt numFmtId="191" formatCode="&quot;\&quot;#,##0.00;[Red]&quot;\&quot;\-#,##0.00"/>
    <numFmt numFmtId="192" formatCode="#,##0_);\(#,##0\)"/>
    <numFmt numFmtId="193" formatCode="&quot;$&quot;#,##0.00"/>
    <numFmt numFmtId="194" formatCode="0.0_ "/>
    <numFmt numFmtId="195" formatCode="#,##0.00_ "/>
    <numFmt numFmtId="196" formatCode="&quot;\&quot;&quot;\&quot;&quot;\&quot;&quot;\&quot;&quot;$&quot;#,##0.00;&quot;\&quot;&quot;\&quot;&quot;\&quot;&quot;\&quot;\(&quot;\&quot;&quot;\&quot;&quot;\&quot;&quot;\&quot;&quot;$&quot;#,##0.00&quot;\&quot;&quot;\&quot;&quot;\&quot;&quot;\&quot;\)"/>
    <numFmt numFmtId="197" formatCode="#,##0;&quot;\&quot;&quot;\&quot;&quot;\&quot;&quot;\&quot;\(#,##0&quot;\&quot;&quot;\&quot;&quot;\&quot;&quot;\&quot;\)"/>
    <numFmt numFmtId="198" formatCode="_ \¥* #,##0.00_ ;_ \¥* \-#,##0.00_ ;_ \¥* &quot;-&quot;??_ ;_ @_ "/>
    <numFmt numFmtId="199" formatCode="_(* #,##0.0_);_(* \(#,##0.0\);_(* &quot;-&quot;??.0_);_(@_)"/>
    <numFmt numFmtId="200" formatCode="_(&quot;$&quot;* #,##0.00_);_(&quot;$&quot;* \(#,##0.00\);_(&quot;$&quot;* &quot;-&quot;??_);_(@_)"/>
    <numFmt numFmtId="201" formatCode="0.0%"/>
    <numFmt numFmtId="202" formatCode="#,##0.0_);\(#,##0.0\)"/>
    <numFmt numFmtId="203" formatCode="&quot;$&quot;_##,##0_);[Red]\(&quot;$&quot;_#\,##0\)"/>
    <numFmt numFmtId="204" formatCode="&quot;$&quot;#,\);\(&quot;$&quot;#,\)"/>
    <numFmt numFmtId="205" formatCode="[$-1010409]General"/>
    <numFmt numFmtId="206" formatCode="_ * #,##0_)_R_$_ ;_ * \(#,##0\)_R_$_ ;_ * &quot;-&quot;_)_R_$_ ;_ @_ "/>
    <numFmt numFmtId="207" formatCode="&quot;$&quot;#,##0.000_);[Red]\(&quot;$&quot;#,##0.000\)"/>
    <numFmt numFmtId="208" formatCode="&quot;£&quot;#,##0;\-&quot;£&quot;#,##0"/>
    <numFmt numFmtId="209" formatCode="#,##0.0;[Red]\-#,##0.0"/>
    <numFmt numFmtId="210" formatCode="_-[$€-2]* #,##0.00_-;\-[$€-2]* #,##0.00_-;_-[$€-2]* &quot;-&quot;??_-"/>
    <numFmt numFmtId="211" formatCode="#,##0.00\ &quot;F&quot;;[Red]\-#,##0.00\ &quot;F&quot;"/>
    <numFmt numFmtId="212" formatCode="0.0000_ "/>
    <numFmt numFmtId="213" formatCode="_(* #,##0_);_(* \(#,##0\);_(* &quot;-&quot;_);_(@_)"/>
    <numFmt numFmtId="214" formatCode="&quot;$&quot;#,##0.00_);&quot;\&quot;&quot;\&quot;&quot;\&quot;&quot;\&quot;&quot;\&quot;\(&quot;$&quot;#,##0.00&quot;\&quot;&quot;\&quot;&quot;\&quot;&quot;\&quot;&quot;\&quot;\)"/>
    <numFmt numFmtId="215" formatCode="#,##0,_);\(#,##0,\)"/>
    <numFmt numFmtId="216" formatCode="_-* #,##0.0_-;\-* #,##0.0_-;_-* &quot;-&quot;??_-;_-@_-"/>
    <numFmt numFmtId="217" formatCode="0.00_ "/>
    <numFmt numFmtId="218" formatCode="_ &quot;R&quot;\ * #,##0.00_ ;_ &quot;R&quot;\ * \-#,##0.00_ ;_ &quot;R&quot;\ * &quot;-&quot;??_ ;_ @_ "/>
    <numFmt numFmtId="219" formatCode="\|*-;\|*-;\|*-;\|*-"/>
    <numFmt numFmtId="220" formatCode="&quot;fl&quot;#,##0.00_);\(&quot;fl&quot;#,##0.00\)"/>
    <numFmt numFmtId="221" formatCode="\60\4\7\:"/>
    <numFmt numFmtId="222" formatCode="_(* #,##0.0000_);_(* \(#,##0.0000\);_(* &quot;-&quot;??_);_(@_)"/>
    <numFmt numFmtId="223" formatCode="_(* #,##0,\K_);_(* \(#,##0,\K\);_(* &quot;-&quot;_);_(@_)"/>
    <numFmt numFmtId="224" formatCode="mm/dd/yy"/>
    <numFmt numFmtId="225" formatCode="0.0000"/>
    <numFmt numFmtId="226" formatCode="_(* #,##0.0,\K_);_(* \(#,##0.0,\K\);_(* &quot;-&quot;_);_(@_)"/>
    <numFmt numFmtId="5" formatCode="&quot;$&quot;#,##0;\-&quot;$&quot;#,##0"/>
    <numFmt numFmtId="227" formatCode="&quot;$&quot;#,;\(&quot;$&quot;#,\)"/>
    <numFmt numFmtId="228" formatCode="_(&quot;$&quot;* #,##0.000_);_(&quot;$&quot;* \(#,##0.000\);_(&quot;$&quot;* &quot;-&quot;??.0_);_(@_)"/>
    <numFmt numFmtId="229" formatCode="#,##0\ &quot;F&quot;;\-#,##0\ &quot;F&quot;"/>
    <numFmt numFmtId="230" formatCode="0.00;_쀀"/>
    <numFmt numFmtId="231" formatCode="#,##0\ &quot;F&quot;;[Red]\-#,##0\ &quot;F&quot;"/>
    <numFmt numFmtId="232" formatCode="####0.0000"/>
    <numFmt numFmtId="233" formatCode="#,##0.000"/>
    <numFmt numFmtId="234" formatCode="&quot;\&quot;#,##0;[Red]&quot;\&quot;\-#,##0"/>
    <numFmt numFmtId="235" formatCode="_(* #,##0.0_);_(* \(#,##0.0\);_(* &quot;-&quot;??_);_(@_)"/>
    <numFmt numFmtId="236" formatCode="_(* #,##0_);_(* \(#,##0\);_(* &quot;-&quot;??_);_(@_)"/>
    <numFmt numFmtId="237" formatCode="&quot;$&quot;#,##0.00_);\(&quot;$&quot;#,##0.00\)"/>
    <numFmt numFmtId="238" formatCode="_(* #,##0.0_);_(* \(#,##0.00\);_(* &quot;-&quot;??_);_(@_)"/>
    <numFmt numFmtId="239" formatCode="0_ "/>
    <numFmt numFmtId="240" formatCode="_ * #,##0.00_ ;_ * \-#,##0.00_ ;_ * &quot;-&quot;??_ ;_ @_ "/>
    <numFmt numFmtId="241" formatCode="_(&quot;$&quot;* #,##0_);_(&quot;$&quot;* \(#,##0;_(&quot;$&quot;* &quot;-&quot;_);_(@_)"/>
    <numFmt numFmtId="242" formatCode="#,##0_!\a;\(#,##0\a"/>
    <numFmt numFmtId="243" formatCode="_-* #,##0\ &quot;DM&quot;_-;\-* #,##0\ &quot;DM&quot;_-;_-* &quot;-&quot;\ &quot;DM&quot;_-;_-@_-"/>
    <numFmt numFmtId="244" formatCode="&quot;$&quot;#,\);\(&quot;$&quot;#,##0\)"/>
    <numFmt numFmtId="245" formatCode="_-* #,##0.00\ &quot;DM&quot;_-;\-* #,##0.00\ &quot;DM&quot;_-;_-* &quot;-&quot;??\ &quot;DM&quot;_-;_-@_-"/>
    <numFmt numFmtId="246" formatCode="0%\);[Red]\(0%"/>
    <numFmt numFmtId="247" formatCode="0%\);[Red]\(0%\)"/>
    <numFmt numFmtId="248" formatCode="&quot;fl&quot;#,##0_);\(&quot;fl&quot;#,##0\)"/>
    <numFmt numFmtId="249" formatCode="&quot;£&quot;#,##0;[Red]\-&quot;£&quot;#,##0"/>
    <numFmt numFmtId="250" formatCode="#,###,###"/>
    <numFmt numFmtId="251" formatCode="_(&quot;$&quot;* #,##0_);_(&quot;$&quot;* \(#,##0\);_(&quot;$&quot;* &quot;-&quot;_);_(@_)"/>
    <numFmt numFmtId="252" formatCode="_-* #,##0.0\ _k_r_-;\-* #,##0.0\ _k_r_-;_-* &quot;-&quot;??\ _k_r_-;_-@_-"/>
    <numFmt numFmtId="253" formatCode="0.0"/>
    <numFmt numFmtId="254" formatCode="#,##0.0000000,_);\(#,##0.0000000,\);&quot;-&quot;"/>
    <numFmt numFmtId="255" formatCode="_(&quot;$&quot;* #,##0.0,\K_);_(&quot;$&quot;* \(#,##0.0,\K\);_(&quot;$&quot;* &quot;-&quot;_);_(@_)"/>
    <numFmt numFmtId="256" formatCode="#,##0_);[Red]\(#,##0\);;@*-"/>
    <numFmt numFmtId="257" formatCode="&quot;fl&quot;#,##0.00_);[Red]\(&quot;fl&quot;#,##0.00\)"/>
    <numFmt numFmtId="258" formatCode="&quot;$&quot;#,##0_);\(&quot;$&quot;#,##0\)"/>
    <numFmt numFmtId="259" formatCode="&quot;£&quot;#,##0.00;\-&quot;£&quot;#,##0.00"/>
    <numFmt numFmtId="260" formatCode="_(&quot;fl&quot;* #,##0_);_(&quot;fl&quot;* \(#,##0\);_(&quot;fl&quot;* &quot;-&quot;_);_(@_)"/>
    <numFmt numFmtId="261" formatCode="[$￥-804]#,##0.000000"/>
    <numFmt numFmtId="262" formatCode="#,##0.0000_);\(#,##0.0000\);"/>
    <numFmt numFmtId="263" formatCode="_-* #,##0.00\ _k_r_-;\-* #,##0.00\ _k_r_-;_-* &quot;-&quot;??\ _k_r_-;_-@_-"/>
    <numFmt numFmtId="264" formatCode="[$$-C09]#,##0.0_);\([$$-C09]#,##0.0\)"/>
    <numFmt numFmtId="265" formatCode="0.0000%"/>
    <numFmt numFmtId="266" formatCode="0.0%;[Red]\(0.0%\)"/>
    <numFmt numFmtId="267" formatCode="_-&quot;NT$&quot;* #,##0.00_-;\-&quot;NT$&quot;* #,##0.00_-;_-&quot;NT$&quot;* &quot;-&quot;??_-;_-@_-"/>
    <numFmt numFmtId="268" formatCode="&quot;\&quot;#,##0;&quot;\&quot;&quot;\&quot;&quot;\&quot;&quot;\&quot;\-#,##0"/>
    <numFmt numFmtId="269" formatCode="_(&quot;$&quot;* #,##0,\K_);_(&quot;$&quot;* \(#,##0,\K\);_(&quot;$&quot;* &quot;-&quot;_);_(@_)"/>
    <numFmt numFmtId="270" formatCode="#,##0.000;[Red]\(#,##0.000\)"/>
    <numFmt numFmtId="271" formatCode="_ &quot;\&quot;* #,##0_ ;_ &quot;\&quot;* &quot;\&quot;&quot;\&quot;\-#,##0_ ;_ &quot;\&quot;* &quot;-&quot;_ ;_ @_ "/>
    <numFmt numFmtId="272" formatCode="0.0%;[Red]\(0.0%\);&quot;- &quot;"/>
    <numFmt numFmtId="273" formatCode="0.000000000000"/>
    <numFmt numFmtId="274" formatCode="_ * #,##0_ ;_ * \-#,##0_ ;_ * &quot;-&quot;_ ;_ @_ "/>
    <numFmt numFmtId="275" formatCode="#,##0.000_);\(#,##0.000\)"/>
    <numFmt numFmtId="276" formatCode="#,##0.0000_);[Red]\(#,##0.0000\)"/>
    <numFmt numFmtId="277" formatCode="&quot;$&quot;#,##0_);[Red]\(&quot;$&quot;#,##0\)"/>
    <numFmt numFmtId="278" formatCode="_ &quot;\&quot;* #,##0.00_ ;_ &quot;\&quot;* &quot;\&quot;&quot;\&quot;\-#,##0.00_ ;_ &quot;\&quot;* &quot;-&quot;??_ ;_ @_ "/>
    <numFmt numFmtId="279" formatCode="_(&quot;$&quot;* #,##0.00000_);_(&quot;$&quot;* \(#,##0.00000\);_(&quot;$&quot;* &quot;-&quot;??_);_(@_)"/>
    <numFmt numFmtId="280" formatCode="0%_);[Red]\(0%\)"/>
    <numFmt numFmtId="281" formatCode="mmm\.\ d\ \'yy\ \a\t\ h:mm"/>
    <numFmt numFmtId="282" formatCode="0.00000%"/>
    <numFmt numFmtId="283" formatCode="&quot;fl&quot;#,##0_);[Red]\(&quot;fl&quot;#,##0\)"/>
    <numFmt numFmtId="284" formatCode="###0.00"/>
    <numFmt numFmtId="285" formatCode="[$$-C09]#,##0.00_);\([$$-C09]#,##0.00\)"/>
    <numFmt numFmtId="286" formatCode="&quot;£&quot;#,##0.00;[Red]\-&quot;£&quot;#,##0.00"/>
    <numFmt numFmtId="287" formatCode="_(* #,##0.0_);_(* &quot;\&quot;&quot;\&quot;&quot;\&quot;&quot;\&quot;\(#,##0.0&quot;\&quot;&quot;\&quot;&quot;\&quot;&quot;\&quot;\);_(* &quot;-&quot;_);_(@_)"/>
    <numFmt numFmtId="288" formatCode="#,##0&quot;?_);[Red]\(#,##0&quot;&quot;?&quot;\)"/>
    <numFmt numFmtId="289" formatCode="_ &quot;\&quot;* #,##0_ ;_ &quot;\&quot;* \-#,##0_ ;_ &quot;\&quot;* &quot;-&quot;_ ;_ @_ "/>
    <numFmt numFmtId="290" formatCode="000"/>
    <numFmt numFmtId="291" formatCode="_-* #,##0\ _D_M_-;\-* #,##0\ _D_M_-;_-* &quot;-&quot;\ _D_M_-;_-@_-"/>
    <numFmt numFmtId="292" formatCode="_-* #,##0.00\ _D_M_-;\-* #,##0.00\ _D_M_-;_-* &quot;-&quot;??\ _D_M_-;_-@_-"/>
    <numFmt numFmtId="293" formatCode="&quot;\&quot;&quot;\&quot;&quot;\&quot;&quot;\&quot;&quot;$&quot;#,##0;&quot;\&quot;&quot;\&quot;&quot;\&quot;&quot;\&quot;\(&quot;\&quot;&quot;\&quot;&quot;\&quot;&quot;\&quot;&quot;$&quot;#,##0&quot;\&quot;&quot;\&quot;&quot;\&quot;&quot;\&quot;\)"/>
    <numFmt numFmtId="294" formatCode="&quot;$&quot;#,##0.00_);[Red]\(&quot;$&quot;#,##0.00\)"/>
    <numFmt numFmtId="295" formatCode="_(&quot;$&quot;* #,##0.000_);_(&quot;$&quot;* \(#,##0.000\);_(&quot;$&quot;* &quot;-&quot;??_);_(@_)"/>
    <numFmt numFmtId="296" formatCode="&quot;US$&quot;#,##0"/>
    <numFmt numFmtId="297" formatCode="_ &quot;\&quot;* #,##0.00_ ;_ &quot;\&quot;* \-#,##0.00_ ;_ &quot;\&quot;* &quot;-&quot;??_ ;_ @_ "/>
    <numFmt numFmtId="298" formatCode="0.0_);[Red]\(0.0\)"/>
    <numFmt numFmtId="299" formatCode="#,##0.0;\-#,##0.0"/>
    <numFmt numFmtId="300" formatCode="0.00_);[Red]\(0.00\)"/>
    <numFmt numFmtId="301" formatCode="0.00;_䣿"/>
    <numFmt numFmtId="302" formatCode="0_);[Red]\(0\)"/>
    <numFmt numFmtId="303" formatCode="[$$-C09]#,##0.0000_);\([$$-C09]#,##0.0000\)"/>
    <numFmt numFmtId="304" formatCode="_(&quot;$&quot;* #,##0_);_(&quot;$&quot;* \(#,##0\);_(&quot;$&quot;* &quot;-&quot;??_);_(@_)"/>
    <numFmt numFmtId="305" formatCode="0.00000_ "/>
    <numFmt numFmtId="306" formatCode="_(&quot;$&quot;* #,##0.0_);_(&quot;$&quot;* \(#,##0.0\);_(&quot;$&quot;* &quot;-&quot;??_);_(@_)"/>
    <numFmt numFmtId="307" formatCode="0.000_ "/>
    <numFmt numFmtId="308" formatCode="_(&quot;$&quot;* #,##0.000000_);_(&quot;$&quot;* \(#,##0.000000\);_(&quot;$&quot;* &quot;-&quot;??_);_(@_)"/>
    <numFmt numFmtId="309" formatCode="0.000%"/>
    <numFmt numFmtId="310" formatCode="_(* #,##0.000_);_(* \(#,##0.000\);_(* &quot;-&quot;??_);_(@_)"/>
    <numFmt numFmtId="311" formatCode="_(* #,##0.000000_);_(* \(#,##0.000000\);_(* &quot;-&quot;??_);_(@_)"/>
    <numFmt numFmtId="312" formatCode="0.00;_찀"/>
    <numFmt numFmtId="313" formatCode="&quot;US$&quot;#,##0.00;\-&quot;US$&quot;#,##0.00"/>
  </numFmts>
  <fonts count="329">
    <font>
      <sz val="11"/>
      <color indexed="8"/>
      <name val="Calibri"/>
      <charset val="134"/>
    </font>
    <font>
      <sz val="20"/>
      <name val="Calibri"/>
      <charset val="134"/>
    </font>
    <font>
      <b/>
      <sz val="12"/>
      <color indexed="8"/>
      <name val="Calibri"/>
      <charset val="134"/>
    </font>
    <font>
      <sz val="11"/>
      <color indexed="8"/>
      <name val="Calibri"/>
      <charset val="134"/>
    </font>
    <font>
      <b/>
      <sz val="11"/>
      <color rgb="FF0070C0"/>
      <name val="Calibri"/>
      <charset val="134"/>
    </font>
    <font>
      <sz val="10"/>
      <name val="Calibri"/>
      <charset val="134"/>
    </font>
    <font>
      <sz val="10"/>
      <name val="Arial Unicode MS"/>
      <charset val="136"/>
    </font>
    <font>
      <b/>
      <sz val="12"/>
      <name val="Calibri"/>
      <charset val="134"/>
    </font>
    <font>
      <sz val="11"/>
      <name val="Calibri"/>
      <charset val="134"/>
    </font>
    <font>
      <sz val="11"/>
      <color indexed="8"/>
      <name val="細明體"/>
      <charset val="136"/>
    </font>
    <font>
      <b/>
      <sz val="22"/>
      <color rgb="FF00B0F0"/>
      <name val="Calibri"/>
      <charset val="134"/>
    </font>
    <font>
      <sz val="11"/>
      <color theme="1"/>
      <name val="Calibri"/>
      <charset val="134"/>
    </font>
    <font>
      <b/>
      <sz val="20"/>
      <name val="Calibri"/>
      <charset val="134"/>
    </font>
    <font>
      <sz val="18"/>
      <color theme="1"/>
      <name val="Calibri"/>
      <charset val="134"/>
    </font>
    <font>
      <b/>
      <sz val="18"/>
      <color theme="1" tint="0.349986266670736"/>
      <name val="Calibri"/>
      <charset val="134"/>
    </font>
    <font>
      <sz val="12"/>
      <color rgb="FF0000FF"/>
      <name val="Calibri"/>
      <charset val="134"/>
    </font>
    <font>
      <sz val="12"/>
      <name val="Calibri"/>
      <charset val="134"/>
    </font>
    <font>
      <sz val="12"/>
      <color theme="1"/>
      <name val="Calibri"/>
      <charset val="134"/>
    </font>
    <font>
      <sz val="12"/>
      <color theme="0"/>
      <name val="Calibri"/>
      <charset val="134"/>
    </font>
    <font>
      <b/>
      <sz val="12"/>
      <color theme="0"/>
      <name val="Calibri"/>
      <charset val="134"/>
    </font>
    <font>
      <b/>
      <sz val="12"/>
      <color theme="1"/>
      <name val="Calibri"/>
      <charset val="134"/>
    </font>
    <font>
      <b/>
      <sz val="18"/>
      <color theme="1"/>
      <name val="Calibri"/>
      <charset val="134"/>
    </font>
    <font>
      <b/>
      <sz val="12"/>
      <color rgb="FF0000FF"/>
      <name val="Calibri"/>
      <charset val="134"/>
    </font>
    <font>
      <sz val="12"/>
      <color rgb="FF0070C0"/>
      <name val="Calibri"/>
      <charset val="134"/>
    </font>
    <font>
      <b/>
      <sz val="18"/>
      <color indexed="8"/>
      <name val="Calibri"/>
      <charset val="134"/>
    </font>
    <font>
      <b/>
      <sz val="20"/>
      <color theme="1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sz val="12"/>
      <color rgb="FF000000"/>
      <name val="細明體"/>
      <charset val="136"/>
    </font>
    <font>
      <sz val="10"/>
      <color rgb="FF000000"/>
      <name val="Arial"/>
      <charset val="134"/>
    </font>
    <font>
      <sz val="12"/>
      <name val="宋体"/>
      <charset val="134"/>
    </font>
    <font>
      <sz val="9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b/>
      <sz val="14"/>
      <name val="Calibri"/>
      <charset val="134"/>
    </font>
    <font>
      <b/>
      <sz val="9"/>
      <name val="Calibri"/>
      <charset val="134"/>
    </font>
    <font>
      <b/>
      <sz val="14"/>
      <color theme="0"/>
      <name val="Calibri"/>
      <charset val="134"/>
    </font>
    <font>
      <b/>
      <sz val="9"/>
      <color theme="0"/>
      <name val="Calibri"/>
      <charset val="134"/>
    </font>
    <font>
      <b/>
      <sz val="9"/>
      <color rgb="FFFF0000"/>
      <name val="Calibri"/>
      <charset val="134"/>
    </font>
    <font>
      <sz val="9"/>
      <color theme="1"/>
      <name val="Calibri"/>
      <charset val="134"/>
    </font>
    <font>
      <i/>
      <sz val="9"/>
      <name val="Calibri"/>
      <charset val="134"/>
    </font>
    <font>
      <sz val="9"/>
      <color rgb="FFFF0000"/>
      <name val="Calibri"/>
      <charset val="134"/>
    </font>
    <font>
      <sz val="9"/>
      <color theme="0"/>
      <name val="Calibri"/>
      <charset val="134"/>
    </font>
    <font>
      <b/>
      <i/>
      <sz val="9"/>
      <name val="Calibri"/>
      <charset val="134"/>
    </font>
    <font>
      <b/>
      <sz val="9"/>
      <color theme="1"/>
      <name val="Calibri"/>
      <charset val="134"/>
    </font>
    <font>
      <sz val="9"/>
      <color indexed="10"/>
      <name val="Calibri"/>
      <charset val="134"/>
    </font>
    <font>
      <b/>
      <sz val="12"/>
      <color indexed="9"/>
      <name val="Calibri"/>
      <charset val="134"/>
    </font>
    <font>
      <b/>
      <u val="singleAccounting"/>
      <sz val="9"/>
      <color rgb="FFFF0000"/>
      <name val="Calibri"/>
      <charset val="134"/>
    </font>
    <font>
      <sz val="12"/>
      <color rgb="FF1F497D"/>
      <name val="Calibri"/>
      <charset val="134"/>
    </font>
    <font>
      <b/>
      <u/>
      <sz val="16"/>
      <color theme="1"/>
      <name val="新細明體"/>
      <charset val="136"/>
      <scheme val="minor"/>
    </font>
    <font>
      <b/>
      <sz val="10"/>
      <color theme="0"/>
      <name val="Calibri"/>
      <charset val="134"/>
    </font>
    <font>
      <sz val="10"/>
      <color indexed="8"/>
      <name val="Calibri"/>
      <charset val="134"/>
    </font>
    <font>
      <b/>
      <u/>
      <sz val="10"/>
      <color theme="1"/>
      <name val="新細明體"/>
      <charset val="136"/>
      <scheme val="minor"/>
    </font>
    <font>
      <sz val="10"/>
      <color theme="0"/>
      <name val="新細明體"/>
      <charset val="136"/>
      <scheme val="minor"/>
    </font>
    <font>
      <sz val="10"/>
      <color rgb="FFFF0000"/>
      <name val="Calibri"/>
      <charset val="134"/>
    </font>
    <font>
      <b/>
      <sz val="16"/>
      <name val="Tahoma"/>
      <charset val="134"/>
    </font>
    <font>
      <sz val="11"/>
      <color rgb="FFFF0000"/>
      <name val="Calibri"/>
      <charset val="134"/>
    </font>
    <font>
      <sz val="11"/>
      <color indexed="17"/>
      <name val="宋体"/>
      <charset val="134"/>
    </font>
    <font>
      <sz val="12"/>
      <name val="新細明體"/>
      <charset val="136"/>
    </font>
    <font>
      <sz val="11"/>
      <color theme="1"/>
      <name val="新細明體"/>
      <charset val="136"/>
      <scheme val="minor"/>
    </font>
    <font>
      <sz val="10"/>
      <name val="Arial"/>
      <charset val="134"/>
    </font>
    <font>
      <sz val="11"/>
      <color indexed="20"/>
      <name val="宋体"/>
      <charset val="134"/>
    </font>
    <font>
      <sz val="10"/>
      <name val="Helv"/>
      <charset val="134"/>
    </font>
    <font>
      <sz val="12"/>
      <color theme="1"/>
      <name val="新細明體"/>
      <charset val="134"/>
      <scheme val="minor"/>
    </font>
    <font>
      <sz val="11"/>
      <color theme="1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theme="0"/>
      <name val="新細明體"/>
      <charset val="0"/>
      <scheme val="minor"/>
    </font>
    <font>
      <sz val="11"/>
      <color indexed="9"/>
      <name val="宋体"/>
      <charset val="134"/>
    </font>
    <font>
      <b/>
      <sz val="11"/>
      <color indexed="8"/>
      <name val="Calibri"/>
      <charset val="134"/>
    </font>
    <font>
      <sz val="10"/>
      <color indexed="8"/>
      <name val="MS Sans Serif"/>
      <charset val="134"/>
    </font>
    <font>
      <sz val="8"/>
      <name val="Times New Roman"/>
      <charset val="134"/>
    </font>
    <font>
      <b/>
      <sz val="11"/>
      <color rgb="FFFA7D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sz val="11"/>
      <color indexed="62"/>
      <name val="Calibri"/>
      <charset val="134"/>
    </font>
    <font>
      <b/>
      <sz val="18"/>
      <color indexed="56"/>
      <name val="宋体"/>
      <charset val="134"/>
    </font>
    <font>
      <b/>
      <sz val="10"/>
      <color indexed="10"/>
      <name val="Arial"/>
      <charset val="134"/>
    </font>
    <font>
      <sz val="1"/>
      <color indexed="8"/>
      <name val="Courier"/>
      <charset val="134"/>
    </font>
    <font>
      <b/>
      <sz val="15"/>
      <color indexed="56"/>
      <name val="宋体"/>
      <charset val="134"/>
    </font>
    <font>
      <sz val="10"/>
      <name val="MS Sans Serif"/>
      <charset val="134"/>
    </font>
    <font>
      <u/>
      <sz val="11"/>
      <color rgb="FF800080"/>
      <name val="新細明體"/>
      <charset val="0"/>
      <scheme val="minor"/>
    </font>
    <font>
      <b/>
      <sz val="10"/>
      <name val="Arial"/>
      <charset val="134"/>
    </font>
    <font>
      <sz val="11"/>
      <color rgb="FF3F3F7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indexed="23"/>
      <name val="Calibri"/>
      <charset val="134"/>
    </font>
    <font>
      <i/>
      <sz val="11"/>
      <color rgb="FF7F7F7F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3"/>
      <color indexed="56"/>
      <name val="宋体"/>
      <charset val="134"/>
    </font>
    <font>
      <i/>
      <sz val="11"/>
      <color rgb="FF7F7F7F"/>
      <name val="新細明體"/>
      <charset val="136"/>
      <scheme val="minor"/>
    </font>
    <font>
      <sz val="11"/>
      <color indexed="9"/>
      <name val="ＭＳ Ｐゴシック"/>
      <charset val="134"/>
    </font>
    <font>
      <b/>
      <sz val="10"/>
      <name val="MS Sans"/>
      <charset val="134"/>
    </font>
    <font>
      <sz val="10"/>
      <color indexed="8"/>
      <name val="Arial"/>
      <charset val="134"/>
    </font>
    <font>
      <sz val="10"/>
      <name val="Geneva"/>
      <charset val="134"/>
    </font>
    <font>
      <b/>
      <sz val="11"/>
      <color indexed="63"/>
      <name val="Calibri"/>
      <charset val="134"/>
    </font>
    <font>
      <sz val="12"/>
      <name val="Times New Roman"/>
      <charset val="134"/>
    </font>
    <font>
      <sz val="11"/>
      <color indexed="52"/>
      <name val="宋体"/>
      <charset val="134"/>
    </font>
    <font>
      <sz val="10"/>
      <color indexed="12"/>
      <name val="Times New Roman"/>
      <charset val="134"/>
    </font>
    <font>
      <b/>
      <sz val="13"/>
      <color theme="3"/>
      <name val="新細明體"/>
      <charset val="136"/>
      <scheme val="minor"/>
    </font>
    <font>
      <b/>
      <sz val="13"/>
      <color theme="3"/>
      <name val="新細明體"/>
      <charset val="134"/>
      <scheme val="minor"/>
    </font>
    <font>
      <b/>
      <sz val="13"/>
      <color indexed="62"/>
      <name val="Calibri"/>
      <charset val="134"/>
    </font>
    <font>
      <b/>
      <sz val="1"/>
      <color indexed="8"/>
      <name val="Courier"/>
      <charset val="134"/>
    </font>
    <font>
      <sz val="8"/>
      <color theme="1"/>
      <name val="Segoe UI"/>
      <charset val="134"/>
    </font>
    <font>
      <b/>
      <sz val="18"/>
      <color indexed="62"/>
      <name val="Cambria"/>
      <charset val="134"/>
    </font>
    <font>
      <b/>
      <sz val="11"/>
      <color indexed="62"/>
      <name val="Calibri"/>
      <charset val="134"/>
    </font>
    <font>
      <b/>
      <sz val="11"/>
      <color indexed="56"/>
      <name val="宋体"/>
      <charset val="134"/>
    </font>
    <font>
      <sz val="11"/>
      <color theme="0"/>
      <name val="新細明體"/>
      <charset val="136"/>
      <scheme val="minor"/>
    </font>
    <font>
      <b/>
      <sz val="11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sz val="12"/>
      <color indexed="9"/>
      <name val="Helv"/>
      <charset val="134"/>
    </font>
    <font>
      <sz val="11"/>
      <color rgb="FF0061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8"/>
      <name val="Arial"/>
      <charset val="134"/>
    </font>
    <font>
      <sz val="12"/>
      <color indexed="17"/>
      <name val="新細明體"/>
      <charset val="136"/>
    </font>
    <font>
      <b/>
      <sz val="18"/>
      <color theme="3"/>
      <name val="新細明體"/>
      <charset val="136"/>
      <scheme val="major"/>
    </font>
    <font>
      <b/>
      <sz val="12"/>
      <name val="Arial"/>
      <charset val="134"/>
    </font>
    <font>
      <u/>
      <sz val="11"/>
      <color indexed="36"/>
      <name val="ＭＳ Ｐゴシック"/>
      <charset val="134"/>
    </font>
    <font>
      <sz val="11"/>
      <color indexed="60"/>
      <name val="Calibri"/>
      <charset val="134"/>
    </font>
    <font>
      <sz val="11"/>
      <color rgb="FF9C0006"/>
      <name val="新細明體"/>
      <charset val="136"/>
      <scheme val="minor"/>
    </font>
    <font>
      <sz val="8"/>
      <name val="MS Sans Serif"/>
      <charset val="134"/>
    </font>
    <font>
      <sz val="11"/>
      <name val="柧挬"/>
      <charset val="134"/>
    </font>
    <font>
      <sz val="11"/>
      <name val="‚l‚r ‚oƒSƒVƒbƒN"/>
      <charset val="134"/>
    </font>
    <font>
      <sz val="14"/>
      <name val="Times New Roman"/>
      <charset val="134"/>
    </font>
    <font>
      <sz val="12"/>
      <color indexed="17"/>
      <name val="Calibri"/>
      <charset val="134"/>
    </font>
    <font>
      <sz val="12"/>
      <name val="±¼¸²Ã¼"/>
      <charset val="134"/>
    </font>
    <font>
      <sz val="9"/>
      <name val="Times New Roman"/>
      <charset val="134"/>
    </font>
    <font>
      <i/>
      <sz val="11"/>
      <color indexed="23"/>
      <name val="宋体"/>
      <charset val="134"/>
    </font>
    <font>
      <sz val="11"/>
      <color indexed="52"/>
      <name val="Calibri"/>
      <charset val="134"/>
    </font>
    <font>
      <sz val="11"/>
      <name val="–¾’©"/>
      <charset val="136"/>
    </font>
    <font>
      <i/>
      <sz val="11"/>
      <color indexed="23"/>
      <name val="新細明體"/>
      <charset val="136"/>
    </font>
    <font>
      <sz val="12"/>
      <color indexed="9"/>
      <name val="新細明體"/>
      <charset val="136"/>
    </font>
    <font>
      <sz val="11"/>
      <color indexed="20"/>
      <name val="新細明體"/>
      <charset val="136"/>
    </font>
    <font>
      <sz val="10"/>
      <name val="Times New Roman"/>
      <charset val="134"/>
    </font>
    <font>
      <b/>
      <sz val="11"/>
      <color indexed="52"/>
      <name val="Calibri"/>
      <charset val="134"/>
    </font>
    <font>
      <sz val="11"/>
      <color indexed="62"/>
      <name val="宋体"/>
      <charset val="134"/>
    </font>
    <font>
      <sz val="11"/>
      <color indexed="52"/>
      <name val="ＭＳ Ｐゴシック"/>
      <charset val="134"/>
    </font>
    <font>
      <b/>
      <sz val="18"/>
      <color indexed="56"/>
      <name val="新細明體"/>
      <charset val="136"/>
    </font>
    <font>
      <sz val="12"/>
      <name val="Helv"/>
      <charset val="134"/>
    </font>
    <font>
      <u/>
      <sz val="8.4"/>
      <color indexed="12"/>
      <name val="Arial"/>
      <charset val="134"/>
    </font>
    <font>
      <sz val="11"/>
      <color indexed="60"/>
      <name val="宋体"/>
      <charset val="134"/>
    </font>
    <font>
      <sz val="10"/>
      <name val="Courier"/>
      <charset val="134"/>
    </font>
    <font>
      <sz val="11"/>
      <color indexed="20"/>
      <name val="Calibri"/>
      <charset val="134"/>
    </font>
    <font>
      <sz val="11"/>
      <name val=""/>
      <charset val="134"/>
    </font>
    <font>
      <b/>
      <sz val="12"/>
      <color indexed="17"/>
      <name val="新細明體"/>
      <charset val="136"/>
    </font>
    <font>
      <b/>
      <sz val="11"/>
      <color indexed="9"/>
      <name val="宋体"/>
      <charset val="134"/>
    </font>
    <font>
      <b/>
      <sz val="11"/>
      <color indexed="56"/>
      <name val="新細明體"/>
      <charset val="136"/>
    </font>
    <font>
      <sz val="10"/>
      <color indexed="16"/>
      <name val="MS Serif"/>
      <charset val="134"/>
    </font>
    <font>
      <b/>
      <sz val="11"/>
      <color indexed="9"/>
      <name val="新細明體"/>
      <charset val="136"/>
    </font>
    <font>
      <sz val="14"/>
      <name val="Cordia New"/>
      <charset val="134"/>
    </font>
    <font>
      <sz val="11"/>
      <color rgb="FF006100"/>
      <name val="新細明體"/>
      <charset val="136"/>
      <scheme val="minor"/>
    </font>
    <font>
      <b/>
      <i/>
      <sz val="8"/>
      <color indexed="9"/>
      <name val="Arial"/>
      <charset val="134"/>
    </font>
    <font>
      <sz val="12"/>
      <color indexed="8"/>
      <name val="新細明體"/>
      <charset val="136"/>
    </font>
    <font>
      <b/>
      <sz val="11"/>
      <color indexed="52"/>
      <name val="宋体"/>
      <charset val="134"/>
    </font>
    <font>
      <b/>
      <sz val="13"/>
      <color indexed="56"/>
      <name val="ＭＳ Ｐゴシック"/>
      <charset val="134"/>
    </font>
    <font>
      <sz val="11"/>
      <color indexed="9"/>
      <name val="新細明體"/>
      <charset val="136"/>
    </font>
    <font>
      <b/>
      <sz val="12"/>
      <color indexed="8"/>
      <name val="新細明體"/>
      <charset val="136"/>
    </font>
    <font>
      <sz val="12"/>
      <color theme="1"/>
      <name val="新細明體"/>
      <charset val="136"/>
      <scheme val="minor"/>
    </font>
    <font>
      <sz val="12"/>
      <color indexed="20"/>
      <name val="Calibri"/>
      <charset val="134"/>
    </font>
    <font>
      <b/>
      <sz val="10"/>
      <name val="MS Sans Serif"/>
      <charset val="134"/>
    </font>
    <font>
      <b/>
      <sz val="11"/>
      <color indexed="9"/>
      <name val="ＭＳ Ｐゴシック"/>
      <charset val="134"/>
    </font>
    <font>
      <sz val="11"/>
      <color indexed="52"/>
      <name val="新細明體"/>
      <charset val="136"/>
    </font>
    <font>
      <b/>
      <i/>
      <sz val="16"/>
      <name val="Helv"/>
      <charset val="134"/>
    </font>
    <font>
      <b/>
      <sz val="11"/>
      <color indexed="8"/>
      <name val="宋体"/>
      <charset val="134"/>
    </font>
    <font>
      <b/>
      <sz val="8"/>
      <name val="MS Sans Serif"/>
      <charset val="134"/>
    </font>
    <font>
      <sz val="11"/>
      <color indexed="17"/>
      <name val="ＭＳ Ｐゴシック"/>
      <charset val="134"/>
    </font>
    <font>
      <b/>
      <sz val="11"/>
      <color indexed="56"/>
      <name val="ＭＳ Ｐゴシック"/>
      <charset val="134"/>
    </font>
    <font>
      <b/>
      <sz val="8.25"/>
      <name val="Helv"/>
      <charset val="134"/>
    </font>
    <font>
      <sz val="11"/>
      <color rgb="FF9C6500"/>
      <name val="新細明體"/>
      <charset val="136"/>
      <scheme val="minor"/>
    </font>
    <font>
      <b/>
      <sz val="10"/>
      <color indexed="8"/>
      <name val="Calibri"/>
      <charset val="134"/>
    </font>
    <font>
      <sz val="11"/>
      <color indexed="60"/>
      <name val="新細明體"/>
      <charset val="136"/>
    </font>
    <font>
      <b/>
      <sz val="6"/>
      <name val="TimesNewRomanPS"/>
      <charset val="134"/>
    </font>
    <font>
      <sz val="12"/>
      <name val="標楷體"/>
      <charset val="136"/>
    </font>
    <font>
      <b/>
      <sz val="10"/>
      <color indexed="9"/>
      <name val="Arial"/>
      <charset val="134"/>
    </font>
    <font>
      <sz val="11"/>
      <color rgb="FFFF0000"/>
      <name val="新細明體"/>
      <charset val="136"/>
      <scheme val="minor"/>
    </font>
    <font>
      <sz val="7"/>
      <name val="Small Fonts"/>
      <charset val="134"/>
    </font>
    <font>
      <b/>
      <sz val="8"/>
      <color indexed="10"/>
      <name val="Arial"/>
      <charset val="134"/>
    </font>
    <font>
      <b/>
      <sz val="14"/>
      <name val="Arial"/>
      <charset val="134"/>
    </font>
    <font>
      <sz val="11"/>
      <name val="ＭＳ Ｐゴシック"/>
      <charset val="134"/>
    </font>
    <font>
      <sz val="13"/>
      <name val="ＭＳ Ｐゴシック"/>
      <charset val="134"/>
    </font>
    <font>
      <b/>
      <sz val="18"/>
      <color indexed="62"/>
      <name val="新細明體"/>
      <charset val="136"/>
    </font>
    <font>
      <sz val="9"/>
      <name val="Arial"/>
      <charset val="134"/>
    </font>
    <font>
      <b/>
      <sz val="15"/>
      <color indexed="56"/>
      <name val="ＭＳ Ｐゴシック"/>
      <charset val="134"/>
    </font>
    <font>
      <b/>
      <sz val="11"/>
      <color indexed="63"/>
      <name val="宋体"/>
      <charset val="134"/>
    </font>
    <font>
      <i/>
      <sz val="10"/>
      <name val="Times New Roman"/>
      <charset val="134"/>
    </font>
    <font>
      <sz val="11"/>
      <color indexed="17"/>
      <name val="新細明體"/>
      <charset val="136"/>
    </font>
    <font>
      <sz val="12"/>
      <name val="바탕체"/>
      <charset val="134"/>
    </font>
    <font>
      <sz val="11"/>
      <color indexed="8"/>
      <name val="ＭＳ Ｐゴシック"/>
      <charset val="134"/>
    </font>
    <font>
      <sz val="10"/>
      <color indexed="18"/>
      <name val="Arial"/>
      <charset val="134"/>
    </font>
    <font>
      <sz val="11"/>
      <color indexed="62"/>
      <name val="新細明體"/>
      <charset val="136"/>
    </font>
    <font>
      <sz val="8"/>
      <color indexed="10"/>
      <name val="Arial Narrow"/>
      <charset val="134"/>
    </font>
    <font>
      <b/>
      <sz val="15"/>
      <color theme="3"/>
      <name val="新細明體"/>
      <charset val="136"/>
      <scheme val="minor"/>
    </font>
    <font>
      <sz val="12"/>
      <name val="Arial MT"/>
      <charset val="134"/>
    </font>
    <font>
      <sz val="8"/>
      <name val="Tms Rmn"/>
      <charset val="134"/>
    </font>
    <font>
      <sz val="11"/>
      <color indexed="8"/>
      <name val="新細明體"/>
      <charset val="136"/>
    </font>
    <font>
      <b/>
      <sz val="11"/>
      <color theme="1"/>
      <name val="新細明體"/>
      <charset val="136"/>
      <scheme val="minor"/>
    </font>
    <font>
      <sz val="11"/>
      <color indexed="10"/>
      <name val="Calibri"/>
      <charset val="134"/>
    </font>
    <font>
      <sz val="11"/>
      <color rgb="FF3F3F76"/>
      <name val="新細明體"/>
      <charset val="136"/>
      <scheme val="minor"/>
    </font>
    <font>
      <sz val="11"/>
      <color rgb="FFFA7D00"/>
      <name val="新細明體"/>
      <charset val="136"/>
      <scheme val="minor"/>
    </font>
    <font>
      <b/>
      <sz val="8"/>
      <name val="Times New Roman"/>
      <charset val="134"/>
    </font>
    <font>
      <sz val="10"/>
      <name val="Tahoma"/>
      <charset val="134"/>
    </font>
    <font>
      <sz val="12"/>
      <color indexed="20"/>
      <name val="新細明體"/>
      <charset val="136"/>
    </font>
    <font>
      <sz val="10"/>
      <name val="CG Times (WN)"/>
      <charset val="134"/>
    </font>
    <font>
      <b/>
      <sz val="13"/>
      <name val="Arial"/>
      <charset val="134"/>
    </font>
    <font>
      <b/>
      <sz val="14"/>
      <color indexed="18"/>
      <name val="Times New Roman"/>
      <charset val="134"/>
    </font>
    <font>
      <b/>
      <sz val="11"/>
      <color indexed="63"/>
      <name val="新細明體"/>
      <charset val="136"/>
    </font>
    <font>
      <sz val="12"/>
      <color indexed="8"/>
      <name val="Verdana"/>
      <charset val="134"/>
    </font>
    <font>
      <b/>
      <sz val="8"/>
      <color indexed="14"/>
      <name val="MS Sans Serif"/>
      <charset val="134"/>
    </font>
    <font>
      <b/>
      <sz val="9"/>
      <color indexed="9"/>
      <name val="Arial"/>
      <charset val="134"/>
    </font>
    <font>
      <b/>
      <sz val="8"/>
      <color indexed="8"/>
      <name val="Helv"/>
      <charset val="134"/>
    </font>
    <font>
      <sz val="9"/>
      <name val="Geneva"/>
      <charset val="134"/>
    </font>
    <font>
      <sz val="8"/>
      <name val="Wingdings"/>
      <charset val="2"/>
    </font>
    <font>
      <u/>
      <sz val="1"/>
      <color indexed="8"/>
      <name val="Courier"/>
      <charset val="134"/>
    </font>
    <font>
      <b/>
      <sz val="15"/>
      <color indexed="56"/>
      <name val="新細明體"/>
      <charset val="136"/>
    </font>
    <font>
      <sz val="10"/>
      <name val="MS Serif"/>
      <charset val="134"/>
    </font>
    <font>
      <sz val="8"/>
      <color indexed="12"/>
      <name val="MS Sans Serif"/>
      <charset val="134"/>
    </font>
    <font>
      <b/>
      <sz val="18"/>
      <color indexed="56"/>
      <name val="ＭＳ Ｐゴシック"/>
      <charset val="134"/>
    </font>
    <font>
      <b/>
      <sz val="11"/>
      <color indexed="63"/>
      <name val="ＭＳ Ｐゴシック"/>
      <charset val="134"/>
    </font>
    <font>
      <sz val="8"/>
      <name val="Helv"/>
      <charset val="134"/>
    </font>
    <font>
      <b/>
      <sz val="11"/>
      <color theme="0"/>
      <name val="新細明體"/>
      <charset val="136"/>
      <scheme val="minor"/>
    </font>
    <font>
      <b/>
      <i/>
      <sz val="8"/>
      <name val="Arial"/>
      <charset val="134"/>
    </font>
    <font>
      <b/>
      <sz val="15"/>
      <color indexed="62"/>
      <name val="Calibri"/>
      <charset val="134"/>
    </font>
    <font>
      <b/>
      <sz val="8"/>
      <name val="Arial"/>
      <charset val="134"/>
    </font>
    <font>
      <b/>
      <i/>
      <sz val="14"/>
      <name val="Arial"/>
      <charset val="134"/>
    </font>
    <font>
      <sz val="12"/>
      <color indexed="14"/>
      <name val="新細明體"/>
      <charset val="136"/>
    </font>
    <font>
      <sz val="7"/>
      <name val="Helv"/>
      <charset val="134"/>
    </font>
    <font>
      <sz val="12"/>
      <name val="Arial"/>
      <charset val="134"/>
    </font>
    <font>
      <i/>
      <sz val="10"/>
      <color indexed="56"/>
      <name val="Arial"/>
      <charset val="134"/>
    </font>
    <font>
      <sz val="19"/>
      <color indexed="48"/>
      <name val="Arial"/>
      <charset val="134"/>
    </font>
    <font>
      <sz val="12"/>
      <color indexed="8"/>
      <name val="Arial"/>
      <charset val="134"/>
    </font>
    <font>
      <sz val="7"/>
      <color indexed="10"/>
      <name val="Helv"/>
      <charset val="134"/>
    </font>
    <font>
      <sz val="10"/>
      <name val="Tms Rmn"/>
      <charset val="134"/>
    </font>
    <font>
      <b/>
      <sz val="11"/>
      <color rgb="FF3F3F3F"/>
      <name val="新細明體"/>
      <charset val="136"/>
      <scheme val="minor"/>
    </font>
    <font>
      <sz val="7"/>
      <color indexed="10"/>
      <name val="MS Sans Serif"/>
      <charset val="134"/>
    </font>
    <font>
      <sz val="8"/>
      <name val="Times"/>
      <charset val="134"/>
    </font>
    <font>
      <b/>
      <sz val="10"/>
      <name val="Times New Roman"/>
      <charset val="134"/>
    </font>
    <font>
      <b/>
      <sz val="11"/>
      <color indexed="16"/>
      <name val="Times New Roman"/>
      <charset val="134"/>
    </font>
    <font>
      <sz val="10"/>
      <color indexed="8"/>
      <name val="Geneva"/>
      <charset val="134"/>
    </font>
    <font>
      <sz val="12"/>
      <color indexed="9"/>
      <name val="Arial"/>
      <charset val="134"/>
    </font>
    <font>
      <b/>
      <sz val="12"/>
      <color indexed="8"/>
      <name val="Arial"/>
      <charset val="134"/>
    </font>
    <font>
      <sz val="11"/>
      <name val="ＭＳ ゴシック"/>
      <charset val="136"/>
    </font>
    <font>
      <b/>
      <sz val="12"/>
      <color indexed="8"/>
      <name val="Times New Roman"/>
      <charset val="134"/>
    </font>
    <font>
      <b/>
      <sz val="18"/>
      <color indexed="56"/>
      <name val="Cambria"/>
      <charset val="134"/>
    </font>
    <font>
      <b/>
      <sz val="18"/>
      <color indexed="8"/>
      <name val="Cambria"/>
      <charset val="134"/>
    </font>
    <font>
      <b/>
      <sz val="14"/>
      <name val="Tms Rmn"/>
      <charset val="134"/>
    </font>
    <font>
      <sz val="14"/>
      <name val="Arial"/>
      <charset val="134"/>
    </font>
    <font>
      <b/>
      <sz val="10"/>
      <color indexed="10"/>
      <name val="Times New Roman"/>
      <charset val="134"/>
    </font>
    <font>
      <b/>
      <sz val="11"/>
      <color indexed="8"/>
      <name val="新細明體"/>
      <charset val="136"/>
    </font>
    <font>
      <b/>
      <sz val="10"/>
      <color indexed="21"/>
      <name val="MS Sans Serif"/>
      <charset val="134"/>
    </font>
    <font>
      <b/>
      <sz val="11"/>
      <color indexed="9"/>
      <name val="Calibri"/>
      <charset val="134"/>
    </font>
    <font>
      <sz val="7"/>
      <name val="Courier"/>
      <charset val="134"/>
    </font>
    <font>
      <sz val="11"/>
      <color indexed="10"/>
      <name val="宋体"/>
      <charset val="134"/>
    </font>
    <font>
      <sz val="11"/>
      <color indexed="10"/>
      <name val="新細明體"/>
      <charset val="136"/>
    </font>
    <font>
      <sz val="8"/>
      <color indexed="12"/>
      <name val="Arial"/>
      <charset val="134"/>
    </font>
    <font>
      <sz val="12"/>
      <name val="Courier"/>
      <charset val="134"/>
    </font>
    <font>
      <sz val="8"/>
      <color indexed="10"/>
      <name val="Arial"/>
      <charset val="134"/>
    </font>
    <font>
      <sz val="12"/>
      <name val="Tms Rmn"/>
      <charset val="134"/>
    </font>
    <font>
      <b/>
      <i/>
      <sz val="1"/>
      <color indexed="8"/>
      <name val="Courier"/>
      <charset val="134"/>
    </font>
    <font>
      <u/>
      <sz val="10"/>
      <color indexed="14"/>
      <name val="MS Sans Serif"/>
      <charset val="134"/>
    </font>
    <font>
      <b/>
      <u/>
      <sz val="1"/>
      <color indexed="8"/>
      <name val="Courier"/>
      <charset val="134"/>
    </font>
    <font>
      <b/>
      <sz val="11"/>
      <color theme="3"/>
      <name val="新細明體"/>
      <charset val="136"/>
      <scheme val="minor"/>
    </font>
    <font>
      <sz val="11"/>
      <color indexed="60"/>
      <name val="ＭＳ Ｐゴシック"/>
      <charset val="134"/>
    </font>
    <font>
      <sz val="12"/>
      <color indexed="17"/>
      <name val="宋体"/>
      <charset val="134"/>
    </font>
    <font>
      <b/>
      <sz val="8"/>
      <color indexed="12"/>
      <name val="Arial"/>
      <charset val="134"/>
    </font>
    <font>
      <b/>
      <sz val="8"/>
      <color indexed="17"/>
      <name val="Arial"/>
      <charset val="134"/>
    </font>
    <font>
      <b/>
      <sz val="12"/>
      <name val="Tahoma"/>
      <charset val="134"/>
    </font>
    <font>
      <b/>
      <sz val="11"/>
      <color indexed="18"/>
      <name val="Times New Roman"/>
      <charset val="134"/>
    </font>
    <font>
      <b/>
      <sz val="12"/>
      <color indexed="52"/>
      <name val="新細明體"/>
      <charset val="136"/>
    </font>
    <font>
      <u/>
      <sz val="11"/>
      <color theme="10"/>
      <name val="新細明體"/>
      <charset val="136"/>
      <scheme val="minor"/>
    </font>
    <font>
      <b/>
      <sz val="11"/>
      <color indexed="52"/>
      <name val="新細明體"/>
      <charset val="136"/>
    </font>
    <font>
      <u/>
      <sz val="11"/>
      <color indexed="36"/>
      <name val=" "/>
      <charset val="136"/>
    </font>
    <font>
      <sz val="12"/>
      <color indexed="8"/>
      <name val="Times New Roman"/>
      <charset val="134"/>
    </font>
    <font>
      <b/>
      <sz val="8.5"/>
      <name val="MS Sans Serif"/>
      <charset val="134"/>
    </font>
    <font>
      <b/>
      <sz val="11"/>
      <name val="Times New Roman"/>
      <charset val="134"/>
    </font>
    <font>
      <b/>
      <sz val="11"/>
      <color rgb="FFFA7D00"/>
      <name val="新細明體"/>
      <charset val="136"/>
      <scheme val="minor"/>
    </font>
    <font>
      <b/>
      <sz val="11"/>
      <color indexed="56"/>
      <name val="Calibri"/>
      <charset val="134"/>
    </font>
    <font>
      <u/>
      <sz val="8"/>
      <color indexed="12"/>
      <name val="Times New Roman"/>
      <charset val="134"/>
    </font>
    <font>
      <u/>
      <sz val="10"/>
      <color indexed="12"/>
      <name val="MS Sans Serif"/>
      <charset val="134"/>
    </font>
    <font>
      <sz val="11"/>
      <name val="??"/>
      <charset val="255"/>
    </font>
    <font>
      <sz val="12"/>
      <name val="Osaka"/>
      <charset val="134"/>
    </font>
    <font>
      <sz val="12"/>
      <name val="¹ÙÅÁÃ¼"/>
      <charset val="134"/>
    </font>
    <font>
      <sz val="2.25"/>
      <name val="Arial"/>
      <charset val="134"/>
    </font>
    <font>
      <b/>
      <sz val="11"/>
      <color indexed="52"/>
      <name val="ＭＳ Ｐゴシック"/>
      <charset val="134"/>
    </font>
    <font>
      <b/>
      <sz val="14"/>
      <name val="Times New Roman"/>
      <charset val="134"/>
    </font>
    <font>
      <b/>
      <sz val="10"/>
      <name val="Helv"/>
      <charset val="134"/>
    </font>
    <font>
      <sz val="10"/>
      <name val="BERNHARD"/>
      <charset val="134"/>
    </font>
    <font>
      <sz val="8"/>
      <color indexed="47"/>
      <name val="Geneva"/>
      <charset val="134"/>
    </font>
    <font>
      <sz val="11"/>
      <name val="돋움"/>
      <charset val="134"/>
    </font>
    <font>
      <sz val="10"/>
      <color indexed="56"/>
      <name val="Arial"/>
      <charset val="134"/>
    </font>
    <font>
      <b/>
      <u/>
      <sz val="11"/>
      <color indexed="37"/>
      <name val="Arial"/>
      <charset val="134"/>
    </font>
    <font>
      <b/>
      <sz val="15"/>
      <color indexed="56"/>
      <name val="Calibri"/>
      <charset val="134"/>
    </font>
    <font>
      <b/>
      <sz val="18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新細明體"/>
      <charset val="136"/>
    </font>
    <font>
      <sz val="10"/>
      <color indexed="12"/>
      <name val="Arial"/>
      <charset val="134"/>
    </font>
    <font>
      <u/>
      <sz val="9"/>
      <color indexed="36"/>
      <name val="新細明體"/>
      <charset val="136"/>
    </font>
    <font>
      <u/>
      <sz val="11"/>
      <color indexed="12"/>
      <name val="ＭＳ Ｐゴシック"/>
      <charset val="134"/>
    </font>
    <font>
      <u/>
      <sz val="11"/>
      <color indexed="12"/>
      <name val=" "/>
      <charset val="136"/>
    </font>
    <font>
      <sz val="12"/>
      <name val="?"/>
      <charset val="136"/>
    </font>
    <font>
      <sz val="9"/>
      <name val="細明體"/>
      <charset val="136"/>
    </font>
    <font>
      <i/>
      <sz val="11"/>
      <color indexed="23"/>
      <name val="ＭＳ Ｐゴシック"/>
      <charset val="134"/>
    </font>
    <font>
      <sz val="11"/>
      <color indexed="62"/>
      <name val="ＭＳ Ｐゴシック"/>
      <charset val="134"/>
    </font>
    <font>
      <sz val="10"/>
      <name val="ＭＳ Ｐゴシック"/>
      <charset val="134"/>
    </font>
    <font>
      <sz val="12"/>
      <color indexed="16"/>
      <name val="新細明體"/>
      <charset val="136"/>
    </font>
    <font>
      <sz val="14"/>
      <name val="微?繁??"/>
      <charset val="134"/>
    </font>
    <font>
      <sz val="11"/>
      <color indexed="20"/>
      <name val="ＭＳ Ｐゴシック"/>
      <charset val="134"/>
    </font>
    <font>
      <sz val="12"/>
      <color indexed="52"/>
      <name val="新細明體"/>
      <charset val="136"/>
    </font>
    <font>
      <u/>
      <sz val="12"/>
      <color indexed="12"/>
      <name val="新細明體"/>
      <charset val="136"/>
    </font>
    <font>
      <u/>
      <sz val="10.2"/>
      <color indexed="12"/>
      <name val="新細明體"/>
      <charset val="136"/>
    </font>
    <font>
      <b/>
      <sz val="11"/>
      <color indexed="8"/>
      <name val="ＭＳ Ｐゴシック"/>
      <charset val="134"/>
    </font>
    <font>
      <i/>
      <sz val="12"/>
      <color indexed="23"/>
      <name val="新細明體"/>
      <charset val="136"/>
    </font>
    <font>
      <sz val="11"/>
      <name val="ＭＳ 明朝"/>
      <charset val="136"/>
    </font>
    <font>
      <sz val="12"/>
      <color indexed="62"/>
      <name val="新細明體"/>
      <charset val="136"/>
    </font>
    <font>
      <b/>
      <sz val="12"/>
      <color indexed="63"/>
      <name val="新細明體"/>
      <charset val="136"/>
    </font>
    <font>
      <u/>
      <sz val="7.5"/>
      <color indexed="36"/>
      <name val="Times New Roman"/>
      <charset val="134"/>
    </font>
    <font>
      <b/>
      <sz val="12"/>
      <color indexed="9"/>
      <name val="新細明體"/>
      <charset val="136"/>
    </font>
    <font>
      <b/>
      <sz val="12"/>
      <color indexed="20"/>
      <name val="新細明體"/>
      <charset val="136"/>
    </font>
    <font>
      <sz val="12"/>
      <color indexed="20"/>
      <name val="宋体"/>
      <charset val="134"/>
    </font>
    <font>
      <sz val="12"/>
      <name val="뼻뮝"/>
      <charset val="134"/>
    </font>
    <font>
      <sz val="11"/>
      <color indexed="10"/>
      <name val="ＭＳ Ｐゴシック"/>
      <charset val="134"/>
    </font>
    <font>
      <sz val="12"/>
      <color indexed="10"/>
      <name val="新細明體"/>
      <charset val="136"/>
    </font>
    <font>
      <sz val="10"/>
      <name val="細明體"/>
      <charset val="136"/>
    </font>
    <font>
      <sz val="11"/>
      <name val="細明體"/>
      <charset val="136"/>
    </font>
    <font>
      <sz val="11"/>
      <color rgb="FF000000"/>
      <name val="Times New Roman"/>
      <charset val="134"/>
    </font>
  </fonts>
  <fills count="1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51017792291"/>
        <bgColor indexed="64"/>
      </patternFill>
    </fill>
    <fill>
      <patternFill patternType="solid">
        <fgColor theme="0" tint="-0.149449140903958"/>
        <bgColor indexed="64"/>
      </patternFill>
    </fill>
    <fill>
      <patternFill patternType="solid">
        <fgColor theme="0" tint="-0.149235511337626"/>
        <bgColor indexed="64"/>
      </patternFill>
    </fill>
    <fill>
      <patternFill patternType="solid">
        <fgColor theme="0" tint="-0.1490524002807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4"/>
        <bgColor indexed="5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darkGray">
        <fgColor indexed="15"/>
      </patternFill>
    </fill>
    <fill>
      <patternFill patternType="solid">
        <fgColor rgb="FFFFEB9C"/>
        <bgColor indexed="64"/>
      </patternFill>
    </fill>
    <fill>
      <patternFill patternType="lightUp">
        <fgColor indexed="9"/>
        <bgColor indexed="26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2"/>
        <bgColor indexed="42"/>
      </patternFill>
    </fill>
    <fill>
      <patternFill patternType="solid">
        <fgColor indexed="6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/>
        <bgColor indexed="64"/>
      </patternFill>
    </fill>
    <fill>
      <patternFill patternType="gray125"/>
    </fill>
    <fill>
      <patternFill patternType="solid">
        <fgColor indexed="54"/>
        <bgColor indexed="64"/>
      </patternFill>
    </fill>
    <fill>
      <patternFill patternType="lightGray">
        <fgColor indexed="22"/>
      </patternFill>
    </fill>
    <fill>
      <patternFill patternType="darkVertical"/>
    </fill>
    <fill>
      <patternFill patternType="solid">
        <fgColor rgb="FFA5A5A5"/>
        <bgColor indexed="64"/>
      </patternFill>
    </fill>
    <fill>
      <patternFill patternType="solid">
        <fgColor indexed="49"/>
        <bgColor indexed="49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lightUp">
        <fgColor indexed="9"/>
        <bgColor indexed="55"/>
      </patternFill>
    </fill>
    <fill>
      <patternFill patternType="solid">
        <fgColor indexed="40"/>
        <bgColor indexed="64"/>
      </patternFill>
    </fill>
    <fill>
      <patternFill patternType="solid">
        <fgColor rgb="FFF2F2F2"/>
        <bgColor indexed="64"/>
      </patternFill>
    </fill>
    <fill>
      <patternFill patternType="mediumGray">
        <fgColor indexed="22"/>
      </patternFill>
    </fill>
    <fill>
      <patternFill patternType="solid">
        <fgColor indexed="34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rgb="FFFFFFCC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27"/>
        <bgColor indexed="27"/>
      </patternFill>
    </fill>
    <fill>
      <patternFill patternType="solid">
        <fgColor indexed="44"/>
        <bgColor indexed="44"/>
      </patternFill>
    </fill>
    <fill>
      <patternFill patternType="solid">
        <fgColor indexed="52"/>
        <bgColor indexed="52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5"/>
        <bgColor indexed="55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lightUp">
        <fgColor indexed="9"/>
        <bgColor indexed="27"/>
      </patternFill>
    </fill>
    <fill>
      <patternFill patternType="solid">
        <fgColor indexed="45"/>
        <bgColor indexed="45"/>
      </patternFill>
    </fill>
  </fills>
  <borders count="1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thin">
        <color auto="1"/>
      </bottom>
      <diagonal/>
    </border>
    <border>
      <left style="thin">
        <color auto="1"/>
      </left>
      <right style="medium">
        <color rgb="FF00B050"/>
      </right>
      <top style="medium">
        <color rgb="FF00B050"/>
      </top>
      <bottom style="thin">
        <color auto="1"/>
      </bottom>
      <diagonal/>
    </border>
    <border>
      <left style="medium">
        <color rgb="FF00B050"/>
      </left>
      <right style="thin">
        <color auto="1"/>
      </right>
      <top style="thin">
        <color auto="1"/>
      </top>
      <bottom style="medium">
        <color rgb="FF00B050"/>
      </bottom>
      <diagonal/>
    </border>
    <border>
      <left style="thin">
        <color auto="1"/>
      </left>
      <right style="medium">
        <color rgb="FF00B050"/>
      </right>
      <top style="thin">
        <color auto="1"/>
      </top>
      <bottom style="medium">
        <color rgb="FF00B05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266029847102"/>
      </bottom>
      <diagonal/>
    </border>
    <border>
      <left/>
      <right style="thin">
        <color auto="1"/>
      </right>
      <top/>
      <bottom style="thin">
        <color theme="0" tint="-0.149266029847102"/>
      </bottom>
      <diagonal/>
    </border>
    <border>
      <left style="thin">
        <color auto="1"/>
      </left>
      <right style="thin">
        <color auto="1"/>
      </right>
      <top style="thin">
        <color theme="0" tint="-0.149266029847102"/>
      </top>
      <bottom style="thin">
        <color theme="0" tint="-0.149266029847102"/>
      </bottom>
      <diagonal/>
    </border>
    <border>
      <left/>
      <right style="thin">
        <color auto="1"/>
      </right>
      <top style="thin">
        <color theme="0" tint="-0.149266029847102"/>
      </top>
      <bottom style="thin">
        <color theme="0" tint="-0.149266029847102"/>
      </bottom>
      <diagonal/>
    </border>
    <border>
      <left style="thin">
        <color auto="1"/>
      </left>
      <right style="thin">
        <color auto="1"/>
      </right>
      <top style="thin">
        <color theme="0" tint="-0.149266029847102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 tint="-0.149479659413434"/>
      </bottom>
      <diagonal/>
    </border>
    <border>
      <left/>
      <right style="thin">
        <color auto="1"/>
      </right>
      <top/>
      <bottom style="thin">
        <color theme="0" tint="-0.149479659413434"/>
      </bottom>
      <diagonal/>
    </border>
    <border>
      <left style="thin">
        <color auto="1"/>
      </left>
      <right style="thin">
        <color auto="1"/>
      </right>
      <top style="thin">
        <color theme="0" tint="-0.149479659413434"/>
      </top>
      <bottom style="thin">
        <color theme="0" tint="-0.149479659413434"/>
      </bottom>
      <diagonal/>
    </border>
    <border>
      <left/>
      <right style="thin">
        <color auto="1"/>
      </right>
      <top style="thin">
        <color theme="0" tint="-0.149479659413434"/>
      </top>
      <bottom style="thin">
        <color theme="0" tint="-0.149479659413434"/>
      </bottom>
      <diagonal/>
    </border>
    <border>
      <left style="thin">
        <color auto="1"/>
      </left>
      <right style="thin">
        <color auto="1"/>
      </right>
      <top style="thin">
        <color theme="0" tint="-0.149479659413434"/>
      </top>
      <bottom/>
      <diagonal/>
    </border>
    <border>
      <left/>
      <right style="thin">
        <color auto="1"/>
      </right>
      <top style="thin">
        <color theme="0" tint="-0.149479659413434"/>
      </top>
      <bottom/>
      <diagonal/>
    </border>
    <border>
      <left style="thin">
        <color auto="1"/>
      </left>
      <right style="thin">
        <color auto="1"/>
      </right>
      <top style="thin">
        <color theme="0" tint="-0.149479659413434"/>
      </top>
      <bottom style="thin">
        <color auto="1"/>
      </bottom>
      <diagonal/>
    </border>
    <border>
      <left/>
      <right style="thin">
        <color auto="1"/>
      </right>
      <top style="thin">
        <color theme="0" tint="-0.14947965941343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174474318674"/>
      </bottom>
      <diagonal/>
    </border>
    <border>
      <left/>
      <right style="thin">
        <color auto="1"/>
      </right>
      <top/>
      <bottom style="thin">
        <color theme="0" tint="-0.149174474318674"/>
      </bottom>
      <diagonal/>
    </border>
    <border>
      <left style="thin">
        <color auto="1"/>
      </left>
      <right style="thin">
        <color auto="1"/>
      </right>
      <top style="thin">
        <color theme="0" tint="-0.149174474318674"/>
      </top>
      <bottom style="thin">
        <color theme="0" tint="-0.149174474318674"/>
      </bottom>
      <diagonal/>
    </border>
    <border>
      <left/>
      <right style="thin">
        <color auto="1"/>
      </right>
      <top style="thin">
        <color theme="0" tint="-0.149174474318674"/>
      </top>
      <bottom style="thin">
        <color theme="0" tint="-0.149174474318674"/>
      </bottom>
      <diagonal/>
    </border>
    <border>
      <left style="thin">
        <color auto="1"/>
      </left>
      <right style="thin">
        <color auto="1"/>
      </right>
      <top style="thin">
        <color theme="0" tint="-0.149174474318674"/>
      </top>
      <bottom/>
      <diagonal/>
    </border>
    <border>
      <left/>
      <right style="thin">
        <color auto="1"/>
      </right>
      <top style="thin">
        <color theme="0" tint="-0.149174474318674"/>
      </top>
      <bottom/>
      <diagonal/>
    </border>
    <border>
      <left style="thin">
        <color auto="1"/>
      </left>
      <right style="thin">
        <color auto="1"/>
      </right>
      <top style="thin">
        <color theme="0" tint="-0.149174474318674"/>
      </top>
      <bottom style="thin">
        <color auto="1"/>
      </bottom>
      <diagonal/>
    </border>
    <border>
      <left/>
      <right style="thin">
        <color auto="1"/>
      </right>
      <top style="thin">
        <color theme="0" tint="-0.14917447431867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8991363261818"/>
      </bottom>
      <diagonal/>
    </border>
    <border>
      <left/>
      <right style="thin">
        <color auto="1"/>
      </right>
      <top/>
      <bottom style="thin">
        <color theme="0" tint="-0.148991363261818"/>
      </bottom>
      <diagonal/>
    </border>
    <border>
      <left style="thin">
        <color auto="1"/>
      </left>
      <right style="thin">
        <color auto="1"/>
      </right>
      <top style="thin">
        <color theme="0" tint="-0.148991363261818"/>
      </top>
      <bottom style="thin">
        <color theme="0" tint="-0.148991363261818"/>
      </bottom>
      <diagonal/>
    </border>
    <border>
      <left/>
      <right style="thin">
        <color auto="1"/>
      </right>
      <top style="thin">
        <color theme="0" tint="-0.148991363261818"/>
      </top>
      <bottom style="thin">
        <color theme="0" tint="-0.148991363261818"/>
      </bottom>
      <diagonal/>
    </border>
    <border>
      <left style="thin">
        <color auto="1"/>
      </left>
      <right style="thin">
        <color auto="1"/>
      </right>
      <top style="thin">
        <color theme="0" tint="-0.148991363261818"/>
      </top>
      <bottom/>
      <diagonal/>
    </border>
    <border>
      <left/>
      <right style="thin">
        <color auto="1"/>
      </right>
      <top style="thin">
        <color theme="0" tint="-0.148991363261818"/>
      </top>
      <bottom/>
      <diagonal/>
    </border>
    <border>
      <left style="thin">
        <color auto="1"/>
      </left>
      <right style="thin">
        <color auto="1"/>
      </right>
      <top style="thin">
        <color theme="0" tint="-0.148991363261818"/>
      </top>
      <bottom style="thin">
        <color auto="1"/>
      </bottom>
      <diagonal/>
    </border>
    <border>
      <left/>
      <right style="thin">
        <color auto="1"/>
      </right>
      <top style="thin">
        <color theme="0" tint="-0.148991363261818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indexed="9"/>
      </top>
      <bottom/>
      <diagonal/>
    </border>
    <border>
      <left/>
      <right/>
      <top/>
      <bottom style="thick">
        <color indexed="49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indexed="9"/>
      </left>
      <right style="medium">
        <color indexed="23"/>
      </right>
      <top style="medium">
        <color indexed="9"/>
      </top>
      <bottom style="medium">
        <color indexed="23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56"/>
      </bottom>
      <diagonal/>
    </border>
    <border>
      <left/>
      <right/>
      <top/>
      <bottom style="medium">
        <color theme="4" tint="0.399853511154515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36275">
    <xf numFmtId="210" fontId="0" fillId="0" borderId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210" fontId="61" fillId="31" borderId="0" applyNumberFormat="0" applyBorder="0" applyAlignment="0" applyProtection="0"/>
    <xf numFmtId="210" fontId="69" fillId="39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9" fillId="16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30" fillId="0" borderId="0"/>
    <xf numFmtId="183" fontId="72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41" fontId="63" fillId="0" borderId="0" applyFon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79" fillId="48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58" fillId="0" borderId="0"/>
    <xf numFmtId="210" fontId="30" fillId="0" borderId="0"/>
    <xf numFmtId="210" fontId="58" fillId="0" borderId="0"/>
    <xf numFmtId="210" fontId="67" fillId="0" borderId="0"/>
    <xf numFmtId="210" fontId="60" fillId="0" borderId="0"/>
    <xf numFmtId="210" fontId="71" fillId="0" borderId="0"/>
    <xf numFmtId="210" fontId="60" fillId="0" borderId="0"/>
    <xf numFmtId="43" fontId="3" fillId="0" borderId="0" applyFont="0" applyFill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82" fillId="0" borderId="0" applyNumberForma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71" fillId="0" borderId="0"/>
    <xf numFmtId="210" fontId="58" fillId="0" borderId="0"/>
    <xf numFmtId="210" fontId="58" fillId="0" borderId="0"/>
    <xf numFmtId="198" fontId="3" fillId="0" borderId="0" applyFont="0" applyFill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0" fontId="63" fillId="33" borderId="64" applyNumberFormat="0" applyFont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3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9" fontId="63" fillId="0" borderId="0" applyFont="0" applyFill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0" fontId="64" fillId="54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0" fontId="64" fillId="56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0" fontId="68" fillId="43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42" fontId="63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0" fontId="93" fillId="0" borderId="0" applyNumberFormat="0" applyFill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0" fillId="0" borderId="0"/>
    <xf numFmtId="210" fontId="62" fillId="0" borderId="0"/>
    <xf numFmtId="210" fontId="96" fillId="48" borderId="0" applyNumberFormat="0" applyBorder="0" applyAlignment="0" applyProtection="0">
      <alignment vertical="center"/>
    </xf>
    <xf numFmtId="210" fontId="60" fillId="0" borderId="0" applyAlignment="0"/>
    <xf numFmtId="210" fontId="60" fillId="0" borderId="0"/>
    <xf numFmtId="0" fontId="90" fillId="0" borderId="0" applyNumberFormat="0" applyFill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0" fontId="92" fillId="0" borderId="0" applyNumberFormat="0" applyFill="0" applyBorder="0" applyAlignment="0" applyProtection="0">
      <alignment vertical="center"/>
    </xf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7" fillId="0" borderId="0"/>
    <xf numFmtId="210" fontId="60" fillId="0" borderId="0"/>
    <xf numFmtId="210" fontId="30" fillId="0" borderId="0"/>
    <xf numFmtId="210" fontId="3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30" fillId="0" borderId="0"/>
    <xf numFmtId="210" fontId="58" fillId="0" borderId="0"/>
    <xf numFmtId="210" fontId="62" fillId="0" borderId="0"/>
    <xf numFmtId="0" fontId="64" fillId="63" borderId="0" applyNumberFormat="0" applyBorder="0" applyAlignment="0" applyProtection="0">
      <alignment vertical="center"/>
    </xf>
    <xf numFmtId="0" fontId="68" fillId="64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0" fontId="76" fillId="0" borderId="67" applyNumberFormat="0" applyFill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30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0" fontId="68" fillId="65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58" fillId="0" borderId="0"/>
    <xf numFmtId="0" fontId="105" fillId="0" borderId="67" applyNumberFormat="0" applyFill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97" fillId="0" borderId="0" applyNumberFormat="0" applyFill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30" fillId="0" borderId="0"/>
    <xf numFmtId="210" fontId="109" fillId="0" borderId="0" applyNumberFormat="0" applyFill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30" fillId="0" borderId="0"/>
    <xf numFmtId="0" fontId="113" fillId="0" borderId="79" applyNumberFormat="0" applyFill="0" applyAlignment="0" applyProtection="0">
      <alignment vertical="center"/>
    </xf>
    <xf numFmtId="210" fontId="60" fillId="0" borderId="0"/>
    <xf numFmtId="210" fontId="58" fillId="0" borderId="0"/>
    <xf numFmtId="0" fontId="68" fillId="47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30" fillId="0" borderId="0"/>
    <xf numFmtId="210" fontId="58" fillId="0" borderId="0"/>
    <xf numFmtId="210" fontId="71" fillId="0" borderId="0"/>
    <xf numFmtId="210" fontId="30" fillId="0" borderId="0"/>
    <xf numFmtId="0" fontId="113" fillId="0" borderId="0" applyNumberFormat="0" applyFill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0" fontId="89" fillId="55" borderId="66" applyNumberFormat="0" applyAlignment="0" applyProtection="0">
      <alignment vertical="center"/>
    </xf>
    <xf numFmtId="210" fontId="58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96" fillId="62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0" fontId="116" fillId="7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191" fontId="3" fillId="0" borderId="0" applyFont="0" applyFill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0" fontId="117" fillId="42" borderId="81" applyNumberFormat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0" fontId="73" fillId="42" borderId="66" applyNumberFormat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71" fillId="0" borderId="0"/>
    <xf numFmtId="210" fontId="61" fillId="31" borderId="0" applyNumberFormat="0" applyBorder="0" applyAlignment="0" applyProtection="0"/>
    <xf numFmtId="0" fontId="77" fillId="46" borderId="68" applyNumberFormat="0" applyAlignment="0" applyProtection="0">
      <alignment vertical="center"/>
    </xf>
    <xf numFmtId="210" fontId="66" fillId="0" borderId="0"/>
    <xf numFmtId="210" fontId="66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30" fillId="0" borderId="0"/>
    <xf numFmtId="210" fontId="60" fillId="0" borderId="0"/>
    <xf numFmtId="0" fontId="78" fillId="0" borderId="69" applyNumberFormat="0" applyFill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0" fontId="114" fillId="0" borderId="80" applyNumberFormat="0" applyFill="0" applyAlignment="0" applyProtection="0">
      <alignment vertical="center"/>
    </xf>
    <xf numFmtId="210" fontId="62" fillId="0" borderId="0"/>
    <xf numFmtId="210" fontId="58" fillId="0" borderId="0"/>
    <xf numFmtId="210" fontId="3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0" fontId="75" fillId="45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210" fontId="3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0" fontId="68" fillId="37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0" fontId="64" fillId="61" borderId="0" applyNumberFormat="0" applyBorder="0" applyAlignment="0" applyProtection="0">
      <alignment vertical="center"/>
    </xf>
    <xf numFmtId="210" fontId="60" fillId="0" borderId="0"/>
    <xf numFmtId="0" fontId="64" fillId="73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97" fillId="0" borderId="0" applyNumberFormat="0" applyFill="0" applyBorder="0" applyAlignment="0" applyProtection="0"/>
    <xf numFmtId="210" fontId="3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0" fontId="68" fillId="7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0" fontId="64" fillId="74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0" fontId="64" fillId="76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118" fillId="0" borderId="0"/>
    <xf numFmtId="210" fontId="58" fillId="0" borderId="0"/>
    <xf numFmtId="0" fontId="64" fillId="59" borderId="0" applyNumberFormat="0" applyBorder="0" applyAlignment="0" applyProtection="0">
      <alignment vertical="center"/>
    </xf>
    <xf numFmtId="0" fontId="64" fillId="67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60" fillId="0" borderId="0"/>
    <xf numFmtId="0" fontId="68" fillId="72" borderId="0" applyNumberFormat="0" applyBorder="0" applyAlignment="0" applyProtection="0">
      <alignment vertical="center"/>
    </xf>
    <xf numFmtId="210" fontId="3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0" fontId="68" fillId="68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01" fillId="0" borderId="0"/>
    <xf numFmtId="0" fontId="64" fillId="78" borderId="0" applyNumberFormat="0" applyBorder="0" applyAlignment="0" applyProtection="0">
      <alignment vertical="center"/>
    </xf>
    <xf numFmtId="210" fontId="30" fillId="0" borderId="0"/>
    <xf numFmtId="0" fontId="68" fillId="77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58" fillId="0" borderId="0"/>
    <xf numFmtId="210" fontId="67" fillId="0" borderId="0"/>
    <xf numFmtId="210" fontId="30" fillId="0" borderId="0"/>
    <xf numFmtId="0" fontId="68" fillId="53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58" fillId="0" borderId="0"/>
    <xf numFmtId="0" fontId="68" fillId="57" borderId="0" applyNumberFormat="0" applyBorder="0" applyAlignment="0" applyProtection="0">
      <alignment vertical="center"/>
    </xf>
    <xf numFmtId="210" fontId="60" fillId="0" borderId="0"/>
    <xf numFmtId="210" fontId="86" fillId="0" borderId="0"/>
    <xf numFmtId="210" fontId="60" fillId="0" borderId="0"/>
    <xf numFmtId="0" fontId="68" fillId="36" borderId="0" applyNumberFormat="0" applyBorder="0" applyAlignment="0" applyProtection="0">
      <alignment vertical="center"/>
    </xf>
    <xf numFmtId="210" fontId="101" fillId="0" borderId="0" applyNumberFormat="0" applyFill="0" applyBorder="0" applyAlignment="0" applyProtection="0"/>
    <xf numFmtId="210" fontId="58" fillId="0" borderId="0"/>
    <xf numFmtId="210" fontId="58" fillId="0" borderId="0"/>
    <xf numFmtId="210" fontId="60" fillId="0" borderId="0"/>
    <xf numFmtId="210" fontId="3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61" fillId="31" borderId="0" applyNumberFormat="0" applyBorder="0" applyAlignment="0" applyProtection="0">
      <alignment vertical="center"/>
    </xf>
    <xf numFmtId="210" fontId="30" fillId="0" borderId="0"/>
    <xf numFmtId="210" fontId="60" fillId="0" borderId="0"/>
    <xf numFmtId="210" fontId="71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38" fontId="103" fillId="0" borderId="76" applyFill="0" applyBorder="0" applyAlignment="0" applyProtection="0"/>
    <xf numFmtId="210" fontId="106" fillId="0" borderId="72" applyNumberFormat="0" applyFill="0" applyAlignment="0" applyProtection="0"/>
    <xf numFmtId="210" fontId="30" fillId="0" borderId="0"/>
    <xf numFmtId="210" fontId="62" fillId="0" borderId="0"/>
    <xf numFmtId="210" fontId="61" fillId="31" borderId="0" applyNumberFormat="0" applyBorder="0" applyAlignment="0" applyProtection="0"/>
    <xf numFmtId="210" fontId="58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58" fillId="0" borderId="0"/>
    <xf numFmtId="210" fontId="62" fillId="0" borderId="0"/>
    <xf numFmtId="210" fontId="58" fillId="0" borderId="0"/>
    <xf numFmtId="210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106" fillId="0" borderId="72" applyNumberFormat="0" applyFill="0" applyAlignment="0" applyProtection="0"/>
    <xf numFmtId="210" fontId="30" fillId="0" borderId="0"/>
    <xf numFmtId="210" fontId="61" fillId="31" borderId="0" applyNumberFormat="0" applyBorder="0" applyAlignment="0" applyProtection="0"/>
    <xf numFmtId="210" fontId="67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30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71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30" fillId="0" borderId="0"/>
    <xf numFmtId="210" fontId="58" fillId="0" borderId="0"/>
    <xf numFmtId="41" fontId="101" fillId="0" borderId="0" applyFon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30" fillId="0" borderId="0"/>
    <xf numFmtId="210" fontId="3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43" fontId="60" fillId="0" borderId="0" applyFont="0" applyFill="0" applyBorder="0" applyAlignment="0" applyProtection="0"/>
    <xf numFmtId="210" fontId="30" fillId="0" borderId="0"/>
    <xf numFmtId="210" fontId="30" fillId="0" borderId="0"/>
    <xf numFmtId="210" fontId="67" fillId="0" borderId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30" fillId="0" borderId="0"/>
    <xf numFmtId="210" fontId="30" fillId="0" borderId="0"/>
    <xf numFmtId="210" fontId="61" fillId="31" borderId="0" applyNumberFormat="0" applyBorder="0" applyAlignment="0" applyProtection="0"/>
    <xf numFmtId="210" fontId="30" fillId="0" borderId="0"/>
    <xf numFmtId="210" fontId="3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30" fillId="0" borderId="0"/>
    <xf numFmtId="210" fontId="3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30" fillId="0" borderId="0"/>
    <xf numFmtId="210" fontId="30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00" fontId="59" fillId="0" borderId="0" applyFont="0" applyFill="0" applyBorder="0" applyAlignment="0" applyProtection="0"/>
    <xf numFmtId="210" fontId="58" fillId="0" borderId="0"/>
    <xf numFmtId="210" fontId="58" fillId="0" borderId="0"/>
    <xf numFmtId="210" fontId="30" fillId="0" borderId="0"/>
    <xf numFmtId="210" fontId="30" fillId="0" borderId="0"/>
    <xf numFmtId="210" fontId="57" fillId="30" borderId="0" applyNumberFormat="0" applyBorder="0" applyAlignment="0" applyProtection="0"/>
    <xf numFmtId="210" fontId="110" fillId="0" borderId="78" applyNumberFormat="0" applyFill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30" fillId="0" borderId="0"/>
    <xf numFmtId="210" fontId="30" fillId="0" borderId="0"/>
    <xf numFmtId="210" fontId="57" fillId="30" borderId="0" applyNumberFormat="0" applyBorder="0" applyAlignment="0" applyProtection="0"/>
    <xf numFmtId="210" fontId="110" fillId="0" borderId="78" applyNumberFormat="0" applyFill="0" applyAlignment="0" applyProtection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30" fillId="0" borderId="0"/>
    <xf numFmtId="210" fontId="3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30" fillId="0" borderId="0"/>
    <xf numFmtId="210" fontId="3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71" fillId="0" borderId="0"/>
    <xf numFmtId="210" fontId="60" fillId="0" borderId="0"/>
    <xf numFmtId="210" fontId="30" fillId="0" borderId="0"/>
    <xf numFmtId="210" fontId="30" fillId="0" borderId="0"/>
    <xf numFmtId="210" fontId="30" fillId="0" borderId="0"/>
    <xf numFmtId="210" fontId="30" fillId="0" borderId="0"/>
    <xf numFmtId="210" fontId="30" fillId="0" borderId="0"/>
    <xf numFmtId="210" fontId="30" fillId="0" borderId="0"/>
    <xf numFmtId="210" fontId="57" fillId="30" borderId="0" applyNumberFormat="0" applyBorder="0" applyAlignment="0" applyProtection="0"/>
    <xf numFmtId="210" fontId="58" fillId="0" borderId="0"/>
    <xf numFmtId="210" fontId="30" fillId="0" borderId="0"/>
    <xf numFmtId="210" fontId="30" fillId="0" borderId="0"/>
    <xf numFmtId="210" fontId="30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3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30" fillId="0" borderId="0"/>
    <xf numFmtId="210" fontId="61" fillId="31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0" fillId="0" borderId="0"/>
    <xf numFmtId="210" fontId="59" fillId="0" borderId="0"/>
    <xf numFmtId="210" fontId="30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30" fillId="0" borderId="0"/>
    <xf numFmtId="210" fontId="57" fillId="30" borderId="0" applyNumberFormat="0" applyBorder="0" applyAlignment="0" applyProtection="0"/>
    <xf numFmtId="176" fontId="86" fillId="0" borderId="0"/>
    <xf numFmtId="210" fontId="60" fillId="0" borderId="0"/>
    <xf numFmtId="210" fontId="30" fillId="0" borderId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210" fontId="3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30" fillId="0" borderId="0"/>
    <xf numFmtId="210" fontId="61" fillId="31" borderId="0" applyNumberFormat="0" applyBorder="0" applyAlignment="0" applyProtection="0">
      <alignment vertical="center"/>
    </xf>
    <xf numFmtId="210" fontId="3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30" fillId="0" borderId="0"/>
    <xf numFmtId="210" fontId="125" fillId="0" borderId="0" applyNumberFormat="0" applyFill="0" applyBorder="0" applyAlignment="0">
      <alignment horizont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30" fillId="0" borderId="0"/>
    <xf numFmtId="210" fontId="97" fillId="0" borderId="0" applyNumberFormat="0" applyFill="0" applyBorder="0" applyAlignment="0" applyProtection="0"/>
    <xf numFmtId="210" fontId="3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2" fillId="0" borderId="0"/>
    <xf numFmtId="210" fontId="58" fillId="0" borderId="0"/>
    <xf numFmtId="210" fontId="30" fillId="0" borderId="0"/>
    <xf numFmtId="210" fontId="60" fillId="0" borderId="0"/>
    <xf numFmtId="210" fontId="3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71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30" fillId="0" borderId="0"/>
    <xf numFmtId="210" fontId="60" fillId="0" borderId="0"/>
    <xf numFmtId="210" fontId="30" fillId="0" borderId="0"/>
    <xf numFmtId="210" fontId="61" fillId="31" borderId="0" applyNumberFormat="0" applyBorder="0" applyAlignment="0" applyProtection="0"/>
    <xf numFmtId="221" fontId="131" fillId="0" borderId="0" applyFont="0" applyFill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30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3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71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58" fillId="0" borderId="0"/>
    <xf numFmtId="210" fontId="30" fillId="0" borderId="0"/>
    <xf numFmtId="210" fontId="60" fillId="0" borderId="0"/>
    <xf numFmtId="210" fontId="101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30" fillId="0" borderId="0"/>
    <xf numFmtId="210" fontId="58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3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30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3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9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136" fillId="83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71" fillId="0" borderId="0"/>
    <xf numFmtId="210" fontId="62" fillId="0" borderId="0"/>
    <xf numFmtId="210" fontId="71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120" fillId="0" borderId="0" applyNumberFormat="0" applyFill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20" fillId="0" borderId="0" applyNumberFormat="0" applyFill="0" applyBorder="0" applyAlignment="0" applyProtection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176" fontId="86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58" fillId="0" borderId="0"/>
    <xf numFmtId="210" fontId="60" fillId="0" borderId="0"/>
    <xf numFmtId="176" fontId="86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176" fontId="86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0" fillId="0" borderId="0" applyFon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191" fontId="60" fillId="0" borderId="0" applyFont="0" applyFill="0" applyBorder="0" applyAlignment="0" applyProtection="0"/>
    <xf numFmtId="210" fontId="142" fillId="0" borderId="0" applyNumberFormat="0" applyFill="0" applyBorder="0" applyAlignment="0" applyProtection="0"/>
    <xf numFmtId="210" fontId="62" fillId="0" borderId="0"/>
    <xf numFmtId="189" fontId="118" fillId="0" borderId="0"/>
    <xf numFmtId="210" fontId="67" fillId="0" borderId="0"/>
    <xf numFmtId="210" fontId="58" fillId="0" borderId="0"/>
    <xf numFmtId="240" fontId="60" fillId="0" borderId="0" applyFont="0" applyFill="0" applyBorder="0" applyAlignment="0" applyProtection="0"/>
    <xf numFmtId="210" fontId="58" fillId="0" borderId="0"/>
    <xf numFmtId="210" fontId="58" fillId="0" borderId="0"/>
    <xf numFmtId="210" fontId="85" fillId="0" borderId="71" applyNumberFormat="0" applyFill="0" applyAlignment="0" applyProtection="0">
      <alignment vertical="center"/>
    </xf>
    <xf numFmtId="44" fontId="60" fillId="0" borderId="0" applyFont="0" applyFill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9" fillId="48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40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144" fillId="0" borderId="0" applyNumberFormat="0" applyFill="0" applyBorder="0" applyAlignment="0" applyProtection="0">
      <alignment vertical="top"/>
      <protection locked="0"/>
    </xf>
    <xf numFmtId="210" fontId="57" fillId="30" borderId="0" applyNumberFormat="0" applyBorder="0" applyAlignment="0" applyProtection="0"/>
    <xf numFmtId="38" fontId="60" fillId="0" borderId="0" applyFont="0" applyFill="0" applyBorder="0" applyAlignment="0" applyProtection="0"/>
    <xf numFmtId="210" fontId="60" fillId="0" borderId="0"/>
    <xf numFmtId="210" fontId="58" fillId="0" borderId="0"/>
    <xf numFmtId="210" fontId="97" fillId="0" borderId="0" applyNumberFormat="0" applyFill="0" applyBorder="0" applyAlignment="0" applyProtection="0"/>
    <xf numFmtId="210" fontId="71" fillId="0" borderId="0"/>
    <xf numFmtId="210" fontId="60" fillId="0" borderId="0"/>
    <xf numFmtId="210" fontId="57" fillId="30" borderId="0" applyNumberFormat="0" applyBorder="0" applyAlignment="0" applyProtection="0"/>
    <xf numFmtId="210" fontId="145" fillId="80" borderId="0" applyNumberFormat="0" applyBorder="0" applyAlignment="0" applyProtection="0">
      <alignment vertical="center"/>
    </xf>
    <xf numFmtId="41" fontId="60" fillId="0" borderId="0" applyFont="0" applyFill="0" applyBorder="0" applyAlignment="0" applyProtection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79" fillId="70" borderId="0" applyNumberFormat="0" applyBorder="0" applyAlignment="0" applyProtection="0"/>
    <xf numFmtId="210" fontId="58" fillId="0" borderId="0"/>
    <xf numFmtId="210" fontId="60" fillId="0" borderId="0" applyFont="0" applyFill="0" applyBorder="0" applyAlignment="0" applyProtection="0"/>
    <xf numFmtId="42" fontId="101" fillId="0" borderId="0" applyFont="0" applyFill="0" applyBorder="0" applyAlignment="0" applyProtection="0"/>
    <xf numFmtId="210" fontId="58" fillId="0" borderId="0"/>
    <xf numFmtId="44" fontId="60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43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188" fontId="146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 applyNumberFormat="0" applyFill="0" applyBorder="0" applyAlignment="0" applyProtection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 applyNumberFormat="0" applyFill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149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7" fillId="6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58" fillId="0" borderId="0"/>
    <xf numFmtId="210" fontId="59" fillId="0" borderId="0"/>
    <xf numFmtId="210" fontId="58" fillId="0" borderId="0"/>
    <xf numFmtId="210" fontId="62" fillId="0" borderId="0"/>
    <xf numFmtId="210" fontId="86" fillId="0" borderId="0"/>
    <xf numFmtId="210" fontId="58" fillId="0" borderId="0"/>
    <xf numFmtId="210" fontId="58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101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86" fillId="0" borderId="0"/>
    <xf numFmtId="210" fontId="62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58" fillId="0" borderId="0"/>
    <xf numFmtId="210" fontId="58" fillId="0" borderId="0"/>
    <xf numFmtId="237" fontId="60" fillId="0" borderId="7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98" fillId="0" borderId="0">
      <alignment vertical="top"/>
    </xf>
    <xf numFmtId="210" fontId="60" fillId="0" borderId="0"/>
    <xf numFmtId="210" fontId="62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2" fillId="0" borderId="0"/>
    <xf numFmtId="210" fontId="58" fillId="0" borderId="0"/>
    <xf numFmtId="210" fontId="57" fillId="30" borderId="0" applyNumberFormat="0" applyBorder="0" applyAlignment="0" applyProtection="0"/>
    <xf numFmtId="9" fontId="59" fillId="0" borderId="0" applyFont="0" applyFill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 applyNumberFormat="0" applyFill="0" applyBorder="0" applyAlignment="0" applyProtection="0"/>
    <xf numFmtId="210" fontId="58" fillId="0" borderId="0"/>
    <xf numFmtId="210" fontId="62" fillId="0" borderId="0"/>
    <xf numFmtId="210" fontId="60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47" fontId="60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 applyNumberFormat="0" applyFill="0" applyBorder="0" applyAlignment="0" applyProtection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66" borderId="75" applyNumberFormat="0" applyFont="0" applyAlignment="0" applyProtection="0"/>
    <xf numFmtId="210" fontId="57" fillId="30" borderId="0" applyNumberFormat="0" applyBorder="0" applyAlignment="0" applyProtection="0"/>
    <xf numFmtId="210" fontId="58" fillId="0" borderId="0"/>
    <xf numFmtId="210" fontId="133" fillId="0" borderId="74" applyNumberFormat="0" applyFill="0" applyAlignment="0" applyProtection="0"/>
    <xf numFmtId="210" fontId="58" fillId="0" borderId="0"/>
    <xf numFmtId="210" fontId="58" fillId="0" borderId="0"/>
    <xf numFmtId="210" fontId="101" fillId="0" borderId="0" applyNumberFormat="0" applyFill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153" fillId="87" borderId="83" applyNumberFormat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88" fillId="0" borderId="0" applyNumberFormat="0" applyFont="0" applyFill="0" applyBorder="0" applyProtection="0">
      <alignment horizontal="left" vertic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155" fillId="89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3" fillId="0" borderId="0"/>
    <xf numFmtId="210" fontId="67" fillId="0" borderId="0"/>
    <xf numFmtId="210" fontId="71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9" fillId="52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33" fontId="60" fillId="0" borderId="0" applyFont="0" applyFill="0" applyBorder="0" applyAlignment="0" applyProtection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58" fillId="0" borderId="0"/>
    <xf numFmtId="210" fontId="58" fillId="0" borderId="0"/>
    <xf numFmtId="210" fontId="62" fillId="0" borderId="0"/>
    <xf numFmtId="210" fontId="62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9" fillId="92" borderId="0" applyNumberFormat="0" applyBorder="0" applyAlignment="0" applyProtection="0"/>
    <xf numFmtId="210" fontId="58" fillId="0" borderId="0"/>
    <xf numFmtId="210" fontId="58" fillId="0" borderId="0"/>
    <xf numFmtId="210" fontId="62" fillId="0" borderId="0"/>
    <xf numFmtId="210" fontId="71" fillId="0" borderId="0"/>
    <xf numFmtId="210" fontId="58" fillId="0" borderId="0"/>
    <xf numFmtId="210" fontId="58" fillId="0" borderId="0"/>
    <xf numFmtId="210" fontId="86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7" fillId="0" borderId="0"/>
    <xf numFmtId="210" fontId="67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71" fillId="0" borderId="0"/>
    <xf numFmtId="210" fontId="157" fillId="93" borderId="0" applyNumberFormat="0" applyBorder="0" applyAlignment="0" applyProtection="0"/>
    <xf numFmtId="210" fontId="58" fillId="0" borderId="0"/>
    <xf numFmtId="210" fontId="59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101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104" fillId="0" borderId="77" applyNumberFormat="0" applyFill="0" applyAlignment="0" applyProtection="0"/>
    <xf numFmtId="210" fontId="60" fillId="0" borderId="0"/>
    <xf numFmtId="210" fontId="58" fillId="0" borderId="0"/>
    <xf numFmtId="210" fontId="58" fillId="0" borderId="0"/>
    <xf numFmtId="210" fontId="158" fillId="50" borderId="70" applyNumberFormat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4" borderId="85" applyNumberFormat="0" applyFont="0" applyAlignment="0" applyProtection="0"/>
    <xf numFmtId="210" fontId="58" fillId="0" borderId="0"/>
    <xf numFmtId="210" fontId="157" fillId="38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71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9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139" fillId="4" borderId="70" applyNumberFormat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184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2" fillId="0" borderId="0"/>
    <xf numFmtId="210" fontId="58" fillId="0" borderId="0"/>
    <xf numFmtId="210" fontId="60" fillId="0" borderId="0"/>
    <xf numFmtId="210" fontId="80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123" fillId="8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2" fillId="0" borderId="0"/>
    <xf numFmtId="210" fontId="58" fillId="0" borderId="0"/>
    <xf numFmtId="210" fontId="71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190" fontId="3" fillId="0" borderId="0" applyFont="0" applyFill="0" applyBorder="0" applyAlignment="0" applyProtection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62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9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71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123" fillId="8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9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137" fillId="31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30" fillId="0" borderId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7" fillId="35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20" fontId="131" fillId="0" borderId="0" applyFill="0" applyBorder="0" applyAlignment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9" fillId="31" borderId="0" applyNumberFormat="0" applyBorder="0" applyAlignment="0" applyProtection="0"/>
    <xf numFmtId="210" fontId="57" fillId="30" borderId="0" applyNumberFormat="0" applyBorder="0" applyAlignment="0" applyProtection="0"/>
    <xf numFmtId="210" fontId="163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9" fillId="0" borderId="0"/>
    <xf numFmtId="210" fontId="58" fillId="0" borderId="0"/>
    <xf numFmtId="210" fontId="58" fillId="0" borderId="0"/>
    <xf numFmtId="210" fontId="67" fillId="6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4" borderId="85" applyNumberFormat="0" applyFont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111" fillId="0" borderId="0" applyNumberFormat="0" applyFill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0" fillId="0" borderId="0"/>
    <xf numFmtId="210" fontId="58" fillId="0" borderId="0"/>
    <xf numFmtId="210" fontId="98" fillId="0" borderId="0">
      <alignment vertical="top"/>
    </xf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3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13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3" fillId="35" borderId="0" applyNumberFormat="0" applyBorder="0" applyAlignment="0" applyProtection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9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71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7" fillId="35" borderId="0" applyNumberFormat="0" applyBorder="0" applyAlignment="0" applyProtection="0">
      <alignment vertical="center"/>
    </xf>
    <xf numFmtId="210" fontId="3" fillId="35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165" fillId="87" borderId="83" applyNumberFormat="0" applyAlignment="0" applyProtection="0">
      <alignment vertical="center"/>
    </xf>
    <xf numFmtId="210" fontId="62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9" fillId="0" borderId="0"/>
    <xf numFmtId="210" fontId="62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2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6" fillId="0" borderId="0"/>
    <xf numFmtId="210" fontId="66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99" fillId="0" borderId="0"/>
    <xf numFmtId="210" fontId="71" fillId="0" borderId="0"/>
    <xf numFmtId="210" fontId="58" fillId="0" borderId="0"/>
    <xf numFmtId="210" fontId="58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00" fontId="59" fillId="0" borderId="0" applyFont="0" applyFill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167" fillId="0" borderId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9" fillId="84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119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71" fillId="0" borderId="0"/>
    <xf numFmtId="9" fontId="58" fillId="0" borderId="0" applyFont="0" applyFill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0" fillId="0" borderId="0" applyAlignment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121" fillId="0" borderId="82" applyNumberFormat="0" applyAlignment="0" applyProtection="0">
      <alignment horizontal="left"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0" fillId="80" borderId="85" applyNumberFormat="0" applyFont="0" applyAlignment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6" fillId="0" borderId="0"/>
    <xf numFmtId="210" fontId="66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9" fillId="0" borderId="0"/>
    <xf numFmtId="210" fontId="58" fillId="0" borderId="0"/>
    <xf numFmtId="210" fontId="58" fillId="0" borderId="0"/>
    <xf numFmtId="210" fontId="60" fillId="0" borderId="0"/>
    <xf numFmtId="210" fontId="71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0" fillId="0" borderId="0"/>
    <xf numFmtId="210" fontId="100" fillId="4" borderId="73" applyNumberFormat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14" fontId="98" fillId="0" borderId="0" applyFill="0" applyBorder="0" applyAlignment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58" fillId="0" borderId="0"/>
    <xf numFmtId="210" fontId="59" fillId="0" borderId="0"/>
    <xf numFmtId="210" fontId="3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37" fontId="60" fillId="0" borderId="7"/>
    <xf numFmtId="210" fontId="58" fillId="0" borderId="0"/>
    <xf numFmtId="210" fontId="71" fillId="0" borderId="0"/>
    <xf numFmtId="210" fontId="61" fillId="31" borderId="0" applyNumberFormat="0" applyBorder="0" applyAlignment="0" applyProtection="0"/>
    <xf numFmtId="210" fontId="71" fillId="0" borderId="0"/>
    <xf numFmtId="210" fontId="58" fillId="0" borderId="0"/>
    <xf numFmtId="210" fontId="58" fillId="0" borderId="0"/>
    <xf numFmtId="210" fontId="71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71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143" fillId="0" borderId="0"/>
    <xf numFmtId="210" fontId="58" fillId="0" borderId="0"/>
    <xf numFmtId="210" fontId="3" fillId="35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162" fillId="0" borderId="0">
      <alignment vertical="center"/>
    </xf>
    <xf numFmtId="210" fontId="58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38" fontId="131" fillId="0" borderId="0" applyFill="0" applyBorder="0" applyAlignment="0"/>
    <xf numFmtId="210" fontId="58" fillId="0" borderId="0"/>
    <xf numFmtId="210" fontId="58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58" fillId="0" borderId="0"/>
    <xf numFmtId="210" fontId="79" fillId="7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2" fillId="0" borderId="0"/>
    <xf numFmtId="210" fontId="62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71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71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160" fillId="58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9" fillId="95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157" fillId="4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11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71" fillId="0" borderId="0"/>
    <xf numFmtId="210" fontId="71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07" fillId="0" borderId="0">
      <protection locked="0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7" fillId="6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 applyAlignment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71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7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174" fillId="99" borderId="0" applyNumberFormat="0" applyBorder="0" applyAlignment="0" applyProtection="0"/>
    <xf numFmtId="210" fontId="139" fillId="4" borderId="70" applyNumberFormat="0" applyAlignment="0" applyProtection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175" fillId="80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7" fillId="35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9" fillId="86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2" fillId="0" borderId="0"/>
    <xf numFmtId="210" fontId="58" fillId="0" borderId="0"/>
    <xf numFmtId="210" fontId="58" fillId="0" borderId="0"/>
    <xf numFmtId="210" fontId="11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7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7" fillId="4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3" fillId="35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111" fillId="0" borderId="84" applyNumberFormat="0" applyFill="0" applyAlignment="0" applyProtection="0">
      <alignment vertical="center"/>
    </xf>
    <xf numFmtId="210" fontId="70" fillId="0" borderId="65" applyNumberFormat="0" applyFill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9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71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190" fontId="59" fillId="0" borderId="0" applyFont="0" applyFill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184" fontId="60" fillId="0" borderId="12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162" fillId="0" borderId="0">
      <alignment vertical="center"/>
    </xf>
    <xf numFmtId="210" fontId="58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160" fillId="49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3" fillId="4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9" fillId="10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9" fillId="38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2" fillId="0" borderId="0"/>
    <xf numFmtId="210" fontId="60" fillId="0" borderId="0"/>
    <xf numFmtId="210" fontId="58" fillId="0" borderId="0"/>
    <xf numFmtId="210" fontId="162" fillId="0" borderId="0">
      <alignment vertical="center"/>
    </xf>
    <xf numFmtId="210" fontId="3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9" fillId="0" borderId="0"/>
    <xf numFmtId="210" fontId="3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9" fillId="86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7" fillId="0" borderId="0"/>
    <xf numFmtId="210" fontId="67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0" fillId="0" borderId="0"/>
    <xf numFmtId="210" fontId="60" fillId="0" borderId="0" applyNumberFormat="0" applyFill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6" fillId="0" borderId="0"/>
    <xf numFmtId="210" fontId="66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2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3" fillId="48" borderId="0" applyNumberFormat="0" applyBorder="0" applyAlignment="0" applyProtection="0"/>
    <xf numFmtId="210" fontId="3" fillId="5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97" fillId="0" borderId="0" applyNumberFormat="0" applyFill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137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9" fontId="58" fillId="0" borderId="0" applyFont="0" applyFill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9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157" fillId="4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190" fontId="60" fillId="0" borderId="0" applyFont="0" applyFill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172" fillId="97" borderId="47"/>
    <xf numFmtId="210" fontId="58" fillId="0" borderId="0"/>
    <xf numFmtId="210" fontId="59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37" fontId="60" fillId="0" borderId="7"/>
    <xf numFmtId="210" fontId="58" fillId="0" borderId="0"/>
    <xf numFmtId="209" fontId="127" fillId="0" borderId="0" applyFont="0" applyFill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129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139" fillId="4" borderId="70" applyNumberFormat="0" applyAlignment="0" applyProtection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3" fillId="48" borderId="0" applyNumberFormat="0" applyBorder="0" applyAlignment="0" applyProtection="0"/>
    <xf numFmtId="210" fontId="58" fillId="0" borderId="0"/>
    <xf numFmtId="210" fontId="3" fillId="50" borderId="0" applyNumberFormat="0" applyBorder="0" applyAlignment="0" applyProtection="0"/>
    <xf numFmtId="210" fontId="58" fillId="0" borderId="0"/>
    <xf numFmtId="210" fontId="58" fillId="0" borderId="0"/>
    <xf numFmtId="210" fontId="59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7" fillId="0" borderId="0"/>
    <xf numFmtId="210" fontId="67" fillId="0" borderId="0"/>
    <xf numFmtId="210" fontId="60" fillId="0" borderId="0"/>
    <xf numFmtId="210" fontId="182" fillId="0" borderId="0"/>
    <xf numFmtId="210" fontId="61" fillId="31" borderId="0" applyNumberFormat="0" applyBorder="0" applyAlignment="0" applyProtection="0"/>
    <xf numFmtId="210" fontId="158" fillId="50" borderId="70" applyNumberFormat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183" fillId="0" borderId="0"/>
    <xf numFmtId="210" fontId="59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8" fillId="0" borderId="0"/>
    <xf numFmtId="210" fontId="59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6" fillId="0" borderId="0"/>
    <xf numFmtId="210" fontId="66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59" fillId="92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9" fillId="29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71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7" fillId="6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190" fontId="3" fillId="0" borderId="0" applyFont="0" applyFill="0" applyBorder="0" applyAlignment="0" applyProtection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7" fillId="32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11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2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71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186" fillId="0" borderId="88" applyNumberFormat="0" applyFill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86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2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58" fillId="0" borderId="0"/>
    <xf numFmtId="210" fontId="62" fillId="0" borderId="0"/>
    <xf numFmtId="210" fontId="58" fillId="0" borderId="0"/>
    <xf numFmtId="210" fontId="61" fillId="31" borderId="0" applyNumberFormat="0" applyBorder="0" applyAlignment="0" applyProtection="0"/>
    <xf numFmtId="210" fontId="71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9" fillId="62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88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85" fillId="0" borderId="71" applyNumberFormat="0" applyFill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111" fillId="0" borderId="0" applyNumberFormat="0" applyFill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69" fillId="85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71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85" fillId="0" borderId="71" applyNumberFormat="0" applyFill="0" applyAlignment="0" applyProtection="0">
      <alignment vertical="center"/>
    </xf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71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71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71" fillId="0" borderId="0"/>
    <xf numFmtId="210" fontId="58" fillId="0" borderId="0"/>
    <xf numFmtId="210" fontId="71" fillId="0" borderId="0"/>
    <xf numFmtId="210" fontId="58" fillId="0" borderId="0"/>
    <xf numFmtId="210" fontId="67" fillId="52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101" fillId="0" borderId="0"/>
    <xf numFmtId="210" fontId="61" fillId="31" borderId="0" applyNumberFormat="0" applyBorder="0" applyAlignment="0" applyProtection="0">
      <alignment vertical="center"/>
    </xf>
    <xf numFmtId="194" fontId="58" fillId="0" borderId="0"/>
    <xf numFmtId="210" fontId="57" fillId="30" borderId="0" applyNumberFormat="0" applyBorder="0" applyAlignment="0" applyProtection="0">
      <alignment vertical="center"/>
    </xf>
    <xf numFmtId="200" fontId="59" fillId="0" borderId="0" applyFont="0" applyFill="0" applyBorder="0" applyAlignment="0" applyProtection="0"/>
    <xf numFmtId="210" fontId="58" fillId="0" borderId="0"/>
    <xf numFmtId="210" fontId="60" fillId="0" borderId="0"/>
    <xf numFmtId="210" fontId="79" fillId="5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71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71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188" fillId="50" borderId="73" applyNumberFormat="0" applyAlignment="0" applyProtection="0">
      <alignment vertical="center"/>
    </xf>
    <xf numFmtId="210" fontId="62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71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00" fontId="60" fillId="0" borderId="0" applyFont="0" applyFill="0" applyBorder="0" applyAlignment="0" applyProtection="0"/>
    <xf numFmtId="210" fontId="59" fillId="10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2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79" fillId="52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86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71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81" fillId="32" borderId="70" applyNumberFormat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71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11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147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71" fillId="0" borderId="0"/>
    <xf numFmtId="210" fontId="81" fillId="32" borderId="70" applyNumberFormat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135" fillId="0" borderId="0" applyNumberForma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79" fillId="62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9" fillId="85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0" fillId="0" borderId="0"/>
    <xf numFmtId="210" fontId="62" fillId="0" borderId="0"/>
    <xf numFmtId="210" fontId="71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81" fillId="32" borderId="70" applyNumberFormat="0" applyAlignment="0" applyProtection="0"/>
    <xf numFmtId="210" fontId="58" fillId="0" borderId="0"/>
    <xf numFmtId="210" fontId="67" fillId="0" borderId="0"/>
    <xf numFmtId="210" fontId="67" fillId="0" borderId="0"/>
    <xf numFmtId="210" fontId="62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79" fillId="62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190" fontId="59" fillId="0" borderId="0" applyFont="0" applyFill="0" applyBorder="0" applyAlignment="0" applyProtection="0"/>
    <xf numFmtId="210" fontId="60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71" fillId="0" borderId="0"/>
    <xf numFmtId="210" fontId="61" fillId="31" borderId="0" applyNumberFormat="0" applyBorder="0" applyAlignment="0" applyProtection="0"/>
    <xf numFmtId="210" fontId="58" fillId="0" borderId="0"/>
    <xf numFmtId="210" fontId="67" fillId="41" borderId="0" applyNumberFormat="0" applyBorder="0" applyAlignment="0" applyProtection="0">
      <alignment vertical="center"/>
    </xf>
    <xf numFmtId="210" fontId="58" fillId="0" borderId="0"/>
    <xf numFmtId="210" fontId="81" fillId="32" borderId="70" applyNumberFormat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184" fontId="60" fillId="0" borderId="12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00" fontId="60" fillId="0" borderId="0" applyFont="0" applyFill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71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85" fillId="0" borderId="71" applyNumberFormat="0" applyFill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79" fillId="5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112" fillId="9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79" fillId="101" borderId="0" applyNumberFormat="0" applyBorder="0" applyAlignment="0" applyProtection="0"/>
    <xf numFmtId="9" fontId="59" fillId="0" borderId="0" applyFont="0" applyFill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101" fillId="0" borderId="0"/>
    <xf numFmtId="210" fontId="58" fillId="0" borderId="0"/>
    <xf numFmtId="210" fontId="66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2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94" fillId="0" borderId="72" applyNumberFormat="0" applyFill="0" applyAlignment="0" applyProtection="0">
      <alignment vertical="center"/>
    </xf>
    <xf numFmtId="210" fontId="137" fillId="31" borderId="0" applyNumberFormat="0" applyBorder="0" applyAlignment="0" applyProtection="0"/>
    <xf numFmtId="9" fontId="134" fillId="0" borderId="0" applyFont="0" applyFill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40" fontId="118" fillId="0" borderId="0" applyFont="0" applyFill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2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71" fillId="0" borderId="0"/>
    <xf numFmtId="210" fontId="71" fillId="0" borderId="0"/>
    <xf numFmtId="210" fontId="71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81" fillId="32" borderId="70" applyNumberFormat="0" applyAlignment="0" applyProtection="0"/>
    <xf numFmtId="210" fontId="60" fillId="0" borderId="0"/>
    <xf numFmtId="210" fontId="58" fillId="0" borderId="0"/>
    <xf numFmtId="210" fontId="71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58" fillId="0" borderId="0"/>
    <xf numFmtId="210" fontId="71" fillId="0" borderId="0"/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71" fillId="0" borderId="0"/>
    <xf numFmtId="210" fontId="71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190" fontId="59" fillId="0" borderId="0" applyFont="0" applyFill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71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71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71" fillId="0" borderId="0"/>
    <xf numFmtId="210" fontId="58" fillId="0" borderId="0"/>
    <xf numFmtId="210" fontId="71" fillId="0" borderId="0"/>
    <xf numFmtId="210" fontId="58" fillId="0" borderId="0"/>
    <xf numFmtId="210" fontId="71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9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71" fillId="0" borderId="0"/>
    <xf numFmtId="210" fontId="58" fillId="0" borderId="0"/>
    <xf numFmtId="210" fontId="58" fillId="0" borderId="0"/>
    <xf numFmtId="210" fontId="60" fillId="0" borderId="0"/>
    <xf numFmtId="198" fontId="67" fillId="0" borderId="0" applyFont="0" applyFill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151" fillId="0" borderId="84" applyNumberFormat="0" applyFill="0" applyAlignment="0" applyProtection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0" fillId="0" borderId="0" applyAlignment="0"/>
    <xf numFmtId="210" fontId="60" fillId="0" borderId="0"/>
    <xf numFmtId="210" fontId="60" fillId="0" borderId="0"/>
    <xf numFmtId="210" fontId="71" fillId="0" borderId="0"/>
    <xf numFmtId="210" fontId="69" fillId="7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71" fillId="0" borderId="0"/>
    <xf numFmtId="210" fontId="58" fillId="0" borderId="0"/>
    <xf numFmtId="210" fontId="60" fillId="0" borderId="0" applyAlignment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71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8" fillId="0" borderId="0"/>
    <xf numFmtId="210" fontId="61" fillId="31" borderId="0" applyNumberFormat="0" applyBorder="0" applyAlignment="0" applyProtection="0"/>
    <xf numFmtId="210" fontId="62" fillId="0" borderId="0"/>
    <xf numFmtId="210" fontId="58" fillId="0" borderId="0"/>
    <xf numFmtId="210" fontId="60" fillId="0" borderId="0"/>
    <xf numFmtId="210" fontId="60" fillId="0" borderId="0"/>
    <xf numFmtId="210" fontId="79" fillId="7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71" fillId="0" borderId="0"/>
    <xf numFmtId="210" fontId="59" fillId="0" borderId="0"/>
    <xf numFmtId="210" fontId="67" fillId="0" borderId="0"/>
    <xf numFmtId="210" fontId="67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71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71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86" fillId="0" borderId="0"/>
    <xf numFmtId="210" fontId="58" fillId="0" borderId="0"/>
    <xf numFmtId="210" fontId="60" fillId="0" borderId="0"/>
    <xf numFmtId="210" fontId="69" fillId="85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71" fillId="0" borderId="0"/>
    <xf numFmtId="210" fontId="60" fillId="0" borderId="0"/>
    <xf numFmtId="210" fontId="119" fillId="30" borderId="0" applyNumberFormat="0" applyBorder="0" applyAlignment="0" applyProtection="0">
      <alignment vertical="center"/>
    </xf>
    <xf numFmtId="210" fontId="58" fillId="0" borderId="0"/>
    <xf numFmtId="210" fontId="62" fillId="0" borderId="0"/>
    <xf numFmtId="210" fontId="71" fillId="0" borderId="0"/>
    <xf numFmtId="210" fontId="58" fillId="0" borderId="0"/>
    <xf numFmtId="210" fontId="71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71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79" fillId="10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196" fontId="138" fillId="0" borderId="0"/>
    <xf numFmtId="210" fontId="60" fillId="0" borderId="0"/>
    <xf numFmtId="210" fontId="58" fillId="0" borderId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110" fillId="0" borderId="0" applyNumberFormat="0" applyFill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71" fillId="0" borderId="0"/>
    <xf numFmtId="210" fontId="57" fillId="30" borderId="0" applyNumberFormat="0" applyBorder="0" applyAlignment="0" applyProtection="0"/>
    <xf numFmtId="210" fontId="58" fillId="0" borderId="0"/>
    <xf numFmtId="210" fontId="71" fillId="0" borderId="0"/>
    <xf numFmtId="210" fontId="58" fillId="0" borderId="0"/>
    <xf numFmtId="210" fontId="82" fillId="0" borderId="0" applyNumberFormat="0" applyFill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118" fillId="0" borderId="0"/>
    <xf numFmtId="210" fontId="71" fillId="0" borderId="0"/>
    <xf numFmtId="210" fontId="58" fillId="0" borderId="0"/>
    <xf numFmtId="210" fontId="62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71" fillId="0" borderId="0"/>
    <xf numFmtId="210" fontId="71" fillId="0" borderId="0"/>
    <xf numFmtId="210" fontId="57" fillId="30" borderId="0" applyNumberFormat="0" applyBorder="0" applyAlignment="0" applyProtection="0"/>
    <xf numFmtId="210" fontId="60" fillId="0" borderId="0"/>
    <xf numFmtId="210" fontId="71" fillId="0" borderId="0"/>
    <xf numFmtId="210" fontId="61" fillId="31" borderId="0" applyNumberFormat="0" applyBorder="0" applyAlignment="0" applyProtection="0"/>
    <xf numFmtId="210" fontId="62" fillId="0" borderId="0"/>
    <xf numFmtId="210" fontId="58" fillId="0" borderId="0"/>
    <xf numFmtId="210" fontId="62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179" fillId="0" borderId="0" applyNumberFormat="0" applyFill="0" applyBorder="0" applyAlignment="0" applyProtection="0"/>
    <xf numFmtId="210" fontId="58" fillId="0" borderId="0"/>
    <xf numFmtId="210" fontId="58" fillId="0" borderId="0"/>
    <xf numFmtId="210" fontId="3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57" fillId="30" borderId="0" applyNumberFormat="0" applyBorder="0" applyAlignment="0" applyProtection="0"/>
    <xf numFmtId="210" fontId="58" fillId="0" borderId="0"/>
    <xf numFmtId="210" fontId="71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71" fillId="0" borderId="0"/>
    <xf numFmtId="210" fontId="60" fillId="0" borderId="0"/>
    <xf numFmtId="210" fontId="60" fillId="0" borderId="0"/>
    <xf numFmtId="210" fontId="60" fillId="0" borderId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0" fillId="66" borderId="75" applyNumberFormat="0" applyFont="0" applyAlignment="0" applyProtection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58" fillId="0" borderId="0"/>
    <xf numFmtId="210" fontId="79" fillId="62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 applyNumberFormat="0" applyFill="0" applyBorder="0" applyAlignment="0" applyProtection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02" fontId="60" fillId="0" borderId="0" applyFont="0" applyFill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71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192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101" fillId="0" borderId="0"/>
    <xf numFmtId="210" fontId="62" fillId="0" borderId="0"/>
    <xf numFmtId="210" fontId="58" fillId="0" borderId="0"/>
    <xf numFmtId="203" fontId="60" fillId="0" borderId="0" applyFill="0" applyBorder="0" applyAlignment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60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9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62" fillId="0" borderId="0"/>
    <xf numFmtId="210" fontId="58" fillId="0" borderId="0"/>
    <xf numFmtId="210" fontId="60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58" fillId="0" borderId="0"/>
    <xf numFmtId="210" fontId="107" fillId="0" borderId="0">
      <protection locked="0"/>
    </xf>
    <xf numFmtId="210" fontId="62" fillId="0" borderId="0"/>
    <xf numFmtId="210" fontId="58" fillId="0" borderId="0"/>
    <xf numFmtId="210" fontId="62" fillId="0" borderId="0"/>
    <xf numFmtId="210" fontId="61" fillId="31" borderId="0" applyNumberFormat="0" applyBorder="0" applyAlignment="0" applyProtection="0"/>
    <xf numFmtId="210" fontId="59" fillId="0" borderId="0"/>
    <xf numFmtId="210" fontId="58" fillId="0" borderId="0"/>
    <xf numFmtId="210" fontId="58" fillId="0" borderId="0"/>
    <xf numFmtId="210" fontId="62" fillId="0" borderId="0"/>
    <xf numFmtId="210" fontId="62" fillId="0" borderId="0"/>
    <xf numFmtId="210" fontId="62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 applyNumberFormat="0" applyFill="0" applyBorder="0" applyAlignment="0" applyProtection="0"/>
    <xf numFmtId="210" fontId="62" fillId="0" borderId="0"/>
    <xf numFmtId="210" fontId="157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0" fillId="0" borderId="0"/>
    <xf numFmtId="210" fontId="58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58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91" fillId="0" borderId="0" applyNumberFormat="0" applyFill="0" applyBorder="0" applyAlignment="0" applyProtection="0"/>
    <xf numFmtId="210" fontId="62" fillId="0" borderId="0"/>
    <xf numFmtId="210" fontId="62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3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2" fillId="0" borderId="0"/>
    <xf numFmtId="210" fontId="81" fillId="32" borderId="70" applyNumberFormat="0" applyAlignment="0" applyProtection="0"/>
    <xf numFmtId="210" fontId="62" fillId="0" borderId="0"/>
    <xf numFmtId="210" fontId="58" fillId="0" borderId="0"/>
    <xf numFmtId="210" fontId="62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2" fillId="0" borderId="0"/>
    <xf numFmtId="210" fontId="58" fillId="0" borderId="0"/>
    <xf numFmtId="210" fontId="62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9" fillId="95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58" fillId="0" borderId="0"/>
    <xf numFmtId="210" fontId="171" fillId="0" borderId="84" applyNumberFormat="0" applyFill="0" applyAlignment="0" applyProtection="0">
      <alignment vertical="center"/>
    </xf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84" fillId="0" borderId="0">
      <protection locked="0"/>
    </xf>
    <xf numFmtId="210" fontId="58" fillId="0" borderId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0" fillId="0" borderId="0"/>
    <xf numFmtId="210" fontId="62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2" fillId="0" borderId="0"/>
    <xf numFmtId="210" fontId="157" fillId="103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58" fillId="0" borderId="0"/>
    <xf numFmtId="210" fontId="119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58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190" fontId="60" fillId="0" borderId="0" applyFont="0" applyFill="0" applyBorder="0" applyAlignment="0" applyProtection="0"/>
    <xf numFmtId="210" fontId="58" fillId="0" borderId="0"/>
    <xf numFmtId="43" fontId="60" fillId="0" borderId="0" applyFont="0" applyFill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85" fillId="0" borderId="71" applyNumberFormat="0" applyFill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2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7" fillId="32" borderId="0" applyNumberFormat="0" applyBorder="0" applyAlignment="0" applyProtection="0">
      <alignment vertical="center"/>
    </xf>
    <xf numFmtId="210" fontId="58" fillId="0" borderId="0"/>
    <xf numFmtId="210" fontId="59" fillId="91" borderId="0" applyNumberFormat="0" applyBorder="0" applyAlignment="0" applyProtection="0"/>
    <xf numFmtId="210" fontId="58" fillId="0" borderId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39" fillId="50" borderId="70" applyNumberFormat="0" applyAlignment="0" applyProtection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101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160" fillId="52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111" fillId="0" borderId="0" applyNumberFormat="0" applyFill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79" fillId="62" borderId="0" applyNumberFormat="0" applyBorder="0" applyAlignment="0" applyProtection="0"/>
    <xf numFmtId="210" fontId="58" fillId="0" borderId="0"/>
    <xf numFmtId="210" fontId="71" fillId="0" borderId="0"/>
    <xf numFmtId="210" fontId="58" fillId="0" borderId="0"/>
    <xf numFmtId="210" fontId="58" fillId="0" borderId="0"/>
    <xf numFmtId="210" fontId="58" fillId="0" borderId="0"/>
    <xf numFmtId="210" fontId="59" fillId="10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139" fillId="4" borderId="70" applyNumberFormat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111" fillId="0" borderId="84" applyNumberFormat="0" applyFill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9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2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6" fillId="0" borderId="0"/>
    <xf numFmtId="210" fontId="66" fillId="0" borderId="0"/>
    <xf numFmtId="210" fontId="60" fillId="0" borderId="0"/>
    <xf numFmtId="210" fontId="58" fillId="0" borderId="0"/>
    <xf numFmtId="210" fontId="59" fillId="10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9" fillId="86" borderId="0" applyNumberFormat="0" applyBorder="0" applyAlignment="0" applyProtection="0"/>
    <xf numFmtId="210" fontId="62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181" fontId="131" fillId="0" borderId="0" applyFill="0" applyBorder="0" applyAlignment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2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71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3" fillId="41" borderId="0" applyNumberFormat="0" applyBorder="0" applyAlignment="0" applyProtection="0"/>
    <xf numFmtId="210" fontId="58" fillId="0" borderId="0"/>
    <xf numFmtId="210" fontId="70" fillId="0" borderId="65" applyNumberFormat="0" applyFill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99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9" fillId="9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111" fillId="0" borderId="0" applyNumberFormat="0" applyFill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62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0" fillId="0" borderId="0"/>
    <xf numFmtId="181" fontId="131" fillId="0" borderId="0" applyFill="0" applyBorder="0" applyAlignment="0"/>
    <xf numFmtId="210" fontId="60" fillId="0" borderId="0"/>
    <xf numFmtId="210" fontId="60" fillId="0" borderId="0" applyAlignment="0"/>
    <xf numFmtId="210" fontId="61" fillId="31" borderId="0" applyNumberFormat="0" applyBorder="0" applyAlignment="0" applyProtection="0"/>
    <xf numFmtId="210" fontId="58" fillId="0" borderId="0"/>
    <xf numFmtId="210" fontId="59" fillId="0" borderId="0"/>
    <xf numFmtId="210" fontId="3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190" fontId="59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9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199" fillId="66" borderId="75" applyNumberFormat="0" applyFont="0" applyAlignment="0" applyProtection="0"/>
    <xf numFmtId="210" fontId="58" fillId="0" borderId="0"/>
    <xf numFmtId="210" fontId="67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2" fillId="0" borderId="0"/>
    <xf numFmtId="210" fontId="59" fillId="38" borderId="0" applyNumberFormat="0" applyBorder="0" applyAlignment="0" applyProtection="0"/>
    <xf numFmtId="210" fontId="60" fillId="0" borderId="0"/>
    <xf numFmtId="210" fontId="58" fillId="0" borderId="0"/>
    <xf numFmtId="210" fontId="60" fillId="66" borderId="75" applyNumberFormat="0" applyFont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66" borderId="75" applyNumberFormat="0" applyFont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200" fillId="0" borderId="80" applyNumberFormat="0" applyFill="0" applyAlignment="0" applyProtection="0"/>
    <xf numFmtId="210" fontId="58" fillId="0" borderId="0"/>
    <xf numFmtId="210" fontId="60" fillId="0" borderId="0"/>
    <xf numFmtId="210" fontId="58" fillId="0" borderId="0"/>
    <xf numFmtId="210" fontId="62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51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202" fillId="105" borderId="66" applyNumberFormat="0" applyAlignment="0" applyProtection="0"/>
    <xf numFmtId="210" fontId="58" fillId="0" borderId="0"/>
    <xf numFmtId="1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00" fontId="62" fillId="0" borderId="0" applyFill="0" applyBorder="0" applyAlignment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80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6" fillId="0" borderId="0"/>
    <xf numFmtId="210" fontId="66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204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185" fontId="131" fillId="0" borderId="0" applyFill="0" applyBorder="0" applyAlignment="0"/>
    <xf numFmtId="210" fontId="69" fillId="7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3" fillId="66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179" fontId="205" fillId="0" borderId="0" applyFont="0" applyFill="0" applyBorder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86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9" fillId="29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79" fillId="39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190" fontId="59" fillId="0" borderId="0" applyFont="0" applyFill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9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0" fillId="0" borderId="0" applyAlignment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2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97" fillId="0" borderId="0" applyNumberFormat="0" applyFill="0" applyBorder="0" applyAlignment="0" applyProtection="0"/>
    <xf numFmtId="210" fontId="58" fillId="0" borderId="0"/>
    <xf numFmtId="210" fontId="206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184" fontId="60" fillId="0" borderId="12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119" fillId="30" borderId="0" applyNumberFormat="0" applyBorder="0" applyAlignment="0" applyProtection="0">
      <alignment vertical="center"/>
    </xf>
    <xf numFmtId="210" fontId="79" fillId="39" borderId="0" applyNumberFormat="0" applyBorder="0" applyAlignment="0" applyProtection="0"/>
    <xf numFmtId="210" fontId="67" fillId="0" borderId="0"/>
    <xf numFmtId="210" fontId="67" fillId="0" borderId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2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101" fillId="0" borderId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9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3" fillId="41" borderId="0" applyNumberFormat="0" applyBorder="0" applyAlignment="0" applyProtection="0"/>
    <xf numFmtId="210" fontId="3" fillId="52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119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2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0" fillId="0" borderId="0" applyAlignment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 applyAlignment="0"/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7" fillId="32" borderId="0" applyNumberFormat="0" applyBorder="0" applyAlignment="0" applyProtection="0">
      <alignment vertical="center"/>
    </xf>
    <xf numFmtId="210" fontId="59" fillId="9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30" fillId="0" borderId="0">
      <alignment vertical="center"/>
    </xf>
    <xf numFmtId="210" fontId="58" fillId="0" borderId="0"/>
    <xf numFmtId="210" fontId="71" fillId="0" borderId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11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136" fillId="95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190" fontId="59" fillId="0" borderId="0" applyFont="0" applyFill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37" fontId="60" fillId="0" borderId="12"/>
    <xf numFmtId="210" fontId="79" fillId="52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98" fillId="0" borderId="0">
      <alignment vertical="top"/>
    </xf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85" fillId="0" borderId="71" applyNumberFormat="0" applyFill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11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79" fillId="39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99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140" fillId="32" borderId="70" applyNumberFormat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7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3" fillId="4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71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7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71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9" fillId="7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2" fillId="0" borderId="0"/>
    <xf numFmtId="1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211" fillId="0" borderId="0" applyNumberFormat="0" applyFill="0" applyBorder="0" applyProtection="0">
      <alignment vertical="top" wrapText="1"/>
    </xf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8" fillId="0" borderId="0"/>
    <xf numFmtId="210" fontId="30" fillId="0" borderId="0">
      <alignment vertical="center"/>
    </xf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119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198" fontId="67" fillId="0" borderId="0" applyFont="0" applyFill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94" fillId="0" borderId="72" applyNumberFormat="0" applyFill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81" fillId="32" borderId="70" applyNumberFormat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162" fillId="0" borderId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9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100" fillId="4" borderId="73" applyNumberFormat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71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62" fillId="0" borderId="0"/>
    <xf numFmtId="210" fontId="58" fillId="0" borderId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86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9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212" fillId="0" borderId="0"/>
    <xf numFmtId="210" fontId="58" fillId="0" borderId="0"/>
    <xf numFmtId="210" fontId="60" fillId="0" borderId="0"/>
    <xf numFmtId="210" fontId="59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213" fillId="26" borderId="0" applyNumberFormat="0" applyBorder="0" applyAlignment="0" applyProtection="0"/>
    <xf numFmtId="210" fontId="58" fillId="66" borderId="2" applyNumberFormat="0" applyFont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9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3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112" fillId="107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215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98" fillId="0" borderId="0">
      <alignment vertical="top"/>
    </xf>
    <xf numFmtId="210" fontId="62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9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2" fillId="0" borderId="0"/>
    <xf numFmtId="210" fontId="61" fillId="31" borderId="0" applyNumberFormat="0" applyBorder="0" applyAlignment="0" applyProtection="0"/>
    <xf numFmtId="210" fontId="79" fillId="52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62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43" fontId="58" fillId="0" borderId="0" applyFont="0" applyFill="0" applyBorder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3" fillId="52" borderId="0" applyNumberFormat="0" applyBorder="0" applyAlignment="0" applyProtection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121" fillId="0" borderId="0" applyNumberFormat="0" applyFill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69" fillId="7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30" fillId="0" borderId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58" fillId="0" borderId="0"/>
    <xf numFmtId="210" fontId="62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43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7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37" fontId="60" fillId="0" borderId="7"/>
    <xf numFmtId="210" fontId="60" fillId="0" borderId="0"/>
    <xf numFmtId="210" fontId="60" fillId="0" borderId="0"/>
    <xf numFmtId="210" fontId="100" fillId="4" borderId="73" applyNumberFormat="0" applyAlignment="0" applyProtection="0"/>
    <xf numFmtId="210" fontId="60" fillId="0" borderId="0"/>
    <xf numFmtId="210" fontId="61" fillId="31" borderId="0" applyNumberFormat="0" applyBorder="0" applyAlignment="0" applyProtection="0"/>
    <xf numFmtId="210" fontId="100" fillId="4" borderId="73" applyNumberFormat="0" applyAlignment="0" applyProtection="0"/>
    <xf numFmtId="210" fontId="60" fillId="0" borderId="0"/>
    <xf numFmtId="210" fontId="60" fillId="0" borderId="0"/>
    <xf numFmtId="210" fontId="60" fillId="0" borderId="0"/>
    <xf numFmtId="210" fontId="218" fillId="0" borderId="71" applyNumberFormat="0" applyFill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4" fontId="98" fillId="109" borderId="0" applyNumberFormat="0" applyProtection="0">
      <alignment horizontal="left" vertical="center" indent="1"/>
    </xf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70" fillId="0" borderId="65" applyNumberFormat="0" applyFill="0" applyAlignment="0" applyProtection="0"/>
    <xf numFmtId="210" fontId="60" fillId="0" borderId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37" fontId="60" fillId="0" borderId="12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9" fillId="10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42" fontId="60" fillId="0" borderId="0" applyFon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219" fillId="0" borderId="0" applyNumberFormat="0" applyAlignment="0">
      <alignment horizontal="left"/>
    </xf>
    <xf numFmtId="210" fontId="60" fillId="0" borderId="0"/>
    <xf numFmtId="210" fontId="79" fillId="58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9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58" fillId="0" borderId="0"/>
    <xf numFmtId="200" fontId="60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70" fillId="0" borderId="65" applyNumberFormat="0" applyFill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67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162" fillId="0" borderId="0">
      <alignment vertical="center"/>
    </xf>
    <xf numFmtId="210" fontId="162" fillId="0" borderId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101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7" fillId="66" borderId="75" applyNumberFormat="0" applyFont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216" fillId="111" borderId="0" applyNumberFormat="0" applyFont="0" applyBorder="0" applyAlignment="0">
      <alignment horizont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58" fillId="50" borderId="70" applyNumberFormat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7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9" fillId="52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162" fillId="0" borderId="0">
      <alignment vertical="center"/>
    </xf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100" fillId="4" borderId="73" applyNumberFormat="0" applyAlignment="0" applyProtection="0"/>
    <xf numFmtId="210" fontId="60" fillId="0" borderId="0"/>
    <xf numFmtId="210" fontId="57" fillId="30" borderId="0" applyNumberFormat="0" applyBorder="0" applyAlignment="0" applyProtection="0"/>
    <xf numFmtId="210" fontId="100" fillId="4" borderId="73" applyNumberFormat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9" fillId="4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 applyNumberFormat="0" applyFill="0" applyBorder="0" applyAlignment="0" applyProtection="0"/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9" fillId="49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9" fillId="95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79" fillId="10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166" fillId="0" borderId="74" applyNumberFormat="0" applyFill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6" fillId="0" borderId="0"/>
    <xf numFmtId="210" fontId="66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36" fillId="85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222" fillId="50" borderId="73" applyNumberFormat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21" fillId="0" borderId="4">
      <alignment horizontal="left" vertical="center"/>
    </xf>
    <xf numFmtId="210" fontId="60" fillId="0" borderId="0"/>
    <xf numFmtId="210" fontId="69" fillId="95" borderId="0" applyNumberFormat="0" applyBorder="0" applyAlignment="0" applyProtection="0">
      <alignment vertical="center"/>
    </xf>
    <xf numFmtId="210" fontId="60" fillId="0" borderId="0"/>
    <xf numFmtId="210" fontId="147" fillId="31" borderId="0" applyNumberFormat="0" applyBorder="0" applyAlignment="0" applyProtection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119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192" fillId="6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111" fillId="0" borderId="0" applyNumberFormat="0" applyFill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94" fillId="0" borderId="72" applyNumberFormat="0" applyFill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7" fillId="35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71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71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9" fillId="0" borderId="0"/>
    <xf numFmtId="181" fontId="131" fillId="0" borderId="0" applyFill="0" applyBorder="0" applyAlignment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166" fillId="0" borderId="74" applyNumberFormat="0" applyFill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9" fontId="59" fillId="0" borderId="0" applyFon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71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 applyAlignment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29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206" fillId="31" borderId="0" applyNumberFormat="0" applyBorder="0" applyAlignment="0" applyProtection="0">
      <alignment vertical="center"/>
    </xf>
    <xf numFmtId="210" fontId="59" fillId="0" borderId="0"/>
    <xf numFmtId="190" fontId="3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71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9" fillId="30" borderId="0" applyNumberFormat="0" applyBorder="0" applyAlignment="0" applyProtection="0"/>
    <xf numFmtId="210" fontId="101" fillId="0" borderId="0"/>
    <xf numFmtId="210" fontId="61" fillId="31" borderId="0" applyNumberFormat="0" applyBorder="0" applyAlignment="0" applyProtection="0">
      <alignment vertical="center"/>
    </xf>
    <xf numFmtId="1" fontId="60" fillId="0" borderId="0"/>
    <xf numFmtId="210" fontId="60" fillId="0" borderId="0"/>
    <xf numFmtId="210" fontId="58" fillId="0" borderId="0"/>
    <xf numFmtId="210" fontId="60" fillId="0" borderId="0"/>
    <xf numFmtId="210" fontId="62" fillId="0" borderId="0"/>
    <xf numFmtId="210" fontId="60" fillId="0" borderId="0"/>
    <xf numFmtId="210" fontId="157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2" fillId="0" borderId="0"/>
    <xf numFmtId="210" fontId="59" fillId="16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181" fontId="131" fillId="0" borderId="0" applyFill="0" applyBorder="0" applyAlignment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9" fillId="84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112" fillId="79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9" fillId="0" borderId="0"/>
    <xf numFmtId="210" fontId="62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 applyAlignment="0"/>
    <xf numFmtId="210" fontId="69" fillId="70" borderId="0" applyNumberFormat="0" applyBorder="0" applyAlignment="0" applyProtection="0">
      <alignment vertical="center"/>
    </xf>
    <xf numFmtId="210" fontId="60" fillId="0" borderId="0"/>
    <xf numFmtId="210" fontId="60" fillId="0" borderId="0" applyFill="0"/>
    <xf numFmtId="210" fontId="60" fillId="0" borderId="0" applyAlignment="0"/>
    <xf numFmtId="210" fontId="60" fillId="0" borderId="0" applyFill="0"/>
    <xf numFmtId="210" fontId="60" fillId="0" borderId="0" applyAlignment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71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2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71" fillId="0" borderId="0"/>
    <xf numFmtId="210" fontId="224" fillId="112" borderId="68" applyNumberFormat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71" fillId="0" borderId="0"/>
    <xf numFmtId="210" fontId="71" fillId="0" borderId="0"/>
    <xf numFmtId="210" fontId="81" fillId="32" borderId="70" applyNumberFormat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9" fillId="95" borderId="0" applyNumberFormat="0" applyBorder="0" applyAlignment="0" applyProtection="0"/>
    <xf numFmtId="210" fontId="59" fillId="84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1" fontId="88" fillId="0" borderId="12" applyNumberFormat="0" applyBorder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99" fillId="0" borderId="0"/>
    <xf numFmtId="210" fontId="61" fillId="31" borderId="0" applyNumberFormat="0" applyBorder="0" applyAlignment="0" applyProtection="0">
      <alignment vertical="center"/>
    </xf>
    <xf numFmtId="210" fontId="86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10" fontId="60" fillId="0" borderId="0" applyFont="0" applyFill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60" fillId="0" borderId="0"/>
    <xf numFmtId="210" fontId="71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71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9" fillId="95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86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 applyNumberForma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111" fillId="0" borderId="84" applyNumberFormat="0" applyFill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99" fillId="0" borderId="0"/>
    <xf numFmtId="210" fontId="60" fillId="0" borderId="0"/>
    <xf numFmtId="210" fontId="71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97" fillId="0" borderId="0" applyNumberFormat="0" applyFill="0" applyBorder="0" applyAlignment="0" applyProtection="0"/>
    <xf numFmtId="210" fontId="71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71" fillId="0" borderId="0"/>
    <xf numFmtId="210" fontId="71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0" fillId="0" borderId="0"/>
    <xf numFmtId="210" fontId="58" fillId="0" borderId="0"/>
    <xf numFmtId="210" fontId="71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139" fillId="4" borderId="70" applyNumberFormat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198" fontId="67" fillId="0" borderId="0" applyFont="0" applyFill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229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79" fillId="39" borderId="0" applyNumberFormat="0" applyBorder="0" applyAlignment="0" applyProtection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114" borderId="75" applyNumberFormat="0" applyFont="0" applyAlignment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01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3" fontId="23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80" borderId="85" applyNumberFormat="0" applyFont="0" applyAlignment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80" borderId="85" applyNumberFormat="0" applyFont="0" applyAlignment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190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170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3" fillId="4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198" fontId="67" fillId="0" borderId="0" applyFont="0" applyFill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99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9" fillId="95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101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188" fillId="50" borderId="73" applyNumberFormat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79" fillId="7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00" fontId="62" fillId="0" borderId="0" applyFon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111" fillId="0" borderId="84" applyNumberFormat="0" applyFill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0" fillId="0" borderId="0"/>
    <xf numFmtId="210" fontId="67" fillId="32" borderId="0" applyNumberFormat="0" applyBorder="0" applyAlignment="0" applyProtection="0">
      <alignment vertical="center"/>
    </xf>
    <xf numFmtId="210" fontId="59" fillId="9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190" fontId="60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71" fillId="0" borderId="0"/>
    <xf numFmtId="210" fontId="67" fillId="0" borderId="0"/>
    <xf numFmtId="210" fontId="67" fillId="0" borderId="0"/>
    <xf numFmtId="210" fontId="99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71" fillId="0" borderId="0"/>
    <xf numFmtId="210" fontId="71" fillId="0" borderId="0"/>
    <xf numFmtId="210" fontId="58" fillId="0" borderId="0"/>
    <xf numFmtId="210" fontId="58" fillId="0" borderId="0"/>
    <xf numFmtId="210" fontId="58" fillId="0" borderId="0"/>
    <xf numFmtId="210" fontId="69" fillId="85" borderId="0" applyNumberFormat="0" applyBorder="0" applyAlignment="0" applyProtection="0">
      <alignment vertical="center"/>
    </xf>
    <xf numFmtId="210" fontId="71" fillId="0" borderId="0"/>
    <xf numFmtId="210" fontId="61" fillId="31" borderId="0" applyNumberFormat="0" applyBorder="0" applyAlignment="0" applyProtection="0"/>
    <xf numFmtId="210" fontId="58" fillId="0" borderId="0"/>
    <xf numFmtId="210" fontId="100" fillId="4" borderId="73" applyNumberFormat="0" applyAlignment="0" applyProtection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71" fillId="0" borderId="0"/>
    <xf numFmtId="210" fontId="61" fillId="31" borderId="0" applyNumberFormat="0" applyBorder="0" applyAlignment="0" applyProtection="0"/>
    <xf numFmtId="210" fontId="60" fillId="0" borderId="0"/>
    <xf numFmtId="210" fontId="71" fillId="0" borderId="0"/>
    <xf numFmtId="210" fontId="88" fillId="0" borderId="0"/>
    <xf numFmtId="210" fontId="58" fillId="0" borderId="0"/>
    <xf numFmtId="210" fontId="58" fillId="0" borderId="0"/>
    <xf numFmtId="210" fontId="67" fillId="0" borderId="0"/>
    <xf numFmtId="210" fontId="71" fillId="0" borderId="0"/>
    <xf numFmtId="210" fontId="62" fillId="0" borderId="0"/>
    <xf numFmtId="210" fontId="71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3" fillId="35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9" fillId="10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7" fillId="35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>
      <alignment vertical="top"/>
    </xf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 applyAlignment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38" fontId="131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1" fontId="86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147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151" fillId="0" borderId="0" applyNumberFormat="0" applyFill="0" applyBorder="0" applyAlignment="0" applyProtection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79" fillId="62" borderId="0" applyNumberFormat="0" applyBorder="0" applyAlignment="0" applyProtection="0"/>
    <xf numFmtId="210" fontId="98" fillId="0" borderId="0">
      <alignment vertical="top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1" fontId="60" fillId="0" borderId="12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56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190" fontId="60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7" fillId="35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23" fontId="215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60" fillId="95" borderId="0" applyNumberFormat="0" applyBorder="0" applyAlignment="0" applyProtection="0"/>
    <xf numFmtId="210" fontId="59" fillId="84" borderId="0" applyNumberFormat="0" applyBorder="0" applyAlignment="0" applyProtection="0"/>
    <xf numFmtId="210" fontId="97" fillId="0" borderId="0" applyNumberForma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93" applyNumberFormat="0" applyFont="0" applyFill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140" fillId="32" borderId="70" applyNumberFormat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>
      <protection locked="0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00" fontId="60" fillId="0" borderId="0" applyFont="0" applyFill="0" applyBorder="0" applyAlignment="0" applyProtection="0"/>
    <xf numFmtId="210" fontId="67" fillId="52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101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98" fillId="0" borderId="0">
      <alignment vertical="top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70" fillId="0" borderId="65" applyNumberFormat="0" applyFill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168" fillId="0" borderId="87" applyNumberFormat="0" applyFill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106" fillId="0" borderId="72" applyNumberFormat="0" applyFill="0" applyAlignment="0" applyProtection="0"/>
    <xf numFmtId="210" fontId="62" fillId="0" borderId="0"/>
    <xf numFmtId="210" fontId="62" fillId="0" borderId="0"/>
    <xf numFmtId="210" fontId="62" fillId="0" borderId="0"/>
    <xf numFmtId="210" fontId="69" fillId="48" borderId="0" applyNumberFormat="0" applyBorder="0" applyAlignment="0" applyProtection="0">
      <alignment vertical="center"/>
    </xf>
    <xf numFmtId="210" fontId="62" fillId="0" borderId="0"/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60" fillId="48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101" fillId="0" borderId="0"/>
    <xf numFmtId="210" fontId="62" fillId="0" borderId="0"/>
    <xf numFmtId="210" fontId="71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71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88" borderId="85" applyNumberFormat="0" applyFont="0" applyAlignment="0"/>
    <xf numFmtId="210" fontId="60" fillId="88" borderId="85" applyNumberFormat="0" applyFont="0" applyAlignment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88" borderId="85" applyNumberFormat="0" applyFont="0" applyAlignment="0"/>
    <xf numFmtId="210" fontId="61" fillId="31" borderId="0" applyNumberFormat="0" applyBorder="0" applyAlignment="0" applyProtection="0"/>
    <xf numFmtId="210" fontId="60" fillId="88" borderId="85" applyNumberFormat="0" applyFont="0" applyAlignment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88" borderId="85" applyNumberFormat="0" applyFont="0" applyAlignment="0"/>
    <xf numFmtId="210" fontId="57" fillId="30" borderId="0" applyNumberFormat="0" applyBorder="0" applyAlignment="0" applyProtection="0"/>
    <xf numFmtId="210" fontId="60" fillId="0" borderId="0"/>
    <xf numFmtId="210" fontId="60" fillId="88" borderId="85" applyNumberFormat="0" applyFont="0" applyAlignment="0"/>
    <xf numFmtId="210" fontId="61" fillId="31" borderId="0" applyNumberFormat="0" applyBorder="0" applyAlignment="0" applyProtection="0"/>
    <xf numFmtId="210" fontId="60" fillId="88" borderId="85" applyNumberFormat="0" applyFont="0" applyAlignment="0"/>
    <xf numFmtId="210" fontId="60" fillId="88" borderId="85" applyNumberFormat="0" applyFont="0" applyAlignment="0"/>
    <xf numFmtId="210" fontId="61" fillId="31" borderId="0" applyNumberFormat="0" applyBorder="0" applyAlignment="0" applyProtection="0"/>
    <xf numFmtId="210" fontId="59" fillId="35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7" fillId="0" borderId="0"/>
    <xf numFmtId="210" fontId="60" fillId="0" borderId="0"/>
    <xf numFmtId="210" fontId="58" fillId="0" borderId="0"/>
    <xf numFmtId="210" fontId="58" fillId="0" borderId="0"/>
    <xf numFmtId="210" fontId="58" fillId="0" borderId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69" fillId="85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111" fillId="0" borderId="0" applyNumberFormat="0" applyFill="0" applyBorder="0" applyAlignment="0" applyProtection="0">
      <alignment vertical="center"/>
    </xf>
    <xf numFmtId="210" fontId="60" fillId="0" borderId="0"/>
    <xf numFmtId="200" fontId="3" fillId="0" borderId="0" applyFon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00" fontId="62" fillId="0" borderId="0" applyFill="0" applyBorder="0" applyAlignment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157" fillId="0" borderId="0"/>
    <xf numFmtId="210" fontId="60" fillId="0" borderId="0"/>
    <xf numFmtId="210" fontId="59" fillId="0" borderId="0"/>
    <xf numFmtId="210" fontId="157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01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60" fillId="0" borderId="0"/>
    <xf numFmtId="210" fontId="60" fillId="0" borderId="0"/>
    <xf numFmtId="210" fontId="148" fillId="0" borderId="0" applyFont="0" applyFill="0" applyBorder="0" applyAlignment="0" applyProtection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9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82" fillId="0" borderId="0" applyNumberForma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 applyNumberFormat="0" applyFill="0" applyBorder="0" applyAlignment="0" applyProtection="0"/>
    <xf numFmtId="210" fontId="62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 applyAlignment="0"/>
    <xf numFmtId="210" fontId="96" fillId="52" borderId="0" applyNumberFormat="0" applyBorder="0" applyAlignment="0" applyProtection="0">
      <alignment vertical="center"/>
    </xf>
    <xf numFmtId="210" fontId="60" fillId="0" borderId="0"/>
    <xf numFmtId="210" fontId="86" fillId="0" borderId="0"/>
    <xf numFmtId="210" fontId="86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 applyAlignment="0"/>
    <xf numFmtId="210" fontId="60" fillId="0" borderId="0"/>
    <xf numFmtId="210" fontId="61" fillId="31" borderId="0" applyNumberFormat="0" applyBorder="0" applyAlignment="0" applyProtection="0"/>
    <xf numFmtId="210" fontId="60" fillId="0" borderId="0" applyAlignment="0"/>
    <xf numFmtId="210" fontId="61" fillId="31" borderId="0" applyNumberFormat="0" applyBorder="0" applyAlignment="0" applyProtection="0"/>
    <xf numFmtId="210" fontId="60" fillId="0" borderId="0" applyAlignment="0"/>
    <xf numFmtId="210" fontId="86" fillId="0" borderId="0"/>
    <xf numFmtId="210" fontId="57" fillId="30" borderId="0" applyNumberFormat="0" applyBorder="0" applyAlignment="0" applyProtection="0"/>
    <xf numFmtId="210" fontId="60" fillId="0" borderId="0" applyAlignment="0"/>
    <xf numFmtId="210" fontId="86" fillId="0" borderId="0"/>
    <xf numFmtId="210" fontId="57" fillId="30" borderId="0" applyNumberFormat="0" applyBorder="0" applyAlignment="0" applyProtection="0">
      <alignment vertical="center"/>
    </xf>
    <xf numFmtId="210" fontId="59" fillId="29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3" fillId="50" borderId="0" applyNumberFormat="0" applyBorder="0" applyAlignment="0" applyProtection="0"/>
    <xf numFmtId="210" fontId="60" fillId="0" borderId="0" applyAlignment="0"/>
    <xf numFmtId="210" fontId="86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86" fillId="0" borderId="0"/>
    <xf numFmtId="210" fontId="60" fillId="0" borderId="0"/>
    <xf numFmtId="210" fontId="86" fillId="0" borderId="0"/>
    <xf numFmtId="210" fontId="57" fillId="30" borderId="0" applyNumberFormat="0" applyBorder="0" applyAlignment="0" applyProtection="0"/>
    <xf numFmtId="210" fontId="86" fillId="0" borderId="0"/>
    <xf numFmtId="210" fontId="60" fillId="0" borderId="0" applyAlignment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86" fillId="0" borderId="0"/>
    <xf numFmtId="210" fontId="60" fillId="0" borderId="0"/>
    <xf numFmtId="210" fontId="60" fillId="0" borderId="0" applyAlignment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99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5" fontId="60" fillId="0" borderId="0" applyFont="0" applyFill="0" applyBorder="0" applyAlignment="0" applyProtection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1" fontId="60" fillId="0" borderId="12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160" fillId="62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7" fillId="3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18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196" fillId="0" borderId="90" applyNumberFormat="0" applyFill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81" fillId="32" borderId="70" applyNumberFormat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56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97" fillId="0" borderId="0" applyNumberFormat="0" applyFill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79" fillId="95" borderId="0" applyNumberFormat="0" applyBorder="0" applyAlignment="0" applyProtection="0"/>
    <xf numFmtId="210" fontId="60" fillId="0" borderId="0"/>
    <xf numFmtId="210" fontId="162" fillId="0" borderId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97" fillId="0" borderId="0" applyNumberForma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70" fillId="0" borderId="87" applyNumberFormat="0" applyFill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20" fontId="131" fillId="0" borderId="0" applyFill="0" applyBorder="0" applyAlignment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2" fillId="0" borderId="0"/>
    <xf numFmtId="210" fontId="247" fillId="0" borderId="0" applyNumberFormat="0" applyFill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 applyAlignment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1" fillId="31" borderId="0" applyNumberFormat="0" applyBorder="0" applyAlignment="0" applyProtection="0"/>
    <xf numFmtId="210" fontId="60" fillId="80" borderId="85" applyNumberFormat="0" applyFont="0" applyAlignment="0"/>
    <xf numFmtId="210" fontId="60" fillId="0" borderId="0"/>
    <xf numFmtId="210" fontId="60" fillId="0" borderId="0"/>
    <xf numFmtId="210" fontId="69" fillId="49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148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211" fillId="0" borderId="0" applyNumberFormat="0" applyFill="0" applyBorder="0" applyProtection="0">
      <alignment vertical="top" wrapText="1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84" fillId="0" borderId="0">
      <protection locked="0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81" fillId="32" borderId="70" applyNumberFormat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9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9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9" fillId="100" borderId="0" applyNumberFormat="0" applyBorder="0" applyAlignment="0" applyProtection="0"/>
    <xf numFmtId="210" fontId="60" fillId="0" borderId="0"/>
    <xf numFmtId="40" fontId="214" fillId="0" borderId="0" applyBorder="0">
      <alignment horizontal="right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9" fillId="48" borderId="0" applyNumberFormat="0" applyBorder="0" applyAlignment="0" applyProtection="0">
      <alignment vertical="center"/>
    </xf>
    <xf numFmtId="210" fontId="60" fillId="0" borderId="0"/>
    <xf numFmtId="210" fontId="69" fillId="85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60" fillId="0" borderId="0"/>
    <xf numFmtId="210" fontId="3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253" fillId="0" borderId="0"/>
    <xf numFmtId="210" fontId="62" fillId="0" borderId="0"/>
    <xf numFmtId="210" fontId="62" fillId="0" borderId="0"/>
    <xf numFmtId="210" fontId="30" fillId="0" borderId="0">
      <alignment vertical="center"/>
    </xf>
    <xf numFmtId="210" fontId="145" fillId="80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65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254" fillId="87" borderId="83" applyNumberFormat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7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119" fillId="30" borderId="0" applyNumberFormat="0" applyBorder="0" applyAlignment="0" applyProtection="0">
      <alignment vertical="center"/>
    </xf>
    <xf numFmtId="210" fontId="59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71" fillId="0" borderId="0"/>
    <xf numFmtId="210" fontId="61" fillId="31" borderId="0" applyNumberFormat="0" applyBorder="0" applyAlignment="0" applyProtection="0"/>
    <xf numFmtId="210" fontId="58" fillId="0" borderId="0">
      <alignment vertical="top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91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30" fillId="0" borderId="0">
      <alignment vertical="center"/>
    </xf>
    <xf numFmtId="210" fontId="67" fillId="48" borderId="0" applyNumberFormat="0" applyBorder="0" applyAlignment="0" applyProtection="0">
      <alignment vertical="center"/>
    </xf>
    <xf numFmtId="210" fontId="99" fillId="0" borderId="0"/>
    <xf numFmtId="210" fontId="168" fillId="0" borderId="87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119" fillId="30" borderId="0" applyNumberFormat="0" applyBorder="0" applyAlignment="0" applyProtection="0">
      <alignment vertical="center"/>
    </xf>
    <xf numFmtId="210" fontId="101" fillId="0" borderId="0" applyFon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99" fillId="0" borderId="0"/>
    <xf numFmtId="210" fontId="111" fillId="0" borderId="84" applyNumberFormat="0" applyFill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101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101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00" fontId="3" fillId="0" borderId="0" applyFont="0" applyFill="0" applyBorder="0" applyAlignment="0" applyProtection="0"/>
    <xf numFmtId="210" fontId="157" fillId="123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6" fillId="0" borderId="0"/>
    <xf numFmtId="210" fontId="66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00" fontId="60" fillId="0" borderId="0" applyFont="0" applyFill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97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71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160" fillId="85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79" fillId="70" borderId="0" applyNumberFormat="0" applyBorder="0" applyAlignment="0" applyProtection="0"/>
    <xf numFmtId="210" fontId="60" fillId="0" borderId="0"/>
    <xf numFmtId="210" fontId="177" fillId="0" borderId="2" applyNumberFormat="0">
      <alignment horizontal="center" vertical="center"/>
    </xf>
    <xf numFmtId="210" fontId="62" fillId="0" borderId="0"/>
    <xf numFmtId="210" fontId="60" fillId="0" borderId="0"/>
    <xf numFmtId="210" fontId="177" fillId="0" borderId="2" applyNumberFormat="0">
      <alignment horizontal="center"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1" fontId="60" fillId="0" borderId="12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94" fillId="0" borderId="72" applyNumberFormat="0" applyFill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215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 applyAlignment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29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9" fillId="49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7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160" fillId="58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86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90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112" fillId="95" borderId="0" applyNumberFormat="0" applyBorder="0" applyAlignment="0" applyProtection="0"/>
    <xf numFmtId="210" fontId="59" fillId="84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168" fillId="0" borderId="87" applyNumberFormat="0" applyFill="0" applyAlignment="0" applyProtection="0">
      <alignment vertical="center"/>
    </xf>
    <xf numFmtId="210" fontId="60" fillId="0" borderId="0"/>
    <xf numFmtId="190" fontId="60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35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71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68" fontId="58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71" fillId="0" borderId="0"/>
    <xf numFmtId="210" fontId="71" fillId="0" borderId="0"/>
    <xf numFmtId="210" fontId="57" fillId="30" borderId="0" applyNumberFormat="0" applyBorder="0" applyAlignment="0" applyProtection="0"/>
    <xf numFmtId="210" fontId="67" fillId="0" borderId="0"/>
    <xf numFmtId="210" fontId="60" fillId="0" borderId="0"/>
    <xf numFmtId="210" fontId="71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9" fillId="38" borderId="0" applyNumberFormat="0" applyBorder="0" applyAlignment="0" applyProtection="0"/>
    <xf numFmtId="210" fontId="60" fillId="0" borderId="0"/>
    <xf numFmtId="210" fontId="60" fillId="0" borderId="0"/>
    <xf numFmtId="210" fontId="59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198" fontId="67" fillId="0" borderId="0" applyFont="0" applyFill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3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139" fillId="4" borderId="70" applyNumberFormat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57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30" fillId="0" borderId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22" fontId="62" fillId="0" borderId="0" applyFill="0" applyBorder="0" applyAlignment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32" fontId="60" fillId="0" borderId="0" applyFill="0" applyBorder="0" applyAlignment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160" fillId="49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9" fontId="3" fillId="0" borderId="0" applyFont="0" applyFill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7" fillId="38" borderId="0" applyNumberFormat="0" applyBorder="0" applyAlignment="0" applyProtection="0">
      <alignment vertical="center"/>
    </xf>
    <xf numFmtId="210" fontId="67" fillId="38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6" fillId="0" borderId="0"/>
    <xf numFmtId="210" fontId="66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40" fontId="30" fillId="0" borderId="0" applyFont="0" applyFill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20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7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9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57" fillId="30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81" fillId="32" borderId="70" applyNumberFormat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1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215" fillId="0" borderId="0" applyNumberForma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70" fillId="0" borderId="65" applyNumberFormat="0" applyFill="0" applyAlignment="0" applyProtection="0"/>
    <xf numFmtId="210" fontId="60" fillId="0" borderId="0"/>
    <xf numFmtId="210" fontId="60" fillId="0" borderId="0"/>
    <xf numFmtId="210" fontId="67" fillId="35" borderId="0" applyNumberFormat="0" applyBorder="0" applyAlignment="0" applyProtection="0">
      <alignment vertical="center"/>
    </xf>
    <xf numFmtId="210" fontId="60" fillId="0" borderId="0"/>
    <xf numFmtId="15" fontId="86" fillId="0" borderId="0" applyFont="0" applyFill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00" fontId="60" fillId="0" borderId="0" applyFont="0" applyFill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43" fontId="58" fillId="0" borderId="0" applyFont="0" applyFill="0" applyBorder="0" applyAlignment="0" applyProtection="0">
      <alignment vertical="center"/>
    </xf>
    <xf numFmtId="210" fontId="67" fillId="52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10" fillId="0" borderId="0" applyNumberFormat="0" applyFill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102" fillId="0" borderId="74" applyNumberFormat="0" applyFill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3" fillId="35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257" fillId="0" borderId="0" applyNumberFormat="0" applyFill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157" fillId="32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3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7" fillId="31" borderId="0" applyNumberFormat="0" applyBorder="0" applyAlignment="0" applyProtection="0">
      <alignment vertical="center"/>
    </xf>
    <xf numFmtId="210" fontId="60" fillId="0" borderId="0"/>
    <xf numFmtId="210" fontId="3" fillId="0" borderId="0"/>
    <xf numFmtId="210" fontId="3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00" fontId="60" fillId="0" borderId="0" applyFont="0" applyFill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9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3" fillId="35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3" fillId="66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66" borderId="75" applyNumberFormat="0" applyFont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00" fontId="3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30" fillId="0" borderId="0">
      <alignment vertical="center"/>
    </xf>
    <xf numFmtId="210" fontId="67" fillId="48" borderId="0" applyNumberFormat="0" applyBorder="0" applyAlignment="0" applyProtection="0">
      <alignment vertical="center"/>
    </xf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9" fillId="84" borderId="0" applyNumberFormat="0" applyBorder="0" applyAlignment="0" applyProtection="0"/>
    <xf numFmtId="210" fontId="60" fillId="0" borderId="0"/>
    <xf numFmtId="210" fontId="97" fillId="0" borderId="0" applyNumberForma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58" fillId="0" borderId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97" fillId="0" borderId="0" applyNumberFormat="0" applyFill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0" fillId="0" borderId="0">
      <alignment wrapText="1"/>
    </xf>
    <xf numFmtId="210" fontId="58" fillId="0" borderId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7" fillId="0" borderId="0"/>
    <xf numFmtId="210" fontId="67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9" fillId="86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9" fillId="86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3" fillId="4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210" fillId="50" borderId="73" applyNumberFormat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118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99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260" fillId="0" borderId="0" applyNumberFormat="0" applyFill="0" applyBorder="0" applyAlignment="0" applyProtection="0">
      <alignment horizont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160" fillId="85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7" fillId="35" borderId="0" applyNumberFormat="0" applyBorder="0" applyAlignment="0" applyProtection="0">
      <alignment vertical="center"/>
    </xf>
    <xf numFmtId="210" fontId="60" fillId="0" borderId="0"/>
    <xf numFmtId="210" fontId="158" fillId="50" borderId="70" applyNumberFormat="0" applyAlignment="0" applyProtection="0"/>
    <xf numFmtId="210" fontId="99" fillId="0" borderId="0"/>
    <xf numFmtId="210" fontId="99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38" fontId="131" fillId="0" borderId="0" applyFill="0" applyBorder="0" applyAlignment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198" fontId="67" fillId="0" borderId="0" applyFont="0" applyFill="0" applyBorder="0" applyAlignment="0" applyProtection="0">
      <alignment vertical="center"/>
    </xf>
    <xf numFmtId="210" fontId="60" fillId="0" borderId="0"/>
    <xf numFmtId="190" fontId="60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123" fillId="8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 applyFon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39" fillId="4" borderId="70" applyNumberFormat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119" fillId="30" borderId="0" applyNumberFormat="0" applyBorder="0" applyAlignment="0" applyProtection="0">
      <alignment vertical="center"/>
    </xf>
    <xf numFmtId="210" fontId="60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81" fillId="32" borderId="70" applyNumberFormat="0" applyAlignment="0" applyProtection="0"/>
    <xf numFmtId="210" fontId="61" fillId="31" borderId="0" applyNumberFormat="0" applyBorder="0" applyAlignment="0" applyProtection="0"/>
    <xf numFmtId="210" fontId="60" fillId="0" borderId="0"/>
    <xf numFmtId="210" fontId="79" fillId="7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100" fillId="4" borderId="73" applyNumberFormat="0" applyAlignment="0" applyProtection="0"/>
    <xf numFmtId="210" fontId="123" fillId="8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66" borderId="75" applyNumberFormat="0" applyFont="0" applyAlignment="0" applyProtection="0"/>
    <xf numFmtId="210" fontId="57" fillId="30" borderId="0" applyNumberFormat="0" applyBorder="0" applyAlignment="0" applyProtection="0"/>
    <xf numFmtId="210" fontId="60" fillId="0" borderId="0"/>
    <xf numFmtId="210" fontId="133" fillId="0" borderId="74" applyNumberFormat="0" applyFill="0" applyAlignment="0" applyProtection="0"/>
    <xf numFmtId="210" fontId="67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9" fillId="62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3" fillId="32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162" fillId="0" borderId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7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99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9" fillId="0" borderId="0"/>
    <xf numFmtId="210" fontId="60" fillId="0" borderId="0"/>
    <xf numFmtId="210" fontId="256" fillId="0" borderId="0" applyNumberFormat="0" applyFill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7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3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9" fillId="49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1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168" fillId="0" borderId="87" applyNumberFormat="0" applyFill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66" borderId="75" applyNumberFormat="0" applyFont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136" fillId="125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66" borderId="75" applyNumberFormat="0" applyFont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9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162" fillId="0" borderId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85" fillId="0" borderId="71" applyNumberFormat="0" applyFill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85" fillId="0" borderId="71" applyNumberFormat="0" applyFill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66" borderId="75" applyNumberFormat="0" applyFont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54" fontId="60" fillId="0" borderId="0"/>
    <xf numFmtId="210" fontId="62" fillId="0" borderId="0"/>
    <xf numFmtId="210" fontId="60" fillId="0" borderId="0"/>
    <xf numFmtId="210" fontId="79" fillId="62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79" fillId="58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7" fillId="52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198" fontId="67" fillId="0" borderId="0" applyFont="0" applyFill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3" fillId="4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248" fillId="0" borderId="0" applyNumberForma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66" borderId="75" applyNumberFormat="0" applyFont="0" applyAlignment="0" applyProtection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79" fillId="48" borderId="0" applyNumberFormat="0" applyBorder="0" applyAlignment="0" applyProtection="0"/>
    <xf numFmtId="210" fontId="60" fillId="0" borderId="0"/>
    <xf numFmtId="210" fontId="67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79" fillId="7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9" fillId="7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98" fillId="0" borderId="0">
      <alignment vertical="top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79" fillId="95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80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30" fillId="0" borderId="0">
      <alignment vertical="center"/>
    </xf>
    <xf numFmtId="210" fontId="67" fillId="60" borderId="0" applyNumberFormat="0" applyBorder="0" applyAlignment="0" applyProtection="0">
      <alignment vertical="center"/>
    </xf>
    <xf numFmtId="210" fontId="60" fillId="0" borderId="0"/>
    <xf numFmtId="210" fontId="67" fillId="35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09" fillId="0" borderId="0" applyNumberFormat="0" applyFill="0" applyBorder="0" applyAlignment="0" applyProtection="0"/>
    <xf numFmtId="210" fontId="60" fillId="0" borderId="0"/>
    <xf numFmtId="210" fontId="100" fillId="4" borderId="73" applyNumberFormat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6" fillId="0" borderId="0"/>
    <xf numFmtId="210" fontId="66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9" fillId="92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266" fillId="8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119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96" fillId="49" borderId="0" applyNumberFormat="0" applyBorder="0" applyAlignment="0" applyProtection="0">
      <alignment vertical="center"/>
    </xf>
    <xf numFmtId="210" fontId="60" fillId="0" borderId="0"/>
    <xf numFmtId="210" fontId="59" fillId="84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30" fillId="0" borderId="0">
      <alignment vertical="center"/>
    </xf>
    <xf numFmtId="210" fontId="67" fillId="4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3" fillId="6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9" fillId="5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00" fontId="60" fillId="0" borderId="0" applyFont="0" applyFill="0" applyBorder="0" applyAlignment="0" applyProtection="0"/>
    <xf numFmtId="210" fontId="67" fillId="52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30" fillId="0" borderId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81" fillId="32" borderId="70" applyNumberFormat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58" fontId="236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97" fillId="0" borderId="0" applyNumberFormat="0" applyFill="0" applyBorder="0" applyAlignment="0" applyProtection="0"/>
    <xf numFmtId="210" fontId="60" fillId="0" borderId="0"/>
    <xf numFmtId="210" fontId="97" fillId="0" borderId="0" applyNumberFormat="0" applyFill="0" applyBorder="0" applyAlignment="0" applyProtection="0"/>
    <xf numFmtId="210" fontId="97" fillId="0" borderId="0" applyNumberFormat="0" applyFill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3" fillId="32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181" fontId="131" fillId="0" borderId="0" applyFill="0" applyBorder="0" applyAlignment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79" fillId="52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44" fontId="146" fillId="0" borderId="0" applyFill="0" applyBorder="0" applyAlignment="0"/>
    <xf numFmtId="210" fontId="60" fillId="0" borderId="0"/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60" fillId="0" borderId="0"/>
    <xf numFmtId="210" fontId="60" fillId="0" borderId="0"/>
    <xf numFmtId="210" fontId="60" fillId="0" borderId="0"/>
    <xf numFmtId="210" fontId="106" fillId="0" borderId="72" applyNumberFormat="0" applyFill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66" borderId="75" applyNumberFormat="0" applyFont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126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00" fontId="59" fillId="0" borderId="0" applyFont="0" applyFill="0" applyBorder="0" applyAlignment="0" applyProtection="0"/>
    <xf numFmtId="210" fontId="60" fillId="0" borderId="0"/>
    <xf numFmtId="181" fontId="131" fillId="0" borderId="0" applyFill="0" applyBorder="0" applyAlignment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198" fontId="67" fillId="0" borderId="0" applyFont="0" applyFill="0" applyBorder="0" applyAlignment="0" applyProtection="0">
      <alignment vertical="center"/>
    </xf>
    <xf numFmtId="210" fontId="3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26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206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71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8" fillId="0" borderId="0"/>
    <xf numFmtId="210" fontId="69" fillId="52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3" fillId="48" borderId="0" applyNumberFormat="0" applyBorder="0" applyAlignment="0" applyProtection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133" fillId="0" borderId="74" applyNumberFormat="0" applyFill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111" fillId="0" borderId="0" applyNumberFormat="0" applyFill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99" fillId="0" borderId="0"/>
    <xf numFmtId="210" fontId="99" fillId="0" borderId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00" fillId="4" borderId="73" applyNumberFormat="0" applyAlignment="0" applyProtection="0"/>
    <xf numFmtId="210" fontId="60" fillId="0" borderId="0"/>
    <xf numFmtId="210" fontId="60" fillId="0" borderId="0"/>
    <xf numFmtId="210" fontId="60" fillId="0" borderId="0"/>
    <xf numFmtId="210" fontId="226" fillId="0" borderId="92" applyNumberFormat="0" applyFill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72" fontId="72" fillId="0" borderId="0" applyFont="0" applyFill="0" applyBorder="0" applyAlignment="0" applyProtection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60" fillId="0" borderId="0"/>
    <xf numFmtId="210" fontId="60" fillId="0" borderId="0"/>
    <xf numFmtId="210" fontId="160" fillId="7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86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79" fillId="39" borderId="0" applyNumberFormat="0" applyBorder="0" applyAlignment="0" applyProtection="0"/>
    <xf numFmtId="210" fontId="60" fillId="0" borderId="0"/>
    <xf numFmtId="210" fontId="99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190" fontId="59" fillId="0" borderId="0" applyFon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188" fillId="50" borderId="73" applyNumberFormat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9" fillId="86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101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9" fillId="52" borderId="0" applyNumberFormat="0" applyBorder="0" applyAlignment="0" applyProtection="0"/>
    <xf numFmtId="210" fontId="139" fillId="4" borderId="70" applyNumberFormat="0" applyAlignment="0" applyProtection="0"/>
    <xf numFmtId="210" fontId="60" fillId="0" borderId="0"/>
    <xf numFmtId="210" fontId="60" fillId="0" borderId="0"/>
    <xf numFmtId="210" fontId="71" fillId="0" borderId="0"/>
    <xf numFmtId="210" fontId="60" fillId="0" borderId="0"/>
    <xf numFmtId="210" fontId="6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188" fontId="146" fillId="0" borderId="0"/>
    <xf numFmtId="188" fontId="146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81" fillId="32" borderId="70" applyNumberFormat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99" applyNumberFormat="0" applyFont="0" applyFill="0" applyBorder="0" applyProtection="0">
      <alignment horizontal="center" vertical="center" wrapText="1"/>
    </xf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74" fontId="60" fillId="0" borderId="0" applyNumberFormat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26" fontId="215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00" fontId="62" fillId="0" borderId="0" applyFill="0" applyBorder="0" applyAlignment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80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00" fontId="60" fillId="0" borderId="0" applyFont="0" applyFill="0" applyBorder="0" applyAlignment="0" applyProtection="0"/>
    <xf numFmtId="210" fontId="60" fillId="0" borderId="0"/>
    <xf numFmtId="210" fontId="60" fillId="0" borderId="0"/>
    <xf numFmtId="210" fontId="66" fillId="0" borderId="0"/>
    <xf numFmtId="210" fontId="66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9" fontId="59" fillId="0" borderId="0" applyFont="0" applyFill="0" applyBorder="0" applyAlignment="0" applyProtection="0">
      <alignment vertical="center"/>
    </xf>
    <xf numFmtId="210" fontId="60" fillId="0" borderId="0"/>
    <xf numFmtId="210" fontId="59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7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88" fillId="104" borderId="85" applyNumberFormat="0" applyAlignment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2" fillId="0" borderId="0"/>
    <xf numFmtId="210" fontId="111" fillId="0" borderId="0" applyNumberFormat="0" applyFill="0" applyBorder="0" applyAlignment="0" applyProtection="0">
      <alignment vertical="center"/>
    </xf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158" fillId="50" borderId="70" applyNumberFormat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70" fillId="0" borderId="65" applyNumberFormat="0" applyFill="0" applyAlignment="0" applyProtection="0"/>
    <xf numFmtId="210" fontId="60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79" fillId="58" borderId="0" applyNumberFormat="0" applyBorder="0" applyAlignment="0" applyProtection="0"/>
    <xf numFmtId="210" fontId="62" fillId="0" borderId="0"/>
    <xf numFmtId="210" fontId="231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97" fillId="0" borderId="0" applyNumberFormat="0" applyFill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9" fontId="86" fillId="0" borderId="96" applyNumberFormat="0" applyBorder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190" fontId="60" fillId="0" borderId="0" applyFont="0" applyFill="0" applyBorder="0" applyAlignment="0" applyProtection="0"/>
    <xf numFmtId="210" fontId="60" fillId="0" borderId="0"/>
    <xf numFmtId="210" fontId="60" fillId="0" borderId="0"/>
    <xf numFmtId="210" fontId="97" fillId="0" borderId="0" applyNumberFormat="0" applyFill="0" applyBorder="0" applyAlignment="0" applyProtection="0"/>
    <xf numFmtId="210" fontId="97" fillId="0" borderId="0" applyNumberForma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97" fillId="0" borderId="0" applyNumberFormat="0" applyFill="0" applyBorder="0" applyAlignment="0" applyProtection="0"/>
    <xf numFmtId="190" fontId="59" fillId="0" borderId="0" applyFont="0" applyFill="0" applyBorder="0" applyAlignment="0" applyProtection="0"/>
    <xf numFmtId="210" fontId="97" fillId="0" borderId="0" applyNumberFormat="0" applyFill="0" applyBorder="0" applyAlignment="0" applyProtection="0"/>
    <xf numFmtId="210" fontId="60" fillId="0" borderId="0"/>
    <xf numFmtId="210" fontId="62" fillId="0" borderId="0"/>
    <xf numFmtId="210" fontId="3" fillId="4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9" fillId="0" borderId="0"/>
    <xf numFmtId="210" fontId="67" fillId="0" borderId="0"/>
    <xf numFmtId="210" fontId="67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177" fontId="60" fillId="0" borderId="0" applyFont="0" applyFill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03" fontId="60" fillId="0" borderId="0" applyFont="0" applyFill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97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0" fillId="0" borderId="0"/>
    <xf numFmtId="210" fontId="71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97" fillId="0" borderId="0" applyNumberFormat="0" applyFill="0" applyBorder="0" applyAlignment="0" applyProtection="0"/>
    <xf numFmtId="210" fontId="79" fillId="10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3" fillId="66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99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1" fontId="60" fillId="0" borderId="12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201" fillId="0" borderId="0" applyNumberFormat="0" applyFill="0" applyBorder="0" applyAlignment="0" applyProtection="0"/>
    <xf numFmtId="210" fontId="60" fillId="0" borderId="0"/>
    <xf numFmtId="210" fontId="60" fillId="0" borderId="0" applyAlignment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59" fillId="0" borderId="0"/>
    <xf numFmtId="189" fontId="60" fillId="0" borderId="0" applyFont="0" applyFill="0" applyBorder="0" applyAlignment="0" applyProtection="0"/>
    <xf numFmtId="210" fontId="88" fillId="104" borderId="85" applyNumberFormat="0" applyAlignment="0"/>
    <xf numFmtId="210" fontId="88" fillId="104" borderId="85" applyNumberFormat="0" applyAlignment="0"/>
    <xf numFmtId="210" fontId="88" fillId="104" borderId="85" applyNumberFormat="0" applyAlignment="0"/>
    <xf numFmtId="210" fontId="60" fillId="50" borderId="85" applyNumberFormat="0" applyFont="0" applyAlignment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88" borderId="75" applyNumberFormat="0" applyFont="0" applyAlignment="0"/>
    <xf numFmtId="210" fontId="67" fillId="41" borderId="0" applyNumberFormat="0" applyBorder="0" applyAlignment="0" applyProtection="0">
      <alignment vertical="center"/>
    </xf>
    <xf numFmtId="210" fontId="60" fillId="30" borderId="75" applyNumberFormat="0" applyFont="0" applyAlignment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71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47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7" fillId="30" borderId="0" applyNumberFormat="0" applyBorder="0" applyAlignment="0" applyProtection="0">
      <alignment vertical="center"/>
    </xf>
    <xf numFmtId="210" fontId="60" fillId="0" borderId="0"/>
    <xf numFmtId="210" fontId="6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71" fillId="0" borderId="0"/>
    <xf numFmtId="210" fontId="60" fillId="0" borderId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99" fillId="0" borderId="0"/>
    <xf numFmtId="210" fontId="59" fillId="0" borderId="0"/>
    <xf numFmtId="210" fontId="60" fillId="0" borderId="0"/>
    <xf numFmtId="210" fontId="62" fillId="0" borderId="0"/>
    <xf numFmtId="210" fontId="101" fillId="0" borderId="0"/>
    <xf numFmtId="210" fontId="71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215" fillId="0" borderId="0"/>
    <xf numFmtId="210" fontId="71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99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184" fontId="60" fillId="0" borderId="12"/>
    <xf numFmtId="210" fontId="62" fillId="0" borderId="0"/>
    <xf numFmtId="210" fontId="71" fillId="0" borderId="0"/>
    <xf numFmtId="210" fontId="71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97" fillId="0" borderId="0" applyNumberFormat="0" applyFill="0" applyBorder="0" applyAlignment="0" applyProtection="0"/>
    <xf numFmtId="210" fontId="3" fillId="35" borderId="0" applyNumberFormat="0" applyBorder="0" applyAlignment="0" applyProtection="0"/>
    <xf numFmtId="210" fontId="62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7" fillId="38" borderId="0" applyNumberFormat="0" applyBorder="0" applyAlignment="0" applyProtection="0">
      <alignment vertical="center"/>
    </xf>
    <xf numFmtId="210" fontId="59" fillId="38" borderId="0" applyNumberFormat="0" applyBorder="0" applyAlignment="0" applyProtection="0"/>
    <xf numFmtId="210" fontId="60" fillId="0" borderId="0"/>
    <xf numFmtId="210" fontId="67" fillId="38" borderId="0" applyNumberFormat="0" applyBorder="0" applyAlignment="0" applyProtection="0">
      <alignment vertical="center"/>
    </xf>
    <xf numFmtId="210" fontId="3" fillId="38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118" fillId="0" borderId="0" applyNumberFormat="0" applyAlignment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7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9" fillId="85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8" fillId="66" borderId="2" applyNumberFormat="0" applyFont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101" fillId="0" borderId="0"/>
    <xf numFmtId="210" fontId="268" fillId="0" borderId="0" applyNumberFormat="0" applyFill="0" applyBorder="0" applyAlignment="0" applyProtection="0">
      <alignment horizontal="left"/>
    </xf>
    <xf numFmtId="190" fontId="3" fillId="0" borderId="0" applyFont="0" applyFill="0" applyBorder="0" applyAlignment="0" applyProtection="0"/>
    <xf numFmtId="210" fontId="269" fillId="0" borderId="2" applyNumberFormat="0" applyFill="0" applyBorder="0" applyAlignment="0" applyProtection="0"/>
    <xf numFmtId="210" fontId="60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238" fillId="0" borderId="0" applyNumberFormat="0" applyFill="0" applyBorder="0" applyAlignment="0" applyProtection="0"/>
    <xf numFmtId="210" fontId="71" fillId="0" borderId="0"/>
    <xf numFmtId="277" fontId="86" fillId="0" borderId="0" applyFont="0" applyFill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99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81" fillId="32" borderId="70" applyNumberFormat="0" applyAlignment="0" applyProtection="0"/>
    <xf numFmtId="210" fontId="62" fillId="0" borderId="0"/>
    <xf numFmtId="210" fontId="62" fillId="0" borderId="0"/>
    <xf numFmtId="210" fontId="62" fillId="0" borderId="0"/>
    <xf numFmtId="210" fontId="129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62" fillId="0" borderId="0"/>
    <xf numFmtId="210" fontId="59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3" fillId="40" borderId="0" applyNumberFormat="0" applyBorder="0" applyAlignment="0" applyProtection="0"/>
    <xf numFmtId="210" fontId="62" fillId="0" borderId="0"/>
    <xf numFmtId="210" fontId="133" fillId="0" borderId="74" applyNumberFormat="0" applyFill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97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01" fillId="0" borderId="0"/>
    <xf numFmtId="210" fontId="60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99" fillId="0" borderId="0"/>
    <xf numFmtId="210" fontId="60" fillId="0" borderId="0"/>
    <xf numFmtId="210" fontId="59" fillId="0" borderId="0"/>
    <xf numFmtId="210" fontId="60" fillId="0" borderId="0"/>
    <xf numFmtId="1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7" fillId="52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98" fillId="0" borderId="0">
      <alignment vertical="top"/>
    </xf>
    <xf numFmtId="210" fontId="60" fillId="0" borderId="0"/>
    <xf numFmtId="210" fontId="62" fillId="0" borderId="0"/>
    <xf numFmtId="210" fontId="59" fillId="0" borderId="0"/>
    <xf numFmtId="210" fontId="101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01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01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9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184" fontId="60" fillId="0" borderId="12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82" fillId="0" borderId="0" applyNumberFormat="0" applyFill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82" fillId="0" borderId="0" applyNumberFormat="0" applyFill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7" fillId="35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189" fontId="60" fillId="0" borderId="0" applyFont="0" applyFill="0" applyBorder="0" applyAlignment="0" applyProtection="0"/>
    <xf numFmtId="210" fontId="62" fillId="0" borderId="0"/>
    <xf numFmtId="210" fontId="60" fillId="0" borderId="0"/>
    <xf numFmtId="210" fontId="59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0" fillId="0" borderId="0"/>
    <xf numFmtId="210" fontId="97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270" fillId="87" borderId="1" applyBorder="0">
      <alignment horizontal="center" vertical="center" wrapText="1"/>
      <protection locked="0"/>
    </xf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71" fillId="0" borderId="0"/>
    <xf numFmtId="210" fontId="60" fillId="0" borderId="0" applyNumberFormat="0" applyFill="0" applyBorder="0" applyAlignment="0" applyProtection="0"/>
    <xf numFmtId="210" fontId="100" fillId="4" borderId="73" applyNumberFormat="0" applyAlignment="0" applyProtection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40" fontId="198" fillId="0" borderId="0"/>
    <xf numFmtId="210" fontId="62" fillId="0" borderId="0"/>
    <xf numFmtId="210" fontId="61" fillId="31" borderId="0" applyNumberFormat="0" applyBorder="0" applyAlignment="0" applyProtection="0"/>
    <xf numFmtId="210" fontId="97" fillId="0" borderId="0" applyNumberFormat="0" applyFill="0" applyBorder="0" applyAlignment="0" applyProtection="0"/>
    <xf numFmtId="210" fontId="99" fillId="0" borderId="0"/>
    <xf numFmtId="210" fontId="62" fillId="0" borderId="0"/>
    <xf numFmtId="210" fontId="99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71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37" fontId="60" fillId="0" borderId="7"/>
    <xf numFmtId="250" fontId="146" fillId="0" borderId="0" applyFont="0" applyFill="0" applyBorder="0" applyAlignment="0" applyProtection="0"/>
    <xf numFmtId="210" fontId="60" fillId="0" borderId="0"/>
    <xf numFmtId="210" fontId="60" fillId="0" borderId="0"/>
    <xf numFmtId="210" fontId="62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7" fillId="0" borderId="0"/>
    <xf numFmtId="210" fontId="67" fillId="0" borderId="0"/>
    <xf numFmtId="210" fontId="254" fillId="87" borderId="83" applyNumberFormat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133" fillId="0" borderId="74" applyNumberFormat="0" applyFill="0" applyAlignment="0" applyProtection="0"/>
    <xf numFmtId="210" fontId="60" fillId="0" borderId="0"/>
    <xf numFmtId="210" fontId="60" fillId="0" borderId="0"/>
    <xf numFmtId="210" fontId="69" fillId="48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99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0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71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36" fontId="60" fillId="0" borderId="1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3" fillId="0" borderId="0"/>
    <xf numFmtId="210" fontId="3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9" fillId="0" borderId="0"/>
    <xf numFmtId="210" fontId="60" fillId="0" borderId="0"/>
    <xf numFmtId="210" fontId="62" fillId="0" borderId="0"/>
    <xf numFmtId="210" fontId="60" fillId="0" borderId="0"/>
    <xf numFmtId="210" fontId="60" fillId="66" borderId="75" applyNumberFormat="0" applyFont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82" fillId="0" borderId="0" applyNumberFormat="0" applyFill="0" applyBorder="0" applyAlignment="0" applyProtection="0"/>
    <xf numFmtId="210" fontId="60" fillId="0" borderId="0"/>
    <xf numFmtId="210" fontId="60" fillId="0" borderId="0"/>
    <xf numFmtId="210" fontId="59" fillId="38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102" fillId="0" borderId="74" applyNumberFormat="0" applyFill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79" fontId="3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9" fillId="29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82" fillId="0" borderId="0" applyNumberForma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171" fillId="0" borderId="0" applyNumberFormat="0" applyFill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168" fillId="0" borderId="87" applyNumberFormat="0" applyFill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7" fillId="52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160" fillId="39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4" fontId="233" fillId="118" borderId="94" applyNumberFormat="0" applyProtection="0">
      <alignment horizontal="left" vertical="center" indent="1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74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71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9" fontId="58" fillId="0" borderId="0" applyFon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139" fillId="4" borderId="70" applyNumberFormat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119" fillId="103" borderId="0" applyNumberFormat="0" applyBorder="0" applyAlignment="0" applyProtection="0"/>
    <xf numFmtId="210" fontId="30" fillId="0" borderId="0">
      <alignment vertical="center"/>
    </xf>
    <xf numFmtId="210" fontId="57" fillId="30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71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9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72" fillId="0" borderId="0">
      <alignment horizontal="center" wrapText="1"/>
      <protection locked="0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9" fontId="59" fillId="0" borderId="0" applyFon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71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162" fillId="0" borderId="0">
      <alignment vertical="center"/>
    </xf>
    <xf numFmtId="210" fontId="69" fillId="5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190" fontId="3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9" fillId="95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164" fillId="0" borderId="46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37" fontId="60" fillId="0" borderId="12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53" fillId="87" borderId="83" applyNumberFormat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19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6" fillId="0" borderId="0"/>
    <xf numFmtId="210" fontId="66" fillId="0" borderId="0"/>
    <xf numFmtId="210" fontId="60" fillId="0" borderId="0"/>
    <xf numFmtId="210" fontId="3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181" fontId="131" fillId="0" borderId="0" applyFont="0" applyFill="0" applyBorder="0" applyAlignment="0" applyProtection="0"/>
    <xf numFmtId="210" fontId="60" fillId="0" borderId="0"/>
    <xf numFmtId="191" fontId="127" fillId="0" borderId="0" applyFont="0" applyFill="0" applyBorder="0" applyAlignment="0" applyProtection="0"/>
    <xf numFmtId="210" fontId="60" fillId="0" borderId="0"/>
    <xf numFmtId="210" fontId="173" fillId="98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10" fillId="0" borderId="0" applyNumberForma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118" fillId="0" borderId="0"/>
    <xf numFmtId="210" fontId="60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272" fillId="50" borderId="70" applyNumberFormat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97" fillId="0" borderId="0" applyNumberForma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94" fillId="0" borderId="72" applyNumberFormat="0" applyFill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9" fillId="48" borderId="0" applyNumberFormat="0" applyBorder="0" applyAlignment="0" applyProtection="0">
      <alignment vertical="center"/>
    </xf>
    <xf numFmtId="210" fontId="97" fillId="0" borderId="0" applyNumberFormat="0" applyFill="0" applyBorder="0" applyAlignment="0" applyProtection="0"/>
    <xf numFmtId="210" fontId="60" fillId="66" borderId="75" applyNumberFormat="0" applyFont="0" applyAlignment="0" applyProtection="0"/>
    <xf numFmtId="210" fontId="97" fillId="0" borderId="0" applyNumberForma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207" fillId="0" borderId="0" applyNumberFormat="0" applyFill="0" applyBorder="0" applyAlignment="0" applyProtection="0"/>
    <xf numFmtId="210" fontId="60" fillId="0" borderId="0"/>
    <xf numFmtId="210" fontId="137" fillId="31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97" fillId="0" borderId="0" applyNumberFormat="0" applyFill="0" applyBorder="0" applyAlignment="0" applyProtection="0"/>
    <xf numFmtId="210" fontId="59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79" fillId="39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9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9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79" fillId="101" borderId="0" applyNumberFormat="0" applyBorder="0" applyAlignment="0" applyProtection="0"/>
    <xf numFmtId="210" fontId="59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39" fillId="4" borderId="70" applyNumberFormat="0" applyAlignment="0" applyProtection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79" fillId="62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3" fillId="66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160" fillId="85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01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01" fillId="0" borderId="0" applyBorder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71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80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18" fillId="0" borderId="0" applyNumberFormat="0" applyAlignment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7" fillId="6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7" fillId="32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9" fontId="59" fillId="0" borderId="0" applyFont="0" applyFill="0" applyBorder="0" applyAlignment="0" applyProtection="0"/>
    <xf numFmtId="210" fontId="60" fillId="0" borderId="0"/>
    <xf numFmtId="210" fontId="60" fillId="0" borderId="0"/>
    <xf numFmtId="210" fontId="69" fillId="4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37" fontId="118" fillId="8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96" fillId="7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71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9" fillId="4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118" fillId="0" borderId="0"/>
    <xf numFmtId="210" fontId="57" fillId="30" borderId="0" applyNumberFormat="0" applyBorder="0" applyAlignment="0" applyProtection="0"/>
    <xf numFmtId="210" fontId="118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31" fontId="86" fillId="0" borderId="0" applyFont="0" applyFill="0" applyBorder="0" applyAlignment="0" applyProtection="0"/>
    <xf numFmtId="210" fontId="62" fillId="0" borderId="0"/>
    <xf numFmtId="210" fontId="62" fillId="0" borderId="0"/>
    <xf numFmtId="210" fontId="79" fillId="48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9" fillId="0" borderId="0"/>
    <xf numFmtId="210" fontId="62" fillId="0" borderId="0"/>
    <xf numFmtId="210" fontId="62" fillId="0" borderId="0"/>
    <xf numFmtId="210" fontId="101" fillId="0" borderId="0" applyBorder="0"/>
    <xf numFmtId="221" fontId="131" fillId="0" borderId="0" applyFon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101" fillId="0" borderId="0" applyNumberForma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36" fillId="123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80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184" fontId="60" fillId="0" borderId="12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162" fillId="0" borderId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9" fillId="4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9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18" fillId="0" borderId="0" applyNumberFormat="0" applyAlignment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137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38" fontId="131" fillId="0" borderId="0" applyFill="0" applyBorder="0" applyAlignment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9" fontId="59" fillId="0" borderId="0" applyFont="0" applyFill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0" fillId="0" borderId="0"/>
    <xf numFmtId="210" fontId="60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9" fontId="3" fillId="0" borderId="0" applyFont="0" applyFill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9" fontId="3" fillId="0" borderId="0" applyFont="0" applyFill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71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37" fontId="60" fillId="0" borderId="12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3" fillId="52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9" fillId="0" borderId="0"/>
    <xf numFmtId="210" fontId="67" fillId="0" borderId="0"/>
    <xf numFmtId="210" fontId="67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185" fillId="0" borderId="0" applyNumberFormat="0" applyFill="0" applyBorder="0" applyAlignment="0" applyProtection="0"/>
    <xf numFmtId="210" fontId="71" fillId="0" borderId="0"/>
    <xf numFmtId="283" fontId="131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71" fillId="0" borderId="0"/>
    <xf numFmtId="210" fontId="71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118" fillId="0" borderId="0" applyNumberFormat="0" applyAlignment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23" fillId="80" borderId="0" applyNumberFormat="0" applyBorder="0" applyAlignment="0" applyProtection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80" fillId="30" borderId="0" applyNumberFormat="0" applyBorder="0" applyAlignment="0" applyProtection="0"/>
    <xf numFmtId="210" fontId="101" fillId="0" borderId="0" applyBorder="0"/>
    <xf numFmtId="210" fontId="61" fillId="31" borderId="0" applyNumberFormat="0" applyBorder="0" applyAlignment="0" applyProtection="0"/>
    <xf numFmtId="210" fontId="71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55" fillId="89" borderId="0" applyNumberFormat="0" applyBorder="0" applyAlignment="0" applyProtection="0"/>
    <xf numFmtId="237" fontId="60" fillId="0" borderId="12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37" fontId="60" fillId="0" borderId="12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254" fillId="87" borderId="83" applyNumberFormat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157" fillId="102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79" fillId="62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3" fillId="52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3" fillId="35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7" fillId="66" borderId="75" applyNumberFormat="0" applyFont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79" fillId="5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14" fontId="72" fillId="0" borderId="0">
      <alignment horizontal="center" wrapText="1"/>
      <protection locked="0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102" fillId="0" borderId="74" applyNumberFormat="0" applyFill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275" fillId="0" borderId="0" applyNumberFormat="0" applyFill="0" applyBorder="0" applyAlignment="0" applyProtection="0">
      <alignment vertical="top"/>
      <protection locked="0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9" fillId="95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00" fontId="3" fillId="0" borderId="0" applyFont="0" applyFill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8" fillId="0" borderId="0"/>
    <xf numFmtId="210" fontId="6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168" fillId="0" borderId="87" applyNumberFormat="0" applyFill="0" applyAlignment="0" applyProtection="0">
      <alignment vertical="center"/>
    </xf>
    <xf numFmtId="210" fontId="79" fillId="7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160" fillId="95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02" fontId="62" fillId="0" borderId="0" applyFill="0" applyBorder="0" applyAlignment="0"/>
    <xf numFmtId="210" fontId="60" fillId="0" borderId="0"/>
    <xf numFmtId="210" fontId="30" fillId="0" borderId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00" fontId="60" fillId="0" borderId="0" applyFont="0" applyFill="0" applyBorder="0" applyAlignment="0" applyProtection="0"/>
    <xf numFmtId="210" fontId="60" fillId="0" borderId="0"/>
    <xf numFmtId="210" fontId="60" fillId="0" borderId="0"/>
    <xf numFmtId="210" fontId="162" fillId="0" borderId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3" fillId="35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158" fillId="50" borderId="70" applyNumberFormat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47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190" fontId="3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9" fillId="35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3" fillId="0" borderId="0"/>
    <xf numFmtId="210" fontId="67" fillId="0" borderId="0"/>
    <xf numFmtId="210" fontId="67" fillId="0" borderId="0"/>
    <xf numFmtId="210" fontId="60" fillId="0" borderId="0"/>
    <xf numFmtId="210" fontId="71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44" fontId="146" fillId="0" borderId="0" applyFill="0" applyBorder="0" applyAlignment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190" fontId="3" fillId="0" borderId="0" applyFon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9" fillId="38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 applyAlignment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100" fillId="50" borderId="73" applyNumberFormat="0" applyAlignment="0" applyProtection="0"/>
    <xf numFmtId="210" fontId="60" fillId="0" borderId="0"/>
    <xf numFmtId="210" fontId="109" fillId="0" borderId="0" applyNumberFormat="0" applyFill="0" applyBorder="0" applyAlignment="0" applyProtection="0"/>
    <xf numFmtId="210" fontId="237" fillId="119" borderId="81" applyNumberFormat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5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79" fillId="62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1" fontId="60" fillId="0" borderId="0"/>
    <xf numFmtId="210" fontId="61" fillId="31" borderId="0" applyNumberFormat="0" applyBorder="0" applyAlignment="0" applyProtection="0"/>
    <xf numFmtId="210" fontId="60" fillId="0" borderId="0"/>
    <xf numFmtId="210" fontId="69" fillId="4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218" fillId="0" borderId="71" applyNumberFormat="0" applyFill="0" applyAlignment="0" applyProtection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7" fillId="48" borderId="0" applyNumberFormat="0" applyBorder="0" applyAlignment="0" applyProtection="0">
      <alignment vertical="center"/>
    </xf>
    <xf numFmtId="210" fontId="60" fillId="0" borderId="0"/>
    <xf numFmtId="210" fontId="58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97" fillId="0" borderId="0" applyNumberForma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86" fillId="0" borderId="0"/>
    <xf numFmtId="210" fontId="60" fillId="0" borderId="0"/>
    <xf numFmtId="210" fontId="60" fillId="0" borderId="0" applyAlignment="0"/>
    <xf numFmtId="210" fontId="61" fillId="31" borderId="0" applyNumberFormat="0" applyBorder="0" applyAlignment="0" applyProtection="0">
      <alignment vertical="center"/>
    </xf>
    <xf numFmtId="210" fontId="86" fillId="0" borderId="0"/>
    <xf numFmtId="210" fontId="85" fillId="0" borderId="71" applyNumberFormat="0" applyFill="0" applyAlignment="0" applyProtection="0">
      <alignment vertical="center"/>
    </xf>
    <xf numFmtId="210" fontId="60" fillId="0" borderId="0" applyAlignment="0"/>
    <xf numFmtId="210" fontId="100" fillId="4" borderId="73" applyNumberFormat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79" fillId="85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158" fillId="50" borderId="70" applyNumberFormat="0" applyAlignment="0" applyProtection="0"/>
    <xf numFmtId="210" fontId="60" fillId="0" borderId="0"/>
    <xf numFmtId="210" fontId="97" fillId="0" borderId="0" applyNumberFormat="0" applyFill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97" fillId="0" borderId="0" applyNumberFormat="0" applyFill="0" applyBorder="0" applyAlignment="0" applyProtection="0"/>
    <xf numFmtId="210" fontId="98" fillId="0" borderId="0">
      <alignment vertical="top"/>
    </xf>
    <xf numFmtId="210" fontId="98" fillId="0" borderId="0">
      <alignment vertical="top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98" fillId="0" borderId="0">
      <alignment vertical="top"/>
    </xf>
    <xf numFmtId="210" fontId="98" fillId="0" borderId="0">
      <alignment vertical="top"/>
    </xf>
    <xf numFmtId="210" fontId="98" fillId="0" borderId="0">
      <alignment vertical="top"/>
    </xf>
    <xf numFmtId="210" fontId="98" fillId="0" borderId="0">
      <alignment vertical="top"/>
    </xf>
    <xf numFmtId="210" fontId="98" fillId="0" borderId="0">
      <alignment vertical="top"/>
    </xf>
    <xf numFmtId="210" fontId="98" fillId="0" borderId="0">
      <alignment vertical="top"/>
    </xf>
    <xf numFmtId="210" fontId="59" fillId="0" borderId="0"/>
    <xf numFmtId="210" fontId="61" fillId="31" borderId="0" applyNumberFormat="0" applyBorder="0" applyAlignment="0" applyProtection="0">
      <alignment vertical="center"/>
    </xf>
    <xf numFmtId="210" fontId="98" fillId="0" borderId="0">
      <alignment vertical="top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98" fillId="0" borderId="0">
      <alignment vertical="top"/>
    </xf>
    <xf numFmtId="210" fontId="57" fillId="30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98" fillId="0" borderId="0">
      <alignment vertical="top"/>
    </xf>
    <xf numFmtId="210" fontId="57" fillId="30" borderId="0" applyNumberFormat="0" applyBorder="0" applyAlignment="0" applyProtection="0">
      <alignment vertical="center"/>
    </xf>
    <xf numFmtId="210" fontId="98" fillId="0" borderId="0">
      <alignment vertical="top"/>
    </xf>
    <xf numFmtId="210" fontId="57" fillId="30" borderId="0" applyNumberFormat="0" applyBorder="0" applyAlignment="0" applyProtection="0"/>
    <xf numFmtId="210" fontId="98" fillId="0" borderId="0">
      <alignment vertical="top"/>
    </xf>
    <xf numFmtId="210" fontId="98" fillId="0" borderId="0">
      <alignment vertical="top"/>
    </xf>
    <xf numFmtId="210" fontId="98" fillId="0" borderId="0">
      <alignment vertical="top"/>
    </xf>
    <xf numFmtId="210" fontId="98" fillId="0" borderId="0">
      <alignment vertical="top"/>
    </xf>
    <xf numFmtId="210" fontId="61" fillId="31" borderId="0" applyNumberFormat="0" applyBorder="0" applyAlignment="0" applyProtection="0">
      <alignment vertical="center"/>
    </xf>
    <xf numFmtId="210" fontId="98" fillId="0" borderId="0">
      <alignment vertical="top"/>
    </xf>
    <xf numFmtId="210" fontId="98" fillId="0" borderId="0">
      <alignment vertical="top"/>
    </xf>
    <xf numFmtId="210" fontId="57" fillId="30" borderId="0" applyNumberFormat="0" applyBorder="0" applyAlignment="0" applyProtection="0">
      <alignment vertical="center"/>
    </xf>
    <xf numFmtId="210" fontId="98" fillId="0" borderId="0">
      <alignment vertical="top"/>
    </xf>
    <xf numFmtId="210" fontId="98" fillId="0" borderId="0">
      <alignment vertical="top"/>
    </xf>
    <xf numFmtId="210" fontId="98" fillId="0" borderId="0">
      <alignment vertical="top"/>
    </xf>
    <xf numFmtId="210" fontId="98" fillId="0" borderId="0">
      <alignment vertical="top"/>
    </xf>
    <xf numFmtId="9" fontId="59" fillId="0" borderId="0" applyFont="0" applyFill="0" applyBorder="0" applyAlignment="0" applyProtection="0"/>
    <xf numFmtId="210" fontId="67" fillId="0" borderId="0"/>
    <xf numFmtId="210" fontId="67" fillId="0" borderId="0"/>
    <xf numFmtId="38" fontId="86" fillId="0" borderId="106">
      <alignment vertical="center"/>
    </xf>
    <xf numFmtId="210" fontId="98" fillId="0" borderId="0">
      <alignment vertical="top"/>
    </xf>
    <xf numFmtId="210" fontId="57" fillId="30" borderId="0" applyNumberFormat="0" applyBorder="0" applyAlignment="0" applyProtection="0"/>
    <xf numFmtId="210" fontId="98" fillId="0" borderId="0">
      <alignment vertical="top"/>
    </xf>
    <xf numFmtId="210" fontId="98" fillId="0" borderId="0">
      <alignment vertical="top"/>
    </xf>
    <xf numFmtId="210" fontId="98" fillId="0" borderId="0">
      <alignment vertical="top"/>
    </xf>
    <xf numFmtId="210" fontId="57" fillId="30" borderId="0" applyNumberFormat="0" applyBorder="0" applyAlignment="0" applyProtection="0">
      <alignment vertical="center"/>
    </xf>
    <xf numFmtId="210" fontId="98" fillId="0" borderId="0">
      <alignment vertical="top"/>
    </xf>
    <xf numFmtId="210" fontId="98" fillId="0" borderId="0">
      <alignment vertical="top"/>
    </xf>
    <xf numFmtId="210" fontId="98" fillId="0" borderId="0">
      <alignment vertical="top"/>
    </xf>
    <xf numFmtId="210" fontId="57" fillId="30" borderId="0" applyNumberFormat="0" applyBorder="0" applyAlignment="0" applyProtection="0"/>
    <xf numFmtId="210" fontId="118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1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18" fillId="0" borderId="0"/>
    <xf numFmtId="210" fontId="61" fillId="31" borderId="0" applyNumberFormat="0" applyBorder="0" applyAlignment="0" applyProtection="0">
      <alignment vertical="center"/>
    </xf>
    <xf numFmtId="210" fontId="118" fillId="0" borderId="0"/>
    <xf numFmtId="210" fontId="61" fillId="31" borderId="0" applyNumberFormat="0" applyBorder="0" applyAlignment="0" applyProtection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10" fontId="118" fillId="0" borderId="0"/>
    <xf numFmtId="210" fontId="118" fillId="0" borderId="0"/>
    <xf numFmtId="210" fontId="57" fillId="30" borderId="0" applyNumberFormat="0" applyBorder="0" applyAlignment="0" applyProtection="0"/>
    <xf numFmtId="210" fontId="118" fillId="0" borderId="0"/>
    <xf numFmtId="210" fontId="118" fillId="0" borderId="0"/>
    <xf numFmtId="210" fontId="61" fillId="31" borderId="0" applyNumberFormat="0" applyBorder="0" applyAlignment="0" applyProtection="0"/>
    <xf numFmtId="210" fontId="11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18" fillId="0" borderId="0"/>
    <xf numFmtId="210" fontId="179" fillId="0" borderId="0" applyNumberFormat="0" applyFill="0" applyBorder="0" applyAlignment="0" applyProtection="0"/>
    <xf numFmtId="210" fontId="118" fillId="0" borderId="0"/>
    <xf numFmtId="210" fontId="61" fillId="31" borderId="0" applyNumberFormat="0" applyBorder="0" applyAlignment="0" applyProtection="0"/>
    <xf numFmtId="210" fontId="11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18" fillId="0" borderId="0"/>
    <xf numFmtId="210" fontId="118" fillId="0" borderId="0"/>
    <xf numFmtId="210" fontId="57" fillId="30" borderId="0" applyNumberFormat="0" applyBorder="0" applyAlignment="0" applyProtection="0"/>
    <xf numFmtId="210" fontId="3" fillId="31" borderId="0" applyNumberFormat="0" applyBorder="0" applyAlignment="0" applyProtection="0"/>
    <xf numFmtId="210" fontId="118" fillId="0" borderId="0"/>
    <xf numFmtId="210" fontId="118" fillId="0" borderId="0"/>
    <xf numFmtId="210" fontId="118" fillId="0" borderId="0"/>
    <xf numFmtId="210" fontId="60" fillId="0" borderId="0"/>
    <xf numFmtId="210" fontId="58" fillId="0" borderId="0"/>
    <xf numFmtId="210" fontId="118" fillId="0" borderId="0"/>
    <xf numFmtId="210" fontId="118" fillId="0" borderId="0"/>
    <xf numFmtId="210" fontId="61" fillId="31" borderId="0" applyNumberFormat="0" applyBorder="0" applyAlignment="0" applyProtection="0"/>
    <xf numFmtId="210" fontId="118" fillId="0" borderId="0"/>
    <xf numFmtId="210" fontId="118" fillId="0" borderId="0"/>
    <xf numFmtId="210" fontId="118" fillId="0" borderId="0"/>
    <xf numFmtId="210" fontId="118" fillId="0" borderId="0"/>
    <xf numFmtId="210" fontId="118" fillId="0" borderId="0"/>
    <xf numFmtId="210" fontId="118" fillId="0" borderId="0"/>
    <xf numFmtId="210" fontId="118" fillId="0" borderId="0"/>
    <xf numFmtId="210" fontId="118" fillId="0" borderId="0"/>
    <xf numFmtId="210" fontId="57" fillId="30" borderId="0" applyNumberFormat="0" applyBorder="0" applyAlignment="0" applyProtection="0">
      <alignment vertical="center"/>
    </xf>
    <xf numFmtId="210" fontId="118" fillId="0" borderId="0"/>
    <xf numFmtId="210" fontId="61" fillId="31" borderId="0" applyNumberFormat="0" applyBorder="0" applyAlignment="0" applyProtection="0"/>
    <xf numFmtId="210" fontId="118" fillId="0" borderId="0"/>
    <xf numFmtId="210" fontId="118" fillId="0" borderId="0"/>
    <xf numFmtId="210" fontId="61" fillId="31" borderId="0" applyNumberFormat="0" applyBorder="0" applyAlignment="0" applyProtection="0"/>
    <xf numFmtId="210" fontId="118" fillId="0" borderId="0"/>
    <xf numFmtId="210" fontId="11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18" fillId="0" borderId="0"/>
    <xf numFmtId="210" fontId="118" fillId="0" borderId="0"/>
    <xf numFmtId="210" fontId="57" fillId="30" borderId="0" applyNumberFormat="0" applyBorder="0" applyAlignment="0" applyProtection="0">
      <alignment vertical="center"/>
    </xf>
    <xf numFmtId="210" fontId="118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157" fillId="0" borderId="0"/>
    <xf numFmtId="210" fontId="59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97" fillId="0" borderId="0" applyNumberFormat="0" applyFill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66" borderId="75" applyNumberFormat="0" applyFont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7" fillId="32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3" fillId="66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79" fillId="58" borderId="0" applyNumberFormat="0" applyBorder="0" applyAlignment="0" applyProtection="0"/>
    <xf numFmtId="210" fontId="60" fillId="0" borderId="0"/>
    <xf numFmtId="210" fontId="101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62" fillId="0" borderId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59" fillId="35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158" fillId="50" borderId="70" applyNumberFormat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43" fontId="58" fillId="0" borderId="0" applyFont="0" applyFill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66" borderId="75" applyNumberFormat="0" applyFont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8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151" fillId="0" borderId="84" applyNumberFormat="0" applyFill="0" applyAlignment="0" applyProtection="0"/>
    <xf numFmtId="210" fontId="62" fillId="0" borderId="0"/>
    <xf numFmtId="210" fontId="71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71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98" fillId="0" borderId="0">
      <alignment vertical="top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71" fillId="0" borderId="0"/>
    <xf numFmtId="210" fontId="62" fillId="0" borderId="0"/>
    <xf numFmtId="210" fontId="62" fillId="0" borderId="0"/>
    <xf numFmtId="210" fontId="99" fillId="0" borderId="0"/>
    <xf numFmtId="210" fontId="60" fillId="0" borderId="0"/>
    <xf numFmtId="210" fontId="60" fillId="0" borderId="0"/>
    <xf numFmtId="210" fontId="60" fillId="0" borderId="0"/>
    <xf numFmtId="210" fontId="67" fillId="6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0" fillId="0" borderId="0"/>
    <xf numFmtId="210" fontId="3" fillId="0" borderId="0"/>
    <xf numFmtId="210" fontId="162" fillId="0" borderId="0"/>
    <xf numFmtId="210" fontId="60" fillId="0" borderId="0"/>
    <xf numFmtId="210" fontId="60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279" fillId="119" borderId="66" applyNumberFormat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71" fillId="0" borderId="0"/>
    <xf numFmtId="210" fontId="71" fillId="0" borderId="0"/>
    <xf numFmtId="210" fontId="94" fillId="0" borderId="72" applyNumberFormat="0" applyFill="0" applyAlignment="0" applyProtection="0">
      <alignment vertical="center"/>
    </xf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 applyAlignment="0"/>
    <xf numFmtId="210" fontId="86" fillId="0" borderId="0"/>
    <xf numFmtId="210" fontId="60" fillId="0" borderId="0" applyAlignment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9" fillId="86" borderId="0" applyNumberFormat="0" applyBorder="0" applyAlignment="0" applyProtection="0"/>
    <xf numFmtId="210" fontId="60" fillId="0" borderId="0"/>
    <xf numFmtId="210" fontId="60" fillId="0" borderId="0"/>
    <xf numFmtId="210" fontId="67" fillId="4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190" fontId="59" fillId="0" borderId="0" applyFon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3" fillId="40" borderId="0" applyNumberFormat="0" applyBorder="0" applyAlignment="0" applyProtection="0"/>
    <xf numFmtId="210" fontId="60" fillId="0" borderId="0"/>
    <xf numFmtId="236" fontId="60" fillId="0" borderId="1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162" fillId="0" borderId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9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49" fontId="60" fillId="0" borderId="0" applyFill="0" applyBorder="0" applyAlignment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29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121" fillId="0" borderId="4">
      <alignment horizontal="left"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7" fillId="52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66" borderId="75" applyNumberFormat="0" applyFont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9" fillId="86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9" fillId="92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7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0" fillId="0" borderId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9" fillId="49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97" fillId="0" borderId="0" applyNumberFormat="0" applyFill="0" applyBorder="0" applyAlignment="0" applyProtection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101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101" fillId="0" borderId="0"/>
    <xf numFmtId="210" fontId="57" fillId="30" borderId="0" applyNumberFormat="0" applyBorder="0" applyAlignment="0" applyProtection="0"/>
    <xf numFmtId="210" fontId="71" fillId="0" borderId="0"/>
    <xf numFmtId="210" fontId="99" fillId="0" borderId="0"/>
    <xf numFmtId="210" fontId="71" fillId="0" borderId="0"/>
    <xf numFmtId="210" fontId="71" fillId="0" borderId="0"/>
    <xf numFmtId="1" fontId="88" fillId="0" borderId="3"/>
    <xf numFmtId="210" fontId="57" fillId="30" borderId="0" applyNumberFormat="0" applyBorder="0" applyAlignment="0" applyProtection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60" fillId="0" borderId="0"/>
    <xf numFmtId="210" fontId="67" fillId="0" borderId="0"/>
    <xf numFmtId="210" fontId="61" fillId="31" borderId="0" applyNumberFormat="0" applyBorder="0" applyAlignment="0" applyProtection="0"/>
    <xf numFmtId="210" fontId="62" fillId="0" borderId="0"/>
    <xf numFmtId="210" fontId="59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2" fillId="0" borderId="0"/>
    <xf numFmtId="200" fontId="62" fillId="0" borderId="0" applyFill="0" applyBorder="0" applyAlignment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71" fillId="0" borderId="0"/>
    <xf numFmtId="210" fontId="71" fillId="0" borderId="0"/>
    <xf numFmtId="210" fontId="97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2" fillId="0" borderId="0"/>
    <xf numFmtId="210" fontId="61" fillId="31" borderId="0" applyNumberFormat="0" applyBorder="0" applyAlignment="0" applyProtection="0"/>
    <xf numFmtId="210" fontId="60" fillId="0" borderId="0"/>
    <xf numFmtId="210" fontId="71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 applyAlignment="0"/>
    <xf numFmtId="210" fontId="80" fillId="30" borderId="0" applyNumberFormat="0" applyBorder="0" applyAlignment="0" applyProtection="0"/>
    <xf numFmtId="210" fontId="62" fillId="0" borderId="0"/>
    <xf numFmtId="210" fontId="62" fillId="0" borderId="0"/>
    <xf numFmtId="210" fontId="59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70" fillId="0" borderId="65" applyNumberFormat="0" applyFill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60" fillId="0" borderId="0"/>
    <xf numFmtId="210" fontId="60" fillId="0" borderId="0"/>
    <xf numFmtId="210" fontId="67" fillId="32" borderId="0" applyNumberFormat="0" applyBorder="0" applyAlignment="0" applyProtection="0">
      <alignment vertical="center"/>
    </xf>
    <xf numFmtId="210" fontId="60" fillId="0" borderId="0"/>
    <xf numFmtId="210" fontId="168" fillId="0" borderId="87" applyNumberFormat="0" applyFill="0" applyAlignment="0" applyProtection="0"/>
    <xf numFmtId="210" fontId="59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9" fillId="48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2" fillId="0" borderId="0"/>
    <xf numFmtId="210" fontId="62" fillId="0" borderId="0"/>
    <xf numFmtId="210" fontId="60" fillId="0" borderId="0" applyFont="0" applyFill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162" fillId="0" borderId="0">
      <alignment vertical="center"/>
    </xf>
    <xf numFmtId="210" fontId="60" fillId="0" borderId="0"/>
    <xf numFmtId="210" fontId="137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79" fillId="52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57" fillId="93" borderId="0" applyNumberFormat="0" applyBorder="0" applyAlignment="0" applyProtection="0"/>
    <xf numFmtId="210" fontId="62" fillId="0" borderId="0"/>
    <xf numFmtId="210" fontId="88" fillId="104" borderId="107" applyNumberFormat="0" applyAlignment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274" fillId="50" borderId="70" applyNumberFormat="0" applyAlignment="0" applyProtection="0"/>
    <xf numFmtId="210" fontId="60" fillId="0" borderId="0"/>
    <xf numFmtId="210" fontId="60" fillId="0" borderId="0"/>
    <xf numFmtId="210" fontId="100" fillId="4" borderId="73" applyNumberFormat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97" fillId="0" borderId="0" applyNumberFormat="0" applyFill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79" fillId="52" borderId="0" applyNumberFormat="0" applyBorder="0" applyAlignment="0" applyProtection="0"/>
    <xf numFmtId="210" fontId="60" fillId="0" borderId="0"/>
    <xf numFmtId="210" fontId="60" fillId="66" borderId="75" applyNumberFormat="0" applyFont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2" fillId="0" borderId="0"/>
    <xf numFmtId="210" fontId="67" fillId="0" borderId="0"/>
    <xf numFmtId="210" fontId="67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99" fillId="0" borderId="0"/>
    <xf numFmtId="210" fontId="61" fillId="31" borderId="0" applyNumberFormat="0" applyBorder="0" applyAlignment="0" applyProtection="0"/>
    <xf numFmtId="210" fontId="99" fillId="0" borderId="0"/>
    <xf numFmtId="210" fontId="57" fillId="30" borderId="0" applyNumberFormat="0" applyBorder="0" applyAlignment="0" applyProtection="0">
      <alignment vertical="center"/>
    </xf>
    <xf numFmtId="210" fontId="189" fillId="0" borderId="0"/>
    <xf numFmtId="210" fontId="99" fillId="0" borderId="0"/>
    <xf numFmtId="210" fontId="99" fillId="0" borderId="0"/>
    <xf numFmtId="210" fontId="62" fillId="0" borderId="0"/>
    <xf numFmtId="210" fontId="69" fillId="52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188" fontId="146" fillId="0" borderId="0"/>
    <xf numFmtId="210" fontId="118" fillId="80" borderId="0">
      <alignment horizontal="center"/>
    </xf>
    <xf numFmtId="210" fontId="57" fillId="30" borderId="0" applyNumberFormat="0" applyBorder="0" applyAlignment="0" applyProtection="0"/>
    <xf numFmtId="188" fontId="146" fillId="0" borderId="0"/>
    <xf numFmtId="210" fontId="57" fillId="30" borderId="0" applyNumberFormat="0" applyBorder="0" applyAlignment="0" applyProtection="0"/>
    <xf numFmtId="188" fontId="146" fillId="0" borderId="0"/>
    <xf numFmtId="210" fontId="84" fillId="0" borderId="0">
      <protection locked="0"/>
    </xf>
    <xf numFmtId="210" fontId="60" fillId="0" borderId="0"/>
    <xf numFmtId="210" fontId="99" fillId="0" borderId="0"/>
    <xf numFmtId="210" fontId="99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01" fillId="0" borderId="0"/>
    <xf numFmtId="210" fontId="62" fillId="0" borderId="0"/>
    <xf numFmtId="210" fontId="60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139" fillId="4" borderId="70" applyNumberFormat="0" applyAlignment="0" applyProtection="0"/>
    <xf numFmtId="210" fontId="59" fillId="38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99" fillId="0" borderId="0"/>
    <xf numFmtId="210" fontId="57" fillId="30" borderId="0" applyNumberFormat="0" applyBorder="0" applyAlignment="0" applyProtection="0">
      <alignment vertical="center"/>
    </xf>
    <xf numFmtId="210" fontId="99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9" fillId="0" borderId="0"/>
    <xf numFmtId="210" fontId="67" fillId="0" borderId="0"/>
    <xf numFmtId="210" fontId="67" fillId="0" borderId="0"/>
    <xf numFmtId="210" fontId="161" fillId="116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140" fillId="32" borderId="70" applyNumberFormat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9" fillId="48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00" fontId="3" fillId="0" borderId="0" applyFont="0" applyFill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00" fontId="59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101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3" fillId="6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9" fontId="59" fillId="0" borderId="0" applyFont="0" applyFill="0" applyBorder="0" applyAlignment="0" applyProtection="0"/>
    <xf numFmtId="210" fontId="60" fillId="0" borderId="0"/>
    <xf numFmtId="3" fontId="235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9" fillId="49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188" fillId="50" borderId="73" applyNumberFormat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158" fillId="50" borderId="70" applyNumberFormat="0" applyAlignment="0" applyProtection="0">
      <alignment vertical="center"/>
    </xf>
    <xf numFmtId="210" fontId="99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9" fillId="48" borderId="0" applyNumberFormat="0" applyBorder="0" applyAlignment="0" applyProtection="0">
      <alignment vertical="center"/>
    </xf>
    <xf numFmtId="210" fontId="59" fillId="0" borderId="0"/>
    <xf numFmtId="210" fontId="58" fillId="0" borderId="0"/>
    <xf numFmtId="210" fontId="62" fillId="0" borderId="0"/>
    <xf numFmtId="210" fontId="60" fillId="4" borderId="85" applyNumberFormat="0" applyFont="0" applyAlignment="0" applyProtection="0"/>
    <xf numFmtId="210" fontId="60" fillId="4" borderId="85" applyNumberFormat="0" applyFont="0" applyAlignment="0" applyProtection="0"/>
    <xf numFmtId="210" fontId="60" fillId="4" borderId="85" applyNumberFormat="0" applyFont="0" applyAlignment="0" applyProtection="0"/>
    <xf numFmtId="210" fontId="60" fillId="4" borderId="85" applyNumberFormat="0" applyFont="0" applyAlignment="0" applyProtection="0"/>
    <xf numFmtId="210" fontId="60" fillId="4" borderId="85" applyNumberFormat="0" applyFont="0" applyAlignment="0" applyProtection="0"/>
    <xf numFmtId="210" fontId="60" fillId="4" borderId="85" applyNumberFormat="0" applyFont="0" applyAlignment="0" applyProtection="0"/>
    <xf numFmtId="210" fontId="62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77" fontId="283" fillId="0" borderId="0">
      <protection locked="0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180" fontId="60" fillId="0" borderId="0" applyFill="0" applyBorder="0" applyAlignment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94" fillId="0" borderId="72" applyNumberFormat="0" applyFill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2" fillId="0" borderId="0"/>
    <xf numFmtId="210" fontId="62" fillId="0" borderId="0"/>
    <xf numFmtId="210" fontId="62" fillId="0" borderId="0"/>
    <xf numFmtId="210" fontId="67" fillId="0" borderId="0"/>
    <xf numFmtId="210" fontId="60" fillId="0" borderId="0"/>
    <xf numFmtId="210" fontId="62" fillId="0" borderId="0"/>
    <xf numFmtId="210" fontId="60" fillId="0" borderId="0"/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/>
    <xf numFmtId="210" fontId="69" fillId="85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62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2" fillId="0" borderId="0"/>
    <xf numFmtId="210" fontId="62" fillId="0" borderId="0"/>
    <xf numFmtId="210" fontId="57" fillId="30" borderId="0" applyNumberFormat="0" applyBorder="0" applyAlignment="0" applyProtection="0"/>
    <xf numFmtId="229" fontId="60" fillId="0" borderId="0" applyFill="0" applyBorder="0" applyAlignment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30" fillId="0" borderId="0"/>
    <xf numFmtId="210" fontId="62" fillId="0" borderId="0"/>
    <xf numFmtId="210" fontId="62" fillId="0" borderId="0"/>
    <xf numFmtId="210" fontId="99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9" fillId="0" borderId="0"/>
    <xf numFmtId="210" fontId="101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99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0" fillId="0" borderId="0"/>
    <xf numFmtId="210" fontId="67" fillId="0" borderId="0"/>
    <xf numFmtId="210" fontId="60" fillId="0" borderId="0"/>
    <xf numFmtId="210" fontId="60" fillId="0" borderId="0"/>
    <xf numFmtId="40" fontId="58" fillId="0" borderId="0" applyFont="0" applyFill="0" applyBorder="0" applyAlignment="0" applyProtection="0"/>
    <xf numFmtId="210" fontId="60" fillId="0" borderId="0"/>
    <xf numFmtId="210" fontId="79" fillId="70" borderId="0" applyNumberFormat="0" applyBorder="0" applyAlignment="0" applyProtection="0"/>
    <xf numFmtId="210" fontId="97" fillId="0" borderId="0" applyNumberFormat="0" applyFill="0" applyBorder="0" applyAlignment="0" applyProtection="0"/>
    <xf numFmtId="210" fontId="62" fillId="0" borderId="0"/>
    <xf numFmtId="210" fontId="139" fillId="4" borderId="70" applyNumberFormat="0" applyAlignment="0" applyProtection="0"/>
    <xf numFmtId="210" fontId="62" fillId="0" borderId="0"/>
    <xf numFmtId="210" fontId="62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60" fillId="0" borderId="0"/>
    <xf numFmtId="9" fontId="3" fillId="0" borderId="0" applyFont="0" applyFill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88" fontId="162" fillId="0" borderId="0">
      <alignment vertical="center"/>
    </xf>
    <xf numFmtId="210" fontId="67" fillId="0" borderId="0"/>
    <xf numFmtId="210" fontId="67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2" fillId="0" borderId="0"/>
    <xf numFmtId="210" fontId="60" fillId="0" borderId="0"/>
    <xf numFmtId="210" fontId="60" fillId="0" borderId="0"/>
    <xf numFmtId="210" fontId="59" fillId="0" borderId="0"/>
    <xf numFmtId="1" fontId="60" fillId="0" borderId="12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129" borderId="75" applyNumberFormat="0" applyFont="0" applyAlignment="0"/>
    <xf numFmtId="210" fontId="60" fillId="80" borderId="85" applyNumberFormat="0" applyFont="0" applyAlignment="0"/>
    <xf numFmtId="210" fontId="60" fillId="80" borderId="85" applyNumberFormat="0" applyFont="0" applyAlignment="0"/>
    <xf numFmtId="210" fontId="60" fillId="80" borderId="85" applyNumberFormat="0" applyFont="0" applyAlignment="0"/>
    <xf numFmtId="210" fontId="60" fillId="80" borderId="85" applyNumberFormat="0" applyFont="0" applyAlignment="0"/>
    <xf numFmtId="210" fontId="61" fillId="31" borderId="0" applyNumberFormat="0" applyBorder="0" applyAlignment="0" applyProtection="0">
      <alignment vertical="center"/>
    </xf>
    <xf numFmtId="210" fontId="60" fillId="80" borderId="85" applyNumberFormat="0" applyFont="0" applyAlignment="0"/>
    <xf numFmtId="260" fontId="131" fillId="0" borderId="0" applyFill="0" applyBorder="0" applyAlignment="0"/>
    <xf numFmtId="210" fontId="60" fillId="80" borderId="75" applyNumberFormat="0" applyFont="0" applyAlignment="0"/>
    <xf numFmtId="190" fontId="3" fillId="0" borderId="0" applyFont="0" applyFill="0" applyBorder="0" applyAlignment="0" applyProtection="0"/>
    <xf numFmtId="210" fontId="60" fillId="130" borderId="75" applyNumberFormat="0" applyFont="0" applyAlignment="0"/>
    <xf numFmtId="210" fontId="9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99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30" fillId="0" borderId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7" fillId="4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9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6" fillId="0" borderId="0"/>
    <xf numFmtId="210" fontId="66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100" fillId="4" borderId="73" applyNumberFormat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97" fillId="0" borderId="0" applyNumberFormat="0" applyFill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60" fillId="0" borderId="0"/>
    <xf numFmtId="210" fontId="60" fillId="0" borderId="0"/>
    <xf numFmtId="200" fontId="59" fillId="0" borderId="0" applyFont="0" applyFill="0" applyBorder="0" applyAlignment="0" applyProtection="0"/>
    <xf numFmtId="210" fontId="60" fillId="0" borderId="0"/>
    <xf numFmtId="200" fontId="59" fillId="0" borderId="0" applyFont="0" applyFill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9" fillId="0" borderId="0"/>
    <xf numFmtId="210" fontId="60" fillId="0" borderId="0"/>
    <xf numFmtId="210" fontId="71" fillId="0" borderId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71" fillId="0" borderId="0"/>
    <xf numFmtId="210" fontId="60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71" fillId="0" borderId="0"/>
    <xf numFmtId="210" fontId="61" fillId="31" borderId="0" applyNumberFormat="0" applyBorder="0" applyAlignment="0" applyProtection="0"/>
    <xf numFmtId="210" fontId="59" fillId="52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101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01" fillId="0" borderId="0"/>
    <xf numFmtId="210" fontId="101" fillId="0" borderId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101" fillId="0" borderId="0"/>
    <xf numFmtId="210" fontId="101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2" fillId="0" borderId="0"/>
    <xf numFmtId="210" fontId="66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01" fillId="0" borderId="0"/>
    <xf numFmtId="210" fontId="101" fillId="0" borderId="0"/>
    <xf numFmtId="210" fontId="57" fillId="30" borderId="0" applyNumberFormat="0" applyBorder="0" applyAlignment="0" applyProtection="0"/>
    <xf numFmtId="210" fontId="60" fillId="0" borderId="0"/>
    <xf numFmtId="210" fontId="101" fillId="0" borderId="0"/>
    <xf numFmtId="210" fontId="61" fillId="31" borderId="0" applyNumberFormat="0" applyBorder="0" applyAlignment="0" applyProtection="0"/>
    <xf numFmtId="210" fontId="71" fillId="0" borderId="0"/>
    <xf numFmtId="210" fontId="57" fillId="30" borderId="0" applyNumberFormat="0" applyBorder="0" applyAlignment="0" applyProtection="0"/>
    <xf numFmtId="210" fontId="71" fillId="0" borderId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9" fontId="58" fillId="0" borderId="0" applyFont="0" applyFill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9" fontId="58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71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2" fillId="0" borderId="0"/>
    <xf numFmtId="210" fontId="71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71" fillId="0" borderId="0"/>
    <xf numFmtId="210" fontId="62" fillId="0" borderId="0"/>
    <xf numFmtId="210" fontId="60" fillId="0" borderId="0"/>
    <xf numFmtId="210" fontId="71" fillId="0" borderId="0"/>
    <xf numFmtId="210" fontId="71" fillId="0" borderId="0"/>
    <xf numFmtId="210" fontId="71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71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71" fillId="0" borderId="0"/>
    <xf numFmtId="210" fontId="61" fillId="31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10" fontId="71" fillId="0" borderId="0"/>
    <xf numFmtId="210" fontId="60" fillId="0" borderId="0"/>
    <xf numFmtId="210" fontId="5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262" fillId="0" borderId="0">
      <protection locked="0"/>
    </xf>
    <xf numFmtId="210" fontId="109" fillId="0" borderId="0" applyNumberFormat="0" applyFill="0" applyBorder="0" applyAlignment="0" applyProtection="0"/>
    <xf numFmtId="210" fontId="100" fillId="4" borderId="73" applyNumberFormat="0" applyAlignment="0" applyProtection="0"/>
    <xf numFmtId="210" fontId="71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58" fillId="0" borderId="0"/>
    <xf numFmtId="210" fontId="61" fillId="31" borderId="0" applyNumberFormat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62" fillId="0" borderId="0"/>
    <xf numFmtId="210" fontId="62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/>
    <xf numFmtId="210" fontId="62" fillId="0" borderId="0"/>
    <xf numFmtId="210" fontId="62" fillId="0" borderId="0"/>
    <xf numFmtId="210" fontId="60" fillId="0" borderId="0"/>
    <xf numFmtId="210" fontId="62" fillId="0" borderId="0"/>
    <xf numFmtId="210" fontId="86" fillId="0" borderId="0"/>
    <xf numFmtId="210" fontId="71" fillId="0" borderId="0"/>
    <xf numFmtId="210" fontId="71" fillId="0" borderId="0"/>
    <xf numFmtId="210" fontId="57" fillId="30" borderId="0" applyNumberFormat="0" applyBorder="0" applyAlignment="0" applyProtection="0">
      <alignment vertical="center"/>
    </xf>
    <xf numFmtId="210" fontId="71" fillId="0" borderId="0"/>
    <xf numFmtId="210" fontId="57" fillId="30" borderId="0" applyNumberFormat="0" applyBorder="0" applyAlignment="0" applyProtection="0">
      <alignment vertical="center"/>
    </xf>
    <xf numFmtId="210" fontId="91" fillId="0" borderId="0" applyNumberForma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00" fontId="62" fillId="0" borderId="0" applyFill="0" applyBorder="0" applyAlignment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2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7" fillId="52" borderId="0" applyNumberFormat="0" applyBorder="0" applyAlignment="0" applyProtection="0">
      <alignment vertical="center"/>
    </xf>
    <xf numFmtId="210" fontId="71" fillId="0" borderId="0"/>
    <xf numFmtId="210" fontId="60" fillId="0" borderId="0"/>
    <xf numFmtId="210" fontId="60" fillId="0" borderId="0" applyFont="0" applyFill="0" applyBorder="0" applyAlignment="0" applyProtection="0"/>
    <xf numFmtId="210" fontId="58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58" fillId="0" borderId="0"/>
    <xf numFmtId="210" fontId="58" fillId="0" borderId="0"/>
    <xf numFmtId="210" fontId="71" fillId="0" borderId="0"/>
    <xf numFmtId="210" fontId="57" fillId="30" borderId="0" applyNumberFormat="0" applyBorder="0" applyAlignment="0" applyProtection="0"/>
    <xf numFmtId="210" fontId="58" fillId="0" borderId="0"/>
    <xf numFmtId="210" fontId="60" fillId="0" borderId="0"/>
    <xf numFmtId="210" fontId="168" fillId="0" borderId="87" applyNumberFormat="0" applyFill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57" fillId="30" borderId="0" applyNumberFormat="0" applyBorder="0" applyAlignment="0" applyProtection="0"/>
    <xf numFmtId="210" fontId="71" fillId="0" borderId="0"/>
    <xf numFmtId="210" fontId="58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8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8" fillId="0" borderId="0"/>
    <xf numFmtId="210" fontId="58" fillId="0" borderId="0"/>
    <xf numFmtId="210" fontId="58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101" fillId="0" borderId="0"/>
    <xf numFmtId="210" fontId="71" fillId="0" borderId="0"/>
    <xf numFmtId="210" fontId="71" fillId="0" borderId="0"/>
    <xf numFmtId="210" fontId="60" fillId="0" borderId="0"/>
    <xf numFmtId="210" fontId="62" fillId="0" borderId="0"/>
    <xf numFmtId="210" fontId="203" fillId="0" borderId="69" applyNumberFormat="0" applyFill="0" applyAlignment="0" applyProtection="0"/>
    <xf numFmtId="210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71" fillId="0" borderId="0"/>
    <xf numFmtId="210" fontId="57" fillId="30" borderId="0" applyNumberFormat="0" applyBorder="0" applyAlignment="0" applyProtection="0"/>
    <xf numFmtId="210" fontId="71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57" fillId="30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71" fillId="0" borderId="0"/>
    <xf numFmtId="210" fontId="57" fillId="30" borderId="0" applyNumberFormat="0" applyBorder="0" applyAlignment="0" applyProtection="0"/>
    <xf numFmtId="210" fontId="71" fillId="0" borderId="0"/>
    <xf numFmtId="210" fontId="60" fillId="0" borderId="0"/>
    <xf numFmtId="210" fontId="71" fillId="0" borderId="0"/>
    <xf numFmtId="210" fontId="61" fillId="31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2" fillId="0" borderId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62" fillId="0" borderId="0"/>
    <xf numFmtId="210" fontId="71" fillId="0" borderId="0"/>
    <xf numFmtId="210" fontId="62" fillId="0" borderId="0"/>
    <xf numFmtId="210" fontId="3" fillId="4" borderId="0" applyNumberFormat="0" applyBorder="0" applyAlignment="0" applyProtection="0"/>
    <xf numFmtId="210" fontId="60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71" fillId="0" borderId="0"/>
    <xf numFmtId="210" fontId="71" fillId="0" borderId="0"/>
    <xf numFmtId="210" fontId="61" fillId="31" borderId="0" applyNumberFormat="0" applyBorder="0" applyAlignment="0" applyProtection="0"/>
    <xf numFmtId="210" fontId="69" fillId="49" borderId="0" applyNumberFormat="0" applyBorder="0" applyAlignment="0" applyProtection="0">
      <alignment vertical="center"/>
    </xf>
    <xf numFmtId="210" fontId="60" fillId="0" borderId="0"/>
    <xf numFmtId="234" fontId="127" fillId="0" borderId="0" applyFont="0" applyFill="0" applyBorder="0" applyAlignment="0" applyProtection="0"/>
    <xf numFmtId="210" fontId="61" fillId="31" borderId="0" applyNumberFormat="0" applyBorder="0" applyAlignment="0" applyProtection="0"/>
    <xf numFmtId="41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60" fillId="0" borderId="0" applyNumberForma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60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 applyNumberForma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 applyNumberForma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 applyNumberForma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210" fontId="127" fillId="0" borderId="0"/>
    <xf numFmtId="210" fontId="101" fillId="0" borderId="0" applyFont="0" applyFill="0" applyBorder="0" applyAlignment="0" applyProtection="0"/>
    <xf numFmtId="210" fontId="59" fillId="100" borderId="0" applyNumberFormat="0" applyBorder="0" applyAlignment="0" applyProtection="0"/>
    <xf numFmtId="210" fontId="101" fillId="0" borderId="0" applyFont="0" applyFill="0" applyBorder="0" applyAlignment="0" applyProtection="0"/>
    <xf numFmtId="210" fontId="101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01" fillId="0" borderId="0" applyFont="0" applyFill="0" applyBorder="0" applyAlignment="0" applyProtection="0"/>
    <xf numFmtId="210" fontId="284" fillId="0" borderId="0"/>
    <xf numFmtId="193" fontId="58" fillId="0" borderId="0" applyFont="0" applyFill="0" applyBorder="0" applyAlignment="0" applyProtection="0"/>
    <xf numFmtId="210" fontId="101" fillId="0" borderId="0"/>
    <xf numFmtId="210" fontId="60" fillId="0" borderId="0"/>
    <xf numFmtId="210" fontId="57" fillId="30" borderId="0" applyNumberFormat="0" applyBorder="0" applyAlignment="0" applyProtection="0"/>
    <xf numFmtId="210" fontId="101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1" fontId="88" fillId="0" borderId="4"/>
    <xf numFmtId="210" fontId="60" fillId="0" borderId="0" applyNumberFormat="0" applyFill="0" applyBorder="0" applyAlignment="0" applyProtection="0"/>
    <xf numFmtId="210" fontId="60" fillId="0" borderId="0" applyNumberFormat="0" applyFill="0" applyBorder="0" applyAlignment="0" applyProtection="0"/>
    <xf numFmtId="9" fontId="285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181" fontId="176" fillId="0" borderId="0">
      <alignment horizontal="left"/>
    </xf>
    <xf numFmtId="210" fontId="3" fillId="38" borderId="0" applyNumberFormat="0" applyBorder="0" applyAlignment="0" applyProtection="0"/>
    <xf numFmtId="210" fontId="57" fillId="30" borderId="0" applyNumberFormat="0" applyBorder="0" applyAlignment="0" applyProtection="0"/>
    <xf numFmtId="210" fontId="199" fillId="66" borderId="75" applyNumberFormat="0" applyFont="0" applyAlignment="0" applyProtection="0"/>
    <xf numFmtId="210" fontId="3" fillId="4" borderId="0" applyNumberFormat="0" applyBorder="0" applyAlignment="0" applyProtection="0"/>
    <xf numFmtId="210" fontId="3" fillId="4" borderId="0" applyNumberFormat="0" applyBorder="0" applyAlignment="0" applyProtection="0"/>
    <xf numFmtId="210" fontId="3" fillId="4" borderId="0" applyNumberFormat="0" applyBorder="0" applyAlignment="0" applyProtection="0"/>
    <xf numFmtId="210" fontId="3" fillId="4" borderId="0" applyNumberFormat="0" applyBorder="0" applyAlignment="0" applyProtection="0"/>
    <xf numFmtId="210" fontId="79" fillId="50" borderId="0" applyNumberFormat="0" applyBorder="0" applyAlignment="0" applyProtection="0"/>
    <xf numFmtId="210" fontId="67" fillId="38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59" fillId="38" borderId="0" applyNumberFormat="0" applyBorder="0" applyAlignment="0" applyProtection="0"/>
    <xf numFmtId="210" fontId="59" fillId="38" borderId="0" applyNumberFormat="0" applyBorder="0" applyAlignment="0" applyProtection="0"/>
    <xf numFmtId="210" fontId="59" fillId="38" borderId="0" applyNumberFormat="0" applyBorder="0" applyAlignment="0" applyProtection="0"/>
    <xf numFmtId="210" fontId="57" fillId="30" borderId="0" applyNumberFormat="0" applyBorder="0" applyAlignment="0" applyProtection="0"/>
    <xf numFmtId="210" fontId="67" fillId="38" borderId="0" applyNumberFormat="0" applyBorder="0" applyAlignment="0" applyProtection="0">
      <alignment vertical="center"/>
    </xf>
    <xf numFmtId="210" fontId="59" fillId="38" borderId="0" applyNumberFormat="0" applyBorder="0" applyAlignment="0" applyProtection="0"/>
    <xf numFmtId="210" fontId="57" fillId="30" borderId="0" applyNumberFormat="0" applyBorder="0" applyAlignment="0" applyProtection="0"/>
    <xf numFmtId="210" fontId="59" fillId="38" borderId="0" applyNumberFormat="0" applyBorder="0" applyAlignment="0" applyProtection="0"/>
    <xf numFmtId="210" fontId="57" fillId="30" borderId="0" applyNumberFormat="0" applyBorder="0" applyAlignment="0" applyProtection="0"/>
    <xf numFmtId="210" fontId="59" fillId="38" borderId="0" applyNumberFormat="0" applyBorder="0" applyAlignment="0" applyProtection="0"/>
    <xf numFmtId="210" fontId="67" fillId="38" borderId="0" applyNumberFormat="0" applyBorder="0" applyAlignment="0" applyProtection="0">
      <alignment vertical="center"/>
    </xf>
    <xf numFmtId="210" fontId="59" fillId="38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9" fillId="38" borderId="0" applyNumberFormat="0" applyBorder="0" applyAlignment="0" applyProtection="0"/>
    <xf numFmtId="210" fontId="59" fillId="38" borderId="0" applyNumberFormat="0" applyBorder="0" applyAlignment="0" applyProtection="0"/>
    <xf numFmtId="210" fontId="59" fillId="38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9" fillId="38" borderId="0" applyNumberFormat="0" applyBorder="0" applyAlignment="0" applyProtection="0"/>
    <xf numFmtId="210" fontId="61" fillId="31" borderId="0" applyNumberFormat="0" applyBorder="0" applyAlignment="0" applyProtection="0"/>
    <xf numFmtId="210" fontId="3" fillId="4" borderId="0" applyNumberFormat="0" applyBorder="0" applyAlignment="0" applyProtection="0"/>
    <xf numFmtId="210" fontId="67" fillId="0" borderId="0"/>
    <xf numFmtId="210" fontId="67" fillId="0" borderId="0"/>
    <xf numFmtId="210" fontId="3" fillId="4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59" fillId="0" borderId="0"/>
    <xf numFmtId="210" fontId="67" fillId="0" borderId="0"/>
    <xf numFmtId="210" fontId="67" fillId="0" borderId="0"/>
    <xf numFmtId="210" fontId="3" fillId="4" borderId="0" applyNumberFormat="0" applyBorder="0" applyAlignment="0" applyProtection="0"/>
    <xf numFmtId="210" fontId="3" fillId="31" borderId="0" applyNumberFormat="0" applyBorder="0" applyAlignment="0" applyProtection="0"/>
    <xf numFmtId="210" fontId="57" fillId="30" borderId="0" applyNumberFormat="0" applyBorder="0" applyAlignment="0" applyProtection="0"/>
    <xf numFmtId="210" fontId="3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" fillId="31" borderId="0" applyNumberFormat="0" applyBorder="0" applyAlignment="0" applyProtection="0"/>
    <xf numFmtId="210" fontId="67" fillId="31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10" fontId="59" fillId="31" borderId="0" applyNumberFormat="0" applyBorder="0" applyAlignment="0" applyProtection="0"/>
    <xf numFmtId="210" fontId="67" fillId="31" borderId="0" applyNumberFormat="0" applyBorder="0" applyAlignment="0" applyProtection="0">
      <alignment vertical="center"/>
    </xf>
    <xf numFmtId="210" fontId="3" fillId="31" borderId="0" applyNumberFormat="0" applyBorder="0" applyAlignment="0" applyProtection="0"/>
    <xf numFmtId="210" fontId="67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9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31" borderId="0" applyNumberFormat="0" applyBorder="0" applyAlignment="0" applyProtection="0"/>
    <xf numFmtId="210" fontId="59" fillId="31" borderId="0" applyNumberFormat="0" applyBorder="0" applyAlignment="0" applyProtection="0"/>
    <xf numFmtId="210" fontId="67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9" fillId="31" borderId="0" applyNumberFormat="0" applyBorder="0" applyAlignment="0" applyProtection="0"/>
    <xf numFmtId="210" fontId="59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9" fillId="31" borderId="0" applyNumberFormat="0" applyBorder="0" applyAlignment="0" applyProtection="0"/>
    <xf numFmtId="37" fontId="286" fillId="80" borderId="0" applyNumberFormat="0" applyBorder="0" applyAlignment="0" applyProtection="0"/>
    <xf numFmtId="210" fontId="59" fillId="31" borderId="0" applyNumberFormat="0" applyBorder="0" applyAlignment="0" applyProtection="0"/>
    <xf numFmtId="210" fontId="59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31" borderId="0" applyNumberFormat="0" applyBorder="0" applyAlignment="0" applyProtection="0">
      <alignment vertical="center"/>
    </xf>
    <xf numFmtId="210" fontId="59" fillId="31" borderId="0" applyNumberFormat="0" applyBorder="0" applyAlignment="0" applyProtection="0"/>
    <xf numFmtId="210" fontId="59" fillId="31" borderId="0" applyNumberFormat="0" applyBorder="0" applyAlignment="0" applyProtection="0"/>
    <xf numFmtId="210" fontId="67" fillId="31" borderId="0" applyNumberFormat="0" applyBorder="0" applyAlignment="0" applyProtection="0">
      <alignment vertical="center"/>
    </xf>
    <xf numFmtId="210" fontId="67" fillId="31" borderId="0" applyNumberFormat="0" applyBorder="0" applyAlignment="0" applyProtection="0"/>
    <xf numFmtId="210" fontId="3" fillId="31" borderId="0" applyNumberFormat="0" applyBorder="0" applyAlignment="0" applyProtection="0"/>
    <xf numFmtId="210" fontId="3" fillId="31" borderId="0" applyNumberFormat="0" applyBorder="0" applyAlignment="0" applyProtection="0"/>
    <xf numFmtId="210" fontId="3" fillId="31" borderId="0" applyNumberFormat="0" applyBorder="0" applyAlignment="0" applyProtection="0"/>
    <xf numFmtId="210" fontId="3" fillId="30" borderId="0" applyNumberFormat="0" applyBorder="0" applyAlignment="0" applyProtection="0"/>
    <xf numFmtId="210" fontId="3" fillId="66" borderId="0" applyNumberFormat="0" applyBorder="0" applyAlignment="0" applyProtection="0"/>
    <xf numFmtId="210" fontId="3" fillId="66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3" fillId="66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59" fillId="30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59" fillId="30" borderId="0" applyNumberFormat="0" applyBorder="0" applyAlignment="0" applyProtection="0"/>
    <xf numFmtId="210" fontId="59" fillId="30" borderId="0" applyNumberFormat="0" applyBorder="0" applyAlignment="0" applyProtection="0"/>
    <xf numFmtId="210" fontId="59" fillId="30" borderId="0" applyNumberFormat="0" applyBorder="0" applyAlignment="0" applyProtection="0"/>
    <xf numFmtId="210" fontId="57" fillId="30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59" fillId="30" borderId="0" applyNumberFormat="0" applyBorder="0" applyAlignment="0" applyProtection="0"/>
    <xf numFmtId="210" fontId="57" fillId="30" borderId="0" applyNumberFormat="0" applyBorder="0" applyAlignment="0" applyProtection="0"/>
    <xf numFmtId="210" fontId="59" fillId="30" borderId="0" applyNumberFormat="0" applyBorder="0" applyAlignment="0" applyProtection="0"/>
    <xf numFmtId="210" fontId="57" fillId="30" borderId="0" applyNumberFormat="0" applyBorder="0" applyAlignment="0" applyProtection="0"/>
    <xf numFmtId="210" fontId="59" fillId="30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59" fillId="30" borderId="0" applyNumberFormat="0" applyBorder="0" applyAlignment="0" applyProtection="0"/>
    <xf numFmtId="210" fontId="59" fillId="30" borderId="0" applyNumberFormat="0" applyBorder="0" applyAlignment="0" applyProtection="0"/>
    <xf numFmtId="210" fontId="59" fillId="30" borderId="0" applyNumberFormat="0" applyBorder="0" applyAlignment="0" applyProtection="0"/>
    <xf numFmtId="210" fontId="59" fillId="30" borderId="0" applyNumberFormat="0" applyBorder="0" applyAlignment="0" applyProtection="0"/>
    <xf numFmtId="210" fontId="61" fillId="31" borderId="0" applyNumberFormat="0" applyBorder="0" applyAlignment="0" applyProtection="0"/>
    <xf numFmtId="210" fontId="59" fillId="30" borderId="0" applyNumberFormat="0" applyBorder="0" applyAlignment="0" applyProtection="0"/>
    <xf numFmtId="210" fontId="61" fillId="31" borderId="0" applyNumberFormat="0" applyBorder="0" applyAlignment="0" applyProtection="0"/>
    <xf numFmtId="210" fontId="59" fillId="30" borderId="0" applyNumberFormat="0" applyBorder="0" applyAlignment="0" applyProtection="0"/>
    <xf numFmtId="210" fontId="61" fillId="31" borderId="0" applyNumberFormat="0" applyBorder="0" applyAlignment="0" applyProtection="0"/>
    <xf numFmtId="210" fontId="59" fillId="30" borderId="0" applyNumberFormat="0" applyBorder="0" applyAlignment="0" applyProtection="0"/>
    <xf numFmtId="210" fontId="61" fillId="31" borderId="0" applyNumberFormat="0" applyBorder="0" applyAlignment="0" applyProtection="0"/>
    <xf numFmtId="210" fontId="59" fillId="30" borderId="0" applyNumberFormat="0" applyBorder="0" applyAlignment="0" applyProtection="0"/>
    <xf numFmtId="210" fontId="3" fillId="66" borderId="0" applyNumberFormat="0" applyBorder="0" applyAlignment="0" applyProtection="0"/>
    <xf numFmtId="210" fontId="59" fillId="0" borderId="0"/>
    <xf numFmtId="210" fontId="67" fillId="0" borderId="0"/>
    <xf numFmtId="210" fontId="67" fillId="0" borderId="0"/>
    <xf numFmtId="210" fontId="3" fillId="66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3" fillId="35" borderId="0" applyNumberFormat="0" applyBorder="0" applyAlignment="0" applyProtection="0"/>
    <xf numFmtId="210" fontId="3" fillId="35" borderId="0" applyNumberFormat="0" applyBorder="0" applyAlignment="0" applyProtection="0"/>
    <xf numFmtId="210" fontId="57" fillId="30" borderId="0" applyNumberFormat="0" applyBorder="0" applyAlignment="0" applyProtection="0"/>
    <xf numFmtId="210" fontId="3" fillId="35" borderId="0" applyNumberFormat="0" applyBorder="0" applyAlignment="0" applyProtection="0"/>
    <xf numFmtId="210" fontId="57" fillId="30" borderId="0" applyNumberFormat="0" applyBorder="0" applyAlignment="0" applyProtection="0"/>
    <xf numFmtId="210" fontId="3" fillId="35" borderId="0" applyNumberFormat="0" applyBorder="0" applyAlignment="0" applyProtection="0"/>
    <xf numFmtId="210" fontId="61" fillId="31" borderId="0" applyNumberFormat="0" applyBorder="0" applyAlignment="0" applyProtection="0"/>
    <xf numFmtId="210" fontId="287" fillId="50" borderId="70" applyNumberFormat="0" applyAlignment="0" applyProtection="0">
      <alignment vertical="center"/>
    </xf>
    <xf numFmtId="210" fontId="3" fillId="35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59" fillId="35" borderId="0" applyNumberFormat="0" applyBorder="0" applyAlignment="0" applyProtection="0"/>
    <xf numFmtId="210" fontId="57" fillId="30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59" fillId="35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35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59" fillId="35" borderId="0" applyNumberFormat="0" applyBorder="0" applyAlignment="0" applyProtection="0"/>
    <xf numFmtId="210" fontId="59" fillId="35" borderId="0" applyNumberFormat="0" applyBorder="0" applyAlignment="0" applyProtection="0"/>
    <xf numFmtId="210" fontId="59" fillId="35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59" fillId="35" borderId="0" applyNumberFormat="0" applyBorder="0" applyAlignment="0" applyProtection="0"/>
    <xf numFmtId="210" fontId="59" fillId="35" borderId="0" applyNumberFormat="0" applyBorder="0" applyAlignment="0" applyProtection="0"/>
    <xf numFmtId="210" fontId="59" fillId="35" borderId="0" applyNumberFormat="0" applyBorder="0" applyAlignment="0" applyProtection="0"/>
    <xf numFmtId="210" fontId="59" fillId="35" borderId="0" applyNumberFormat="0" applyBorder="0" applyAlignment="0" applyProtection="0"/>
    <xf numFmtId="210" fontId="59" fillId="35" borderId="0" applyNumberFormat="0" applyBorder="0" applyAlignment="0" applyProtection="0"/>
    <xf numFmtId="210" fontId="59" fillId="35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35" borderId="0" applyNumberFormat="0" applyBorder="0" applyAlignment="0" applyProtection="0"/>
    <xf numFmtId="210" fontId="61" fillId="31" borderId="0" applyNumberFormat="0" applyBorder="0" applyAlignment="0" applyProtection="0"/>
    <xf numFmtId="210" fontId="59" fillId="35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/>
    <xf numFmtId="210" fontId="3" fillId="35" borderId="0" applyNumberFormat="0" applyBorder="0" applyAlignment="0" applyProtection="0"/>
    <xf numFmtId="210" fontId="3" fillId="35" borderId="0" applyNumberFormat="0" applyBorder="0" applyAlignment="0" applyProtection="0"/>
    <xf numFmtId="210" fontId="3" fillId="35" borderId="0" applyNumberFormat="0" applyBorder="0" applyAlignment="0" applyProtection="0"/>
    <xf numFmtId="9" fontId="59" fillId="0" borderId="0" applyFont="0" applyFill="0" applyBorder="0" applyAlignment="0" applyProtection="0"/>
    <xf numFmtId="210" fontId="3" fillId="40" borderId="0" applyNumberFormat="0" applyBorder="0" applyAlignment="0" applyProtection="0"/>
    <xf numFmtId="210" fontId="57" fillId="30" borderId="0" applyNumberFormat="0" applyBorder="0" applyAlignment="0" applyProtection="0"/>
    <xf numFmtId="210" fontId="3" fillId="4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3" fillId="40" borderId="0" applyNumberFormat="0" applyBorder="0" applyAlignment="0" applyProtection="0"/>
    <xf numFmtId="210" fontId="3" fillId="40" borderId="0" applyNumberFormat="0" applyBorder="0" applyAlignment="0" applyProtection="0"/>
    <xf numFmtId="210" fontId="61" fillId="31" borderId="0" applyNumberFormat="0" applyBorder="0" applyAlignment="0" applyProtection="0"/>
    <xf numFmtId="210" fontId="3" fillId="40" borderId="0" applyNumberFormat="0" applyBorder="0" applyAlignment="0" applyProtection="0"/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9" fontId="59" fillId="0" borderId="0" applyFont="0" applyFill="0" applyBorder="0" applyAlignment="0" applyProtection="0"/>
    <xf numFmtId="210" fontId="67" fillId="40" borderId="0" applyNumberFormat="0" applyBorder="0" applyAlignment="0" applyProtection="0">
      <alignment vertical="center"/>
    </xf>
    <xf numFmtId="210" fontId="59" fillId="92" borderId="0" applyNumberFormat="0" applyBorder="0" applyAlignment="0" applyProtection="0"/>
    <xf numFmtId="210" fontId="67" fillId="40" borderId="0" applyNumberFormat="0" applyBorder="0" applyAlignment="0" applyProtection="0">
      <alignment vertical="center"/>
    </xf>
    <xf numFmtId="210" fontId="59" fillId="92" borderId="0" applyNumberFormat="0" applyBorder="0" applyAlignment="0" applyProtection="0"/>
    <xf numFmtId="210" fontId="59" fillId="92" borderId="0" applyNumberFormat="0" applyBorder="0" applyAlignment="0" applyProtection="0"/>
    <xf numFmtId="210" fontId="59" fillId="92" borderId="0" applyNumberFormat="0" applyBorder="0" applyAlignment="0" applyProtection="0"/>
    <xf numFmtId="210" fontId="67" fillId="40" borderId="0" applyNumberFormat="0" applyBorder="0" applyAlignment="0" applyProtection="0">
      <alignment vertical="center"/>
    </xf>
    <xf numFmtId="210" fontId="59" fillId="92" borderId="0" applyNumberFormat="0" applyBorder="0" applyAlignment="0" applyProtection="0"/>
    <xf numFmtId="210" fontId="59" fillId="92" borderId="0" applyNumberFormat="0" applyBorder="0" applyAlignment="0" applyProtection="0"/>
    <xf numFmtId="210" fontId="59" fillId="92" borderId="0" applyNumberFormat="0" applyBorder="0" applyAlignment="0" applyProtection="0"/>
    <xf numFmtId="210" fontId="59" fillId="92" borderId="0" applyNumberFormat="0" applyBorder="0" applyAlignment="0" applyProtection="0"/>
    <xf numFmtId="210" fontId="57" fillId="30" borderId="0" applyNumberFormat="0" applyBorder="0" applyAlignment="0" applyProtection="0"/>
    <xf numFmtId="210" fontId="59" fillId="92" borderId="0" applyNumberFormat="0" applyBorder="0" applyAlignment="0" applyProtection="0"/>
    <xf numFmtId="210" fontId="57" fillId="30" borderId="0" applyNumberFormat="0" applyBorder="0" applyAlignment="0" applyProtection="0"/>
    <xf numFmtId="210" fontId="67" fillId="40" borderId="0" applyNumberFormat="0" applyBorder="0" applyAlignment="0" applyProtection="0">
      <alignment vertical="center"/>
    </xf>
    <xf numFmtId="210" fontId="59" fillId="92" borderId="0" applyNumberFormat="0" applyBorder="0" applyAlignment="0" applyProtection="0"/>
    <xf numFmtId="210" fontId="59" fillId="92" borderId="0" applyNumberFormat="0" applyBorder="0" applyAlignment="0" applyProtection="0"/>
    <xf numFmtId="210" fontId="59" fillId="92" borderId="0" applyNumberFormat="0" applyBorder="0" applyAlignment="0" applyProtection="0"/>
    <xf numFmtId="210" fontId="59" fillId="92" borderId="0" applyNumberFormat="0" applyBorder="0" applyAlignment="0" applyProtection="0"/>
    <xf numFmtId="210" fontId="59" fillId="92" borderId="0" applyNumberFormat="0" applyBorder="0" applyAlignment="0" applyProtection="0"/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3" fillId="40" borderId="0" applyNumberFormat="0" applyBorder="0" applyAlignment="0" applyProtection="0"/>
    <xf numFmtId="210" fontId="3" fillId="32" borderId="0" applyNumberFormat="0" applyBorder="0" applyAlignment="0" applyProtection="0"/>
    <xf numFmtId="210" fontId="3" fillId="32" borderId="0" applyNumberFormat="0" applyBorder="0" applyAlignment="0" applyProtection="0"/>
    <xf numFmtId="210" fontId="57" fillId="30" borderId="0" applyNumberFormat="0" applyBorder="0" applyAlignment="0" applyProtection="0"/>
    <xf numFmtId="210" fontId="3" fillId="32" borderId="0" applyNumberFormat="0" applyBorder="0" applyAlignment="0" applyProtection="0"/>
    <xf numFmtId="210" fontId="3" fillId="32" borderId="0" applyNumberFormat="0" applyBorder="0" applyAlignment="0" applyProtection="0"/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3" fillId="32" borderId="0" applyNumberFormat="0" applyBorder="0" applyAlignment="0" applyProtection="0"/>
    <xf numFmtId="37" fontId="180" fillId="0" borderId="0"/>
    <xf numFmtId="210" fontId="67" fillId="32" borderId="0" applyNumberFormat="0" applyBorder="0" applyAlignment="0" applyProtection="0">
      <alignment vertical="center"/>
    </xf>
    <xf numFmtId="210" fontId="59" fillId="91" borderId="0" applyNumberFormat="0" applyBorder="0" applyAlignment="0" applyProtection="0"/>
    <xf numFmtId="210" fontId="59" fillId="91" borderId="0" applyNumberFormat="0" applyBorder="0" applyAlignment="0" applyProtection="0"/>
    <xf numFmtId="210" fontId="59" fillId="91" borderId="0" applyNumberFormat="0" applyBorder="0" applyAlignment="0" applyProtection="0"/>
    <xf numFmtId="210" fontId="61" fillId="31" borderId="0" applyNumberFormat="0" applyBorder="0" applyAlignment="0" applyProtection="0"/>
    <xf numFmtId="210" fontId="59" fillId="9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9" fillId="91" borderId="0" applyNumberFormat="0" applyBorder="0" applyAlignment="0" applyProtection="0"/>
    <xf numFmtId="210" fontId="61" fillId="31" borderId="0" applyNumberFormat="0" applyBorder="0" applyAlignment="0" applyProtection="0"/>
    <xf numFmtId="210" fontId="59" fillId="91" borderId="0" applyNumberFormat="0" applyBorder="0" applyAlignment="0" applyProtection="0"/>
    <xf numFmtId="210" fontId="59" fillId="91" borderId="0" applyNumberFormat="0" applyBorder="0" applyAlignment="0" applyProtection="0"/>
    <xf numFmtId="210" fontId="59" fillId="91" borderId="0" applyNumberFormat="0" applyBorder="0" applyAlignment="0" applyProtection="0"/>
    <xf numFmtId="210" fontId="59" fillId="91" borderId="0" applyNumberFormat="0" applyBorder="0" applyAlignment="0" applyProtection="0"/>
    <xf numFmtId="210" fontId="59" fillId="91" borderId="0" applyNumberFormat="0" applyBorder="0" applyAlignment="0" applyProtection="0"/>
    <xf numFmtId="210" fontId="59" fillId="91" borderId="0" applyNumberFormat="0" applyBorder="0" applyAlignment="0" applyProtection="0"/>
    <xf numFmtId="210" fontId="59" fillId="91" borderId="0" applyNumberFormat="0" applyBorder="0" applyAlignment="0" applyProtection="0"/>
    <xf numFmtId="210" fontId="3" fillId="32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3" fillId="32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3" fillId="32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3" fillId="32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3" fillId="32" borderId="0" applyNumberFormat="0" applyBorder="0" applyAlignment="0" applyProtection="0"/>
    <xf numFmtId="210" fontId="192" fillId="38" borderId="0" applyNumberFormat="0" applyBorder="0" applyAlignment="0" applyProtection="0">
      <alignment vertical="center"/>
    </xf>
    <xf numFmtId="210" fontId="192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92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92" fillId="35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192" fillId="4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192" fillId="32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6" fillId="0" borderId="0"/>
    <xf numFmtId="210" fontId="66" fillId="0" borderId="0"/>
    <xf numFmtId="210" fontId="67" fillId="3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8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38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71" fontId="101" fillId="0" borderId="0" applyFont="0" applyFill="0" applyBorder="0" applyAlignment="0" applyProtection="0"/>
    <xf numFmtId="210" fontId="67" fillId="31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31" borderId="0" applyNumberFormat="0" applyBorder="0" applyAlignment="0" applyProtection="0">
      <alignment vertical="center"/>
    </xf>
    <xf numFmtId="210" fontId="67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6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7" fillId="30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4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40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7" fillId="3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57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57" fillId="30" borderId="0" applyNumberFormat="0" applyBorder="0" applyAlignment="0" applyProtection="0">
      <alignment vertical="center"/>
    </xf>
    <xf numFmtId="210" fontId="157" fillId="35" borderId="0" applyNumberFormat="0" applyBorder="0" applyAlignment="0" applyProtection="0">
      <alignment vertical="center"/>
    </xf>
    <xf numFmtId="253" fontId="60" fillId="0" borderId="108" applyNumberFormat="0" applyFill="0" applyBorder="0">
      <alignment vertical="top" wrapText="1"/>
    </xf>
    <xf numFmtId="237" fontId="88" fillId="0" borderId="5"/>
    <xf numFmtId="273" fontId="101" fillId="0" borderId="0" applyFont="0" applyFill="0" applyBorder="0" applyAlignment="0" applyProtection="0"/>
    <xf numFmtId="253" fontId="146" fillId="0" borderId="0" applyFont="0" applyFill="0" applyBorder="0" applyAlignment="0" applyProtection="0"/>
    <xf numFmtId="210" fontId="57" fillId="30" borderId="0" applyNumberFormat="0" applyBorder="0" applyAlignment="0" applyProtection="0"/>
    <xf numFmtId="1" fontId="60" fillId="0" borderId="12"/>
    <xf numFmtId="1" fontId="60" fillId="0" borderId="12"/>
    <xf numFmtId="210" fontId="110" fillId="0" borderId="78" applyNumberFormat="0" applyFill="0" applyAlignment="0" applyProtection="0"/>
    <xf numFmtId="1" fontId="60" fillId="0" borderId="12"/>
    <xf numFmtId="1" fontId="60" fillId="0" borderId="12"/>
    <xf numFmtId="210" fontId="61" fillId="31" borderId="0" applyNumberFormat="0" applyBorder="0" applyAlignment="0" applyProtection="0">
      <alignment vertical="center"/>
    </xf>
    <xf numFmtId="1" fontId="60" fillId="0" borderId="12"/>
    <xf numFmtId="1" fontId="60" fillId="0" borderId="12"/>
    <xf numFmtId="210" fontId="59" fillId="0" borderId="0"/>
    <xf numFmtId="1" fontId="60" fillId="0" borderId="12"/>
    <xf numFmtId="1" fontId="60" fillId="0" borderId="12"/>
    <xf numFmtId="1" fontId="60" fillId="0" borderId="12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1" fontId="60" fillId="0" borderId="12"/>
    <xf numFmtId="1" fontId="60" fillId="0" borderId="12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1" fontId="60" fillId="0" borderId="12"/>
    <xf numFmtId="210" fontId="3" fillId="6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3" fillId="5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3" fillId="50" borderId="0" applyNumberFormat="0" applyBorder="0" applyAlignment="0" applyProtection="0"/>
    <xf numFmtId="210" fontId="3" fillId="5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3" fillId="50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59" fillId="16" borderId="0" applyNumberFormat="0" applyBorder="0" applyAlignment="0" applyProtection="0"/>
    <xf numFmtId="210" fontId="3" fillId="60" borderId="0" applyNumberFormat="0" applyBorder="0" applyAlignment="0" applyProtection="0"/>
    <xf numFmtId="210" fontId="59" fillId="16" borderId="0" applyNumberFormat="0" applyBorder="0" applyAlignment="0" applyProtection="0"/>
    <xf numFmtId="210" fontId="57" fillId="30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57" fillId="30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57" fillId="30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59" fillId="16" borderId="0" applyNumberFormat="0" applyBorder="0" applyAlignment="0" applyProtection="0"/>
    <xf numFmtId="210" fontId="57" fillId="30" borderId="0" applyNumberFormat="0" applyBorder="0" applyAlignment="0" applyProtection="0"/>
    <xf numFmtId="210" fontId="67" fillId="60" borderId="0" applyNumberFormat="0" applyBorder="0" applyAlignment="0" applyProtection="0"/>
    <xf numFmtId="210" fontId="3" fillId="5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3" fillId="48" borderId="0" applyNumberFormat="0" applyBorder="0" applyAlignment="0" applyProtection="0"/>
    <xf numFmtId="210" fontId="3" fillId="5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3" fillId="48" borderId="0" applyNumberFormat="0" applyBorder="0" applyAlignment="0" applyProtection="0"/>
    <xf numFmtId="210" fontId="3" fillId="50" borderId="0" applyNumberFormat="0" applyBorder="0" applyAlignment="0" applyProtection="0"/>
    <xf numFmtId="210" fontId="3" fillId="48" borderId="0" applyNumberFormat="0" applyBorder="0" applyAlignment="0" applyProtection="0"/>
    <xf numFmtId="38" fontId="118" fillId="50" borderId="0" applyNumberFormat="0" applyBorder="0" applyAlignment="0" applyProtection="0"/>
    <xf numFmtId="210" fontId="3" fillId="48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210" fontId="67" fillId="48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9" fillId="29" borderId="0" applyNumberFormat="0" applyBorder="0" applyAlignment="0" applyProtection="0"/>
    <xf numFmtId="210" fontId="3" fillId="48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9" fillId="29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9" fillId="29" borderId="0" applyNumberFormat="0" applyBorder="0" applyAlignment="0" applyProtection="0"/>
    <xf numFmtId="210" fontId="57" fillId="30" borderId="0" applyNumberFormat="0" applyBorder="0" applyAlignment="0" applyProtection="0"/>
    <xf numFmtId="210" fontId="59" fillId="29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29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9" fillId="29" borderId="0" applyNumberFormat="0" applyBorder="0" applyAlignment="0" applyProtection="0"/>
    <xf numFmtId="210" fontId="59" fillId="29" borderId="0" applyNumberFormat="0" applyBorder="0" applyAlignment="0" applyProtection="0"/>
    <xf numFmtId="210" fontId="59" fillId="29" borderId="0" applyNumberFormat="0" applyBorder="0" applyAlignment="0" applyProtection="0"/>
    <xf numFmtId="210" fontId="57" fillId="30" borderId="0" applyNumberFormat="0" applyBorder="0" applyAlignment="0" applyProtection="0"/>
    <xf numFmtId="210" fontId="59" fillId="29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29" borderId="0" applyNumberFormat="0" applyBorder="0" applyAlignment="0" applyProtection="0"/>
    <xf numFmtId="210" fontId="57" fillId="30" borderId="0" applyNumberFormat="0" applyBorder="0" applyAlignment="0" applyProtection="0"/>
    <xf numFmtId="210" fontId="59" fillId="29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29" borderId="0" applyNumberFormat="0" applyBorder="0" applyAlignment="0" applyProtection="0"/>
    <xf numFmtId="210" fontId="157" fillId="102" borderId="0" applyNumberFormat="0" applyBorder="0" applyAlignment="0" applyProtection="0"/>
    <xf numFmtId="210" fontId="57" fillId="30" borderId="0" applyNumberFormat="0" applyBorder="0" applyAlignment="0" applyProtection="0"/>
    <xf numFmtId="210" fontId="67" fillId="48" borderId="0" applyNumberFormat="0" applyBorder="0" applyAlignment="0" applyProtection="0"/>
    <xf numFmtId="210" fontId="3" fillId="48" borderId="0" applyNumberFormat="0" applyBorder="0" applyAlignment="0" applyProtection="0"/>
    <xf numFmtId="210" fontId="3" fillId="48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3" fillId="48" borderId="0" applyNumberFormat="0" applyBorder="0" applyAlignment="0" applyProtection="0"/>
    <xf numFmtId="210" fontId="57" fillId="30" borderId="0" applyNumberFormat="0" applyBorder="0" applyAlignment="0" applyProtection="0"/>
    <xf numFmtId="210" fontId="3" fillId="48" borderId="0" applyNumberFormat="0" applyBorder="0" applyAlignment="0" applyProtection="0"/>
    <xf numFmtId="210" fontId="3" fillId="41" borderId="0" applyNumberFormat="0" applyBorder="0" applyAlignment="0" applyProtection="0"/>
    <xf numFmtId="210" fontId="3" fillId="52" borderId="0" applyNumberFormat="0" applyBorder="0" applyAlignment="0" applyProtection="0"/>
    <xf numFmtId="210" fontId="3" fillId="41" borderId="0" applyNumberFormat="0" applyBorder="0" applyAlignment="0" applyProtection="0"/>
    <xf numFmtId="210" fontId="3" fillId="52" borderId="0" applyNumberFormat="0" applyBorder="0" applyAlignment="0" applyProtection="0"/>
    <xf numFmtId="210" fontId="3" fillId="41" borderId="0" applyNumberFormat="0" applyBorder="0" applyAlignment="0" applyProtection="0"/>
    <xf numFmtId="210" fontId="3" fillId="52" borderId="0" applyNumberFormat="0" applyBorder="0" applyAlignment="0" applyProtection="0"/>
    <xf numFmtId="210" fontId="67" fillId="52" borderId="0" applyNumberFormat="0" applyBorder="0" applyAlignment="0" applyProtection="0">
      <alignment vertical="center"/>
    </xf>
    <xf numFmtId="210" fontId="67" fillId="52" borderId="0" applyNumberFormat="0" applyBorder="0" applyAlignment="0" applyProtection="0">
      <alignment vertical="center"/>
    </xf>
    <xf numFmtId="210" fontId="67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9" fillId="52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9" fillId="52" borderId="0" applyNumberFormat="0" applyBorder="0" applyAlignment="0" applyProtection="0"/>
    <xf numFmtId="210" fontId="59" fillId="52" borderId="0" applyNumberFormat="0" applyBorder="0" applyAlignment="0" applyProtection="0"/>
    <xf numFmtId="210" fontId="59" fillId="52" borderId="0" applyNumberFormat="0" applyBorder="0" applyAlignment="0" applyProtection="0"/>
    <xf numFmtId="210" fontId="61" fillId="31" borderId="0" applyNumberFormat="0" applyBorder="0" applyAlignment="0" applyProtection="0"/>
    <xf numFmtId="210" fontId="59" fillId="52" borderId="0" applyNumberFormat="0" applyBorder="0" applyAlignment="0" applyProtection="0"/>
    <xf numFmtId="210" fontId="59" fillId="52" borderId="0" applyNumberFormat="0" applyBorder="0" applyAlignment="0" applyProtection="0"/>
    <xf numFmtId="210" fontId="59" fillId="52" borderId="0" applyNumberFormat="0" applyBorder="0" applyAlignment="0" applyProtection="0"/>
    <xf numFmtId="210" fontId="57" fillId="30" borderId="0" applyNumberFormat="0" applyBorder="0" applyAlignment="0" applyProtection="0"/>
    <xf numFmtId="210" fontId="59" fillId="52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52" borderId="0" applyNumberFormat="0" applyBorder="0" applyAlignment="0" applyProtection="0"/>
    <xf numFmtId="210" fontId="59" fillId="52" borderId="0" applyNumberFormat="0" applyBorder="0" applyAlignment="0" applyProtection="0"/>
    <xf numFmtId="210" fontId="59" fillId="52" borderId="0" applyNumberFormat="0" applyBorder="0" applyAlignment="0" applyProtection="0"/>
    <xf numFmtId="210" fontId="57" fillId="30" borderId="0" applyNumberFormat="0" applyBorder="0" applyAlignment="0" applyProtection="0"/>
    <xf numFmtId="210" fontId="59" fillId="52" borderId="0" applyNumberFormat="0" applyBorder="0" applyAlignment="0" applyProtection="0"/>
    <xf numFmtId="210" fontId="57" fillId="30" borderId="0" applyNumberFormat="0" applyBorder="0" applyAlignment="0" applyProtection="0"/>
    <xf numFmtId="210" fontId="59" fillId="52" borderId="0" applyNumberFormat="0" applyBorder="0" applyAlignment="0" applyProtection="0"/>
    <xf numFmtId="210" fontId="57" fillId="30" borderId="0" applyNumberFormat="0" applyBorder="0" applyAlignment="0" applyProtection="0"/>
    <xf numFmtId="210" fontId="59" fillId="52" borderId="0" applyNumberFormat="0" applyBorder="0" applyAlignment="0" applyProtection="0"/>
    <xf numFmtId="210" fontId="61" fillId="31" borderId="0" applyNumberFormat="0" applyBorder="0" applyAlignment="0" applyProtection="0"/>
    <xf numFmtId="210" fontId="3" fillId="41" borderId="0" applyNumberFormat="0" applyBorder="0" applyAlignment="0" applyProtection="0"/>
    <xf numFmtId="210" fontId="59" fillId="52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3" fillId="52" borderId="0" applyNumberFormat="0" applyBorder="0" applyAlignment="0" applyProtection="0"/>
    <xf numFmtId="210" fontId="3" fillId="52" borderId="0" applyNumberFormat="0" applyBorder="0" applyAlignment="0" applyProtection="0"/>
    <xf numFmtId="210" fontId="3" fillId="52" borderId="0" applyNumberFormat="0" applyBorder="0" applyAlignment="0" applyProtection="0"/>
    <xf numFmtId="210" fontId="3" fillId="52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3" fillId="52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3" fillId="35" borderId="0" applyNumberFormat="0" applyBorder="0" applyAlignment="0" applyProtection="0"/>
    <xf numFmtId="210" fontId="3" fillId="35" borderId="0" applyNumberFormat="0" applyBorder="0" applyAlignment="0" applyProtection="0"/>
    <xf numFmtId="210" fontId="3" fillId="35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" fillId="35" borderId="0" applyNumberFormat="0" applyBorder="0" applyAlignment="0" applyProtection="0"/>
    <xf numFmtId="210" fontId="61" fillId="31" borderId="0" applyNumberFormat="0" applyBorder="0" applyAlignment="0" applyProtection="0"/>
    <xf numFmtId="210" fontId="59" fillId="84" borderId="0" applyNumberFormat="0" applyBorder="0" applyAlignment="0" applyProtection="0"/>
    <xf numFmtId="210" fontId="59" fillId="84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12" fillId="95" borderId="0" applyNumberFormat="0" applyBorder="0" applyAlignment="0" applyProtection="0"/>
    <xf numFmtId="210" fontId="59" fillId="84" borderId="0" applyNumberFormat="0" applyBorder="0" applyAlignment="0" applyProtection="0"/>
    <xf numFmtId="210" fontId="57" fillId="30" borderId="0" applyNumberFormat="0" applyBorder="0" applyAlignment="0" applyProtection="0"/>
    <xf numFmtId="210" fontId="79" fillId="95" borderId="0" applyNumberFormat="0" applyBorder="0" applyAlignment="0" applyProtection="0"/>
    <xf numFmtId="210" fontId="59" fillId="84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9" fillId="84" borderId="0" applyNumberFormat="0" applyBorder="0" applyAlignment="0" applyProtection="0"/>
    <xf numFmtId="210" fontId="59" fillId="84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9" fillId="84" borderId="0" applyNumberFormat="0" applyBorder="0" applyAlignment="0" applyProtection="0"/>
    <xf numFmtId="210" fontId="59" fillId="84" borderId="0" applyNumberFormat="0" applyBorder="0" applyAlignment="0" applyProtection="0"/>
    <xf numFmtId="210" fontId="59" fillId="84" borderId="0" applyNumberFormat="0" applyBorder="0" applyAlignment="0" applyProtection="0"/>
    <xf numFmtId="210" fontId="59" fillId="84" borderId="0" applyNumberFormat="0" applyBorder="0" applyAlignment="0" applyProtection="0"/>
    <xf numFmtId="210" fontId="59" fillId="84" borderId="0" applyNumberFormat="0" applyBorder="0" applyAlignment="0" applyProtection="0"/>
    <xf numFmtId="210" fontId="61" fillId="31" borderId="0" applyNumberFormat="0" applyBorder="0" applyAlignment="0" applyProtection="0"/>
    <xf numFmtId="210" fontId="3" fillId="35" borderId="0" applyNumberFormat="0" applyBorder="0" applyAlignment="0" applyProtection="0"/>
    <xf numFmtId="210" fontId="3" fillId="35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3" fillId="60" borderId="0" applyNumberFormat="0" applyBorder="0" applyAlignment="0" applyProtection="0"/>
    <xf numFmtId="210" fontId="3" fillId="60" borderId="0" applyNumberFormat="0" applyBorder="0" applyAlignment="0" applyProtection="0"/>
    <xf numFmtId="210" fontId="3" fillId="60" borderId="0" applyNumberFormat="0" applyBorder="0" applyAlignment="0" applyProtection="0"/>
    <xf numFmtId="210" fontId="3" fillId="60" borderId="0" applyNumberFormat="0" applyBorder="0" applyAlignment="0" applyProtection="0"/>
    <xf numFmtId="210" fontId="61" fillId="31" borderId="0" applyNumberFormat="0" applyBorder="0" applyAlignment="0" applyProtection="0"/>
    <xf numFmtId="210" fontId="3" fillId="60" borderId="0" applyNumberFormat="0" applyBorder="0" applyAlignment="0" applyProtection="0"/>
    <xf numFmtId="210" fontId="61" fillId="31" borderId="0" applyNumberFormat="0" applyBorder="0" applyAlignment="0" applyProtection="0"/>
    <xf numFmtId="210" fontId="3" fillId="60" borderId="0" applyNumberFormat="0" applyBorder="0" applyAlignment="0" applyProtection="0"/>
    <xf numFmtId="210" fontId="61" fillId="31" borderId="0" applyNumberFormat="0" applyBorder="0" applyAlignment="0" applyProtection="0"/>
    <xf numFmtId="210" fontId="59" fillId="10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3" fillId="60" borderId="0" applyNumberFormat="0" applyBorder="0" applyAlignment="0" applyProtection="0"/>
    <xf numFmtId="210" fontId="59" fillId="100" borderId="0" applyNumberFormat="0" applyBorder="0" applyAlignment="0" applyProtection="0"/>
    <xf numFmtId="210" fontId="59" fillId="100" borderId="0" applyNumberFormat="0" applyBorder="0" applyAlignment="0" applyProtection="0"/>
    <xf numFmtId="210" fontId="59" fillId="100" borderId="0" applyNumberFormat="0" applyBorder="0" applyAlignment="0" applyProtection="0"/>
    <xf numFmtId="210" fontId="59" fillId="100" borderId="0" applyNumberFormat="0" applyBorder="0" applyAlignment="0" applyProtection="0"/>
    <xf numFmtId="210" fontId="57" fillId="30" borderId="0" applyNumberFormat="0" applyBorder="0" applyAlignment="0" applyProtection="0"/>
    <xf numFmtId="210" fontId="59" fillId="100" borderId="0" applyNumberFormat="0" applyBorder="0" applyAlignment="0" applyProtection="0"/>
    <xf numFmtId="210" fontId="57" fillId="30" borderId="0" applyNumberFormat="0" applyBorder="0" applyAlignment="0" applyProtection="0"/>
    <xf numFmtId="210" fontId="59" fillId="100" borderId="0" applyNumberFormat="0" applyBorder="0" applyAlignment="0" applyProtection="0"/>
    <xf numFmtId="210" fontId="59" fillId="100" borderId="0" applyNumberFormat="0" applyBorder="0" applyAlignment="0" applyProtection="0"/>
    <xf numFmtId="210" fontId="59" fillId="100" borderId="0" applyNumberFormat="0" applyBorder="0" applyAlignment="0" applyProtection="0"/>
    <xf numFmtId="210" fontId="59" fillId="100" borderId="0" applyNumberFormat="0" applyBorder="0" applyAlignment="0" applyProtection="0"/>
    <xf numFmtId="210" fontId="3" fillId="60" borderId="0" applyNumberFormat="0" applyBorder="0" applyAlignment="0" applyProtection="0"/>
    <xf numFmtId="210" fontId="3" fillId="60" borderId="0" applyNumberFormat="0" applyBorder="0" applyAlignment="0" applyProtection="0"/>
    <xf numFmtId="210" fontId="3" fillId="6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3" fillId="4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" fillId="4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3" fillId="4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3" fillId="4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7" fillId="4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4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41" borderId="0" applyNumberFormat="0" applyBorder="0" applyAlignment="0" applyProtection="0">
      <alignment vertical="center"/>
    </xf>
    <xf numFmtId="210" fontId="59" fillId="86" borderId="0" applyNumberFormat="0" applyBorder="0" applyAlignment="0" applyProtection="0"/>
    <xf numFmtId="210" fontId="3" fillId="41" borderId="0" applyNumberFormat="0" applyBorder="0" applyAlignment="0" applyProtection="0"/>
    <xf numFmtId="210" fontId="59" fillId="86" borderId="0" applyNumberFormat="0" applyBorder="0" applyAlignment="0" applyProtection="0"/>
    <xf numFmtId="210" fontId="61" fillId="31" borderId="0" applyNumberFormat="0" applyBorder="0" applyAlignment="0" applyProtection="0"/>
    <xf numFmtId="210" fontId="59" fillId="86" borderId="0" applyNumberFormat="0" applyBorder="0" applyAlignment="0" applyProtection="0"/>
    <xf numFmtId="210" fontId="59" fillId="86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86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86" borderId="0" applyNumberFormat="0" applyBorder="0" applyAlignment="0" applyProtection="0"/>
    <xf numFmtId="210" fontId="61" fillId="31" borderId="0" applyNumberFormat="0" applyBorder="0" applyAlignment="0" applyProtection="0"/>
    <xf numFmtId="210" fontId="59" fillId="86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86" borderId="0" applyNumberFormat="0" applyBorder="0" applyAlignment="0" applyProtection="0"/>
    <xf numFmtId="210" fontId="59" fillId="86" borderId="0" applyNumberFormat="0" applyBorder="0" applyAlignment="0" applyProtection="0"/>
    <xf numFmtId="210" fontId="67" fillId="41" borderId="0" applyNumberFormat="0" applyBorder="0" applyAlignment="0" applyProtection="0"/>
    <xf numFmtId="210" fontId="61" fillId="31" borderId="0" applyNumberFormat="0" applyBorder="0" applyAlignment="0" applyProtection="0"/>
    <xf numFmtId="210" fontId="3" fillId="41" borderId="0" applyNumberFormat="0" applyBorder="0" applyAlignment="0" applyProtection="0"/>
    <xf numFmtId="210" fontId="61" fillId="31" borderId="0" applyNumberFormat="0" applyBorder="0" applyAlignment="0" applyProtection="0"/>
    <xf numFmtId="210" fontId="192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92" fillId="52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92" fillId="3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92" fillId="4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0" fillId="0" borderId="0">
      <alignment vertical="center"/>
    </xf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0" fillId="0" borderId="0">
      <alignment vertical="center"/>
    </xf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0" fillId="0" borderId="0">
      <alignment vertical="center"/>
    </xf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0" fillId="0" borderId="0">
      <alignment vertical="center"/>
    </xf>
    <xf numFmtId="210" fontId="67" fillId="60" borderId="0" applyNumberFormat="0" applyBorder="0" applyAlignment="0" applyProtection="0">
      <alignment vertical="center"/>
    </xf>
    <xf numFmtId="210" fontId="30" fillId="0" borderId="0">
      <alignment vertical="center"/>
    </xf>
    <xf numFmtId="210" fontId="67" fillId="6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30" fillId="0" borderId="0">
      <alignment vertical="center"/>
    </xf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0" fillId="0" borderId="0"/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30" fillId="0" borderId="0"/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30" fillId="0" borderId="0"/>
    <xf numFmtId="210" fontId="67" fillId="60" borderId="0" applyNumberFormat="0" applyBorder="0" applyAlignment="0" applyProtection="0">
      <alignment vertical="center"/>
    </xf>
    <xf numFmtId="210" fontId="30" fillId="0" borderId="0">
      <alignment vertical="center"/>
    </xf>
    <xf numFmtId="210" fontId="110" fillId="0" borderId="78" applyNumberFormat="0" applyFill="0" applyAlignment="0" applyProtection="0"/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30" fillId="0" borderId="0">
      <alignment vertical="center"/>
    </xf>
    <xf numFmtId="210" fontId="110" fillId="0" borderId="78" applyNumberFormat="0" applyFill="0" applyAlignment="0" applyProtection="0"/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30" fillId="0" borderId="0">
      <alignment vertical="center"/>
    </xf>
    <xf numFmtId="210" fontId="67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5" fontId="236" fillId="0" borderId="0"/>
    <xf numFmtId="210" fontId="67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210" fontId="67" fillId="48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210" fontId="67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210" fontId="67" fillId="48" borderId="0" applyNumberFormat="0" applyBorder="0" applyAlignment="0" applyProtection="0">
      <alignment vertical="center"/>
    </xf>
    <xf numFmtId="210" fontId="67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7" fillId="48" borderId="0" applyNumberFormat="0" applyBorder="0" applyAlignment="0" applyProtection="0">
      <alignment vertical="center"/>
    </xf>
    <xf numFmtId="210" fontId="67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30" fillId="0" borderId="0">
      <alignment vertical="center"/>
    </xf>
    <xf numFmtId="210" fontId="67" fillId="52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00" fontId="60" fillId="0" borderId="0" applyFont="0" applyFill="0" applyBorder="0" applyAlignment="0" applyProtection="0"/>
    <xf numFmtId="210" fontId="67" fillId="52" borderId="0" applyNumberFormat="0" applyBorder="0" applyAlignment="0" applyProtection="0">
      <alignment vertical="center"/>
    </xf>
    <xf numFmtId="210" fontId="67" fillId="52" borderId="0" applyNumberFormat="0" applyBorder="0" applyAlignment="0" applyProtection="0">
      <alignment vertical="center"/>
    </xf>
    <xf numFmtId="210" fontId="67" fillId="52" borderId="0" applyNumberFormat="0" applyBorder="0" applyAlignment="0" applyProtection="0">
      <alignment vertical="center"/>
    </xf>
    <xf numFmtId="210" fontId="67" fillId="52" borderId="0" applyNumberFormat="0" applyBorder="0" applyAlignment="0" applyProtection="0">
      <alignment vertical="center"/>
    </xf>
    <xf numFmtId="210" fontId="67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00" fontId="60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30" fillId="0" borderId="0">
      <alignment vertical="center"/>
    </xf>
    <xf numFmtId="210" fontId="67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52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52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38" fontId="131" fillId="0" borderId="0" applyFill="0" applyBorder="0" applyAlignment="0"/>
    <xf numFmtId="210" fontId="67" fillId="52" borderId="0" applyNumberFormat="0" applyBorder="0" applyAlignment="0" applyProtection="0">
      <alignment vertical="center"/>
    </xf>
    <xf numFmtId="210" fontId="67" fillId="52" borderId="0" applyNumberFormat="0" applyBorder="0" applyAlignment="0" applyProtection="0">
      <alignment vertical="center"/>
    </xf>
    <xf numFmtId="210" fontId="67" fillId="52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67" fillId="35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30" fillId="0" borderId="0">
      <alignment vertical="center"/>
    </xf>
    <xf numFmtId="210" fontId="67" fillId="6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7" fillId="6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67" fillId="60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30" fillId="0" borderId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10" fillId="0" borderId="0" applyNumberFormat="0" applyFill="0" applyBorder="0" applyAlignment="0" applyProtection="0"/>
    <xf numFmtId="210" fontId="67" fillId="41" borderId="0" applyNumberFormat="0" applyBorder="0" applyAlignment="0" applyProtection="0">
      <alignment vertical="center"/>
    </xf>
    <xf numFmtId="210" fontId="110" fillId="0" borderId="0" applyNumberFormat="0" applyFill="0" applyBorder="0" applyAlignment="0" applyProtection="0"/>
    <xf numFmtId="210" fontId="67" fillId="41" borderId="0" applyNumberFormat="0" applyBorder="0" applyAlignment="0" applyProtection="0">
      <alignment vertical="center"/>
    </xf>
    <xf numFmtId="210" fontId="67" fillId="41" borderId="0" applyNumberFormat="0" applyBorder="0" applyAlignment="0" applyProtection="0">
      <alignment vertical="center"/>
    </xf>
    <xf numFmtId="210" fontId="157" fillId="60" borderId="0" applyNumberFormat="0" applyBorder="0" applyAlignment="0" applyProtection="0">
      <alignment vertical="center"/>
    </xf>
    <xf numFmtId="210" fontId="157" fillId="48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57" fillId="52" borderId="0" applyNumberFormat="0" applyBorder="0" applyAlignment="0" applyProtection="0">
      <alignment vertical="center"/>
    </xf>
    <xf numFmtId="210" fontId="157" fillId="35" borderId="0" applyNumberFormat="0" applyBorder="0" applyAlignment="0" applyProtection="0">
      <alignment vertical="center"/>
    </xf>
    <xf numFmtId="210" fontId="157" fillId="6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37" fontId="60" fillId="0" borderId="7"/>
    <xf numFmtId="237" fontId="60" fillId="0" borderId="7"/>
    <xf numFmtId="210" fontId="61" fillId="31" borderId="0" applyNumberFormat="0" applyBorder="0" applyAlignment="0" applyProtection="0"/>
    <xf numFmtId="237" fontId="60" fillId="0" borderId="7"/>
    <xf numFmtId="198" fontId="67" fillId="0" borderId="0" applyFont="0" applyFill="0" applyBorder="0" applyAlignment="0" applyProtection="0">
      <alignment vertical="center"/>
    </xf>
    <xf numFmtId="237" fontId="60" fillId="0" borderId="7"/>
    <xf numFmtId="237" fontId="60" fillId="0" borderId="7"/>
    <xf numFmtId="237" fontId="60" fillId="0" borderId="7"/>
    <xf numFmtId="237" fontId="60" fillId="0" borderId="7"/>
    <xf numFmtId="210" fontId="57" fillId="30" borderId="0" applyNumberFormat="0" applyBorder="0" applyAlignment="0" applyProtection="0">
      <alignment vertical="center"/>
    </xf>
    <xf numFmtId="237" fontId="60" fillId="0" borderId="7"/>
    <xf numFmtId="237" fontId="60" fillId="0" borderId="7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37" fontId="60" fillId="0" borderId="7"/>
    <xf numFmtId="237" fontId="60" fillId="0" borderId="7"/>
    <xf numFmtId="237" fontId="60" fillId="0" borderId="7"/>
    <xf numFmtId="184" fontId="60" fillId="0" borderId="12"/>
    <xf numFmtId="184" fontId="60" fillId="0" borderId="12"/>
    <xf numFmtId="184" fontId="60" fillId="0" borderId="12"/>
    <xf numFmtId="184" fontId="60" fillId="0" borderId="12"/>
    <xf numFmtId="210" fontId="57" fillId="30" borderId="0" applyNumberFormat="0" applyBorder="0" applyAlignment="0" applyProtection="0"/>
    <xf numFmtId="184" fontId="60" fillId="0" borderId="12"/>
    <xf numFmtId="210" fontId="61" fillId="31" borderId="0" applyNumberFormat="0" applyBorder="0" applyAlignment="0" applyProtection="0"/>
    <xf numFmtId="184" fontId="60" fillId="0" borderId="12"/>
    <xf numFmtId="210" fontId="57" fillId="30" borderId="0" applyNumberFormat="0" applyBorder="0" applyAlignment="0" applyProtection="0">
      <alignment vertical="center"/>
    </xf>
    <xf numFmtId="184" fontId="60" fillId="0" borderId="12"/>
    <xf numFmtId="184" fontId="60" fillId="0" borderId="12"/>
    <xf numFmtId="184" fontId="60" fillId="0" borderId="12"/>
    <xf numFmtId="184" fontId="60" fillId="0" borderId="12"/>
    <xf numFmtId="210" fontId="61" fillId="31" borderId="0" applyNumberFormat="0" applyBorder="0" applyAlignment="0" applyProtection="0">
      <alignment vertical="center"/>
    </xf>
    <xf numFmtId="184" fontId="60" fillId="0" borderId="12"/>
    <xf numFmtId="290" fontId="60" fillId="0" borderId="0">
      <alignment horizontal="center"/>
    </xf>
    <xf numFmtId="290" fontId="60" fillId="0" borderId="0">
      <alignment horizontal="center"/>
    </xf>
    <xf numFmtId="210" fontId="57" fillId="30" borderId="0" applyNumberFormat="0" applyBorder="0" applyAlignment="0" applyProtection="0">
      <alignment vertical="center"/>
    </xf>
    <xf numFmtId="290" fontId="60" fillId="0" borderId="0">
      <alignment horizontal="center"/>
    </xf>
    <xf numFmtId="210" fontId="57" fillId="30" borderId="0" applyNumberFormat="0" applyBorder="0" applyAlignment="0" applyProtection="0">
      <alignment vertical="center"/>
    </xf>
    <xf numFmtId="290" fontId="60" fillId="0" borderId="0">
      <alignment horizontal="center"/>
    </xf>
    <xf numFmtId="210" fontId="79" fillId="49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79" fillId="39" borderId="0" applyNumberFormat="0" applyBorder="0" applyAlignment="0" applyProtection="0"/>
    <xf numFmtId="210" fontId="67" fillId="0" borderId="0"/>
    <xf numFmtId="210" fontId="67" fillId="0" borderId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79" fillId="7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12" fillId="131" borderId="0" applyNumberFormat="0" applyBorder="0" applyAlignment="0" applyProtection="0"/>
    <xf numFmtId="210" fontId="79" fillId="49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60" fillId="49" borderId="0" applyNumberFormat="0" applyBorder="0" applyAlignment="0" applyProtection="0"/>
    <xf numFmtId="210" fontId="112" fillId="131" borderId="0" applyNumberFormat="0" applyBorder="0" applyAlignment="0" applyProtection="0"/>
    <xf numFmtId="210" fontId="69" fillId="49" borderId="0" applyNumberFormat="0" applyBorder="0" applyAlignment="0" applyProtection="0"/>
    <xf numFmtId="281" fontId="60" fillId="0" borderId="0" applyFont="0" applyFill="0" applyBorder="0" applyAlignment="0" applyProtection="0"/>
    <xf numFmtId="210" fontId="79" fillId="70" borderId="0" applyNumberFormat="0" applyBorder="0" applyAlignment="0" applyProtection="0"/>
    <xf numFmtId="210" fontId="57" fillId="30" borderId="0" applyNumberFormat="0" applyBorder="0" applyAlignment="0" applyProtection="0"/>
    <xf numFmtId="210" fontId="79" fillId="70" borderId="0" applyNumberFormat="0" applyBorder="0" applyAlignment="0" applyProtection="0"/>
    <xf numFmtId="210" fontId="57" fillId="30" borderId="0" applyNumberFormat="0" applyBorder="0" applyAlignment="0" applyProtection="0"/>
    <xf numFmtId="210" fontId="79" fillId="70" borderId="0" applyNumberFormat="0" applyBorder="0" applyAlignment="0" applyProtection="0"/>
    <xf numFmtId="210" fontId="57" fillId="30" borderId="0" applyNumberFormat="0" applyBorder="0" applyAlignment="0" applyProtection="0"/>
    <xf numFmtId="210" fontId="79" fillId="7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79" fillId="70" borderId="0" applyNumberFormat="0" applyBorder="0" applyAlignment="0" applyProtection="0"/>
    <xf numFmtId="210" fontId="79" fillId="48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79" fillId="39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79" fillId="48" borderId="0" applyNumberFormat="0" applyBorder="0" applyAlignment="0" applyProtection="0"/>
    <xf numFmtId="210" fontId="60" fillId="0" borderId="0"/>
    <xf numFmtId="210" fontId="79" fillId="48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79" fillId="48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79" fillId="48" borderId="0" applyNumberFormat="0" applyBorder="0" applyAlignment="0" applyProtection="0"/>
    <xf numFmtId="210" fontId="3" fillId="0" borderId="0"/>
    <xf numFmtId="210" fontId="69" fillId="48" borderId="0" applyNumberFormat="0" applyBorder="0" applyAlignment="0" applyProtection="0">
      <alignment vertical="center"/>
    </xf>
    <xf numFmtId="210" fontId="112" fillId="90" borderId="0" applyNumberFormat="0" applyBorder="0" applyAlignment="0" applyProtection="0"/>
    <xf numFmtId="210" fontId="57" fillId="30" borderId="0" applyNumberFormat="0" applyBorder="0" applyAlignment="0" applyProtection="0"/>
    <xf numFmtId="210" fontId="160" fillId="48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60" fillId="48" borderId="0" applyNumberFormat="0" applyBorder="0" applyAlignment="0" applyProtection="0"/>
    <xf numFmtId="210" fontId="69" fillId="48" borderId="0" applyNumberFormat="0" applyBorder="0" applyAlignment="0" applyProtection="0"/>
    <xf numFmtId="210" fontId="61" fillId="31" borderId="0" applyNumberFormat="0" applyBorder="0" applyAlignment="0" applyProtection="0"/>
    <xf numFmtId="210" fontId="79" fillId="48" borderId="0" applyNumberFormat="0" applyBorder="0" applyAlignment="0" applyProtection="0"/>
    <xf numFmtId="210" fontId="79" fillId="48" borderId="0" applyNumberFormat="0" applyBorder="0" applyAlignment="0" applyProtection="0"/>
    <xf numFmtId="178" fontId="197" fillId="60" borderId="104">
      <alignment horizontal="center" vertical="center"/>
    </xf>
    <xf numFmtId="210" fontId="79" fillId="48" borderId="0" applyNumberFormat="0" applyBorder="0" applyAlignment="0" applyProtection="0"/>
    <xf numFmtId="210" fontId="79" fillId="48" borderId="0" applyNumberFormat="0" applyBorder="0" applyAlignment="0" applyProtection="0"/>
    <xf numFmtId="210" fontId="61" fillId="31" borderId="0" applyNumberFormat="0" applyBorder="0" applyAlignment="0" applyProtection="0"/>
    <xf numFmtId="210" fontId="79" fillId="52" borderId="0" applyNumberFormat="0" applyBorder="0" applyAlignment="0" applyProtection="0"/>
    <xf numFmtId="210" fontId="79" fillId="52" borderId="0" applyNumberFormat="0" applyBorder="0" applyAlignment="0" applyProtection="0"/>
    <xf numFmtId="210" fontId="79" fillId="52" borderId="0" applyNumberFormat="0" applyBorder="0" applyAlignment="0" applyProtection="0"/>
    <xf numFmtId="210" fontId="69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112" fillId="52" borderId="0" applyNumberFormat="0" applyBorder="0" applyAlignment="0" applyProtection="0"/>
    <xf numFmtId="210" fontId="61" fillId="31" borderId="0" applyNumberFormat="0" applyBorder="0" applyAlignment="0" applyProtection="0"/>
    <xf numFmtId="210" fontId="160" fillId="52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12" fillId="52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60" fillId="52" borderId="0" applyNumberFormat="0" applyBorder="0" applyAlignment="0" applyProtection="0"/>
    <xf numFmtId="210" fontId="61" fillId="31" borderId="0" applyNumberFormat="0" applyBorder="0" applyAlignment="0" applyProtection="0"/>
    <xf numFmtId="210" fontId="69" fillId="52" borderId="0" applyNumberFormat="0" applyBorder="0" applyAlignment="0" applyProtection="0"/>
    <xf numFmtId="210" fontId="79" fillId="52" borderId="0" applyNumberFormat="0" applyBorder="0" applyAlignment="0" applyProtection="0"/>
    <xf numFmtId="210" fontId="79" fillId="52" borderId="0" applyNumberFormat="0" applyBorder="0" applyAlignment="0" applyProtection="0"/>
    <xf numFmtId="210" fontId="79" fillId="52" borderId="0" applyNumberFormat="0" applyBorder="0" applyAlignment="0" applyProtection="0"/>
    <xf numFmtId="210" fontId="61" fillId="31" borderId="0" applyNumberFormat="0" applyBorder="0" applyAlignment="0" applyProtection="0"/>
    <xf numFmtId="210" fontId="79" fillId="85" borderId="0" applyNumberFormat="0" applyBorder="0" applyAlignment="0" applyProtection="0"/>
    <xf numFmtId="210" fontId="79" fillId="50" borderId="0" applyNumberFormat="0" applyBorder="0" applyAlignment="0" applyProtection="0"/>
    <xf numFmtId="210" fontId="79" fillId="50" borderId="0" applyNumberFormat="0" applyBorder="0" applyAlignment="0" applyProtection="0"/>
    <xf numFmtId="210" fontId="57" fillId="30" borderId="0" applyNumberFormat="0" applyBorder="0" applyAlignment="0" applyProtection="0"/>
    <xf numFmtId="210" fontId="79" fillId="5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12" fillId="85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79" fillId="85" borderId="0" applyNumberFormat="0" applyBorder="0" applyAlignment="0" applyProtection="0"/>
    <xf numFmtId="210" fontId="61" fillId="31" borderId="0" applyNumberFormat="0" applyBorder="0" applyAlignment="0" applyProtection="0"/>
    <xf numFmtId="210" fontId="112" fillId="85" borderId="0" applyNumberFormat="0" applyBorder="0" applyAlignment="0" applyProtection="0"/>
    <xf numFmtId="210" fontId="160" fillId="85" borderId="0" applyNumberFormat="0" applyBorder="0" applyAlignment="0" applyProtection="0"/>
    <xf numFmtId="210" fontId="69" fillId="85" borderId="0" applyNumberFormat="0" applyBorder="0" applyAlignment="0" applyProtection="0"/>
    <xf numFmtId="210" fontId="79" fillId="50" borderId="0" applyNumberFormat="0" applyBorder="0" applyAlignment="0" applyProtection="0"/>
    <xf numFmtId="210" fontId="79" fillId="50" borderId="0" applyNumberFormat="0" applyBorder="0" applyAlignment="0" applyProtection="0"/>
    <xf numFmtId="210" fontId="61" fillId="31" borderId="0" applyNumberFormat="0" applyBorder="0" applyAlignment="0" applyProtection="0"/>
    <xf numFmtId="210" fontId="79" fillId="50" borderId="0" applyNumberFormat="0" applyBorder="0" applyAlignment="0" applyProtection="0"/>
    <xf numFmtId="210" fontId="61" fillId="31" borderId="0" applyNumberFormat="0" applyBorder="0" applyAlignment="0" applyProtection="0"/>
    <xf numFmtId="210" fontId="79" fillId="7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79" fillId="7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160" fillId="70" borderId="0" applyNumberFormat="0" applyBorder="0" applyAlignment="0" applyProtection="0"/>
    <xf numFmtId="210" fontId="61" fillId="31" borderId="0" applyNumberFormat="0" applyBorder="0" applyAlignment="0" applyProtection="0"/>
    <xf numFmtId="210" fontId="112" fillId="79" borderId="0" applyNumberFormat="0" applyBorder="0" applyAlignment="0" applyProtection="0"/>
    <xf numFmtId="210" fontId="160" fillId="70" borderId="0" applyNumberFormat="0" applyBorder="0" applyAlignment="0" applyProtection="0"/>
    <xf numFmtId="210" fontId="79" fillId="70" borderId="0" applyNumberFormat="0" applyBorder="0" applyAlignment="0" applyProtection="0"/>
    <xf numFmtId="210" fontId="168" fillId="0" borderId="87" applyNumberFormat="0" applyFill="0" applyAlignment="0" applyProtection="0">
      <alignment vertical="center"/>
    </xf>
    <xf numFmtId="210" fontId="79" fillId="70" borderId="0" applyNumberFormat="0" applyBorder="0" applyAlignment="0" applyProtection="0"/>
    <xf numFmtId="210" fontId="168" fillId="0" borderId="87" applyNumberFormat="0" applyFill="0" applyAlignment="0" applyProtection="0">
      <alignment vertical="center"/>
    </xf>
    <xf numFmtId="210" fontId="79" fillId="70" borderId="0" applyNumberFormat="0" applyBorder="0" applyAlignment="0" applyProtection="0"/>
    <xf numFmtId="210" fontId="61" fillId="31" borderId="0" applyNumberFormat="0" applyBorder="0" applyAlignment="0" applyProtection="0"/>
    <xf numFmtId="210" fontId="79" fillId="95" borderId="0" applyNumberFormat="0" applyBorder="0" applyAlignment="0" applyProtection="0"/>
    <xf numFmtId="210" fontId="57" fillId="30" borderId="0" applyNumberFormat="0" applyBorder="0" applyAlignment="0" applyProtection="0"/>
    <xf numFmtId="210" fontId="79" fillId="95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79" fillId="95" borderId="0" applyNumberFormat="0" applyBorder="0" applyAlignment="0" applyProtection="0"/>
    <xf numFmtId="210" fontId="79" fillId="95" borderId="0" applyNumberFormat="0" applyBorder="0" applyAlignment="0" applyProtection="0"/>
    <xf numFmtId="210" fontId="160" fillId="95" borderId="0" applyNumberFormat="0" applyBorder="0" applyAlignment="0" applyProtection="0"/>
    <xf numFmtId="210" fontId="79" fillId="95" borderId="0" applyNumberFormat="0" applyBorder="0" applyAlignment="0" applyProtection="0"/>
    <xf numFmtId="210" fontId="79" fillId="95" borderId="0" applyNumberFormat="0" applyBorder="0" applyAlignment="0" applyProtection="0"/>
    <xf numFmtId="210" fontId="168" fillId="0" borderId="87" applyNumberFormat="0" applyFill="0" applyAlignment="0" applyProtection="0">
      <alignment vertical="center"/>
    </xf>
    <xf numFmtId="210" fontId="79" fillId="95" borderId="0" applyNumberFormat="0" applyBorder="0" applyAlignment="0" applyProtection="0"/>
    <xf numFmtId="210" fontId="168" fillId="0" borderId="87" applyNumberFormat="0" applyFill="0" applyAlignment="0" applyProtection="0">
      <alignment vertical="center"/>
    </xf>
    <xf numFmtId="210" fontId="79" fillId="95" borderId="0" applyNumberFormat="0" applyBorder="0" applyAlignment="0" applyProtection="0"/>
    <xf numFmtId="210" fontId="168" fillId="0" borderId="87" applyNumberFormat="0" applyFill="0" applyAlignment="0" applyProtection="0">
      <alignment vertical="center"/>
    </xf>
    <xf numFmtId="210" fontId="79" fillId="95" borderId="0" applyNumberFormat="0" applyBorder="0" applyAlignment="0" applyProtection="0"/>
    <xf numFmtId="210" fontId="96" fillId="85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96" fillId="95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9" fillId="49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9" fillId="0" borderId="0"/>
    <xf numFmtId="210" fontId="69" fillId="49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9" fillId="49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9" fillId="49" borderId="0" applyNumberFormat="0" applyBorder="0" applyAlignment="0" applyProtection="0">
      <alignment vertical="center"/>
    </xf>
    <xf numFmtId="210" fontId="69" fillId="49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9" fillId="48" borderId="0" applyNumberFormat="0" applyBorder="0" applyAlignment="0" applyProtection="0">
      <alignment vertical="center"/>
    </xf>
    <xf numFmtId="210" fontId="69" fillId="48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90" fillId="30" borderId="0" applyNumberFormat="0" applyBorder="0" applyAlignment="0" applyProtection="0"/>
    <xf numFmtId="210" fontId="69" fillId="48" borderId="0" applyNumberFormat="0" applyBorder="0" applyAlignment="0" applyProtection="0">
      <alignment vertical="center"/>
    </xf>
    <xf numFmtId="254" fontId="60" fillId="0" borderId="0"/>
    <xf numFmtId="210" fontId="69" fillId="52" borderId="0" applyNumberFormat="0" applyBorder="0" applyAlignment="0" applyProtection="0">
      <alignment vertical="center"/>
    </xf>
    <xf numFmtId="210" fontId="69" fillId="48" borderId="0" applyNumberFormat="0" applyBorder="0" applyAlignment="0" applyProtection="0">
      <alignment vertical="center"/>
    </xf>
    <xf numFmtId="210" fontId="69" fillId="48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9" fillId="48" borderId="0" applyNumberFormat="0" applyBorder="0" applyAlignment="0" applyProtection="0">
      <alignment vertical="center"/>
    </xf>
    <xf numFmtId="210" fontId="69" fillId="48" borderId="0" applyNumberFormat="0" applyBorder="0" applyAlignment="0" applyProtection="0">
      <alignment vertical="center"/>
    </xf>
    <xf numFmtId="210" fontId="69" fillId="48" borderId="0" applyNumberFormat="0" applyBorder="0" applyAlignment="0" applyProtection="0">
      <alignment vertical="center"/>
    </xf>
    <xf numFmtId="210" fontId="69" fillId="48" borderId="0" applyNumberFormat="0" applyBorder="0" applyAlignment="0" applyProtection="0">
      <alignment vertical="center"/>
    </xf>
    <xf numFmtId="210" fontId="69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239" fillId="0" borderId="0" applyBorder="0"/>
    <xf numFmtId="210" fontId="69" fillId="52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9" fillId="5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9" fillId="52" borderId="0" applyNumberFormat="0" applyBorder="0" applyAlignment="0" applyProtection="0"/>
    <xf numFmtId="210" fontId="69" fillId="85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/>
    <xf numFmtId="210" fontId="61" fillId="31" borderId="0" applyNumberFormat="0" applyBorder="0" applyAlignment="0" applyProtection="0"/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0" fillId="0" borderId="0"/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95" fillId="0" borderId="0">
      <alignment vertical="top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69" fillId="9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9" fillId="95" borderId="0" applyNumberFormat="0" applyBorder="0" applyAlignment="0" applyProtection="0"/>
    <xf numFmtId="210" fontId="136" fillId="49" borderId="0" applyNumberFormat="0" applyBorder="0" applyAlignment="0" applyProtection="0">
      <alignment vertical="center"/>
    </xf>
    <xf numFmtId="210" fontId="136" fillId="48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36" fillId="52" borderId="0" applyNumberFormat="0" applyBorder="0" applyAlignment="0" applyProtection="0">
      <alignment vertical="center"/>
    </xf>
    <xf numFmtId="210" fontId="136" fillId="7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37" fontId="60" fillId="0" borderId="12"/>
    <xf numFmtId="237" fontId="60" fillId="0" borderId="12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37" fontId="60" fillId="0" borderId="12"/>
    <xf numFmtId="237" fontId="60" fillId="0" borderId="12"/>
    <xf numFmtId="237" fontId="60" fillId="0" borderId="12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37" fontId="60" fillId="0" borderId="12"/>
    <xf numFmtId="237" fontId="60" fillId="0" borderId="12"/>
    <xf numFmtId="237" fontId="60" fillId="0" borderId="12"/>
    <xf numFmtId="237" fontId="60" fillId="0" borderId="12"/>
    <xf numFmtId="237" fontId="60" fillId="0" borderId="12"/>
    <xf numFmtId="237" fontId="60" fillId="0" borderId="12"/>
    <xf numFmtId="210" fontId="61" fillId="31" borderId="0" applyNumberFormat="0" applyBorder="0" applyAlignment="0" applyProtection="0"/>
    <xf numFmtId="210" fontId="60" fillId="0" borderId="0"/>
    <xf numFmtId="210" fontId="99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99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99" fillId="0" borderId="0"/>
    <xf numFmtId="210" fontId="99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7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168" fillId="0" borderId="87" applyNumberFormat="0" applyFill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6" fillId="0" borderId="0"/>
    <xf numFmtId="210" fontId="66" fillId="0" borderId="0"/>
    <xf numFmtId="210" fontId="147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106" fillId="0" borderId="72" applyNumberFormat="0" applyFill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99" fillId="0" borderId="0"/>
    <xf numFmtId="237" fontId="88" fillId="0" borderId="0" applyBorder="0"/>
    <xf numFmtId="210" fontId="288" fillId="0" borderId="0">
      <alignment horizontal="center"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57" fillId="102" borderId="0" applyNumberFormat="0" applyBorder="0" applyAlignment="0" applyProtection="0"/>
    <xf numFmtId="210" fontId="136" fillId="127" borderId="0" applyNumberFormat="0" applyBorder="0" applyAlignment="0" applyProtection="0"/>
    <xf numFmtId="210" fontId="79" fillId="39" borderId="0" applyNumberFormat="0" applyBorder="0" applyAlignment="0" applyProtection="0"/>
    <xf numFmtId="210" fontId="79" fillId="39" borderId="0" applyNumberFormat="0" applyBorder="0" applyAlignment="0" applyProtection="0"/>
    <xf numFmtId="210" fontId="79" fillId="39" borderId="0" applyNumberFormat="0" applyBorder="0" applyAlignment="0" applyProtection="0"/>
    <xf numFmtId="210" fontId="66" fillId="0" borderId="0"/>
    <xf numFmtId="210" fontId="66" fillId="0" borderId="0"/>
    <xf numFmtId="210" fontId="61" fillId="31" borderId="0" applyNumberFormat="0" applyBorder="0" applyAlignment="0" applyProtection="0"/>
    <xf numFmtId="210" fontId="79" fillId="39" borderId="0" applyNumberFormat="0" applyBorder="0" applyAlignment="0" applyProtection="0"/>
    <xf numFmtId="210" fontId="67" fillId="0" borderId="0"/>
    <xf numFmtId="210" fontId="67" fillId="0" borderId="0"/>
    <xf numFmtId="210" fontId="112" fillId="132" borderId="0" applyNumberFormat="0" applyBorder="0" applyAlignment="0" applyProtection="0"/>
    <xf numFmtId="210" fontId="79" fillId="39" borderId="0" applyNumberFormat="0" applyBorder="0" applyAlignment="0" applyProtection="0"/>
    <xf numFmtId="210" fontId="160" fillId="39" borderId="0" applyNumberFormat="0" applyBorder="0" applyAlignment="0" applyProtection="0"/>
    <xf numFmtId="210" fontId="112" fillId="132" borderId="0" applyNumberFormat="0" applyBorder="0" applyAlignment="0" applyProtection="0"/>
    <xf numFmtId="210" fontId="79" fillId="39" borderId="0" applyNumberFormat="0" applyBorder="0" applyAlignment="0" applyProtection="0"/>
    <xf numFmtId="210" fontId="79" fillId="39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79" fillId="39" borderId="0" applyNumberFormat="0" applyBorder="0" applyAlignment="0" applyProtection="0"/>
    <xf numFmtId="210" fontId="79" fillId="39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79" fillId="39" borderId="0" applyNumberFormat="0" applyBorder="0" applyAlignment="0" applyProtection="0"/>
    <xf numFmtId="210" fontId="57" fillId="30" borderId="0" applyNumberFormat="0" applyBorder="0" applyAlignment="0" applyProtection="0"/>
    <xf numFmtId="210" fontId="79" fillId="10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36" fillId="133" borderId="0" applyNumberFormat="0" applyBorder="0" applyAlignment="0" applyProtection="0"/>
    <xf numFmtId="210" fontId="79" fillId="101" borderId="0" applyNumberFormat="0" applyBorder="0" applyAlignment="0" applyProtection="0"/>
    <xf numFmtId="9" fontId="59" fillId="0" borderId="0" applyFont="0" applyFill="0" applyBorder="0" applyAlignment="0" applyProtection="0"/>
    <xf numFmtId="210" fontId="79" fillId="101" borderId="0" applyNumberFormat="0" applyBorder="0" applyAlignment="0" applyProtection="0"/>
    <xf numFmtId="9" fontId="59" fillId="0" borderId="0" applyFont="0" applyFill="0" applyBorder="0" applyAlignment="0" applyProtection="0"/>
    <xf numFmtId="210" fontId="79" fillId="101" borderId="0" applyNumberFormat="0" applyBorder="0" applyAlignment="0" applyProtection="0"/>
    <xf numFmtId="210" fontId="79" fillId="101" borderId="0" applyNumberFormat="0" applyBorder="0" applyAlignment="0" applyProtection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79" fillId="10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79" fillId="101" borderId="0" applyNumberFormat="0" applyBorder="0" applyAlignment="0" applyProtection="0"/>
    <xf numFmtId="210" fontId="30" fillId="0" borderId="0">
      <alignment vertical="center"/>
    </xf>
    <xf numFmtId="210" fontId="79" fillId="10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2" fillId="0" borderId="0"/>
    <xf numFmtId="210" fontId="112" fillId="134" borderId="0" applyNumberFormat="0" applyBorder="0" applyAlignment="0" applyProtection="0"/>
    <xf numFmtId="210" fontId="79" fillId="101" borderId="0" applyNumberFormat="0" applyBorder="0" applyAlignment="0" applyProtection="0"/>
    <xf numFmtId="210" fontId="160" fillId="10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12" fillId="134" borderId="0" applyNumberFormat="0" applyBorder="0" applyAlignment="0" applyProtection="0"/>
    <xf numFmtId="210" fontId="79" fillId="101" borderId="0" applyNumberFormat="0" applyBorder="0" applyAlignment="0" applyProtection="0"/>
    <xf numFmtId="210" fontId="160" fillId="101" borderId="0" applyNumberFormat="0" applyBorder="0" applyAlignment="0" applyProtection="0"/>
    <xf numFmtId="210" fontId="79" fillId="101" borderId="0" applyNumberFormat="0" applyBorder="0" applyAlignment="0" applyProtection="0"/>
    <xf numFmtId="210" fontId="57" fillId="30" borderId="0" applyNumberFormat="0" applyBorder="0" applyAlignment="0" applyProtection="0"/>
    <xf numFmtId="210" fontId="79" fillId="101" borderId="0" applyNumberFormat="0" applyBorder="0" applyAlignment="0" applyProtection="0"/>
    <xf numFmtId="210" fontId="57" fillId="30" borderId="0" applyNumberFormat="0" applyBorder="0" applyAlignment="0" applyProtection="0"/>
    <xf numFmtId="210" fontId="79" fillId="101" borderId="0" applyNumberFormat="0" applyBorder="0" applyAlignment="0" applyProtection="0"/>
    <xf numFmtId="210" fontId="57" fillId="30" borderId="0" applyNumberFormat="0" applyBorder="0" applyAlignment="0" applyProtection="0"/>
    <xf numFmtId="210" fontId="79" fillId="58" borderId="0" applyNumberFormat="0" applyBorder="0" applyAlignment="0" applyProtection="0"/>
    <xf numFmtId="210" fontId="57" fillId="30" borderId="0" applyNumberFormat="0" applyBorder="0" applyAlignment="0" applyProtection="0"/>
    <xf numFmtId="210" fontId="157" fillId="93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79" fillId="58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79" fillId="58" borderId="0" applyNumberFormat="0" applyBorder="0" applyAlignment="0" applyProtection="0"/>
    <xf numFmtId="210" fontId="79" fillId="58" borderId="0" applyNumberFormat="0" applyBorder="0" applyAlignment="0" applyProtection="0"/>
    <xf numFmtId="210" fontId="79" fillId="58" borderId="0" applyNumberFormat="0" applyBorder="0" applyAlignment="0" applyProtection="0"/>
    <xf numFmtId="210" fontId="79" fillId="58" borderId="0" applyNumberFormat="0" applyBorder="0" applyAlignment="0" applyProtection="0"/>
    <xf numFmtId="210" fontId="79" fillId="58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12" fillId="23" borderId="0" applyNumberFormat="0" applyBorder="0" applyAlignment="0" applyProtection="0"/>
    <xf numFmtId="210" fontId="79" fillId="58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12" fillId="23" borderId="0" applyNumberFormat="0" applyBorder="0" applyAlignment="0" applyProtection="0"/>
    <xf numFmtId="210" fontId="79" fillId="58" borderId="0" applyNumberFormat="0" applyBorder="0" applyAlignment="0" applyProtection="0"/>
    <xf numFmtId="210" fontId="79" fillId="58" borderId="0" applyNumberFormat="0" applyBorder="0" applyAlignment="0" applyProtection="0"/>
    <xf numFmtId="210" fontId="79" fillId="58" borderId="0" applyNumberFormat="0" applyBorder="0" applyAlignment="0" applyProtection="0"/>
    <xf numFmtId="210" fontId="79" fillId="58" borderId="0" applyNumberFormat="0" applyBorder="0" applyAlignment="0" applyProtection="0"/>
    <xf numFmtId="210" fontId="61" fillId="31" borderId="0" applyNumberFormat="0" applyBorder="0" applyAlignment="0" applyProtection="0"/>
    <xf numFmtId="210" fontId="79" fillId="58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79" fillId="58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36" fillId="133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79" fillId="85" borderId="0" applyNumberFormat="0" applyBorder="0" applyAlignment="0" applyProtection="0"/>
    <xf numFmtId="210" fontId="3" fillId="0" borderId="0"/>
    <xf numFmtId="210" fontId="157" fillId="123" borderId="0" applyNumberFormat="0" applyBorder="0" applyAlignment="0" applyProtection="0"/>
    <xf numFmtId="210" fontId="136" fillId="123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79" fillId="85" borderId="0" applyNumberFormat="0" applyBorder="0" applyAlignment="0" applyProtection="0"/>
    <xf numFmtId="210" fontId="79" fillId="85" borderId="0" applyNumberFormat="0" applyBorder="0" applyAlignment="0" applyProtection="0"/>
    <xf numFmtId="210" fontId="79" fillId="85" borderId="0" applyNumberFormat="0" applyBorder="0" applyAlignment="0" applyProtection="0"/>
    <xf numFmtId="210" fontId="57" fillId="30" borderId="0" applyNumberFormat="0" applyBorder="0" applyAlignment="0" applyProtection="0"/>
    <xf numFmtId="210" fontId="79" fillId="85" borderId="0" applyNumberFormat="0" applyBorder="0" applyAlignment="0" applyProtection="0"/>
    <xf numFmtId="210" fontId="57" fillId="30" borderId="0" applyNumberFormat="0" applyBorder="0" applyAlignment="0" applyProtection="0"/>
    <xf numFmtId="210" fontId="79" fillId="85" borderId="0" applyNumberFormat="0" applyBorder="0" applyAlignment="0" applyProtection="0"/>
    <xf numFmtId="210" fontId="57" fillId="30" borderId="0" applyNumberFormat="0" applyBorder="0" applyAlignment="0" applyProtection="0"/>
    <xf numFmtId="210" fontId="79" fillId="85" borderId="0" applyNumberFormat="0" applyBorder="0" applyAlignment="0" applyProtection="0"/>
    <xf numFmtId="210" fontId="57" fillId="30" borderId="0" applyNumberFormat="0" applyBorder="0" applyAlignment="0" applyProtection="0"/>
    <xf numFmtId="210" fontId="79" fillId="85" borderId="0" applyNumberFormat="0" applyBorder="0" applyAlignment="0" applyProtection="0"/>
    <xf numFmtId="210" fontId="57" fillId="30" borderId="0" applyNumberFormat="0" applyBorder="0" applyAlignment="0" applyProtection="0"/>
    <xf numFmtId="210" fontId="79" fillId="85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12" fillId="135" borderId="0" applyNumberFormat="0" applyBorder="0" applyAlignment="0" applyProtection="0"/>
    <xf numFmtId="210" fontId="61" fillId="31" borderId="0" applyNumberFormat="0" applyBorder="0" applyAlignment="0" applyProtection="0"/>
    <xf numFmtId="210" fontId="79" fillId="85" borderId="0" applyNumberFormat="0" applyBorder="0" applyAlignment="0" applyProtection="0"/>
    <xf numFmtId="210" fontId="61" fillId="31" borderId="0" applyNumberFormat="0" applyBorder="0" applyAlignment="0" applyProtection="0"/>
    <xf numFmtId="210" fontId="160" fillId="85" borderId="0" applyNumberFormat="0" applyBorder="0" applyAlignment="0" applyProtection="0"/>
    <xf numFmtId="210" fontId="61" fillId="31" borderId="0" applyNumberFormat="0" applyBorder="0" applyAlignment="0" applyProtection="0"/>
    <xf numFmtId="210" fontId="112" fillId="135" borderId="0" applyNumberFormat="0" applyBorder="0" applyAlignment="0" applyProtection="0"/>
    <xf numFmtId="210" fontId="61" fillId="31" borderId="0" applyNumberFormat="0" applyBorder="0" applyAlignment="0" applyProtection="0"/>
    <xf numFmtId="210" fontId="79" fillId="85" borderId="0" applyNumberFormat="0" applyBorder="0" applyAlignment="0" applyProtection="0"/>
    <xf numFmtId="210" fontId="61" fillId="31" borderId="0" applyNumberFormat="0" applyBorder="0" applyAlignment="0" applyProtection="0"/>
    <xf numFmtId="210" fontId="79" fillId="85" borderId="0" applyNumberFormat="0" applyBorder="0" applyAlignment="0" applyProtection="0"/>
    <xf numFmtId="210" fontId="61" fillId="31" borderId="0" applyNumberFormat="0" applyBorder="0" applyAlignment="0" applyProtection="0"/>
    <xf numFmtId="210" fontId="79" fillId="85" borderId="0" applyNumberFormat="0" applyBorder="0" applyAlignment="0" applyProtection="0"/>
    <xf numFmtId="210" fontId="57" fillId="30" borderId="0" applyNumberFormat="0" applyBorder="0" applyAlignment="0" applyProtection="0"/>
    <xf numFmtId="41" fontId="58" fillId="0" borderId="0" applyFont="0" applyFill="0" applyBorder="0" applyAlignment="0" applyProtection="0"/>
    <xf numFmtId="210" fontId="79" fillId="85" borderId="0" applyNumberFormat="0" applyBorder="0" applyAlignment="0" applyProtection="0"/>
    <xf numFmtId="210" fontId="79" fillId="85" borderId="0" applyNumberFormat="0" applyBorder="0" applyAlignment="0" applyProtection="0"/>
    <xf numFmtId="210" fontId="79" fillId="85" borderId="0" applyNumberFormat="0" applyBorder="0" applyAlignment="0" applyProtection="0"/>
    <xf numFmtId="210" fontId="79" fillId="85" borderId="0" applyNumberFormat="0" applyBorder="0" applyAlignment="0" applyProtection="0"/>
    <xf numFmtId="210" fontId="136" fillId="83" borderId="0" applyNumberFormat="0" applyBorder="0" applyAlignment="0" applyProtection="0"/>
    <xf numFmtId="210" fontId="79" fillId="70" borderId="0" applyNumberFormat="0" applyBorder="0" applyAlignment="0" applyProtection="0"/>
    <xf numFmtId="210" fontId="157" fillId="126" borderId="0" applyNumberFormat="0" applyBorder="0" applyAlignment="0" applyProtection="0"/>
    <xf numFmtId="210" fontId="57" fillId="30" borderId="0" applyNumberFormat="0" applyBorder="0" applyAlignment="0" applyProtection="0"/>
    <xf numFmtId="210" fontId="157" fillId="102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36" fillId="127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12" fillId="82" borderId="0" applyNumberFormat="0" applyBorder="0" applyAlignment="0" applyProtection="0"/>
    <xf numFmtId="210" fontId="79" fillId="70" borderId="0" applyNumberFormat="0" applyBorder="0" applyAlignment="0" applyProtection="0"/>
    <xf numFmtId="210" fontId="160" fillId="70" borderId="0" applyNumberFormat="0" applyBorder="0" applyAlignment="0" applyProtection="0"/>
    <xf numFmtId="210" fontId="57" fillId="30" borderId="0" applyNumberFormat="0" applyBorder="0" applyAlignment="0" applyProtection="0"/>
    <xf numFmtId="210" fontId="112" fillId="82" borderId="0" applyNumberFormat="0" applyBorder="0" applyAlignment="0" applyProtection="0"/>
    <xf numFmtId="210" fontId="160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79" fillId="7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36" fillId="113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162" fillId="0" borderId="0">
      <alignment vertical="center"/>
    </xf>
    <xf numFmtId="210" fontId="61" fillId="31" borderId="0" applyNumberFormat="0" applyBorder="0" applyAlignment="0" applyProtection="0">
      <alignment vertical="center"/>
    </xf>
    <xf numFmtId="210" fontId="79" fillId="62" borderId="0" applyNumberFormat="0" applyBorder="0" applyAlignment="0" applyProtection="0"/>
    <xf numFmtId="210" fontId="157" fillId="94" borderId="0" applyNumberFormat="0" applyBorder="0" applyAlignment="0" applyProtection="0"/>
    <xf numFmtId="210" fontId="136" fillId="94" borderId="0" applyNumberFormat="0" applyBorder="0" applyAlignment="0" applyProtection="0"/>
    <xf numFmtId="210" fontId="79" fillId="62" borderId="0" applyNumberFormat="0" applyBorder="0" applyAlignment="0" applyProtection="0"/>
    <xf numFmtId="210" fontId="79" fillId="62" borderId="0" applyNumberFormat="0" applyBorder="0" applyAlignment="0" applyProtection="0"/>
    <xf numFmtId="210" fontId="79" fillId="62" borderId="0" applyNumberFormat="0" applyBorder="0" applyAlignment="0" applyProtection="0"/>
    <xf numFmtId="210" fontId="79" fillId="62" borderId="0" applyNumberFormat="0" applyBorder="0" applyAlignment="0" applyProtection="0"/>
    <xf numFmtId="210" fontId="61" fillId="31" borderId="0" applyNumberFormat="0" applyBorder="0" applyAlignment="0" applyProtection="0"/>
    <xf numFmtId="210" fontId="79" fillId="62" borderId="0" applyNumberFormat="0" applyBorder="0" applyAlignment="0" applyProtection="0"/>
    <xf numFmtId="210" fontId="112" fillId="107" borderId="0" applyNumberFormat="0" applyBorder="0" applyAlignment="0" applyProtection="0"/>
    <xf numFmtId="210" fontId="160" fillId="62" borderId="0" applyNumberFormat="0" applyBorder="0" applyAlignment="0" applyProtection="0"/>
    <xf numFmtId="210" fontId="79" fillId="62" borderId="0" applyNumberFormat="0" applyBorder="0" applyAlignment="0" applyProtection="0"/>
    <xf numFmtId="210" fontId="79" fillId="62" borderId="0" applyNumberFormat="0" applyBorder="0" applyAlignment="0" applyProtection="0"/>
    <xf numFmtId="210" fontId="79" fillId="62" borderId="0" applyNumberFormat="0" applyBorder="0" applyAlignment="0" applyProtection="0"/>
    <xf numFmtId="210" fontId="136" fillId="128" borderId="0" applyNumberFormat="0" applyBorder="0" applyAlignment="0" applyProtection="0"/>
    <xf numFmtId="280" fontId="60" fillId="0" borderId="0" applyFont="0" applyFill="0" applyBorder="0" applyAlignment="0" applyProtection="0"/>
    <xf numFmtId="278" fontId="101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46" fontId="60" fillId="0" borderId="0" applyFont="0" applyFill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58" fillId="0" borderId="0"/>
    <xf numFmtId="1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1" fontId="60" fillId="0" borderId="0"/>
    <xf numFmtId="1" fontId="60" fillId="0" borderId="0"/>
    <xf numFmtId="210" fontId="67" fillId="0" borderId="0"/>
    <xf numFmtId="210" fontId="67" fillId="0" borderId="0"/>
    <xf numFmtId="1" fontId="60" fillId="0" borderId="0"/>
    <xf numFmtId="1" fontId="60" fillId="0" borderId="0"/>
    <xf numFmtId="210" fontId="161" fillId="0" borderId="87" applyNumberFormat="0" applyFill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1" fontId="6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1" fontId="60" fillId="0" borderId="0"/>
    <xf numFmtId="210" fontId="61" fillId="31" borderId="0" applyNumberFormat="0" applyBorder="0" applyAlignment="0" applyProtection="0"/>
    <xf numFmtId="1" fontId="60" fillId="0" borderId="0"/>
    <xf numFmtId="210" fontId="61" fillId="31" borderId="0" applyNumberFormat="0" applyBorder="0" applyAlignment="0" applyProtection="0">
      <alignment vertical="center"/>
    </xf>
    <xf numFmtId="210" fontId="66" fillId="0" borderId="0"/>
    <xf numFmtId="210" fontId="66" fillId="0" borderId="0"/>
    <xf numFmtId="1" fontId="60" fillId="0" borderId="0"/>
    <xf numFmtId="1" fontId="60" fillId="0" borderId="0"/>
    <xf numFmtId="210" fontId="147" fillId="31" borderId="0" applyNumberFormat="0" applyBorder="0" applyAlignment="0" applyProtection="0"/>
    <xf numFmtId="210" fontId="57" fillId="30" borderId="0" applyNumberFormat="0" applyBorder="0" applyAlignment="0" applyProtection="0"/>
    <xf numFmtId="210" fontId="147" fillId="31" borderId="0" applyNumberFormat="0" applyBorder="0" applyAlignment="0" applyProtection="0"/>
    <xf numFmtId="210" fontId="147" fillId="31" borderId="0" applyNumberFormat="0" applyBorder="0" applyAlignment="0" applyProtection="0"/>
    <xf numFmtId="210" fontId="61" fillId="31" borderId="0" applyNumberFormat="0" applyBorder="0" applyAlignment="0" applyProtection="0"/>
    <xf numFmtId="210" fontId="147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24" fillId="8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147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124" fillId="81" borderId="0" applyNumberFormat="0" applyBorder="0" applyAlignment="0" applyProtection="0"/>
    <xf numFmtId="210" fontId="137" fillId="31" borderId="0" applyNumberFormat="0" applyBorder="0" applyAlignment="0" applyProtection="0"/>
    <xf numFmtId="210" fontId="124" fillId="81" borderId="0" applyNumberFormat="0" applyBorder="0" applyAlignment="0" applyProtection="0"/>
    <xf numFmtId="210" fontId="137" fillId="31" borderId="0" applyNumberFormat="0" applyBorder="0" applyAlignment="0" applyProtection="0"/>
    <xf numFmtId="210" fontId="136" fillId="39" borderId="0" applyNumberFormat="0" applyBorder="0" applyAlignment="0" applyProtection="0">
      <alignment vertical="center"/>
    </xf>
    <xf numFmtId="210" fontId="137" fillId="31" borderId="0" applyNumberFormat="0" applyBorder="0" applyAlignment="0" applyProtection="0"/>
    <xf numFmtId="210" fontId="61" fillId="31" borderId="0" applyNumberFormat="0" applyBorder="0" applyAlignment="0" applyProtection="0"/>
    <xf numFmtId="210" fontId="147" fillId="31" borderId="0" applyNumberFormat="0" applyBorder="0" applyAlignment="0" applyProtection="0"/>
    <xf numFmtId="210" fontId="57" fillId="30" borderId="0" applyNumberFormat="0" applyBorder="0" applyAlignment="0" applyProtection="0"/>
    <xf numFmtId="210" fontId="147" fillId="31" borderId="0" applyNumberFormat="0" applyBorder="0" applyAlignment="0" applyProtection="0"/>
    <xf numFmtId="210" fontId="66" fillId="0" borderId="0"/>
    <xf numFmtId="210" fontId="66" fillId="0" borderId="0"/>
    <xf numFmtId="210" fontId="147" fillId="31" borderId="0" applyNumberFormat="0" applyBorder="0" applyAlignment="0" applyProtection="0"/>
    <xf numFmtId="210" fontId="263" fillId="0" borderId="0" applyNumberFormat="0" applyFill="0" applyBorder="0" applyAlignment="0" applyProtection="0"/>
    <xf numFmtId="210" fontId="178" fillId="26" borderId="0" applyNumberFormat="0" applyBorder="0" applyAlignment="0"/>
    <xf numFmtId="253" fontId="232" fillId="0" borderId="0" applyNumberFormat="0" applyFill="0">
      <alignment vertical="top" wrapText="1"/>
    </xf>
    <xf numFmtId="210" fontId="57" fillId="30" borderId="0" applyNumberFormat="0" applyBorder="0" applyAlignment="0" applyProtection="0"/>
    <xf numFmtId="210" fontId="271" fillId="0" borderId="0"/>
    <xf numFmtId="210" fontId="61" fillId="31" borderId="0" applyNumberFormat="0" applyBorder="0" applyAlignment="0" applyProtection="0">
      <alignment vertical="center"/>
    </xf>
    <xf numFmtId="210" fontId="261" fillId="0" borderId="0" applyNumberFormat="0" applyFill="0" applyBorder="0" applyAlignment="0" applyProtection="0"/>
    <xf numFmtId="210" fontId="240" fillId="0" borderId="0"/>
    <xf numFmtId="210" fontId="164" fillId="0" borderId="46" applyAlignment="0" applyProtection="0"/>
    <xf numFmtId="210" fontId="57" fillId="30" borderId="0" applyNumberFormat="0" applyBorder="0" applyAlignment="0" applyProtection="0"/>
    <xf numFmtId="5" fontId="164" fillId="0" borderId="46" applyAlignment="0" applyProtection="0"/>
    <xf numFmtId="210" fontId="61" fillId="31" borderId="0" applyNumberFormat="0" applyBorder="0" applyAlignment="0" applyProtection="0">
      <alignment vertical="center"/>
    </xf>
    <xf numFmtId="210" fontId="62" fillId="0" borderId="0" applyFill="0" applyBorder="0" applyAlignment="0"/>
    <xf numFmtId="210" fontId="62" fillId="0" borderId="0" applyFill="0" applyBorder="0" applyAlignment="0"/>
    <xf numFmtId="210" fontId="62" fillId="0" borderId="0" applyFill="0" applyBorder="0" applyAlignment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181" fontId="131" fillId="0" borderId="0" applyFill="0" applyBorder="0" applyAlignment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02" fontId="62" fillId="0" borderId="0" applyFill="0" applyBorder="0" applyAlignment="0"/>
    <xf numFmtId="210" fontId="57" fillId="30" borderId="0" applyNumberFormat="0" applyBorder="0" applyAlignment="0" applyProtection="0">
      <alignment vertical="center"/>
    </xf>
    <xf numFmtId="202" fontId="62" fillId="0" borderId="0" applyFill="0" applyBorder="0" applyAlignment="0"/>
    <xf numFmtId="210" fontId="57" fillId="30" borderId="0" applyNumberFormat="0" applyBorder="0" applyAlignment="0" applyProtection="0">
      <alignment vertical="center"/>
    </xf>
    <xf numFmtId="202" fontId="62" fillId="0" borderId="0" applyFill="0" applyBorder="0" applyAlignment="0"/>
    <xf numFmtId="210" fontId="61" fillId="31" borderId="0" applyNumberFormat="0" applyBorder="0" applyAlignment="0" applyProtection="0"/>
    <xf numFmtId="222" fontId="62" fillId="0" borderId="0" applyFill="0" applyBorder="0" applyAlignment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22" fontId="62" fillId="0" borderId="0" applyFill="0" applyBorder="0" applyAlignment="0"/>
    <xf numFmtId="202" fontId="146" fillId="0" borderId="0" applyFill="0" applyBorder="0" applyAlignment="0"/>
    <xf numFmtId="248" fontId="131" fillId="0" borderId="0" applyFill="0" applyBorder="0" applyAlignment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66" fontId="62" fillId="0" borderId="0" applyFill="0" applyBorder="0" applyAlignment="0"/>
    <xf numFmtId="210" fontId="57" fillId="30" borderId="0" applyNumberFormat="0" applyBorder="0" applyAlignment="0" applyProtection="0">
      <alignment vertical="center"/>
    </xf>
    <xf numFmtId="266" fontId="62" fillId="0" borderId="0" applyFill="0" applyBorder="0" applyAlignment="0"/>
    <xf numFmtId="210" fontId="57" fillId="30" borderId="0" applyNumberFormat="0" applyBorder="0" applyAlignment="0" applyProtection="0"/>
    <xf numFmtId="275" fontId="146" fillId="0" borderId="0" applyFill="0" applyBorder="0" applyAlignment="0"/>
    <xf numFmtId="283" fontId="131" fillId="0" borderId="0" applyFill="0" applyBorder="0" applyAlignment="0"/>
    <xf numFmtId="203" fontId="60" fillId="0" borderId="0" applyFill="0" applyBorder="0" applyAlignment="0"/>
    <xf numFmtId="210" fontId="61" fillId="31" borderId="0" applyNumberFormat="0" applyBorder="0" applyAlignment="0" applyProtection="0"/>
    <xf numFmtId="238" fontId="131" fillId="0" borderId="0" applyFill="0" applyBorder="0" applyAlignment="0"/>
    <xf numFmtId="200" fontId="62" fillId="0" borderId="0" applyFill="0" applyBorder="0" applyAlignment="0"/>
    <xf numFmtId="200" fontId="62" fillId="0" borderId="0" applyFill="0" applyBorder="0" applyAlignment="0"/>
    <xf numFmtId="200" fontId="62" fillId="0" borderId="0" applyFill="0" applyBorder="0" applyAlignment="0"/>
    <xf numFmtId="244" fontId="146" fillId="0" borderId="0" applyFill="0" applyBorder="0" applyAlignment="0"/>
    <xf numFmtId="210" fontId="151" fillId="0" borderId="84" applyNumberFormat="0" applyFill="0" applyAlignment="0" applyProtection="0"/>
    <xf numFmtId="180" fontId="60" fillId="0" borderId="0" applyFill="0" applyBorder="0" applyAlignment="0"/>
    <xf numFmtId="180" fontId="60" fillId="0" borderId="0" applyFill="0" applyBorder="0" applyAlignment="0"/>
    <xf numFmtId="210" fontId="57" fillId="30" borderId="0" applyNumberFormat="0" applyBorder="0" applyAlignment="0" applyProtection="0"/>
    <xf numFmtId="202" fontId="62" fillId="0" borderId="0" applyFill="0" applyBorder="0" applyAlignment="0"/>
    <xf numFmtId="202" fontId="62" fillId="0" borderId="0" applyFill="0" applyBorder="0" applyAlignment="0"/>
    <xf numFmtId="202" fontId="62" fillId="0" borderId="0" applyFill="0" applyBorder="0" applyAlignment="0"/>
    <xf numFmtId="210" fontId="60" fillId="0" borderId="0"/>
    <xf numFmtId="210" fontId="139" fillId="50" borderId="70" applyNumberFormat="0" applyAlignment="0" applyProtection="0"/>
    <xf numFmtId="210" fontId="139" fillId="4" borderId="70" applyNumberFormat="0" applyAlignment="0" applyProtection="0"/>
    <xf numFmtId="210" fontId="57" fillId="30" borderId="0" applyNumberFormat="0" applyBorder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57" fillId="30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59" fillId="0" borderId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158" fillId="50" borderId="70" applyNumberFormat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59" fillId="0" borderId="0"/>
    <xf numFmtId="210" fontId="158" fillId="50" borderId="70" applyNumberFormat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279" fillId="119" borderId="66" applyNumberFormat="0" applyAlignment="0" applyProtection="0"/>
    <xf numFmtId="210" fontId="139" fillId="50" borderId="70" applyNumberFormat="0" applyAlignment="0" applyProtection="0"/>
    <xf numFmtId="210" fontId="57" fillId="30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274" fillId="50" borderId="70" applyNumberFormat="0" applyAlignment="0" applyProtection="0"/>
    <xf numFmtId="210" fontId="274" fillId="50" borderId="70" applyNumberFormat="0" applyAlignment="0" applyProtection="0"/>
    <xf numFmtId="210" fontId="274" fillId="50" borderId="70" applyNumberFormat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274" fillId="50" borderId="70" applyNumberFormat="0" applyAlignment="0" applyProtection="0"/>
    <xf numFmtId="210" fontId="158" fillId="50" borderId="70" applyNumberFormat="0" applyAlignment="0" applyProtection="0"/>
    <xf numFmtId="210" fontId="61" fillId="31" borderId="0" applyNumberFormat="0" applyBorder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57" fillId="30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57" fillId="30" borderId="0" applyNumberFormat="0" applyBorder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57" fillId="30" borderId="0" applyNumberFormat="0" applyBorder="0" applyAlignment="0" applyProtection="0"/>
    <xf numFmtId="210" fontId="139" fillId="4" borderId="70" applyNumberFormat="0" applyAlignment="0" applyProtection="0"/>
    <xf numFmtId="210" fontId="57" fillId="30" borderId="0" applyNumberFormat="0" applyBorder="0" applyAlignment="0" applyProtection="0"/>
    <xf numFmtId="210" fontId="139" fillId="4" borderId="70" applyNumberFormat="0" applyAlignment="0" applyProtection="0"/>
    <xf numFmtId="210" fontId="57" fillId="30" borderId="0" applyNumberFormat="0" applyBorder="0" applyAlignment="0" applyProtection="0"/>
    <xf numFmtId="210" fontId="139" fillId="4" borderId="70" applyNumberFormat="0" applyAlignment="0" applyProtection="0"/>
    <xf numFmtId="210" fontId="57" fillId="30" borderId="0" applyNumberFormat="0" applyBorder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139" fillId="4" borderId="70" applyNumberFormat="0" applyAlignment="0" applyProtection="0"/>
    <xf numFmtId="210" fontId="62" fillId="0" borderId="0"/>
    <xf numFmtId="210" fontId="61" fillId="31" borderId="0" applyNumberFormat="0" applyBorder="0" applyAlignment="0" applyProtection="0">
      <alignment vertical="center"/>
    </xf>
    <xf numFmtId="210" fontId="139" fillId="4" borderId="70" applyNumberFormat="0" applyAlignment="0" applyProtection="0"/>
    <xf numFmtId="210" fontId="138" fillId="0" borderId="0" applyNumberFormat="0" applyFill="0" applyBorder="0" applyAlignment="0"/>
    <xf numFmtId="210" fontId="61" fillId="31" borderId="0" applyNumberFormat="0" applyBorder="0" applyAlignment="0" applyProtection="0"/>
    <xf numFmtId="210" fontId="289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254" fillId="87" borderId="83" applyNumberFormat="0" applyAlignment="0" applyProtection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254" fillId="87" borderId="83" applyNumberFormat="0" applyAlignment="0" applyProtection="0"/>
    <xf numFmtId="210" fontId="67" fillId="0" borderId="0"/>
    <xf numFmtId="210" fontId="67" fillId="0" borderId="0"/>
    <xf numFmtId="210" fontId="254" fillId="87" borderId="83" applyNumberFormat="0" applyAlignment="0" applyProtection="0"/>
    <xf numFmtId="210" fontId="61" fillId="31" borderId="0" applyNumberFormat="0" applyBorder="0" applyAlignment="0" applyProtection="0"/>
    <xf numFmtId="210" fontId="254" fillId="87" borderId="83" applyNumberFormat="0" applyAlignment="0" applyProtection="0"/>
    <xf numFmtId="210" fontId="61" fillId="31" borderId="0" applyNumberFormat="0" applyBorder="0" applyAlignment="0" applyProtection="0"/>
    <xf numFmtId="210" fontId="254" fillId="87" borderId="83" applyNumberFormat="0" applyAlignment="0" applyProtection="0"/>
    <xf numFmtId="210" fontId="61" fillId="31" borderId="0" applyNumberFormat="0" applyBorder="0" applyAlignment="0" applyProtection="0"/>
    <xf numFmtId="210" fontId="150" fillId="87" borderId="83" applyNumberFormat="0" applyAlignment="0" applyProtection="0">
      <alignment vertical="center"/>
    </xf>
    <xf numFmtId="210" fontId="254" fillId="87" borderId="83" applyNumberFormat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53" fillId="87" borderId="83" applyNumberFormat="0" applyAlignment="0" applyProtection="0"/>
    <xf numFmtId="210" fontId="224" fillId="112" borderId="68" applyNumberFormat="0" applyAlignment="0" applyProtection="0"/>
    <xf numFmtId="210" fontId="119" fillId="30" borderId="0" applyNumberFormat="0" applyBorder="0" applyAlignment="0" applyProtection="0">
      <alignment vertical="center"/>
    </xf>
    <xf numFmtId="210" fontId="153" fillId="87" borderId="83" applyNumberFormat="0" applyAlignment="0" applyProtection="0"/>
    <xf numFmtId="210" fontId="153" fillId="87" borderId="83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50" fillId="87" borderId="83" applyNumberFormat="0" applyAlignment="0" applyProtection="0"/>
    <xf numFmtId="210" fontId="57" fillId="30" borderId="0" applyNumberFormat="0" applyBorder="0" applyAlignment="0" applyProtection="0"/>
    <xf numFmtId="210" fontId="254" fillId="87" borderId="83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254" fillId="87" borderId="83" applyNumberFormat="0" applyAlignment="0" applyProtection="0"/>
    <xf numFmtId="210" fontId="254" fillId="87" borderId="83" applyNumberFormat="0" applyAlignment="0" applyProtection="0"/>
    <xf numFmtId="210" fontId="88" fillId="0" borderId="2">
      <alignment horizontal="left" wrapText="1"/>
    </xf>
    <xf numFmtId="210" fontId="61" fillId="31" borderId="0" applyNumberFormat="0" applyBorder="0" applyAlignment="0" applyProtection="0"/>
    <xf numFmtId="41" fontId="60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74" fontId="60" fillId="0" borderId="0"/>
    <xf numFmtId="274" fontId="60" fillId="0" borderId="0"/>
    <xf numFmtId="274" fontId="60" fillId="0" borderId="0"/>
    <xf numFmtId="274" fontId="60" fillId="0" borderId="0"/>
    <xf numFmtId="274" fontId="60" fillId="0" borderId="0"/>
    <xf numFmtId="274" fontId="60" fillId="0" borderId="0"/>
    <xf numFmtId="236" fontId="60" fillId="0" borderId="1"/>
    <xf numFmtId="236" fontId="60" fillId="0" borderId="1"/>
    <xf numFmtId="200" fontId="62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00" fontId="62" fillId="0" borderId="0" applyFont="0" applyFill="0" applyBorder="0" applyAlignment="0" applyProtection="0"/>
    <xf numFmtId="225" fontId="60" fillId="0" borderId="0" applyFont="0" applyFill="0"/>
    <xf numFmtId="210" fontId="57" fillId="30" borderId="0" applyNumberFormat="0" applyBorder="0" applyAlignment="0" applyProtection="0"/>
    <xf numFmtId="190" fontId="3" fillId="0" borderId="0" applyFont="0" applyFill="0" applyBorder="0" applyAlignment="0" applyProtection="0"/>
    <xf numFmtId="210" fontId="57" fillId="30" borderId="0" applyNumberFormat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59" fillId="0" borderId="0" applyFont="0" applyFill="0" applyBorder="0" applyAlignment="0" applyProtection="0"/>
    <xf numFmtId="275" fontId="146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190" fontId="59" fillId="0" borderId="0" applyFont="0" applyFill="0" applyBorder="0" applyAlignment="0" applyProtection="0"/>
    <xf numFmtId="210" fontId="57" fillId="30" borderId="0" applyNumberFormat="0" applyBorder="0" applyAlignment="0" applyProtection="0"/>
    <xf numFmtId="190" fontId="59" fillId="0" borderId="0" applyFont="0" applyFill="0" applyBorder="0" applyAlignment="0" applyProtection="0"/>
    <xf numFmtId="190" fontId="59" fillId="0" borderId="0" applyFont="0" applyFill="0" applyBorder="0" applyAlignment="0" applyProtection="0"/>
    <xf numFmtId="190" fontId="59" fillId="0" borderId="0" applyFont="0" applyFill="0" applyBorder="0" applyAlignment="0" applyProtection="0"/>
    <xf numFmtId="190" fontId="59" fillId="0" borderId="0" applyFont="0" applyFill="0" applyBorder="0" applyAlignment="0" applyProtection="0"/>
    <xf numFmtId="190" fontId="59" fillId="0" borderId="0" applyFont="0" applyFill="0" applyBorder="0" applyAlignment="0" applyProtection="0"/>
    <xf numFmtId="190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190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190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190" fontId="59" fillId="0" borderId="0" applyFont="0" applyFill="0" applyBorder="0" applyAlignment="0" applyProtection="0"/>
    <xf numFmtId="190" fontId="59" fillId="0" borderId="0" applyFont="0" applyFill="0" applyBorder="0" applyAlignment="0" applyProtection="0"/>
    <xf numFmtId="190" fontId="59" fillId="0" borderId="0" applyFont="0" applyFill="0" applyBorder="0" applyAlignment="0" applyProtection="0"/>
    <xf numFmtId="210" fontId="61" fillId="31" borderId="0" applyNumberFormat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197" fontId="138" fillId="0" borderId="0"/>
    <xf numFmtId="254" fontId="60" fillId="0" borderId="0"/>
    <xf numFmtId="210" fontId="57" fillId="30" borderId="0" applyNumberFormat="0" applyBorder="0" applyAlignment="0" applyProtection="0"/>
    <xf numFmtId="3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290" fillId="0" borderId="0"/>
    <xf numFmtId="3" fontId="60" fillId="0" borderId="0" applyFont="0" applyFill="0" applyBorder="0" applyAlignment="0" applyProtection="0"/>
    <xf numFmtId="210" fontId="290" fillId="0" borderId="0"/>
    <xf numFmtId="185" fontId="138" fillId="0" borderId="0">
      <alignment horizontal="center"/>
    </xf>
    <xf numFmtId="210" fontId="146" fillId="0" borderId="0" applyNumberFormat="0" applyAlignment="0"/>
    <xf numFmtId="210" fontId="57" fillId="30" borderId="0" applyNumberFormat="0" applyBorder="0" applyAlignment="0" applyProtection="0"/>
    <xf numFmtId="210" fontId="60" fillId="0" borderId="0"/>
    <xf numFmtId="269" fontId="215" fillId="0" borderId="0" applyFont="0" applyFill="0" applyBorder="0" applyAlignment="0" applyProtection="0"/>
    <xf numFmtId="210" fontId="110" fillId="0" borderId="78" applyNumberFormat="0" applyFill="0" applyAlignment="0" applyProtection="0"/>
    <xf numFmtId="234" fontId="127" fillId="0" borderId="0" applyFont="0" applyFill="0" applyBorder="0" applyAlignment="0" applyProtection="0"/>
    <xf numFmtId="181" fontId="131" fillId="0" borderId="0" applyFont="0" applyFill="0" applyBorder="0" applyAlignment="0" applyProtection="0"/>
    <xf numFmtId="232" fontId="60" fillId="0" borderId="0" applyFont="0" applyFill="0" applyBorder="0" applyAlignment="0" applyProtection="0"/>
    <xf numFmtId="202" fontId="62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70" fontId="58" fillId="0" borderId="0" applyFont="0" applyFill="0" applyBorder="0" applyAlignment="0" applyProtection="0"/>
    <xf numFmtId="255" fontId="215" fillId="0" borderId="0"/>
    <xf numFmtId="210" fontId="57" fillId="30" borderId="0" applyNumberFormat="0" applyBorder="0" applyAlignment="0" applyProtection="0"/>
    <xf numFmtId="200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00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00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00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00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00" fontId="59" fillId="0" borderId="0" applyFont="0" applyFill="0" applyBorder="0" applyAlignment="0" applyProtection="0"/>
    <xf numFmtId="200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00" fontId="59" fillId="0" borderId="0" applyFont="0" applyFill="0" applyBorder="0" applyAlignment="0" applyProtection="0"/>
    <xf numFmtId="200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58" fillId="0" borderId="0"/>
    <xf numFmtId="200" fontId="59" fillId="0" borderId="0" applyFont="0" applyFill="0" applyBorder="0" applyAlignment="0" applyProtection="0"/>
    <xf numFmtId="200" fontId="59" fillId="0" borderId="0" applyFont="0" applyFill="0" applyBorder="0" applyAlignment="0" applyProtection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00" fontId="3" fillId="0" borderId="0" applyFont="0" applyFill="0" applyBorder="0" applyAlignment="0" applyProtection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16" fontId="291" fillId="95" borderId="2" applyNumberFormat="0" applyBorder="0" applyAlignment="0" applyProtection="0">
      <alignment horizontal="center"/>
    </xf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200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00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00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0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200" fontId="60" fillId="0" borderId="0" applyFont="0" applyFill="0" applyBorder="0" applyAlignment="0" applyProtection="0"/>
    <xf numFmtId="200" fontId="3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181" fontId="131" fillId="0" borderId="0" applyFill="0" applyBorder="0" applyAlignment="0"/>
    <xf numFmtId="200" fontId="60" fillId="0" borderId="0" applyFont="0" applyFill="0" applyBorder="0" applyAlignment="0" applyProtection="0"/>
    <xf numFmtId="200" fontId="3" fillId="0" borderId="0" applyFont="0" applyFill="0" applyBorder="0" applyAlignment="0" applyProtection="0"/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162" fillId="0" borderId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210" fontId="61" fillId="31" borderId="0" applyNumberFormat="0" applyBorder="0" applyAlignment="0" applyProtection="0"/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198" fontId="67" fillId="0" borderId="0" applyFont="0" applyFill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00" fontId="3" fillId="0" borderId="0" applyFont="0" applyFill="0" applyBorder="0" applyAlignment="0" applyProtection="0"/>
    <xf numFmtId="210" fontId="168" fillId="0" borderId="87" applyNumberFormat="0" applyFill="0" applyAlignment="0" applyProtection="0">
      <alignment vertical="center"/>
    </xf>
    <xf numFmtId="200" fontId="60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00" fontId="3" fillId="0" borderId="0" applyFont="0" applyFill="0" applyBorder="0" applyAlignment="0" applyProtection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68" fontId="292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68" fontId="292" fillId="0" borderId="0" applyFont="0" applyFill="0" applyBorder="0" applyAlignment="0" applyProtection="0"/>
    <xf numFmtId="210" fontId="57" fillId="30" borderId="0" applyNumberFormat="0" applyBorder="0" applyAlignment="0" applyProtection="0"/>
    <xf numFmtId="219" fontId="60" fillId="0" borderId="0"/>
    <xf numFmtId="210" fontId="57" fillId="30" borderId="0" applyNumberFormat="0" applyBorder="0" applyAlignment="0" applyProtection="0"/>
    <xf numFmtId="219" fontId="60" fillId="0" borderId="0"/>
    <xf numFmtId="210" fontId="57" fillId="30" borderId="0" applyNumberFormat="0" applyBorder="0" applyAlignment="0" applyProtection="0"/>
    <xf numFmtId="219" fontId="60" fillId="0" borderId="0"/>
    <xf numFmtId="187" fontId="60" fillId="50" borderId="0" applyFont="0" applyBorder="0"/>
    <xf numFmtId="3" fontId="125" fillId="0" borderId="0"/>
    <xf numFmtId="1" fontId="223" fillId="0" borderId="0"/>
    <xf numFmtId="210" fontId="57" fillId="30" borderId="0" applyNumberFormat="0" applyBorder="0" applyAlignment="0" applyProtection="0"/>
    <xf numFmtId="210" fontId="293" fillId="0" borderId="109">
      <protection locked="0"/>
    </xf>
    <xf numFmtId="277" fontId="283" fillId="0" borderId="0">
      <protection locked="0"/>
    </xf>
    <xf numFmtId="210" fontId="57" fillId="30" borderId="0" applyNumberFormat="0" applyBorder="0" applyAlignment="0" applyProtection="0">
      <alignment vertical="center"/>
    </xf>
    <xf numFmtId="277" fontId="283" fillId="0" borderId="0">
      <protection locked="0"/>
    </xf>
    <xf numFmtId="210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86" fillId="0" borderId="0"/>
    <xf numFmtId="210" fontId="57" fillId="30" borderId="0" applyNumberFormat="0" applyBorder="0" applyAlignment="0" applyProtection="0"/>
    <xf numFmtId="291" fontId="60" fillId="0" borderId="0" applyFont="0" applyFill="0" applyBorder="0" applyAlignment="0" applyProtection="0"/>
    <xf numFmtId="292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84" fillId="0" borderId="0">
      <protection locked="0"/>
    </xf>
    <xf numFmtId="210" fontId="61" fillId="31" borderId="0" applyNumberFormat="0" applyBorder="0" applyAlignment="0" applyProtection="0">
      <alignment vertical="center"/>
    </xf>
    <xf numFmtId="3" fontId="60" fillId="35" borderId="0" applyNumberFormat="0" applyFont="0" applyBorder="0" applyAlignment="0" applyProtection="0">
      <alignment horizontal="center"/>
    </xf>
    <xf numFmtId="210" fontId="61" fillId="31" borderId="0" applyNumberFormat="0" applyBorder="0" applyAlignment="0" applyProtection="0"/>
    <xf numFmtId="293" fontId="138" fillId="0" borderId="0"/>
    <xf numFmtId="256" fontId="60" fillId="0" borderId="0"/>
    <xf numFmtId="210" fontId="174" fillId="136" borderId="0" applyNumberFormat="0" applyBorder="0" applyAlignment="0" applyProtection="0"/>
    <xf numFmtId="210" fontId="174" fillId="99" borderId="0" applyNumberFormat="0" applyBorder="0" applyAlignment="0" applyProtection="0"/>
    <xf numFmtId="210" fontId="107" fillId="0" borderId="0">
      <protection locked="0"/>
    </xf>
    <xf numFmtId="238" fontId="131" fillId="0" borderId="0" applyFill="0" applyBorder="0" applyAlignment="0"/>
    <xf numFmtId="210" fontId="57" fillId="30" borderId="0" applyNumberFormat="0" applyBorder="0" applyAlignment="0" applyProtection="0"/>
    <xf numFmtId="181" fontId="131" fillId="0" borderId="0" applyFill="0" applyBorder="0" applyAlignment="0"/>
    <xf numFmtId="181" fontId="131" fillId="0" borderId="0" applyFill="0" applyBorder="0" applyAlignment="0"/>
    <xf numFmtId="232" fontId="60" fillId="0" borderId="0" applyFill="0" applyBorder="0" applyAlignment="0"/>
    <xf numFmtId="238" fontId="131" fillId="0" borderId="0" applyFill="0" applyBorder="0" applyAlignment="0"/>
    <xf numFmtId="238" fontId="131" fillId="0" borderId="0" applyFill="0" applyBorder="0" applyAlignment="0"/>
    <xf numFmtId="200" fontId="62" fillId="0" borderId="0" applyFill="0" applyBorder="0" applyAlignment="0"/>
    <xf numFmtId="244" fontId="146" fillId="0" borderId="0" applyFill="0" applyBorder="0" applyAlignment="0"/>
    <xf numFmtId="220" fontId="131" fillId="0" borderId="0" applyFill="0" applyBorder="0" applyAlignment="0"/>
    <xf numFmtId="180" fontId="60" fillId="0" borderId="0" applyFill="0" applyBorder="0" applyAlignment="0"/>
    <xf numFmtId="202" fontId="62" fillId="0" borderId="0" applyFill="0" applyBorder="0" applyAlignment="0"/>
    <xf numFmtId="210" fontId="152" fillId="0" borderId="0" applyNumberFormat="0" applyAlignment="0">
      <alignment horizontal="left"/>
    </xf>
    <xf numFmtId="210" fontId="58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54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60" fillId="0" borderId="0" applyFont="0" applyFill="0" applyBorder="0" applyAlignment="0" applyProtection="0"/>
    <xf numFmtId="210" fontId="91" fillId="0" borderId="0" applyNumberFormat="0" applyFill="0" applyBorder="0" applyAlignment="0" applyProtection="0"/>
    <xf numFmtId="210" fontId="119" fillId="30" borderId="0" applyNumberFormat="0" applyBorder="0" applyAlignment="0" applyProtection="0">
      <alignment vertical="center"/>
    </xf>
    <xf numFmtId="210" fontId="91" fillId="0" borderId="0" applyNumberForma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91" fillId="0" borderId="0" applyNumberForma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91" fillId="0" borderId="0" applyNumberFormat="0" applyFill="0" applyBorder="0" applyAlignment="0" applyProtection="0"/>
    <xf numFmtId="210" fontId="91" fillId="0" borderId="0" applyNumberFormat="0" applyFill="0" applyBorder="0" applyAlignment="0" applyProtection="0"/>
    <xf numFmtId="210" fontId="91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132" fillId="0" borderId="0" applyNumberFormat="0" applyFill="0" applyBorder="0" applyAlignment="0" applyProtection="0">
      <alignment vertical="center"/>
    </xf>
    <xf numFmtId="210" fontId="95" fillId="0" borderId="0" applyNumberForma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91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135" fillId="0" borderId="0" applyNumberFormat="0" applyFill="0" applyBorder="0" applyAlignment="0" applyProtection="0"/>
    <xf numFmtId="210" fontId="95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135" fillId="0" borderId="0" applyNumberFormat="0" applyFill="0" applyBorder="0" applyAlignment="0" applyProtection="0"/>
    <xf numFmtId="210" fontId="132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91" fillId="0" borderId="0" applyNumberForma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91" fillId="0" borderId="0" applyNumberForma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91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40" fontId="86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107" fillId="0" borderId="0">
      <protection locked="0"/>
    </xf>
    <xf numFmtId="210" fontId="264" fillId="0" borderId="0">
      <protection locked="0"/>
    </xf>
    <xf numFmtId="210" fontId="107" fillId="0" borderId="0">
      <protection locked="0"/>
    </xf>
    <xf numFmtId="210" fontId="217" fillId="0" borderId="0">
      <protection locked="0"/>
    </xf>
    <xf numFmtId="210" fontId="84" fillId="0" borderId="0">
      <protection locked="0"/>
    </xf>
    <xf numFmtId="210" fontId="57" fillId="30" borderId="0" applyNumberFormat="0" applyBorder="0" applyAlignment="0" applyProtection="0"/>
    <xf numFmtId="210" fontId="84" fillId="0" borderId="0">
      <protection locked="0"/>
    </xf>
    <xf numFmtId="214" fontId="197" fillId="0" borderId="0">
      <protection locked="0"/>
    </xf>
    <xf numFmtId="214" fontId="197" fillId="0" borderId="0">
      <protection locked="0"/>
    </xf>
    <xf numFmtId="2" fontId="60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263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80" fillId="30" borderId="0" applyNumberFormat="0" applyBorder="0" applyAlignment="0" applyProtection="0"/>
    <xf numFmtId="210" fontId="61" fillId="31" borderId="0" applyNumberFormat="0" applyBorder="0" applyAlignment="0" applyProtection="0"/>
    <xf numFmtId="210" fontId="80" fillId="30" borderId="0" applyNumberFormat="0" applyBorder="0" applyAlignment="0" applyProtection="0"/>
    <xf numFmtId="210" fontId="61" fillId="31" borderId="0" applyNumberFormat="0" applyBorder="0" applyAlignment="0" applyProtection="0"/>
    <xf numFmtId="210" fontId="80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80" fillId="30" borderId="0" applyNumberFormat="0" applyBorder="0" applyAlignment="0" applyProtection="0"/>
    <xf numFmtId="210" fontId="57" fillId="30" borderId="0" applyNumberFormat="0" applyBorder="0" applyAlignment="0" applyProtection="0"/>
    <xf numFmtId="210" fontId="155" fillId="89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90" fillId="30" borderId="0" applyNumberFormat="0" applyBorder="0" applyAlignment="0" applyProtection="0"/>
    <xf numFmtId="210" fontId="155" fillId="89" borderId="0" applyNumberFormat="0" applyBorder="0" applyAlignment="0" applyProtection="0"/>
    <xf numFmtId="210" fontId="57" fillId="30" borderId="0" applyNumberFormat="0" applyBorder="0" applyAlignment="0" applyProtection="0"/>
    <xf numFmtId="210" fontId="190" fillId="30" borderId="0" applyNumberFormat="0" applyBorder="0" applyAlignment="0" applyProtection="0"/>
    <xf numFmtId="210" fontId="190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80" fillId="30" borderId="0" applyNumberFormat="0" applyBorder="0" applyAlignment="0" applyProtection="0"/>
    <xf numFmtId="210" fontId="80" fillId="30" borderId="0" applyNumberFormat="0" applyBorder="0" applyAlignment="0" applyProtection="0"/>
    <xf numFmtId="210" fontId="80" fillId="30" borderId="0" applyNumberFormat="0" applyBorder="0" applyAlignment="0" applyProtection="0"/>
    <xf numFmtId="210" fontId="80" fillId="30" borderId="0" applyNumberFormat="0" applyBorder="0" applyAlignment="0" applyProtection="0"/>
    <xf numFmtId="210" fontId="294" fillId="0" borderId="0" applyNumberFormat="0" applyFill="0" applyBorder="0" applyAlignment="0" applyProtection="0"/>
    <xf numFmtId="210" fontId="121" fillId="0" borderId="4">
      <alignment horizontal="left" vertical="center"/>
    </xf>
    <xf numFmtId="210" fontId="121" fillId="0" borderId="4">
      <alignment horizontal="left" vertical="center"/>
    </xf>
    <xf numFmtId="210" fontId="295" fillId="0" borderId="71" applyNumberFormat="0" applyFill="0" applyAlignment="0" applyProtection="0"/>
    <xf numFmtId="210" fontId="61" fillId="31" borderId="0" applyNumberFormat="0" applyBorder="0" applyAlignment="0" applyProtection="0"/>
    <xf numFmtId="210" fontId="226" fillId="0" borderId="92" applyNumberFormat="0" applyFill="0" applyAlignment="0" applyProtection="0"/>
    <xf numFmtId="210" fontId="226" fillId="0" borderId="92" applyNumberFormat="0" applyFill="0" applyAlignment="0" applyProtection="0"/>
    <xf numFmtId="210" fontId="61" fillId="31" borderId="0" applyNumberFormat="0" applyBorder="0" applyAlignment="0" applyProtection="0">
      <alignment vertical="center"/>
    </xf>
    <xf numFmtId="210" fontId="226" fillId="0" borderId="92" applyNumberFormat="0" applyFill="0" applyAlignment="0" applyProtection="0"/>
    <xf numFmtId="210" fontId="226" fillId="0" borderId="92" applyNumberFormat="0" applyFill="0" applyAlignment="0" applyProtection="0"/>
    <xf numFmtId="210" fontId="85" fillId="0" borderId="71" applyNumberFormat="0" applyFill="0" applyAlignment="0" applyProtection="0">
      <alignment vertical="center"/>
    </xf>
    <xf numFmtId="210" fontId="196" fillId="0" borderId="90" applyNumberFormat="0" applyFill="0" applyAlignment="0" applyProtection="0"/>
    <xf numFmtId="210" fontId="296" fillId="0" borderId="0" applyNumberForma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218" fillId="0" borderId="71" applyNumberFormat="0" applyFill="0" applyAlignment="0" applyProtection="0"/>
    <xf numFmtId="210" fontId="295" fillId="0" borderId="71" applyNumberFormat="0" applyFill="0" applyAlignment="0" applyProtection="0"/>
    <xf numFmtId="210" fontId="218" fillId="0" borderId="71" applyNumberFormat="0" applyFill="0" applyAlignment="0" applyProtection="0"/>
    <xf numFmtId="210" fontId="226" fillId="0" borderId="92" applyNumberFormat="0" applyFill="0" applyAlignment="0" applyProtection="0"/>
    <xf numFmtId="210" fontId="226" fillId="0" borderId="92" applyNumberFormat="0" applyFill="0" applyAlignment="0" applyProtection="0"/>
    <xf numFmtId="210" fontId="226" fillId="0" borderId="92" applyNumberFormat="0" applyFill="0" applyAlignment="0" applyProtection="0"/>
    <xf numFmtId="210" fontId="226" fillId="0" borderId="92" applyNumberFormat="0" applyFill="0" applyAlignment="0" applyProtection="0"/>
    <xf numFmtId="210" fontId="226" fillId="0" borderId="92" applyNumberFormat="0" applyFill="0" applyAlignment="0" applyProtection="0"/>
    <xf numFmtId="210" fontId="297" fillId="0" borderId="72" applyNumberFormat="0" applyFill="0" applyAlignment="0" applyProtection="0"/>
    <xf numFmtId="210" fontId="57" fillId="30" borderId="0" applyNumberFormat="0" applyBorder="0" applyAlignment="0" applyProtection="0"/>
    <xf numFmtId="210" fontId="106" fillId="0" borderId="72" applyNumberFormat="0" applyFill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06" fillId="0" borderId="72" applyNumberFormat="0" applyFill="0" applyAlignment="0" applyProtection="0"/>
    <xf numFmtId="210" fontId="104" fillId="0" borderId="77" applyNumberFormat="0" applyFill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298" fillId="0" borderId="72" applyNumberFormat="0" applyFill="0" applyAlignment="0" applyProtection="0"/>
    <xf numFmtId="210" fontId="298" fillId="0" borderId="72" applyNumberFormat="0" applyFill="0" applyAlignment="0" applyProtection="0"/>
    <xf numFmtId="210" fontId="297" fillId="0" borderId="72" applyNumberFormat="0" applyFill="0" applyAlignment="0" applyProtection="0"/>
    <xf numFmtId="210" fontId="298" fillId="0" borderId="72" applyNumberFormat="0" applyFill="0" applyAlignment="0" applyProtection="0"/>
    <xf numFmtId="210" fontId="298" fillId="0" borderId="72" applyNumberFormat="0" applyFill="0" applyAlignment="0" applyProtection="0"/>
    <xf numFmtId="210" fontId="106" fillId="0" borderId="72" applyNumberFormat="0" applyFill="0" applyAlignment="0" applyProtection="0"/>
    <xf numFmtId="210" fontId="106" fillId="0" borderId="72" applyNumberFormat="0" applyFill="0" applyAlignment="0" applyProtection="0"/>
    <xf numFmtId="210" fontId="106" fillId="0" borderId="72" applyNumberFormat="0" applyFill="0" applyAlignment="0" applyProtection="0"/>
    <xf numFmtId="210" fontId="280" fillId="0" borderId="84" applyNumberFormat="0" applyFill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10" fillId="0" borderId="78" applyNumberFormat="0" applyFill="0" applyAlignment="0" applyProtection="0"/>
    <xf numFmtId="210" fontId="265" fillId="0" borderId="110" applyNumberFormat="0" applyFill="0" applyAlignment="0" applyProtection="0"/>
    <xf numFmtId="210" fontId="119" fillId="30" borderId="0" applyNumberFormat="0" applyBorder="0" applyAlignment="0" applyProtection="0">
      <alignment vertical="center"/>
    </xf>
    <xf numFmtId="210" fontId="280" fillId="0" borderId="84" applyNumberFormat="0" applyFill="0" applyAlignment="0" applyProtection="0"/>
    <xf numFmtId="210" fontId="151" fillId="0" borderId="84" applyNumberFormat="0" applyFill="0" applyAlignment="0" applyProtection="0"/>
    <xf numFmtId="210" fontId="265" fillId="0" borderId="110" applyNumberFormat="0" applyFill="0" applyAlignment="0" applyProtection="0"/>
    <xf numFmtId="210" fontId="151" fillId="0" borderId="84" applyNumberFormat="0" applyFill="0" applyAlignment="0" applyProtection="0"/>
    <xf numFmtId="210" fontId="60" fillId="0" borderId="0"/>
    <xf numFmtId="210" fontId="110" fillId="0" borderId="78" applyNumberFormat="0" applyFill="0" applyAlignment="0" applyProtection="0"/>
    <xf numFmtId="210" fontId="57" fillId="30" borderId="0" applyNumberFormat="0" applyBorder="0" applyAlignment="0" applyProtection="0"/>
    <xf numFmtId="210" fontId="60" fillId="0" borderId="0"/>
    <xf numFmtId="210" fontId="110" fillId="0" borderId="78" applyNumberFormat="0" applyFill="0" applyAlignment="0" applyProtection="0"/>
    <xf numFmtId="210" fontId="57" fillId="30" borderId="0" applyNumberFormat="0" applyBorder="0" applyAlignment="0" applyProtection="0"/>
    <xf numFmtId="210" fontId="60" fillId="0" borderId="0"/>
    <xf numFmtId="210" fontId="110" fillId="0" borderId="78" applyNumberFormat="0" applyFill="0" applyAlignment="0" applyProtection="0"/>
    <xf numFmtId="210" fontId="280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10" fillId="0" borderId="0" applyNumberFormat="0" applyFill="0" applyBorder="0" applyAlignment="0" applyProtection="0"/>
    <xf numFmtId="210" fontId="110" fillId="0" borderId="0" applyNumberFormat="0" applyFill="0" applyBorder="0" applyAlignment="0" applyProtection="0"/>
    <xf numFmtId="210" fontId="110" fillId="0" borderId="0" applyNumberFormat="0" applyFill="0" applyBorder="0" applyAlignment="0" applyProtection="0"/>
    <xf numFmtId="210" fontId="111" fillId="0" borderId="0" applyNumberFormat="0" applyFill="0" applyBorder="0" applyAlignment="0" applyProtection="0">
      <alignment vertical="center"/>
    </xf>
    <xf numFmtId="210" fontId="265" fillId="0" borderId="0" applyNumberFormat="0" applyFill="0" applyBorder="0" applyAlignment="0" applyProtection="0"/>
    <xf numFmtId="210" fontId="280" fillId="0" borderId="0" applyNumberFormat="0" applyFill="0" applyBorder="0" applyAlignment="0" applyProtection="0"/>
    <xf numFmtId="210" fontId="151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265" fillId="0" borderId="0" applyNumberFormat="0" applyFill="0" applyBorder="0" applyAlignment="0" applyProtection="0"/>
    <xf numFmtId="210" fontId="151" fillId="0" borderId="0" applyNumberFormat="0" applyFill="0" applyBorder="0" applyAlignment="0" applyProtection="0"/>
    <xf numFmtId="210" fontId="110" fillId="0" borderId="0" applyNumberFormat="0" applyFill="0" applyBorder="0" applyAlignment="0" applyProtection="0"/>
    <xf numFmtId="210" fontId="110" fillId="0" borderId="0" applyNumberFormat="0" applyFill="0" applyBorder="0" applyAlignment="0" applyProtection="0"/>
    <xf numFmtId="287" fontId="197" fillId="0" borderId="0">
      <protection locked="0"/>
    </xf>
    <xf numFmtId="287" fontId="197" fillId="0" borderId="0">
      <protection locked="0"/>
    </xf>
    <xf numFmtId="210" fontId="169" fillId="0" borderId="51">
      <alignment horizontal="center"/>
    </xf>
    <xf numFmtId="210" fontId="61" fillId="31" borderId="0" applyNumberFormat="0" applyBorder="0" applyAlignment="0" applyProtection="0"/>
    <xf numFmtId="210" fontId="169" fillId="0" borderId="0">
      <alignment horizontal="center"/>
    </xf>
    <xf numFmtId="210" fontId="61" fillId="31" borderId="0" applyNumberFormat="0" applyBorder="0" applyAlignment="0" applyProtection="0">
      <alignment vertical="center"/>
    </xf>
    <xf numFmtId="210" fontId="299" fillId="0" borderId="102" applyNumberFormat="0" applyFill="0" applyAlignment="0" applyProtection="0"/>
    <xf numFmtId="210" fontId="57" fillId="30" borderId="0" applyNumberFormat="0" applyBorder="0" applyAlignment="0" applyProtection="0">
      <alignment vertical="center"/>
    </xf>
    <xf numFmtId="2" fontId="60" fillId="0" borderId="0">
      <alignment horizontal="right"/>
    </xf>
    <xf numFmtId="210" fontId="57" fillId="30" borderId="0" applyNumberFormat="0" applyBorder="0" applyAlignment="0" applyProtection="0">
      <alignment vertical="center"/>
    </xf>
    <xf numFmtId="236" fontId="208" fillId="0" borderId="91" applyNumberFormat="0" applyFont="0" applyFill="0" applyBorder="0" applyAlignment="0" applyProtection="0">
      <alignment horizontal="right" vertical="center"/>
      <protection locked="0"/>
    </xf>
    <xf numFmtId="210" fontId="57" fillId="30" borderId="0" applyNumberFormat="0" applyBorder="0" applyAlignment="0" applyProtection="0">
      <alignment vertical="center"/>
    </xf>
    <xf numFmtId="210" fontId="3" fillId="0" borderId="0"/>
    <xf numFmtId="210" fontId="282" fillId="0" borderId="0" applyNumberFormat="0" applyFill="0" applyBorder="0" applyAlignment="0" applyProtection="0"/>
    <xf numFmtId="210" fontId="67" fillId="0" borderId="0"/>
    <xf numFmtId="210" fontId="281" fillId="0" borderId="0" applyNumberFormat="0" applyFill="0" applyBorder="0" applyAlignment="0" applyProtection="0">
      <alignment vertical="top"/>
      <protection locked="0"/>
    </xf>
    <xf numFmtId="210" fontId="273" fillId="0" borderId="0" applyNumberFormat="0" applyFill="0" applyBorder="0" applyAlignment="0" applyProtection="0"/>
    <xf numFmtId="191" fontId="127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10" fontId="118" fillId="4" borderId="2" applyNumberFormat="0" applyBorder="0" applyAlignment="0" applyProtection="0"/>
    <xf numFmtId="10" fontId="118" fillId="66" borderId="2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81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29" fillId="30" borderId="0" applyNumberFormat="0" applyBorder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61" fillId="31" borderId="0" applyNumberFormat="0" applyBorder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140" fillId="32" borderId="70" applyNumberFormat="0" applyAlignment="0" applyProtection="0">
      <alignment vertical="center"/>
    </xf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202" fillId="105" borderId="66" applyNumberFormat="0" applyAlignment="0" applyProtection="0"/>
    <xf numFmtId="210" fontId="81" fillId="32" borderId="70" applyNumberFormat="0" applyAlignment="0" applyProtection="0"/>
    <xf numFmtId="210" fontId="194" fillId="32" borderId="70" applyNumberFormat="0" applyAlignment="0" applyProtection="0"/>
    <xf numFmtId="210" fontId="194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94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94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57" fillId="30" borderId="0" applyNumberFormat="0" applyBorder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57" fillId="30" borderId="0" applyNumberFormat="0" applyBorder="0" applyAlignment="0" applyProtection="0"/>
    <xf numFmtId="210" fontId="81" fillId="32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81" fillId="32" borderId="70" applyNumberFormat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61" fillId="31" borderId="0" applyNumberFormat="0" applyBorder="0" applyAlignment="0" applyProtection="0"/>
    <xf numFmtId="210" fontId="81" fillId="32" borderId="70" applyNumberFormat="0" applyAlignment="0" applyProtection="0"/>
    <xf numFmtId="202" fontId="143" fillId="96" borderId="0"/>
    <xf numFmtId="245" fontId="118" fillId="96" borderId="0"/>
    <xf numFmtId="202" fontId="143" fillId="96" borderId="0"/>
    <xf numFmtId="232" fontId="60" fillId="96" borderId="0"/>
    <xf numFmtId="210" fontId="225" fillId="0" borderId="0">
      <alignment wrapText="1"/>
    </xf>
    <xf numFmtId="210" fontId="127" fillId="0" borderId="0"/>
    <xf numFmtId="193" fontId="60" fillId="66" borderId="0" applyNumberFormat="0" applyFont="0" applyBorder="0" applyAlignment="0" applyProtection="0"/>
    <xf numFmtId="210" fontId="193" fillId="38" borderId="89">
      <alignment textRotation="90"/>
    </xf>
    <xf numFmtId="238" fontId="131" fillId="0" borderId="0" applyFill="0" applyBorder="0" applyAlignment="0"/>
    <xf numFmtId="238" fontId="131" fillId="0" borderId="0" applyFill="0" applyBorder="0" applyAlignment="0"/>
    <xf numFmtId="200" fontId="62" fillId="0" borderId="0" applyFill="0" applyBorder="0" applyAlignment="0"/>
    <xf numFmtId="200" fontId="62" fillId="0" borderId="0" applyFill="0" applyBorder="0" applyAlignment="0"/>
    <xf numFmtId="210" fontId="57" fillId="30" borderId="0" applyNumberFormat="0" applyBorder="0" applyAlignment="0" applyProtection="0"/>
    <xf numFmtId="181" fontId="131" fillId="0" borderId="0" applyFill="0" applyBorder="0" applyAlignment="0"/>
    <xf numFmtId="232" fontId="60" fillId="0" borderId="0" applyFill="0" applyBorder="0" applyAlignment="0"/>
    <xf numFmtId="210" fontId="61" fillId="31" borderId="0" applyNumberFormat="0" applyBorder="0" applyAlignment="0" applyProtection="0"/>
    <xf numFmtId="202" fontId="62" fillId="0" borderId="0" applyFill="0" applyBorder="0" applyAlignment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38" fontId="131" fillId="0" borderId="0" applyFill="0" applyBorder="0" applyAlignment="0"/>
    <xf numFmtId="210" fontId="57" fillId="30" borderId="0" applyNumberFormat="0" applyBorder="0" applyAlignment="0" applyProtection="0"/>
    <xf numFmtId="210" fontId="300" fillId="0" borderId="0" applyNumberFormat="0" applyFill="0" applyBorder="0" applyAlignment="0" applyProtection="0">
      <alignment vertical="top"/>
      <protection locked="0"/>
    </xf>
    <xf numFmtId="210" fontId="59" fillId="0" borderId="0"/>
    <xf numFmtId="238" fontId="131" fillId="0" borderId="0" applyFill="0" applyBorder="0" applyAlignment="0"/>
    <xf numFmtId="210" fontId="5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00" fontId="62" fillId="0" borderId="0" applyFill="0" applyBorder="0" applyAlignment="0"/>
    <xf numFmtId="244" fontId="146" fillId="0" borderId="0" applyFill="0" applyBorder="0" applyAlignment="0"/>
    <xf numFmtId="244" fontId="146" fillId="0" borderId="0" applyFill="0" applyBorder="0" applyAlignment="0"/>
    <xf numFmtId="249" fontId="60" fillId="0" borderId="0" applyFill="0" applyBorder="0" applyAlignment="0"/>
    <xf numFmtId="181" fontId="131" fillId="0" borderId="0" applyFill="0" applyBorder="0" applyAlignment="0"/>
    <xf numFmtId="232" fontId="60" fillId="0" borderId="0" applyFill="0" applyBorder="0" applyAlignment="0"/>
    <xf numFmtId="202" fontId="62" fillId="0" borderId="0" applyFill="0" applyBorder="0" applyAlignment="0"/>
    <xf numFmtId="210" fontId="61" fillId="31" borderId="0" applyNumberFormat="0" applyBorder="0" applyAlignment="0" applyProtection="0"/>
    <xf numFmtId="210" fontId="133" fillId="0" borderId="74" applyNumberFormat="0" applyFill="0" applyAlignment="0" applyProtection="0"/>
    <xf numFmtId="210" fontId="61" fillId="31" borderId="0" applyNumberFormat="0" applyBorder="0" applyAlignment="0" applyProtection="0"/>
    <xf numFmtId="210" fontId="133" fillId="0" borderId="74" applyNumberFormat="0" applyFill="0" applyAlignment="0" applyProtection="0"/>
    <xf numFmtId="210" fontId="61" fillId="31" borderId="0" applyNumberFormat="0" applyBorder="0" applyAlignment="0" applyProtection="0"/>
    <xf numFmtId="210" fontId="133" fillId="0" borderId="74" applyNumberFormat="0" applyFill="0" applyAlignment="0" applyProtection="0"/>
    <xf numFmtId="210" fontId="61" fillId="31" borderId="0" applyNumberFormat="0" applyBorder="0" applyAlignment="0" applyProtection="0"/>
    <xf numFmtId="210" fontId="133" fillId="0" borderId="74" applyNumberFormat="0" applyFill="0" applyAlignment="0" applyProtection="0"/>
    <xf numFmtId="210" fontId="102" fillId="0" borderId="74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133" fillId="0" borderId="74" applyNumberFormat="0" applyFill="0" applyAlignment="0" applyProtection="0"/>
    <xf numFmtId="210" fontId="57" fillId="30" borderId="0" applyNumberFormat="0" applyBorder="0" applyAlignment="0" applyProtection="0">
      <alignment vertical="center"/>
    </xf>
    <xf numFmtId="210" fontId="166" fillId="0" borderId="74" applyNumberFormat="0" applyFill="0" applyAlignment="0" applyProtection="0"/>
    <xf numFmtId="210" fontId="57" fillId="30" borderId="0" applyNumberFormat="0" applyBorder="0" applyAlignment="0" applyProtection="0"/>
    <xf numFmtId="210" fontId="203" fillId="0" borderId="69" applyNumberFormat="0" applyFill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66" fillId="0" borderId="74" applyNumberFormat="0" applyFill="0" applyAlignment="0" applyProtection="0"/>
    <xf numFmtId="210" fontId="61" fillId="31" borderId="0" applyNumberFormat="0" applyBorder="0" applyAlignment="0" applyProtection="0"/>
    <xf numFmtId="210" fontId="166" fillId="0" borderId="74" applyNumberFormat="0" applyFill="0" applyAlignment="0" applyProtection="0"/>
    <xf numFmtId="210" fontId="133" fillId="0" borderId="74" applyNumberFormat="0" applyFill="0" applyAlignment="0" applyProtection="0"/>
    <xf numFmtId="210" fontId="133" fillId="0" borderId="74" applyNumberFormat="0" applyFill="0" applyAlignment="0" applyProtection="0"/>
    <xf numFmtId="210" fontId="67" fillId="0" borderId="0"/>
    <xf numFmtId="210" fontId="67" fillId="0" borderId="0"/>
    <xf numFmtId="202" fontId="115" fillId="69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45" fontId="118" fillId="69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02" fontId="115" fillId="69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32" fontId="60" fillId="69" borderId="0"/>
    <xf numFmtId="210" fontId="227" fillId="0" borderId="0" applyNumberFormat="0" applyBorder="0" applyAlignment="0">
      <alignment horizontal="center"/>
    </xf>
    <xf numFmtId="41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38" fontId="86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40" fontId="86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01" fontId="60" fillId="0" borderId="0" applyFont="0" applyFill="0" applyBorder="0" applyAlignment="0" applyProtection="0"/>
    <xf numFmtId="235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31" fontId="86" fillId="0" borderId="0" applyFont="0" applyFill="0" applyBorder="0" applyAlignment="0" applyProtection="0"/>
    <xf numFmtId="42" fontId="60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44" fontId="60" fillId="0" borderId="0" applyFont="0" applyFill="0" applyBorder="0" applyAlignment="0" applyProtection="0"/>
    <xf numFmtId="216" fontId="60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1" fontId="86" fillId="0" borderId="0" applyFont="0" applyFill="0" applyBorder="0" applyAlignment="0" applyProtection="0"/>
    <xf numFmtId="186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71" fillId="0" borderId="0"/>
    <xf numFmtId="189" fontId="118" fillId="0" borderId="0"/>
    <xf numFmtId="227" fontId="146" fillId="0" borderId="0" applyFill="0" applyBorder="0" applyAlignment="0"/>
    <xf numFmtId="189" fontId="118" fillId="0" borderId="0"/>
    <xf numFmtId="189" fontId="118" fillId="0" borderId="0"/>
    <xf numFmtId="210" fontId="83" fillId="0" borderId="0" applyNumberFormat="0" applyFill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00" fontId="178" fillId="101" borderId="0">
      <alignment vertical="top"/>
    </xf>
    <xf numFmtId="210" fontId="123" fillId="80" borderId="0" applyNumberFormat="0" applyBorder="0" applyAlignment="0" applyProtection="0"/>
    <xf numFmtId="37" fontId="118" fillId="0" borderId="0"/>
    <xf numFmtId="210" fontId="61" fillId="31" borderId="0" applyNumberFormat="0" applyBorder="0" applyAlignment="0" applyProtection="0"/>
    <xf numFmtId="210" fontId="59" fillId="0" borderId="0"/>
    <xf numFmtId="210" fontId="123" fillId="80" borderId="0" applyNumberFormat="0" applyBorder="0" applyAlignment="0" applyProtection="0"/>
    <xf numFmtId="210" fontId="123" fillId="80" borderId="0" applyNumberFormat="0" applyBorder="0" applyAlignment="0" applyProtection="0"/>
    <xf numFmtId="210" fontId="57" fillId="30" borderId="0" applyNumberFormat="0" applyBorder="0" applyAlignment="0" applyProtection="0"/>
    <xf numFmtId="210" fontId="59" fillId="0" borderId="0"/>
    <xf numFmtId="210" fontId="123" fillId="8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73" fillId="98" borderId="0" applyNumberFormat="0" applyBorder="0" applyAlignment="0" applyProtection="0"/>
    <xf numFmtId="210" fontId="61" fillId="31" borderId="0" applyNumberFormat="0" applyBorder="0" applyAlignment="0" applyProtection="0"/>
    <xf numFmtId="210" fontId="175" fillId="80" borderId="0" applyNumberFormat="0" applyBorder="0" applyAlignment="0" applyProtection="0"/>
    <xf numFmtId="210" fontId="173" fillId="98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75" fillId="80" borderId="0" applyNumberFormat="0" applyBorder="0" applyAlignment="0" applyProtection="0"/>
    <xf numFmtId="210" fontId="145" fillId="80" borderId="0" applyNumberFormat="0" applyBorder="0" applyAlignment="0" applyProtection="0"/>
    <xf numFmtId="210" fontId="123" fillId="80" borderId="0" applyNumberFormat="0" applyBorder="0" applyAlignment="0" applyProtection="0"/>
    <xf numFmtId="210" fontId="57" fillId="30" borderId="0" applyNumberFormat="0" applyBorder="0" applyAlignment="0" applyProtection="0"/>
    <xf numFmtId="210" fontId="123" fillId="80" borderId="0" applyNumberFormat="0" applyBorder="0" applyAlignment="0" applyProtection="0"/>
    <xf numFmtId="210" fontId="57" fillId="30" borderId="0" applyNumberFormat="0" applyBorder="0" applyAlignment="0" applyProtection="0"/>
    <xf numFmtId="210" fontId="123" fillId="80" borderId="0" applyNumberFormat="0" applyBorder="0" applyAlignment="0" applyProtection="0"/>
    <xf numFmtId="210" fontId="162" fillId="0" borderId="0">
      <alignment vertical="center"/>
    </xf>
    <xf numFmtId="210" fontId="138" fillId="0" borderId="0"/>
    <xf numFmtId="210" fontId="61" fillId="31" borderId="0" applyNumberFormat="0" applyBorder="0" applyAlignment="0" applyProtection="0"/>
    <xf numFmtId="49" fontId="156" fillId="26" borderId="86">
      <alignment horizontal="center"/>
    </xf>
    <xf numFmtId="49" fontId="181" fillId="38" borderId="86">
      <alignment horizontal="center"/>
    </xf>
    <xf numFmtId="210" fontId="146" fillId="0" borderId="0"/>
    <xf numFmtId="210" fontId="58" fillId="0" borderId="0"/>
    <xf numFmtId="210" fontId="71" fillId="0" borderId="0"/>
    <xf numFmtId="210" fontId="71" fillId="0" borderId="0"/>
    <xf numFmtId="210" fontId="61" fillId="31" borderId="0" applyNumberFormat="0" applyBorder="0" applyAlignment="0" applyProtection="0">
      <alignment vertical="center"/>
    </xf>
    <xf numFmtId="210" fontId="71" fillId="0" borderId="0"/>
    <xf numFmtId="210" fontId="58" fillId="0" borderId="0"/>
    <xf numFmtId="206" fontId="58" fillId="0" borderId="0"/>
    <xf numFmtId="206" fontId="58" fillId="0" borderId="0"/>
    <xf numFmtId="242" fontId="101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43" fillId="0" borderId="0"/>
    <xf numFmtId="210" fontId="57" fillId="30" borderId="0" applyNumberFormat="0" applyBorder="0" applyAlignment="0" applyProtection="0">
      <alignment vertical="center"/>
    </xf>
    <xf numFmtId="210" fontId="143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57" fillId="30" borderId="0" applyNumberFormat="0" applyBorder="0" applyAlignment="0" applyProtection="0"/>
    <xf numFmtId="210" fontId="60" fillId="66" borderId="75" applyNumberFormat="0" applyFont="0" applyAlignment="0" applyProtection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>
      <alignment vertical="center"/>
    </xf>
    <xf numFmtId="210" fontId="67" fillId="0" borderId="0"/>
    <xf numFmtId="210" fontId="3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57" fillId="30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3" fillId="0" borderId="0"/>
    <xf numFmtId="210" fontId="60" fillId="0" borderId="0"/>
    <xf numFmtId="210" fontId="66" fillId="0" borderId="0"/>
    <xf numFmtId="210" fontId="60" fillId="0" borderId="0"/>
    <xf numFmtId="210" fontId="67" fillId="0" borderId="0"/>
    <xf numFmtId="210" fontId="60" fillId="0" borderId="0"/>
    <xf numFmtId="210" fontId="67" fillId="0" borderId="0"/>
    <xf numFmtId="210" fontId="60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6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6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162" fillId="0" borderId="0">
      <alignment vertical="center"/>
    </xf>
    <xf numFmtId="210" fontId="162" fillId="0" borderId="0">
      <alignment vertical="center"/>
    </xf>
    <xf numFmtId="210" fontId="67" fillId="0" borderId="0"/>
    <xf numFmtId="210" fontId="66" fillId="0" borderId="0"/>
    <xf numFmtId="210" fontId="67" fillId="0" borderId="0"/>
    <xf numFmtId="210" fontId="66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3" fillId="0" borderId="0"/>
    <xf numFmtId="210" fontId="3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3" fillId="0" borderId="0"/>
    <xf numFmtId="210" fontId="3" fillId="0" borderId="0"/>
    <xf numFmtId="210" fontId="57" fillId="30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0" fillId="0" borderId="0"/>
    <xf numFmtId="210" fontId="61" fillId="31" borderId="0" applyNumberFormat="0" applyBorder="0" applyAlignment="0" applyProtection="0"/>
    <xf numFmtId="210" fontId="108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08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8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0" borderId="0">
      <alignment vertical="center"/>
    </xf>
    <xf numFmtId="210" fontId="67" fillId="0" borderId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6" fillId="0" borderId="0"/>
    <xf numFmtId="210" fontId="66" fillId="0" borderId="0"/>
    <xf numFmtId="210" fontId="66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6" fillId="0" borderId="0"/>
    <xf numFmtId="210" fontId="61" fillId="31" borderId="0" applyNumberFormat="0" applyBorder="0" applyAlignment="0" applyProtection="0"/>
    <xf numFmtId="210" fontId="66" fillId="0" borderId="0"/>
    <xf numFmtId="210" fontId="67" fillId="0" borderId="0"/>
    <xf numFmtId="210" fontId="67" fillId="0" borderId="0"/>
    <xf numFmtId="210" fontId="67" fillId="0" borderId="0"/>
    <xf numFmtId="210" fontId="3" fillId="0" borderId="0"/>
    <xf numFmtId="210" fontId="67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7" fillId="0" borderId="0"/>
    <xf numFmtId="210" fontId="67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7" fillId="0" borderId="0"/>
    <xf numFmtId="210" fontId="67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30" fillId="0" borderId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30" fillId="0" borderId="0">
      <alignment vertical="center"/>
    </xf>
    <xf numFmtId="210" fontId="30" fillId="0" borderId="0">
      <alignment vertical="center"/>
    </xf>
    <xf numFmtId="210" fontId="30" fillId="0" borderId="0">
      <alignment vertical="center"/>
    </xf>
    <xf numFmtId="210" fontId="30" fillId="0" borderId="0">
      <alignment vertical="center"/>
    </xf>
    <xf numFmtId="210" fontId="30" fillId="0" borderId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30" fillId="0" borderId="0">
      <alignment vertical="center"/>
    </xf>
    <xf numFmtId="210" fontId="30" fillId="0" borderId="0">
      <alignment vertical="center"/>
    </xf>
    <xf numFmtId="210" fontId="30" fillId="0" borderId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7" fillId="0" borderId="0">
      <alignment vertical="center"/>
    </xf>
    <xf numFmtId="210" fontId="61" fillId="31" borderId="0" applyNumberFormat="0" applyBorder="0" applyAlignment="0" applyProtection="0"/>
    <xf numFmtId="210" fontId="30" fillId="0" borderId="0">
      <alignment vertical="center"/>
    </xf>
    <xf numFmtId="210" fontId="61" fillId="31" borderId="0" applyNumberFormat="0" applyBorder="0" applyAlignment="0" applyProtection="0"/>
    <xf numFmtId="210" fontId="30" fillId="0" borderId="0">
      <alignment vertical="center"/>
    </xf>
    <xf numFmtId="210" fontId="61" fillId="31" borderId="0" applyNumberFormat="0" applyBorder="0" applyAlignment="0" applyProtection="0"/>
    <xf numFmtId="210" fontId="67" fillId="0" borderId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7" fillId="0" borderId="0">
      <alignment vertical="center"/>
    </xf>
    <xf numFmtId="210" fontId="57" fillId="30" borderId="0" applyNumberFormat="0" applyBorder="0" applyAlignment="0" applyProtection="0"/>
    <xf numFmtId="210" fontId="30" fillId="0" borderId="0">
      <alignment vertical="center"/>
    </xf>
    <xf numFmtId="210" fontId="61" fillId="31" borderId="0" applyNumberFormat="0" applyBorder="0" applyAlignment="0" applyProtection="0"/>
    <xf numFmtId="210" fontId="30" fillId="0" borderId="0">
      <alignment vertical="center"/>
    </xf>
    <xf numFmtId="210" fontId="30" fillId="0" borderId="0">
      <alignment vertical="center"/>
    </xf>
    <xf numFmtId="210" fontId="30" fillId="0" borderId="0">
      <alignment vertical="center"/>
    </xf>
    <xf numFmtId="210" fontId="30" fillId="0" borderId="0">
      <alignment vertical="center"/>
    </xf>
    <xf numFmtId="210" fontId="30" fillId="0" borderId="0">
      <alignment vertical="center"/>
    </xf>
    <xf numFmtId="210" fontId="30" fillId="0" borderId="0">
      <alignment vertical="center"/>
    </xf>
    <xf numFmtId="210" fontId="58" fillId="0" borderId="0"/>
    <xf numFmtId="210" fontId="57" fillId="30" borderId="0" applyNumberFormat="0" applyBorder="0" applyAlignment="0" applyProtection="0">
      <alignment vertical="center"/>
    </xf>
    <xf numFmtId="210" fontId="30" fillId="0" borderId="0">
      <alignment vertical="center"/>
    </xf>
    <xf numFmtId="210" fontId="57" fillId="30" borderId="0" applyNumberFormat="0" applyBorder="0" applyAlignment="0" applyProtection="0">
      <alignment vertical="center"/>
    </xf>
    <xf numFmtId="210" fontId="30" fillId="0" borderId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30" fillId="0" borderId="0">
      <alignment vertical="center"/>
    </xf>
    <xf numFmtId="210" fontId="30" fillId="0" borderId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7" fillId="0" borderId="0">
      <alignment vertical="center"/>
    </xf>
    <xf numFmtId="210" fontId="67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9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66" fillId="0" borderId="0"/>
    <xf numFmtId="210" fontId="66" fillId="0" borderId="0"/>
    <xf numFmtId="210" fontId="61" fillId="31" borderId="0" applyNumberFormat="0" applyBorder="0" applyAlignment="0" applyProtection="0"/>
    <xf numFmtId="210" fontId="66" fillId="0" borderId="0"/>
    <xf numFmtId="210" fontId="66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6" fillId="0" borderId="0"/>
    <xf numFmtId="210" fontId="66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6" fillId="0" borderId="0"/>
    <xf numFmtId="210" fontId="66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51" fontId="60" fillId="0" borderId="0" applyFont="0" applyFill="0" applyBorder="0" applyAlignment="0" applyProtection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59" fillId="0" borderId="0"/>
    <xf numFmtId="210" fontId="67" fillId="0" borderId="0"/>
    <xf numFmtId="210" fontId="67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60" fillId="0" borderId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60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00" fontId="60" fillId="0" borderId="0" applyFont="0" applyFill="0" applyBorder="0" applyAlignment="0" applyProtection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6" fillId="0" borderId="0"/>
    <xf numFmtId="210" fontId="66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6" fillId="0" borderId="0"/>
    <xf numFmtId="210" fontId="66" fillId="0" borderId="0"/>
    <xf numFmtId="210" fontId="57" fillId="30" borderId="0" applyNumberFormat="0" applyBorder="0" applyAlignment="0" applyProtection="0"/>
    <xf numFmtId="210" fontId="66" fillId="0" borderId="0"/>
    <xf numFmtId="210" fontId="66" fillId="0" borderId="0"/>
    <xf numFmtId="210" fontId="66" fillId="0" borderId="0"/>
    <xf numFmtId="210" fontId="66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6" fillId="0" borderId="0"/>
    <xf numFmtId="210" fontId="66" fillId="0" borderId="0"/>
    <xf numFmtId="210" fontId="61" fillId="31" borderId="0" applyNumberFormat="0" applyBorder="0" applyAlignment="0" applyProtection="0">
      <alignment vertical="center"/>
    </xf>
    <xf numFmtId="210" fontId="66" fillId="0" borderId="0"/>
    <xf numFmtId="210" fontId="66" fillId="0" borderId="0"/>
    <xf numFmtId="210" fontId="66" fillId="0" borderId="0"/>
    <xf numFmtId="210" fontId="66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6" fillId="0" borderId="0"/>
    <xf numFmtId="210" fontId="66" fillId="0" borderId="0"/>
    <xf numFmtId="210" fontId="61" fillId="31" borderId="0" applyNumberFormat="0" applyBorder="0" applyAlignment="0" applyProtection="0">
      <alignment vertical="center"/>
    </xf>
    <xf numFmtId="210" fontId="66" fillId="0" borderId="0"/>
    <xf numFmtId="210" fontId="66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1" fillId="31" borderId="0" applyNumberFormat="0" applyBorder="0" applyAlignment="0" applyProtection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67" fillId="0" borderId="0"/>
    <xf numFmtId="210" fontId="162" fillId="0" borderId="0">
      <alignment vertical="center"/>
    </xf>
    <xf numFmtId="210" fontId="67" fillId="0" borderId="0"/>
    <xf numFmtId="210" fontId="67" fillId="0" borderId="0"/>
    <xf numFmtId="210" fontId="157" fillId="0" borderId="0">
      <alignment vertical="center"/>
    </xf>
    <xf numFmtId="210" fontId="67" fillId="0" borderId="0"/>
    <xf numFmtId="210" fontId="67" fillId="0" borderId="0"/>
    <xf numFmtId="210" fontId="3" fillId="0" borderId="0"/>
    <xf numFmtId="210" fontId="67" fillId="0" borderId="0"/>
    <xf numFmtId="210" fontId="67" fillId="0" borderId="0"/>
    <xf numFmtId="210" fontId="66" fillId="0" borderId="0"/>
    <xf numFmtId="210" fontId="66" fillId="0" borderId="0"/>
    <xf numFmtId="210" fontId="61" fillId="31" borderId="0" applyNumberFormat="0" applyBorder="0" applyAlignment="0" applyProtection="0">
      <alignment vertical="center"/>
    </xf>
    <xf numFmtId="210" fontId="66" fillId="0" borderId="0"/>
    <xf numFmtId="210" fontId="66" fillId="0" borderId="0"/>
    <xf numFmtId="210" fontId="119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6" fillId="0" borderId="0"/>
    <xf numFmtId="210" fontId="66" fillId="0" borderId="0"/>
    <xf numFmtId="210" fontId="67" fillId="0" borderId="0"/>
    <xf numFmtId="210" fontId="67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3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3" fillId="0" borderId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3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60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61" fillId="31" borderId="0" applyNumberFormat="0" applyBorder="0" applyAlignment="0" applyProtection="0"/>
    <xf numFmtId="210" fontId="3" fillId="0" borderId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60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70" fillId="0" borderId="65" applyNumberFormat="0" applyFill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99" fillId="0" borderId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119" fillId="30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0" borderId="0"/>
    <xf numFmtId="210" fontId="60" fillId="0" borderId="0"/>
    <xf numFmtId="210" fontId="5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60" fillId="0" borderId="0"/>
    <xf numFmtId="210" fontId="59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30" fillId="0" borderId="0"/>
    <xf numFmtId="210" fontId="59" fillId="0" borderId="0"/>
    <xf numFmtId="210" fontId="3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0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30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3" fillId="0" borderId="0"/>
    <xf numFmtId="210" fontId="67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>
      <alignment vertical="center"/>
    </xf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59" fillId="0" borderId="0"/>
    <xf numFmtId="210" fontId="67" fillId="0" borderId="0"/>
    <xf numFmtId="210" fontId="67" fillId="0" borderId="0"/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57" fillId="30" borderId="0" applyNumberFormat="0" applyBorder="0" applyAlignment="0" applyProtection="0">
      <alignment vertical="center"/>
    </xf>
    <xf numFmtId="210" fontId="67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199" fillId="0" borderId="0"/>
    <xf numFmtId="210" fontId="60" fillId="0" borderId="0"/>
    <xf numFmtId="210" fontId="30" fillId="0" borderId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67" fillId="0" borderId="0"/>
    <xf numFmtId="210" fontId="57" fillId="30" borderId="0" applyNumberFormat="0" applyBorder="0" applyAlignment="0" applyProtection="0">
      <alignment vertical="center"/>
    </xf>
    <xf numFmtId="210" fontId="60" fillId="66" borderId="75" applyNumberFormat="0" applyFont="0" applyAlignment="0" applyProtection="0"/>
    <xf numFmtId="210" fontId="67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7" fillId="0" borderId="0"/>
    <xf numFmtId="210" fontId="67" fillId="0" borderId="0"/>
    <xf numFmtId="210" fontId="57" fillId="30" borderId="0" applyNumberFormat="0" applyBorder="0" applyAlignment="0" applyProtection="0">
      <alignment vertical="center"/>
    </xf>
    <xf numFmtId="210" fontId="67" fillId="0" borderId="0"/>
    <xf numFmtId="210" fontId="60" fillId="0" borderId="0"/>
    <xf numFmtId="210" fontId="3" fillId="0" borderId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60" fillId="0" borderId="0"/>
    <xf numFmtId="210" fontId="57" fillId="30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57" fillId="30" borderId="0" applyNumberFormat="0" applyBorder="0" applyAlignment="0" applyProtection="0"/>
    <xf numFmtId="210" fontId="86" fillId="0" borderId="0"/>
    <xf numFmtId="210" fontId="3" fillId="66" borderId="75" applyNumberFormat="0" applyFont="0" applyAlignment="0" applyProtection="0"/>
    <xf numFmtId="210" fontId="60" fillId="66" borderId="75" applyNumberFormat="0" applyFont="0" applyAlignment="0" applyProtection="0"/>
    <xf numFmtId="210" fontId="57" fillId="30" borderId="0" applyNumberFormat="0" applyBorder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1" fillId="31" borderId="0" applyNumberFormat="0" applyBorder="0" applyAlignment="0" applyProtection="0">
      <alignment vertical="center"/>
    </xf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70" fillId="0" borderId="65" applyNumberFormat="0" applyFill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70" fillId="0" borderId="65" applyNumberFormat="0" applyFill="0" applyAlignment="0" applyProtection="0"/>
    <xf numFmtId="210" fontId="231" fillId="66" borderId="75" applyNumberFormat="0" applyFont="0" applyAlignment="0" applyProtection="0">
      <alignment vertical="center"/>
    </xf>
    <xf numFmtId="210" fontId="231" fillId="66" borderId="75" applyNumberFormat="0" applyFont="0" applyAlignment="0" applyProtection="0">
      <alignment vertical="center"/>
    </xf>
    <xf numFmtId="210" fontId="231" fillId="66" borderId="75" applyNumberFormat="0" applyFont="0" applyAlignment="0" applyProtection="0">
      <alignment vertical="center"/>
    </xf>
    <xf numFmtId="210" fontId="231" fillId="66" borderId="75" applyNumberFormat="0" applyFont="0" applyAlignment="0" applyProtection="0">
      <alignment vertical="center"/>
    </xf>
    <xf numFmtId="210" fontId="57" fillId="30" borderId="0" applyNumberFormat="0" applyBorder="0" applyAlignment="0" applyProtection="0"/>
    <xf numFmtId="210" fontId="3" fillId="124" borderId="64" applyNumberFormat="0" applyFont="0" applyAlignment="0" applyProtection="0"/>
    <xf numFmtId="210" fontId="57" fillId="30" borderId="0" applyNumberFormat="0" applyBorder="0" applyAlignment="0" applyProtection="0">
      <alignment vertical="center"/>
    </xf>
    <xf numFmtId="210" fontId="3" fillId="66" borderId="75" applyNumberFormat="0" applyFont="0" applyAlignment="0" applyProtection="0"/>
    <xf numFmtId="210" fontId="61" fillId="31" borderId="0" applyNumberFormat="0" applyBorder="0" applyAlignment="0" applyProtection="0">
      <alignment vertical="center"/>
    </xf>
    <xf numFmtId="210" fontId="60" fillId="66" borderId="75" applyNumberFormat="0" applyFont="0" applyAlignment="0" applyProtection="0"/>
    <xf numFmtId="210" fontId="61" fillId="31" borderId="0" applyNumberFormat="0" applyBorder="0" applyAlignment="0" applyProtection="0">
      <alignment vertical="center"/>
    </xf>
    <xf numFmtId="210" fontId="60" fillId="66" borderId="75" applyNumberFormat="0" applyFont="0" applyAlignment="0" applyProtection="0"/>
    <xf numFmtId="210" fontId="57" fillId="30" borderId="0" applyNumberFormat="0" applyBorder="0" applyAlignment="0" applyProtection="0"/>
    <xf numFmtId="210" fontId="199" fillId="66" borderId="75" applyNumberFormat="0" applyFont="0" applyAlignment="0" applyProtection="0"/>
    <xf numFmtId="210" fontId="3" fillId="124" borderId="64" applyNumberFormat="0" applyFont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99" fillId="66" borderId="75" applyNumberFormat="0" applyFont="0" applyAlignment="0" applyProtection="0"/>
    <xf numFmtId="210" fontId="57" fillId="30" borderId="0" applyNumberFormat="0" applyBorder="0" applyAlignment="0" applyProtection="0"/>
    <xf numFmtId="210" fontId="60" fillId="66" borderId="75" applyNumberFormat="0" applyFont="0" applyAlignment="0" applyProtection="0"/>
    <xf numFmtId="210" fontId="61" fillId="31" borderId="0" applyNumberFormat="0" applyBorder="0" applyAlignment="0" applyProtection="0"/>
    <xf numFmtId="210" fontId="199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0" fillId="66" borderId="75" applyNumberFormat="0" applyFont="0" applyAlignment="0" applyProtection="0"/>
    <xf numFmtId="210" fontId="57" fillId="30" borderId="0" applyNumberFormat="0" applyBorder="0" applyAlignment="0" applyProtection="0"/>
    <xf numFmtId="210" fontId="60" fillId="66" borderId="75" applyNumberFormat="0" applyFont="0" applyAlignment="0" applyProtection="0"/>
    <xf numFmtId="210" fontId="61" fillId="31" borderId="0" applyNumberFormat="0" applyBorder="0" applyAlignment="0" applyProtection="0"/>
    <xf numFmtId="210" fontId="60" fillId="66" borderId="75" applyNumberFormat="0" applyFont="0" applyAlignment="0" applyProtection="0"/>
    <xf numFmtId="210" fontId="61" fillId="31" borderId="0" applyNumberFormat="0" applyBorder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60" fillId="66" borderId="75" applyNumberFormat="0" applyFont="0" applyAlignment="0" applyProtection="0"/>
    <xf numFmtId="210" fontId="57" fillId="30" borderId="0" applyNumberFormat="0" applyBorder="0" applyAlignment="0" applyProtection="0">
      <alignment vertical="center"/>
    </xf>
    <xf numFmtId="210" fontId="60" fillId="66" borderId="75" applyNumberFormat="0" applyFont="0" applyAlignment="0" applyProtection="0"/>
    <xf numFmtId="210" fontId="57" fillId="30" borderId="0" applyNumberFormat="0" applyBorder="0" applyAlignment="0" applyProtection="0">
      <alignment vertical="center"/>
    </xf>
    <xf numFmtId="210" fontId="60" fillId="66" borderId="75" applyNumberFormat="0" applyFont="0" applyAlignment="0" applyProtection="0"/>
    <xf numFmtId="223" fontId="215" fillId="0" borderId="0"/>
    <xf numFmtId="38" fontId="277" fillId="0" borderId="105" applyFont="0" applyFill="0" applyBorder="0" applyAlignment="0">
      <alignment horizontal="center"/>
    </xf>
    <xf numFmtId="218" fontId="127" fillId="0" borderId="0" applyFont="0" applyFill="0" applyBorder="0" applyAlignment="0" applyProtection="0"/>
    <xf numFmtId="210" fontId="250" fillId="0" borderId="0">
      <alignment vertical="top"/>
    </xf>
    <xf numFmtId="49" fontId="118" fillId="0" borderId="86">
      <alignment horizontal="center"/>
    </xf>
    <xf numFmtId="210" fontId="188" fillId="50" borderId="73" applyNumberFormat="0" applyAlignment="0" applyProtection="0">
      <alignment vertical="center"/>
    </xf>
    <xf numFmtId="210" fontId="100" fillId="4" borderId="73" applyNumberFormat="0" applyAlignment="0" applyProtection="0"/>
    <xf numFmtId="210" fontId="61" fillId="31" borderId="0" applyNumberFormat="0" applyBorder="0" applyAlignment="0" applyProtection="0"/>
    <xf numFmtId="210" fontId="100" fillId="4" borderId="73" applyNumberFormat="0" applyAlignment="0" applyProtection="0"/>
    <xf numFmtId="210" fontId="61" fillId="31" borderId="0" applyNumberFormat="0" applyBorder="0" applyAlignment="0" applyProtection="0"/>
    <xf numFmtId="210" fontId="100" fillId="4" borderId="73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00" fillId="4" borderId="73" applyNumberFormat="0" applyAlignment="0" applyProtection="0"/>
    <xf numFmtId="210" fontId="61" fillId="31" borderId="0" applyNumberFormat="0" applyBorder="0" applyAlignment="0" applyProtection="0"/>
    <xf numFmtId="210" fontId="100" fillId="4" borderId="73" applyNumberFormat="0" applyAlignment="0" applyProtection="0"/>
    <xf numFmtId="210" fontId="61" fillId="31" borderId="0" applyNumberFormat="0" applyBorder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00" fillId="50" borderId="73" applyNumberFormat="0" applyAlignment="0" applyProtection="0"/>
    <xf numFmtId="210" fontId="210" fillId="50" borderId="73" applyNumberFormat="0" applyAlignment="0" applyProtection="0"/>
    <xf numFmtId="210" fontId="210" fillId="50" borderId="73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09" fillId="0" borderId="0" applyNumberFormat="0" applyFill="0" applyBorder="0" applyAlignment="0" applyProtection="0"/>
    <xf numFmtId="210" fontId="237" fillId="119" borderId="81" applyNumberFormat="0" applyAlignment="0" applyProtection="0"/>
    <xf numFmtId="210" fontId="210" fillId="50" borderId="73" applyNumberFormat="0" applyAlignment="0" applyProtection="0"/>
    <xf numFmtId="210" fontId="100" fillId="4" borderId="73" applyNumberFormat="0" applyAlignment="0" applyProtection="0"/>
    <xf numFmtId="210" fontId="252" fillId="0" borderId="87" applyNumberFormat="0" applyFill="0" applyAlignment="0" applyProtection="0"/>
    <xf numFmtId="210" fontId="210" fillId="50" borderId="73" applyNumberFormat="0" applyAlignment="0" applyProtection="0"/>
    <xf numFmtId="210" fontId="109" fillId="0" borderId="0" applyNumberFormat="0" applyFill="0" applyBorder="0" applyAlignment="0" applyProtection="0"/>
    <xf numFmtId="210" fontId="188" fillId="50" borderId="73" applyNumberFormat="0" applyAlignment="0" applyProtection="0"/>
    <xf numFmtId="210" fontId="100" fillId="4" borderId="73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61" fillId="31" borderId="0" applyNumberFormat="0" applyBorder="0" applyAlignment="0" applyProtection="0"/>
    <xf numFmtId="210" fontId="100" fillId="4" borderId="73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61" fillId="31" borderId="0" applyNumberFormat="0" applyBorder="0" applyAlignment="0" applyProtection="0"/>
    <xf numFmtId="210" fontId="100" fillId="4" borderId="73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82" fillId="0" borderId="0" applyNumberFormat="0" applyFill="0" applyBorder="0" applyAlignment="0" applyProtection="0">
      <alignment vertical="center"/>
    </xf>
    <xf numFmtId="210" fontId="100" fillId="4" borderId="73" applyNumberFormat="0" applyAlignment="0" applyProtection="0"/>
    <xf numFmtId="210" fontId="57" fillId="30" borderId="0" applyNumberFormat="0" applyBorder="0" applyAlignment="0" applyProtection="0"/>
    <xf numFmtId="210" fontId="100" fillId="4" borderId="73" applyNumberFormat="0" applyAlignment="0" applyProtection="0"/>
    <xf numFmtId="210" fontId="57" fillId="30" borderId="0" applyNumberFormat="0" applyBorder="0" applyAlignment="0" applyProtection="0"/>
    <xf numFmtId="210" fontId="100" fillId="4" borderId="73" applyNumberFormat="0" applyAlignment="0" applyProtection="0"/>
    <xf numFmtId="210" fontId="57" fillId="30" borderId="0" applyNumberFormat="0" applyBorder="0" applyAlignment="0" applyProtection="0"/>
    <xf numFmtId="210" fontId="100" fillId="4" borderId="73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00" fillId="4" borderId="73" applyNumberFormat="0" applyAlignment="0" applyProtection="0"/>
    <xf numFmtId="210" fontId="61" fillId="31" borderId="0" applyNumberFormat="0" applyBorder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100" fillId="4" borderId="73" applyNumberFormat="0" applyAlignment="0" applyProtection="0"/>
    <xf numFmtId="210" fontId="100" fillId="4" borderId="73" applyNumberFormat="0" applyAlignment="0" applyProtection="0"/>
    <xf numFmtId="210" fontId="86" fillId="0" borderId="0"/>
    <xf numFmtId="210" fontId="118" fillId="0" borderId="0" applyFill="0" applyBorder="0" applyProtection="0">
      <alignment horizontal="center" vertical="center"/>
    </xf>
    <xf numFmtId="210" fontId="276" fillId="4" borderId="0"/>
    <xf numFmtId="37" fontId="103" fillId="0" borderId="76" applyFont="0" applyFill="0" applyBorder="0" applyAlignment="0" applyProtection="0">
      <protection locked="0"/>
    </xf>
    <xf numFmtId="37" fontId="62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75" fontId="146" fillId="0" borderId="0" applyFont="0" applyFill="0" applyBorder="0" applyAlignment="0" applyProtection="0"/>
    <xf numFmtId="208" fontId="60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82" fontId="60" fillId="0" borderId="0" applyFont="0" applyFill="0" applyBorder="0" applyAlignment="0" applyProtection="0"/>
    <xf numFmtId="284" fontId="60" fillId="0" borderId="0" applyFont="0" applyFill="0" applyBorder="0" applyAlignment="0" applyProtection="0"/>
    <xf numFmtId="10" fontId="60" fillId="0" borderId="0" applyFont="0" applyFill="0" applyBorder="0" applyAlignment="0" applyProtection="0"/>
    <xf numFmtId="210" fontId="57" fillId="30" borderId="0" applyNumberFormat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59" fillId="0" borderId="0" applyFon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9" fontId="59" fillId="0" borderId="0" applyFont="0" applyFill="0" applyBorder="0" applyAlignment="0" applyProtection="0"/>
    <xf numFmtId="210" fontId="57" fillId="30" borderId="0" applyNumberFormat="0" applyBorder="0" applyAlignment="0" applyProtection="0"/>
    <xf numFmtId="9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9" fontId="59" fillId="0" borderId="0" applyFont="0" applyFill="0" applyBorder="0" applyAlignment="0" applyProtection="0"/>
    <xf numFmtId="210" fontId="57" fillId="30" borderId="0" applyNumberFormat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10" fontId="61" fillId="31" borderId="0" applyNumberFormat="0" applyBorder="0" applyAlignment="0" applyProtection="0"/>
    <xf numFmtId="9" fontId="58" fillId="0" borderId="0" applyFont="0" applyFill="0" applyBorder="0" applyAlignment="0" applyProtection="0"/>
    <xf numFmtId="210" fontId="57" fillId="30" borderId="0" applyNumberFormat="0" applyBorder="0" applyAlignment="0" applyProtection="0"/>
    <xf numFmtId="9" fontId="86" fillId="0" borderId="96" applyNumberFormat="0" applyBorder="0"/>
    <xf numFmtId="9" fontId="86" fillId="0" borderId="96" applyNumberFormat="0" applyBorder="0"/>
    <xf numFmtId="9" fontId="86" fillId="0" borderId="96" applyNumberFormat="0" applyBorder="0"/>
    <xf numFmtId="210" fontId="61" fillId="31" borderId="0" applyNumberFormat="0" applyBorder="0" applyAlignment="0" applyProtection="0">
      <alignment vertical="center"/>
    </xf>
    <xf numFmtId="238" fontId="131" fillId="0" borderId="0" applyFill="0" applyBorder="0" applyAlignment="0"/>
    <xf numFmtId="238" fontId="131" fillId="0" borderId="0" applyFill="0" applyBorder="0" applyAlignment="0"/>
    <xf numFmtId="200" fontId="62" fillId="0" borderId="0" applyFill="0" applyBorder="0" applyAlignment="0"/>
    <xf numFmtId="181" fontId="131" fillId="0" borderId="0" applyFill="0" applyBorder="0" applyAlignment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32" fontId="60" fillId="0" borderId="0" applyFill="0" applyBorder="0" applyAlignment="0"/>
    <xf numFmtId="210" fontId="57" fillId="30" borderId="0" applyNumberFormat="0" applyBorder="0" applyAlignment="0" applyProtection="0"/>
    <xf numFmtId="202" fontId="62" fillId="0" borderId="0" applyFill="0" applyBorder="0" applyAlignment="0"/>
    <xf numFmtId="210" fontId="57" fillId="30" borderId="0" applyNumberFormat="0" applyBorder="0" applyAlignment="0" applyProtection="0">
      <alignment vertical="center"/>
    </xf>
    <xf numFmtId="200" fontId="62" fillId="0" borderId="0" applyFill="0" applyBorder="0" applyAlignment="0"/>
    <xf numFmtId="200" fontId="62" fillId="0" borderId="0" applyFill="0" applyBorder="0" applyAlignment="0"/>
    <xf numFmtId="220" fontId="131" fillId="0" borderId="0" applyFill="0" applyBorder="0" applyAlignment="0"/>
    <xf numFmtId="244" fontId="146" fillId="0" borderId="0" applyFill="0" applyBorder="0" applyAlignment="0"/>
    <xf numFmtId="249" fontId="60" fillId="0" borderId="0" applyFill="0" applyBorder="0" applyAlignment="0"/>
    <xf numFmtId="180" fontId="60" fillId="0" borderId="0" applyFill="0" applyBorder="0" applyAlignment="0"/>
    <xf numFmtId="181" fontId="131" fillId="0" borderId="0" applyFill="0" applyBorder="0" applyAlignment="0"/>
    <xf numFmtId="210" fontId="57" fillId="30" borderId="0" applyNumberFormat="0" applyBorder="0" applyAlignment="0" applyProtection="0">
      <alignment vertical="center"/>
    </xf>
    <xf numFmtId="232" fontId="60" fillId="0" borderId="0" applyFill="0" applyBorder="0" applyAlignment="0"/>
    <xf numFmtId="210" fontId="57" fillId="30" borderId="0" applyNumberFormat="0" applyBorder="0" applyAlignment="0" applyProtection="0">
      <alignment vertical="center"/>
    </xf>
    <xf numFmtId="202" fontId="62" fillId="0" borderId="0" applyFill="0" applyBorder="0" applyAlignment="0"/>
    <xf numFmtId="258" fontId="236" fillId="0" borderId="0"/>
    <xf numFmtId="210" fontId="243" fillId="0" borderId="97" applyNumberFormat="0" applyBorder="0" applyAlignment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 applyNumberFormat="0" applyFont="0" applyFill="0" applyBorder="0" applyAlignment="0">
      <protection hidden="1"/>
    </xf>
    <xf numFmtId="210" fontId="57" fillId="30" borderId="0" applyNumberFormat="0" applyBorder="0" applyAlignment="0" applyProtection="0">
      <alignment vertical="center"/>
    </xf>
    <xf numFmtId="210" fontId="60" fillId="0" borderId="0" applyNumberFormat="0" applyFont="0" applyFill="0" applyBorder="0" applyAlignment="0">
      <protection hidden="1"/>
    </xf>
    <xf numFmtId="210" fontId="57" fillId="30" borderId="0" applyNumberFormat="0" applyBorder="0" applyAlignment="0" applyProtection="0">
      <alignment vertical="center"/>
    </xf>
    <xf numFmtId="210" fontId="60" fillId="0" borderId="0" applyNumberFormat="0" applyFont="0" applyFill="0" applyBorder="0" applyAlignment="0">
      <protection hidden="1"/>
    </xf>
    <xf numFmtId="210" fontId="57" fillId="30" borderId="0" applyNumberFormat="0" applyBorder="0" applyAlignment="0" applyProtection="0">
      <alignment vertical="center"/>
    </xf>
    <xf numFmtId="210" fontId="60" fillId="0" borderId="0" applyNumberFormat="0" applyFont="0" applyFill="0" applyBorder="0" applyAlignment="0">
      <protection hidden="1"/>
    </xf>
    <xf numFmtId="210" fontId="86" fillId="0" borderId="0" applyNumberFormat="0" applyFont="0" applyFill="0" applyBorder="0" applyAlignment="0" applyProtection="0">
      <alignment horizontal="left"/>
    </xf>
    <xf numFmtId="4" fontId="86" fillId="0" borderId="0" applyFont="0" applyFill="0" applyBorder="0" applyAlignment="0" applyProtection="0"/>
    <xf numFmtId="210" fontId="164" fillId="0" borderId="51">
      <alignment horizont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3" fontId="86" fillId="0" borderId="0" applyFont="0" applyFill="0" applyBorder="0" applyAlignment="0" applyProtection="0"/>
    <xf numFmtId="210" fontId="57" fillId="30" borderId="0" applyNumberFormat="0" applyBorder="0" applyAlignment="0" applyProtection="0"/>
    <xf numFmtId="210" fontId="86" fillId="120" borderId="0" applyNumberFormat="0" applyFon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86" fillId="0" borderId="0" applyNumberFormat="0" applyFont="0" applyFill="0" applyBorder="0" applyAlignment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241" fillId="0" borderId="0"/>
    <xf numFmtId="210" fontId="240" fillId="0" borderId="0" applyAlignment="0">
      <alignment horizontal="centerContinuous"/>
    </xf>
    <xf numFmtId="224" fontId="223" fillId="0" borderId="0" applyNumberFormat="0" applyFill="0" applyBorder="0" applyAlignment="0" applyProtection="0">
      <alignment horizontal="left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38" fontId="223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52" fontId="58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4" fontId="244" fillId="80" borderId="95" applyNumberFormat="0" applyProtection="0">
      <alignment vertical="center"/>
    </xf>
    <xf numFmtId="4" fontId="234" fillId="80" borderId="95" applyNumberFormat="0" applyProtection="0">
      <alignment horizontal="left" vertical="center" indent="1"/>
    </xf>
    <xf numFmtId="210" fontId="119" fillId="30" borderId="0" applyNumberFormat="0" applyBorder="0" applyAlignment="0" applyProtection="0">
      <alignment vertical="center"/>
    </xf>
    <xf numFmtId="4" fontId="234" fillId="109" borderId="0" applyNumberFormat="0" applyProtection="0">
      <alignment horizontal="left" vertical="center" indent="1"/>
    </xf>
    <xf numFmtId="210" fontId="57" fillId="30" borderId="0" applyNumberFormat="0" applyBorder="0" applyAlignment="0" applyProtection="0">
      <alignment vertical="center"/>
    </xf>
    <xf numFmtId="4" fontId="244" fillId="122" borderId="98" applyNumberFormat="0" applyProtection="0">
      <alignment horizontal="left" vertical="center" indent="1"/>
    </xf>
    <xf numFmtId="4" fontId="244" fillId="60" borderId="0" applyNumberFormat="0" applyProtection="0">
      <alignment horizontal="left" vertical="center" indent="1"/>
    </xf>
    <xf numFmtId="210" fontId="57" fillId="30" borderId="0" applyNumberFormat="0" applyBorder="0" applyAlignment="0" applyProtection="0"/>
    <xf numFmtId="4" fontId="98" fillId="60" borderId="0" applyNumberFormat="0" applyProtection="0">
      <alignment horizontal="left" vertical="center" indent="1"/>
    </xf>
    <xf numFmtId="4" fontId="234" fillId="114" borderId="95" applyNumberFormat="0" applyProtection="0">
      <alignment horizontal="right" vertical="center"/>
    </xf>
    <xf numFmtId="210" fontId="61" fillId="31" borderId="0" applyNumberFormat="0" applyBorder="0" applyAlignment="0" applyProtection="0"/>
    <xf numFmtId="4" fontId="244" fillId="60" borderId="95" applyNumberFormat="0" applyProtection="0">
      <alignment horizontal="left" vertical="center" indent="1"/>
    </xf>
    <xf numFmtId="210" fontId="57" fillId="30" borderId="0" applyNumberFormat="0" applyBorder="0" applyAlignment="0" applyProtection="0">
      <alignment vertical="center"/>
    </xf>
    <xf numFmtId="213" fontId="60" fillId="0" borderId="0" applyFont="0" applyFill="0" applyBorder="0" applyAlignment="0" applyProtection="0"/>
    <xf numFmtId="40" fontId="86" fillId="0" borderId="48" applyFont="0" applyFill="0" applyAlignment="0" applyProtection="0"/>
    <xf numFmtId="210" fontId="242" fillId="12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216" fillId="108" borderId="4" applyNumberFormat="0" applyFont="0" applyAlignment="0">
      <alignment horizontal="center"/>
    </xf>
    <xf numFmtId="211" fontId="86" fillId="0" borderId="0">
      <alignment horizontal="center"/>
    </xf>
    <xf numFmtId="210" fontId="228" fillId="0" borderId="3" applyProtection="0">
      <alignment horizontal="centerContinuous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128" fillId="0" borderId="49" applyBorder="0" applyAlignment="0" applyProtection="0">
      <alignment vertical="top"/>
      <protection locked="0"/>
    </xf>
    <xf numFmtId="210" fontId="61" fillId="31" borderId="0" applyNumberFormat="0" applyBorder="0" applyAlignment="0" applyProtection="0"/>
    <xf numFmtId="210" fontId="231" fillId="0" borderId="0"/>
    <xf numFmtId="210" fontId="220" fillId="110" borderId="0" applyNumberFormat="0" applyBorder="0" applyAlignment="0">
      <protection locked="0"/>
    </xf>
    <xf numFmtId="210" fontId="60" fillId="0" borderId="0"/>
    <xf numFmtId="210" fontId="57" fillId="30" borderId="0" applyNumberFormat="0" applyBorder="0" applyAlignment="0" applyProtection="0"/>
    <xf numFmtId="210" fontId="62" fillId="0" borderId="0"/>
    <xf numFmtId="210" fontId="60" fillId="0" borderId="0"/>
    <xf numFmtId="210" fontId="60" fillId="0" borderId="0"/>
    <xf numFmtId="210" fontId="62" fillId="0" borderId="0"/>
    <xf numFmtId="210" fontId="60" fillId="0" borderId="0"/>
    <xf numFmtId="210" fontId="62" fillId="0" borderId="0"/>
    <xf numFmtId="210" fontId="118" fillId="4" borderId="2" applyNumberFormat="0" applyProtection="0">
      <alignment horizontal="left" wrapText="1"/>
    </xf>
    <xf numFmtId="210" fontId="58" fillId="66" borderId="2" applyNumberFormat="0" applyFont="0"/>
    <xf numFmtId="210" fontId="58" fillId="66" borderId="2" applyNumberFormat="0" applyFont="0"/>
    <xf numFmtId="210" fontId="61" fillId="31" borderId="0" applyNumberFormat="0" applyBorder="0" applyAlignment="0" applyProtection="0"/>
    <xf numFmtId="210" fontId="186" fillId="106" borderId="0" applyNumberFormat="0" applyBorder="0" applyAlignment="0" applyProtection="0"/>
    <xf numFmtId="210" fontId="61" fillId="31" borderId="0" applyNumberFormat="0" applyBorder="0" applyAlignment="0" applyProtection="0"/>
    <xf numFmtId="210" fontId="246" fillId="0" borderId="0"/>
    <xf numFmtId="210" fontId="60" fillId="0" borderId="0"/>
    <xf numFmtId="277" fontId="3" fillId="0" borderId="0">
      <alignment vertical="center"/>
    </xf>
    <xf numFmtId="210" fontId="250" fillId="0" borderId="0" applyNumberFormat="0" applyFont="0" applyFill="0" applyBorder="0" applyAlignment="0">
      <alignment horizontal="center"/>
    </xf>
    <xf numFmtId="210" fontId="61" fillId="31" borderId="0" applyNumberFormat="0" applyBorder="0" applyAlignment="0" applyProtection="0"/>
    <xf numFmtId="37" fontId="249" fillId="0" borderId="100" applyNumberFormat="0" applyFont="0" applyBorder="0" applyAlignment="0" applyProtection="0">
      <alignment horizontal="centerContinuous"/>
    </xf>
    <xf numFmtId="210" fontId="245" fillId="50" borderId="0">
      <alignment horizontal="center" vertical="center"/>
      <protection locked="0"/>
    </xf>
    <xf numFmtId="210" fontId="57" fillId="30" borderId="0" applyNumberFormat="0" applyBorder="0" applyAlignment="0" applyProtection="0">
      <alignment vertical="center"/>
    </xf>
    <xf numFmtId="210" fontId="251" fillId="0" borderId="101" applyNumberFormat="0" applyFont="0" applyFill="0" applyBorder="0" applyProtection="0">
      <alignment horizontal="center" vertical="center" wrapText="1"/>
    </xf>
    <xf numFmtId="210" fontId="60" fillId="0" borderId="0" applyNumberFormat="0" applyFont="0" applyFill="0" applyBorder="0" applyProtection="0">
      <alignment horizontal="center" vertical="center" wrapText="1"/>
    </xf>
    <xf numFmtId="210" fontId="61" fillId="31" borderId="0" applyNumberFormat="0" applyBorder="0" applyAlignment="0" applyProtection="0"/>
    <xf numFmtId="49" fontId="98" fillId="0" borderId="0" applyFill="0" applyBorder="0" applyAlignment="0"/>
    <xf numFmtId="204" fontId="146" fillId="0" borderId="0" applyFill="0" applyBorder="0" applyAlignment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57" fontId="131" fillId="0" borderId="0" applyFill="0" applyBorder="0" applyAlignment="0"/>
    <xf numFmtId="210" fontId="57" fillId="30" borderId="0" applyNumberFormat="0" applyBorder="0" applyAlignment="0" applyProtection="0"/>
    <xf numFmtId="204" fontId="146" fillId="0" borderId="0" applyFill="0" applyBorder="0" applyAlignment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59" fontId="60" fillId="0" borderId="0" applyFill="0" applyBorder="0" applyAlignment="0"/>
    <xf numFmtId="227" fontId="146" fillId="0" borderId="0" applyFill="0" applyBorder="0" applyAlignment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86" fontId="60" fillId="0" borderId="0" applyFill="0" applyBorder="0" applyAlignment="0"/>
    <xf numFmtId="231" fontId="60" fillId="0" borderId="0" applyFill="0" applyBorder="0" applyAlignment="0"/>
    <xf numFmtId="210" fontId="60" fillId="0" borderId="0" applyNumberFormat="0" applyFont="0" applyFill="0" applyBorder="0" applyProtection="0">
      <alignment horizontal="right"/>
    </xf>
    <xf numFmtId="210" fontId="186" fillId="0" borderId="0">
      <alignment horizontal="centerContinuous" wrapText="1"/>
    </xf>
    <xf numFmtId="210" fontId="60" fillId="0" borderId="103" applyNumberFormat="0" applyFont="0" applyFill="0" applyBorder="0" applyProtection="0">
      <alignment horizontal="center" vertical="center" wrapText="1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5" fontId="60" fillId="0" borderId="0" applyFont="0" applyFill="0" applyBorder="0" applyAlignment="0" applyProtection="0"/>
    <xf numFmtId="215" fontId="60" fillId="0" borderId="0" applyFont="0" applyFill="0" applyBorder="0" applyAlignment="0" applyProtection="0"/>
    <xf numFmtId="40" fontId="278" fillId="0" borderId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247" fillId="0" borderId="0" applyNumberFormat="0" applyFill="0" applyBorder="0" applyAlignment="0" applyProtection="0"/>
    <xf numFmtId="210" fontId="142" fillId="0" borderId="0" applyNumberFormat="0" applyFill="0" applyBorder="0" applyAlignment="0" applyProtection="0"/>
    <xf numFmtId="210" fontId="142" fillId="0" borderId="0" applyNumberFormat="0" applyFill="0" applyBorder="0" applyAlignment="0" applyProtection="0"/>
    <xf numFmtId="210" fontId="109" fillId="0" borderId="0" applyNumberFormat="0" applyFill="0" applyBorder="0" applyAlignment="0" applyProtection="0"/>
    <xf numFmtId="210" fontId="109" fillId="0" borderId="0" applyNumberFormat="0" applyFill="0" applyBorder="0" applyAlignment="0" applyProtection="0"/>
    <xf numFmtId="210" fontId="109" fillId="0" borderId="0" applyNumberFormat="0" applyFill="0" applyBorder="0" applyAlignment="0" applyProtection="0"/>
    <xf numFmtId="210" fontId="109" fillId="0" borderId="0" applyNumberFormat="0" applyFill="0" applyBorder="0" applyAlignment="0" applyProtection="0"/>
    <xf numFmtId="210" fontId="70" fillId="0" borderId="87" applyNumberFormat="0" applyFill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61" fillId="31" borderId="0" applyNumberFormat="0" applyBorder="0" applyAlignment="0" applyProtection="0">
      <alignment vertical="center"/>
    </xf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57" fillId="30" borderId="0" applyNumberFormat="0" applyBorder="0" applyAlignment="0" applyProtection="0"/>
    <xf numFmtId="210" fontId="168" fillId="0" borderId="87" applyNumberFormat="0" applyFill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70" fillId="0" borderId="65" applyNumberFormat="0" applyFill="0" applyAlignment="0" applyProtection="0"/>
    <xf numFmtId="210" fontId="85" fillId="0" borderId="71" applyNumberFormat="0" applyFill="0" applyAlignment="0" applyProtection="0">
      <alignment vertical="center"/>
    </xf>
    <xf numFmtId="210" fontId="70" fillId="0" borderId="65" applyNumberFormat="0" applyFill="0" applyAlignment="0" applyProtection="0"/>
    <xf numFmtId="210" fontId="252" fillId="0" borderId="87" applyNumberFormat="0" applyFill="0" applyAlignment="0" applyProtection="0"/>
    <xf numFmtId="210" fontId="252" fillId="0" borderId="87" applyNumberFormat="0" applyFill="0" applyAlignment="0" applyProtection="0"/>
    <xf numFmtId="210" fontId="200" fillId="0" borderId="80" applyNumberFormat="0" applyFill="0" applyAlignment="0" applyProtection="0"/>
    <xf numFmtId="210" fontId="70" fillId="0" borderId="87" applyNumberFormat="0" applyFill="0" applyAlignment="0" applyProtection="0"/>
    <xf numFmtId="210" fontId="70" fillId="0" borderId="65" applyNumberFormat="0" applyFill="0" applyAlignment="0" applyProtection="0"/>
    <xf numFmtId="210" fontId="94" fillId="0" borderId="72" applyNumberFormat="0" applyFill="0" applyAlignment="0" applyProtection="0">
      <alignment vertical="center"/>
    </xf>
    <xf numFmtId="210" fontId="70" fillId="0" borderId="65" applyNumberFormat="0" applyFill="0" applyAlignment="0" applyProtection="0"/>
    <xf numFmtId="210" fontId="61" fillId="31" borderId="0" applyNumberFormat="0" applyBorder="0" applyAlignment="0" applyProtection="0">
      <alignment vertical="center"/>
    </xf>
    <xf numFmtId="210" fontId="252" fillId="0" borderId="87" applyNumberFormat="0" applyFill="0" applyAlignment="0" applyProtection="0"/>
    <xf numFmtId="210" fontId="168" fillId="0" borderId="87" applyNumberFormat="0" applyFill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111" fillId="0" borderId="0" applyNumberFormat="0" applyFill="0" applyBorder="0" applyAlignment="0" applyProtection="0">
      <alignment vertical="center"/>
    </xf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70" fillId="0" borderId="65" applyNumberFormat="0" applyFill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57" fillId="30" borderId="0" applyNumberFormat="0" applyBorder="0" applyAlignment="0" applyProtection="0"/>
    <xf numFmtId="210" fontId="70" fillId="0" borderId="65" applyNumberFormat="0" applyFill="0" applyAlignment="0" applyProtection="0"/>
    <xf numFmtId="210" fontId="255" fillId="0" borderId="0"/>
    <xf numFmtId="210" fontId="57" fillId="30" borderId="0" applyNumberFormat="0" applyBorder="0" applyAlignment="0" applyProtection="0">
      <alignment vertical="center"/>
    </xf>
    <xf numFmtId="263" fontId="72" fillId="0" borderId="0" applyFont="0" applyFill="0" applyBorder="0" applyAlignment="0" applyProtection="0"/>
    <xf numFmtId="210" fontId="146" fillId="0" borderId="0"/>
    <xf numFmtId="3" fontId="258" fillId="0" borderId="102" applyProtection="0"/>
    <xf numFmtId="262" fontId="138" fillId="0" borderId="0" applyNumberFormat="0">
      <alignment horizontal="center"/>
    </xf>
    <xf numFmtId="42" fontId="58" fillId="0" borderId="0" applyFont="0" applyFill="0" applyBorder="0" applyAlignment="0" applyProtection="0"/>
    <xf numFmtId="243" fontId="60" fillId="0" borderId="0" applyFont="0" applyFill="0" applyBorder="0" applyAlignment="0" applyProtection="0"/>
    <xf numFmtId="210" fontId="57" fillId="30" borderId="0" applyNumberFormat="0" applyBorder="0" applyAlignment="0" applyProtection="0">
      <alignment vertical="center"/>
    </xf>
    <xf numFmtId="245" fontId="60" fillId="0" borderId="0" applyFont="0" applyFill="0" applyBorder="0" applyAlignment="0" applyProtection="0"/>
    <xf numFmtId="210" fontId="201" fillId="0" borderId="0" applyNumberFormat="0" applyFill="0" applyBorder="0" applyAlignment="0" applyProtection="0"/>
    <xf numFmtId="210" fontId="201" fillId="0" borderId="0" applyNumberFormat="0" applyFill="0" applyBorder="0" applyAlignment="0" applyProtection="0"/>
    <xf numFmtId="210" fontId="201" fillId="0" borderId="0" applyNumberFormat="0" applyFill="0" applyBorder="0" applyAlignment="0" applyProtection="0"/>
    <xf numFmtId="210" fontId="201" fillId="0" borderId="0" applyNumberFormat="0" applyFill="0" applyBorder="0" applyAlignment="0" applyProtection="0"/>
    <xf numFmtId="210" fontId="201" fillId="0" borderId="0" applyNumberFormat="0" applyFill="0" applyBorder="0" applyAlignment="0" applyProtection="0"/>
    <xf numFmtId="210" fontId="256" fillId="0" borderId="0" applyNumberFormat="0" applyFill="0" applyBorder="0" applyAlignment="0" applyProtection="0">
      <alignment vertical="center"/>
    </xf>
    <xf numFmtId="210" fontId="201" fillId="0" borderId="0" applyNumberFormat="0" applyFill="0" applyBorder="0" applyAlignment="0" applyProtection="0"/>
    <xf numFmtId="210" fontId="257" fillId="0" borderId="0" applyNumberFormat="0" applyFill="0" applyBorder="0" applyAlignment="0" applyProtection="0"/>
    <xf numFmtId="210" fontId="57" fillId="30" borderId="0" applyNumberFormat="0" applyBorder="0" applyAlignment="0" applyProtection="0"/>
    <xf numFmtId="210" fontId="257" fillId="0" borderId="0" applyNumberFormat="0" applyFill="0" applyBorder="0" applyAlignment="0" applyProtection="0"/>
    <xf numFmtId="210" fontId="256" fillId="0" borderId="0" applyNumberFormat="0" applyFill="0" applyBorder="0" applyAlignment="0" applyProtection="0"/>
    <xf numFmtId="210" fontId="201" fillId="0" borderId="0" applyNumberFormat="0" applyFill="0" applyBorder="0" applyAlignment="0" applyProtection="0"/>
    <xf numFmtId="210" fontId="201" fillId="0" borderId="0" applyNumberFormat="0" applyFill="0" applyBorder="0" applyAlignment="0" applyProtection="0"/>
    <xf numFmtId="210" fontId="201" fillId="0" borderId="0" applyNumberFormat="0" applyFill="0" applyBorder="0" applyAlignment="0" applyProtection="0"/>
    <xf numFmtId="210" fontId="201" fillId="0" borderId="0" applyNumberFormat="0" applyFill="0" applyBorder="0" applyAlignment="0" applyProtection="0"/>
    <xf numFmtId="210" fontId="201" fillId="0" borderId="0" applyNumberFormat="0" applyFill="0" applyBorder="0" applyAlignment="0" applyProtection="0"/>
    <xf numFmtId="210" fontId="96" fillId="39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96" fillId="101" borderId="0" applyNumberFormat="0" applyBorder="0" applyAlignment="0" applyProtection="0">
      <alignment vertical="center"/>
    </xf>
    <xf numFmtId="210" fontId="96" fillId="5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96" fillId="85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96" fillId="70" borderId="0" applyNumberFormat="0" applyBorder="0" applyAlignment="0" applyProtection="0">
      <alignment vertical="center"/>
    </xf>
    <xf numFmtId="210" fontId="62" fillId="0" borderId="0"/>
    <xf numFmtId="210" fontId="61" fillId="31" borderId="0" applyNumberFormat="0" applyBorder="0" applyAlignment="0" applyProtection="0">
      <alignment vertical="center"/>
    </xf>
    <xf numFmtId="210" fontId="221" fillId="0" borderId="0" applyNumberFormat="0" applyFill="0" applyBorder="0" applyAlignment="0" applyProtection="0">
      <alignment vertical="center"/>
    </xf>
    <xf numFmtId="210" fontId="61" fillId="31" borderId="0" applyNumberFormat="0" applyBorder="0" applyAlignment="0" applyProtection="0"/>
    <xf numFmtId="210" fontId="301" fillId="0" borderId="0" applyNumberFormat="0" applyFill="0" applyBorder="0" applyAlignment="0" applyProtection="0">
      <alignment vertical="top"/>
      <protection locked="0"/>
    </xf>
    <xf numFmtId="210" fontId="58" fillId="66" borderId="75" applyNumberFormat="0" applyFont="0" applyAlignment="0" applyProtection="0">
      <alignment vertical="center"/>
    </xf>
    <xf numFmtId="210" fontId="141" fillId="0" borderId="74" applyNumberFormat="0" applyFill="0" applyAlignment="0" applyProtection="0">
      <alignment vertical="center"/>
    </xf>
    <xf numFmtId="210" fontId="60" fillId="0" borderId="0"/>
    <xf numFmtId="210" fontId="148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302" fillId="0" borderId="0" applyNumberFormat="0" applyFill="0" applyBorder="0" applyAlignment="0" applyProtection="0">
      <alignment vertical="top"/>
      <protection locked="0"/>
    </xf>
    <xf numFmtId="210" fontId="303" fillId="0" borderId="0"/>
    <xf numFmtId="41" fontId="177" fillId="0" borderId="111" applyNumberFormat="0" applyFont="0" applyFill="0" applyBorder="0" applyAlignment="0">
      <alignment horizontal="center"/>
    </xf>
    <xf numFmtId="210" fontId="61" fillId="31" borderId="0" applyNumberFormat="0" applyBorder="0" applyAlignment="0" applyProtection="0"/>
    <xf numFmtId="210" fontId="162" fillId="0" borderId="0">
      <alignment vertical="center"/>
    </xf>
    <xf numFmtId="210" fontId="61" fillId="31" borderId="0" applyNumberFormat="0" applyBorder="0" applyAlignment="0" applyProtection="0"/>
    <xf numFmtId="190" fontId="60" fillId="0" borderId="0"/>
    <xf numFmtId="210" fontId="61" fillId="31" borderId="0" applyNumberFormat="0" applyBorder="0" applyAlignment="0" applyProtection="0"/>
    <xf numFmtId="210" fontId="59" fillId="0" borderId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0" fillId="0" borderId="0"/>
    <xf numFmtId="210" fontId="61" fillId="31" borderId="0" applyNumberFormat="0" applyBorder="0" applyAlignment="0" applyProtection="0"/>
    <xf numFmtId="210" fontId="118" fillId="0" borderId="0"/>
    <xf numFmtId="210" fontId="162" fillId="0" borderId="0">
      <alignment vertical="center"/>
    </xf>
    <xf numFmtId="210" fontId="162" fillId="0" borderId="0">
      <alignment vertical="center"/>
    </xf>
    <xf numFmtId="210" fontId="162" fillId="0" borderId="0">
      <alignment vertical="center"/>
    </xf>
    <xf numFmtId="210" fontId="162" fillId="0" borderId="0">
      <alignment vertical="center"/>
    </xf>
    <xf numFmtId="210" fontId="61" fillId="31" borderId="0" applyNumberFormat="0" applyBorder="0" applyAlignment="0" applyProtection="0">
      <alignment vertical="center"/>
    </xf>
    <xf numFmtId="210" fontId="162" fillId="0" borderId="0">
      <alignment vertical="center"/>
    </xf>
    <xf numFmtId="210" fontId="61" fillId="31" borderId="0" applyNumberFormat="0" applyBorder="0" applyAlignment="0" applyProtection="0">
      <alignment vertical="center"/>
    </xf>
    <xf numFmtId="210" fontId="162" fillId="0" borderId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62" fillId="0" borderId="0">
      <alignment vertical="center"/>
    </xf>
    <xf numFmtId="210" fontId="61" fillId="31" borderId="0" applyNumberFormat="0" applyBorder="0" applyAlignment="0" applyProtection="0">
      <alignment vertical="center"/>
    </xf>
    <xf numFmtId="210" fontId="162" fillId="0" borderId="0">
      <alignment vertical="center"/>
    </xf>
    <xf numFmtId="210" fontId="58" fillId="0" borderId="0">
      <alignment vertical="center"/>
    </xf>
    <xf numFmtId="210" fontId="3" fillId="0" borderId="0">
      <alignment vertical="center"/>
    </xf>
    <xf numFmtId="268" fontId="3" fillId="0" borderId="0">
      <alignment vertical="center"/>
    </xf>
    <xf numFmtId="210" fontId="3" fillId="0" borderId="0">
      <alignment vertical="center"/>
    </xf>
    <xf numFmtId="210" fontId="3" fillId="0" borderId="0">
      <alignment vertical="center"/>
    </xf>
    <xf numFmtId="210" fontId="57" fillId="30" borderId="0" applyNumberFormat="0" applyBorder="0" applyAlignment="0" applyProtection="0"/>
    <xf numFmtId="207" fontId="3" fillId="0" borderId="0">
      <alignment vertical="center"/>
    </xf>
    <xf numFmtId="207" fontId="3" fillId="0" borderId="0">
      <alignment vertical="center"/>
    </xf>
    <xf numFmtId="210" fontId="57" fillId="30" borderId="0" applyNumberFormat="0" applyBorder="0" applyAlignment="0" applyProtection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8" fillId="0" borderId="0">
      <alignment vertical="center"/>
    </xf>
    <xf numFmtId="210" fontId="57" fillId="30" borderId="0" applyNumberFormat="0" applyBorder="0" applyAlignment="0" applyProtection="0"/>
    <xf numFmtId="210" fontId="58" fillId="0" borderId="0"/>
    <xf numFmtId="210" fontId="57" fillId="30" borderId="0" applyNumberFormat="0" applyBorder="0" applyAlignment="0" applyProtection="0"/>
    <xf numFmtId="210" fontId="58" fillId="0" borderId="0"/>
    <xf numFmtId="210" fontId="58" fillId="0" borderId="0"/>
    <xf numFmtId="294" fontId="58" fillId="0" borderId="0"/>
    <xf numFmtId="210" fontId="61" fillId="31" borderId="0" applyNumberFormat="0" applyBorder="0" applyAlignment="0" applyProtection="0">
      <alignment vertical="center"/>
    </xf>
    <xf numFmtId="210" fontId="304" fillId="0" borderId="0"/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61" fillId="31" borderId="0" applyNumberFormat="0" applyBorder="0" applyAlignment="0" applyProtection="0"/>
    <xf numFmtId="210" fontId="162" fillId="0" borderId="0">
      <alignment vertical="center"/>
    </xf>
    <xf numFmtId="210" fontId="57" fillId="30" borderId="0" applyNumberFormat="0" applyBorder="0" applyAlignment="0" applyProtection="0"/>
    <xf numFmtId="210" fontId="199" fillId="0" borderId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157" fillId="0" borderId="0">
      <alignment vertical="center"/>
    </xf>
    <xf numFmtId="210" fontId="59" fillId="0" borderId="0"/>
    <xf numFmtId="210" fontId="59" fillId="0" borderId="0"/>
    <xf numFmtId="210" fontId="59" fillId="0" borderId="0"/>
    <xf numFmtId="210" fontId="57" fillId="30" borderId="0" applyNumberFormat="0" applyBorder="0" applyAlignment="0" applyProtection="0">
      <alignment vertical="center"/>
    </xf>
    <xf numFmtId="274" fontId="162" fillId="0" borderId="0">
      <alignment vertical="center"/>
    </xf>
    <xf numFmtId="210" fontId="58" fillId="0" borderId="0"/>
    <xf numFmtId="210" fontId="59" fillId="0" borderId="0"/>
    <xf numFmtId="210" fontId="59" fillId="0" borderId="0"/>
    <xf numFmtId="210" fontId="61" fillId="31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7" fillId="30" borderId="0" applyNumberFormat="0" applyBorder="0" applyAlignment="0" applyProtection="0"/>
    <xf numFmtId="210" fontId="59" fillId="0" borderId="0"/>
    <xf numFmtId="210" fontId="59" fillId="0" borderId="0"/>
    <xf numFmtId="210" fontId="305" fillId="0" borderId="0" applyNumberFormat="0" applyFill="0" applyBorder="0" applyAlignment="0" applyProtection="0">
      <alignment vertical="center"/>
    </xf>
    <xf numFmtId="210" fontId="59" fillId="0" borderId="0"/>
    <xf numFmtId="210" fontId="59" fillId="0" borderId="0"/>
    <xf numFmtId="210" fontId="57" fillId="30" borderId="0" applyNumberFormat="0" applyBorder="0" applyAlignment="0" applyProtection="0">
      <alignment vertical="center"/>
    </xf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9" fillId="0" borderId="0"/>
    <xf numFmtId="210" fontId="58" fillId="0" borderId="0"/>
    <xf numFmtId="210" fontId="162" fillId="0" borderId="0">
      <alignment vertical="center"/>
    </xf>
    <xf numFmtId="210" fontId="162" fillId="0" borderId="0">
      <alignment vertical="center"/>
    </xf>
    <xf numFmtId="210" fontId="57" fillId="30" borderId="0" applyNumberFormat="0" applyBorder="0" applyAlignment="0" applyProtection="0">
      <alignment vertical="center"/>
    </xf>
    <xf numFmtId="210" fontId="162" fillId="0" borderId="0">
      <alignment vertical="center"/>
    </xf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57" fillId="30" borderId="0" applyNumberFormat="0" applyBorder="0" applyAlignment="0" applyProtection="0">
      <alignment vertical="center"/>
    </xf>
    <xf numFmtId="210" fontId="162" fillId="0" borderId="0">
      <alignment vertical="center"/>
    </xf>
    <xf numFmtId="210" fontId="162" fillId="0" borderId="0">
      <alignment vertical="center"/>
    </xf>
    <xf numFmtId="210" fontId="162" fillId="0" borderId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61" fillId="31" borderId="0" applyNumberFormat="0" applyBorder="0" applyAlignment="0" applyProtection="0"/>
    <xf numFmtId="210" fontId="162" fillId="0" borderId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157" fillId="0" borderId="0">
      <alignment vertical="center"/>
    </xf>
    <xf numFmtId="210" fontId="57" fillId="30" borderId="0" applyNumberFormat="0" applyBorder="0" applyAlignment="0" applyProtection="0"/>
    <xf numFmtId="210" fontId="162" fillId="0" borderId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8" fillId="0" borderId="0"/>
    <xf numFmtId="210" fontId="57" fillId="30" borderId="0" applyNumberFormat="0" applyBorder="0" applyAlignment="0" applyProtection="0"/>
    <xf numFmtId="210" fontId="58" fillId="0" borderId="0">
      <alignment vertical="center"/>
    </xf>
    <xf numFmtId="194" fontId="58" fillId="0" borderId="0"/>
    <xf numFmtId="210" fontId="306" fillId="32" borderId="70" applyNumberFormat="0" applyAlignment="0" applyProtection="0">
      <alignment vertical="center"/>
    </xf>
    <xf numFmtId="43" fontId="157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157" fillId="0" borderId="0" applyFont="0" applyFill="0" applyBorder="0" applyAlignment="0" applyProtection="0">
      <alignment vertical="center"/>
    </xf>
    <xf numFmtId="210" fontId="60" fillId="66" borderId="75" applyNumberFormat="0" applyFont="0" applyAlignment="0" applyProtection="0"/>
    <xf numFmtId="21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>
      <alignment vertical="center"/>
    </xf>
    <xf numFmtId="43" fontId="162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210" fontId="61" fillId="31" borderId="0" applyNumberFormat="0" applyBorder="0" applyAlignment="0" applyProtection="0"/>
    <xf numFmtId="19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190" fontId="60" fillId="0" borderId="0" applyFont="0" applyFill="0" applyBorder="0" applyAlignment="0" applyProtection="0"/>
    <xf numFmtId="210" fontId="173" fillId="98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49" fontId="307" fillId="0" borderId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49" fontId="307" fillId="0" borderId="0"/>
    <xf numFmtId="210" fontId="158" fillId="50" borderId="70" applyNumberFormat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139" fillId="50" borderId="70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158" fillId="50" borderId="70" applyNumberFormat="0" applyAlignment="0" applyProtection="0"/>
    <xf numFmtId="210" fontId="61" fillId="31" borderId="0" applyNumberFormat="0" applyBorder="0" applyAlignment="0" applyProtection="0"/>
    <xf numFmtId="210" fontId="158" fillId="50" borderId="70" applyNumberFormat="0" applyAlignment="0" applyProtection="0"/>
    <xf numFmtId="210" fontId="61" fillId="31" borderId="0" applyNumberFormat="0" applyBorder="0" applyAlignment="0" applyProtection="0"/>
    <xf numFmtId="210" fontId="158" fillId="50" borderId="70" applyNumberFormat="0" applyAlignment="0" applyProtection="0"/>
    <xf numFmtId="210" fontId="158" fillId="50" borderId="70" applyNumberFormat="0" applyAlignment="0" applyProtection="0"/>
    <xf numFmtId="210" fontId="158" fillId="50" borderId="70" applyNumberFormat="0" applyAlignment="0" applyProtection="0"/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158" fillId="50" borderId="70" applyNumberFormat="0" applyAlignment="0" applyProtection="0"/>
    <xf numFmtId="210" fontId="158" fillId="50" borderId="70" applyNumberFormat="0" applyAlignment="0" applyProtection="0"/>
    <xf numFmtId="210" fontId="57" fillId="30" borderId="0" applyNumberFormat="0" applyBorder="0" applyAlignment="0" applyProtection="0"/>
    <xf numFmtId="210" fontId="158" fillId="50" borderId="70" applyNumberFormat="0" applyAlignment="0" applyProtection="0"/>
    <xf numFmtId="210" fontId="158" fillId="50" borderId="70" applyNumberFormat="0" applyAlignment="0" applyProtection="0"/>
    <xf numFmtId="210" fontId="57" fillId="30" borderId="0" applyNumberFormat="0" applyBorder="0" applyAlignment="0" applyProtection="0"/>
    <xf numFmtId="210" fontId="158" fillId="50" borderId="70" applyNumberFormat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58" fillId="50" borderId="70" applyNumberFormat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158" fillId="50" borderId="70" applyNumberFormat="0" applyAlignment="0" applyProtection="0"/>
    <xf numFmtId="210" fontId="158" fillId="50" borderId="70" applyNumberFormat="0" applyAlignment="0" applyProtection="0"/>
    <xf numFmtId="210" fontId="158" fillId="50" borderId="70" applyNumberFormat="0" applyAlignment="0" applyProtection="0"/>
    <xf numFmtId="210" fontId="168" fillId="0" borderId="87" applyNumberFormat="0" applyFill="0" applyAlignment="0" applyProtection="0"/>
    <xf numFmtId="210" fontId="158" fillId="50" borderId="70" applyNumberFormat="0" applyAlignment="0" applyProtection="0"/>
    <xf numFmtId="210" fontId="61" fillId="31" borderId="0" applyNumberFormat="0" applyBorder="0" applyAlignment="0" applyProtection="0"/>
    <xf numFmtId="210" fontId="158" fillId="50" borderId="70" applyNumberFormat="0" applyAlignment="0" applyProtection="0"/>
    <xf numFmtId="210" fontId="57" fillId="30" borderId="0" applyNumberFormat="0" applyBorder="0" applyAlignment="0" applyProtection="0"/>
    <xf numFmtId="210" fontId="158" fillId="50" borderId="70" applyNumberFormat="0" applyAlignment="0" applyProtection="0"/>
    <xf numFmtId="210" fontId="57" fillId="30" borderId="0" applyNumberFormat="0" applyBorder="0" applyAlignment="0" applyProtection="0"/>
    <xf numFmtId="210" fontId="168" fillId="0" borderId="87" applyNumberFormat="0" applyFill="0" applyAlignment="0" applyProtection="0"/>
    <xf numFmtId="210" fontId="158" fillId="50" borderId="70" applyNumberFormat="0" applyAlignment="0" applyProtection="0"/>
    <xf numFmtId="210" fontId="57" fillId="30" borderId="0" applyNumberFormat="0" applyBorder="0" applyAlignment="0" applyProtection="0">
      <alignment vertical="center"/>
    </xf>
    <xf numFmtId="210" fontId="158" fillId="50" borderId="70" applyNumberFormat="0" applyAlignment="0" applyProtection="0">
      <alignment vertical="center"/>
    </xf>
    <xf numFmtId="210" fontId="274" fillId="50" borderId="70" applyNumberFormat="0" applyAlignment="0" applyProtection="0">
      <alignment vertical="center"/>
    </xf>
    <xf numFmtId="210" fontId="61" fillId="31" borderId="0" applyNumberFormat="0" applyBorder="0" applyAlignment="0" applyProtection="0"/>
    <xf numFmtId="210" fontId="274" fillId="50" borderId="70" applyNumberFormat="0" applyAlignment="0" applyProtection="0">
      <alignment vertical="center"/>
    </xf>
    <xf numFmtId="210" fontId="57" fillId="30" borderId="0" applyNumberFormat="0" applyBorder="0" applyAlignment="0" applyProtection="0"/>
    <xf numFmtId="210" fontId="158" fillId="50" borderId="70" applyNumberFormat="0" applyAlignment="0" applyProtection="0">
      <alignment vertical="center"/>
    </xf>
    <xf numFmtId="210" fontId="259" fillId="0" borderId="0"/>
    <xf numFmtId="210" fontId="168" fillId="0" borderId="87" applyNumberFormat="0" applyFill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70" fillId="0" borderId="87" applyNumberFormat="0" applyFill="0" applyAlignment="0" applyProtection="0"/>
    <xf numFmtId="210" fontId="168" fillId="0" borderId="87" applyNumberFormat="0" applyFill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68" fillId="0" borderId="87" applyNumberFormat="0" applyFill="0" applyAlignment="0" applyProtection="0"/>
    <xf numFmtId="210" fontId="168" fillId="0" borderId="87" applyNumberFormat="0" applyFill="0" applyAlignment="0" applyProtection="0"/>
    <xf numFmtId="210" fontId="61" fillId="31" borderId="0" applyNumberFormat="0" applyBorder="0" applyAlignment="0" applyProtection="0">
      <alignment vertical="center"/>
    </xf>
    <xf numFmtId="210" fontId="168" fillId="0" borderId="87" applyNumberFormat="0" applyFill="0" applyAlignment="0" applyProtection="0"/>
    <xf numFmtId="210" fontId="57" fillId="30" borderId="0" applyNumberFormat="0" applyBorder="0" applyAlignment="0" applyProtection="0"/>
    <xf numFmtId="210" fontId="168" fillId="0" borderId="87" applyNumberFormat="0" applyFill="0" applyAlignment="0" applyProtection="0"/>
    <xf numFmtId="210" fontId="61" fillId="31" borderId="0" applyNumberFormat="0" applyBorder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168" fillId="0" borderId="87" applyNumberFormat="0" applyFill="0" applyAlignment="0" applyProtection="0"/>
    <xf numFmtId="210" fontId="168" fillId="0" borderId="87" applyNumberFormat="0" applyFill="0" applyAlignment="0" applyProtection="0"/>
    <xf numFmtId="210" fontId="57" fillId="30" borderId="0" applyNumberFormat="0" applyBorder="0" applyAlignment="0" applyProtection="0"/>
    <xf numFmtId="210" fontId="168" fillId="0" borderId="87" applyNumberFormat="0" applyFill="0" applyAlignment="0" applyProtection="0"/>
    <xf numFmtId="210" fontId="57" fillId="30" borderId="0" applyNumberFormat="0" applyBorder="0" applyAlignment="0" applyProtection="0"/>
    <xf numFmtId="210" fontId="168" fillId="0" borderId="87" applyNumberFormat="0" applyFill="0" applyAlignment="0" applyProtection="0"/>
    <xf numFmtId="210" fontId="57" fillId="30" borderId="0" applyNumberFormat="0" applyBorder="0" applyAlignment="0" applyProtection="0"/>
    <xf numFmtId="210" fontId="168" fillId="0" borderId="87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168" fillId="0" borderId="87" applyNumberFormat="0" applyFill="0" applyAlignment="0" applyProtection="0"/>
    <xf numFmtId="210" fontId="61" fillId="31" borderId="0" applyNumberFormat="0" applyBorder="0" applyAlignment="0" applyProtection="0"/>
    <xf numFmtId="210" fontId="168" fillId="0" borderId="87" applyNumberFormat="0" applyFill="0" applyAlignment="0" applyProtection="0"/>
    <xf numFmtId="210" fontId="61" fillId="31" borderId="0" applyNumberFormat="0" applyBorder="0" applyAlignment="0" applyProtection="0"/>
    <xf numFmtId="210" fontId="168" fillId="0" borderId="87" applyNumberFormat="0" applyFill="0" applyAlignment="0" applyProtection="0"/>
    <xf numFmtId="210" fontId="61" fillId="31" borderId="0" applyNumberFormat="0" applyBorder="0" applyAlignment="0" applyProtection="0"/>
    <xf numFmtId="210" fontId="168" fillId="0" borderId="87" applyNumberFormat="0" applyFill="0" applyAlignment="0" applyProtection="0"/>
    <xf numFmtId="210" fontId="61" fillId="31" borderId="0" applyNumberFormat="0" applyBorder="0" applyAlignment="0" applyProtection="0"/>
    <xf numFmtId="210" fontId="168" fillId="0" borderId="87" applyNumberFormat="0" applyFill="0" applyAlignment="0" applyProtection="0"/>
    <xf numFmtId="210" fontId="168" fillId="0" borderId="87" applyNumberFormat="0" applyFill="0" applyAlignment="0" applyProtection="0"/>
    <xf numFmtId="210" fontId="61" fillId="31" borderId="0" applyNumberFormat="0" applyBorder="0" applyAlignment="0" applyProtection="0"/>
    <xf numFmtId="210" fontId="168" fillId="0" borderId="87" applyNumberFormat="0" applyFill="0" applyAlignment="0" applyProtection="0"/>
    <xf numFmtId="210" fontId="60" fillId="0" borderId="0"/>
    <xf numFmtId="210" fontId="168" fillId="0" borderId="87" applyNumberFormat="0" applyFill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68" fillId="0" borderId="87" applyNumberFormat="0" applyFill="0" applyAlignment="0" applyProtection="0">
      <alignment vertical="center"/>
    </xf>
    <xf numFmtId="210" fontId="161" fillId="0" borderId="87" applyNumberFormat="0" applyFill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61" fillId="0" borderId="87" applyNumberFormat="0" applyFill="0" applyAlignment="0" applyProtection="0">
      <alignment vertical="center"/>
    </xf>
    <xf numFmtId="210" fontId="161" fillId="0" borderId="87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90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37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0" fillId="0" borderId="0"/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90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80" fillId="30" borderId="0" applyNumberFormat="0" applyBorder="0" applyAlignment="0" applyProtection="0"/>
    <xf numFmtId="210" fontId="80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90" fillId="30" borderId="0" applyNumberFormat="0" applyBorder="0" applyAlignment="0" applyProtection="0"/>
    <xf numFmtId="210" fontId="190" fillId="30" borderId="0" applyNumberFormat="0" applyBorder="0" applyAlignment="0" applyProtection="0"/>
    <xf numFmtId="210" fontId="61" fillId="31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90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80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61" fillId="117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61" fillId="115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9" fontId="3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9" fontId="157" fillId="0" borderId="0" applyFont="0" applyFill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188" fillId="50" borderId="73" applyNumberFormat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0" fillId="0" borderId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47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29" fillId="30" borderId="0" applyNumberFormat="0" applyBorder="0" applyAlignment="0" applyProtection="0"/>
    <xf numFmtId="210" fontId="61" fillId="31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9" fillId="39" borderId="0" applyNumberFormat="0" applyBorder="0" applyAlignment="0" applyProtection="0">
      <alignment vertical="center"/>
    </xf>
    <xf numFmtId="210" fontId="129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66" borderId="75" applyNumberFormat="0" applyFont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190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29" fillId="3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190" fillId="30" borderId="0" applyNumberFormat="0" applyBorder="0" applyAlignment="0" applyProtection="0">
      <alignment vertical="center"/>
    </xf>
    <xf numFmtId="210" fontId="80" fillId="30" borderId="0" applyNumberFormat="0" applyBorder="0" applyAlignment="0" applyProtection="0"/>
    <xf numFmtId="210" fontId="80" fillId="30" borderId="0" applyNumberFormat="0" applyBorder="0" applyAlignment="0" applyProtection="0"/>
    <xf numFmtId="210" fontId="61" fillId="31" borderId="0" applyNumberFormat="0" applyBorder="0" applyAlignment="0" applyProtection="0"/>
    <xf numFmtId="210" fontId="80" fillId="30" borderId="0" applyNumberFormat="0" applyBorder="0" applyAlignment="0" applyProtection="0"/>
    <xf numFmtId="210" fontId="80" fillId="3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90" fillId="30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11" fillId="0" borderId="0" applyNumberForma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91" fillId="0" borderId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122" fillId="0" borderId="0" applyNumberFormat="0" applyFill="0" applyBorder="0" applyAlignment="0" applyProtection="0">
      <alignment vertical="top"/>
      <protection locked="0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98" fillId="0" borderId="0">
      <alignment vertical="top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82" fillId="0" borderId="0" applyNumberForma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82" fillId="0" borderId="0" applyNumberForma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308" fillId="137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82" fillId="0" borderId="0" applyNumberForma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82" fillId="0" borderId="0" applyNumberFormat="0" applyFill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188" fillId="50" borderId="73" applyNumberFormat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90" fillId="30" borderId="0" applyNumberFormat="0" applyBorder="0" applyAlignment="0" applyProtection="0">
      <alignment vertical="center"/>
    </xf>
    <xf numFmtId="210" fontId="190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119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57" fillId="30" borderId="0" applyNumberFormat="0" applyBorder="0" applyAlignment="0" applyProtection="0">
      <alignment vertical="center"/>
    </xf>
    <xf numFmtId="210" fontId="57" fillId="30" borderId="0" applyNumberFormat="0" applyBorder="0" applyAlignment="0" applyProtection="0">
      <alignment vertical="center"/>
    </xf>
    <xf numFmtId="210" fontId="190" fillId="30" borderId="0" applyNumberFormat="0" applyBorder="0" applyAlignment="0" applyProtection="0">
      <alignment vertical="center"/>
    </xf>
    <xf numFmtId="210" fontId="190" fillId="30" borderId="0" applyNumberFormat="0" applyBorder="0" applyAlignment="0" applyProtection="0">
      <alignment vertical="center"/>
    </xf>
    <xf numFmtId="9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184" fillId="40" borderId="0"/>
    <xf numFmtId="210" fontId="187" fillId="0" borderId="71" applyNumberFormat="0" applyFill="0" applyAlignment="0" applyProtection="0">
      <alignment vertical="center"/>
    </xf>
    <xf numFmtId="210" fontId="159" fillId="0" borderId="72" applyNumberFormat="0" applyFill="0" applyAlignment="0" applyProtection="0">
      <alignment vertical="center"/>
    </xf>
    <xf numFmtId="210" fontId="67" fillId="66" borderId="75" applyNumberFormat="0" applyFont="0" applyAlignment="0" applyProtection="0">
      <alignment vertical="center"/>
    </xf>
    <xf numFmtId="210" fontId="60" fillId="66" borderId="75" applyNumberFormat="0" applyFont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66" borderId="75" applyNumberFormat="0" applyFont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7" fillId="66" borderId="75" applyNumberFormat="0" applyFont="0" applyAlignment="0" applyProtection="0">
      <alignment vertical="center"/>
    </xf>
    <xf numFmtId="210" fontId="67" fillId="66" borderId="75" applyNumberFormat="0" applyFont="0" applyAlignment="0" applyProtection="0">
      <alignment vertical="center"/>
    </xf>
    <xf numFmtId="210" fontId="67" fillId="66" borderId="75" applyNumberFormat="0" applyFont="0" applyAlignment="0" applyProtection="0">
      <alignment vertical="center"/>
    </xf>
    <xf numFmtId="210" fontId="60" fillId="66" borderId="75" applyNumberFormat="0" applyFont="0" applyAlignment="0" applyProtection="0"/>
    <xf numFmtId="200" fontId="60" fillId="0" borderId="0" applyFont="0" applyFill="0" applyBorder="0" applyAlignment="0" applyProtection="0"/>
    <xf numFmtId="210" fontId="60" fillId="0" borderId="0"/>
    <xf numFmtId="176" fontId="3" fillId="0" borderId="0" applyFont="0" applyFill="0" applyBorder="0" applyAlignment="0" applyProtection="0"/>
    <xf numFmtId="210" fontId="85" fillId="0" borderId="71" applyNumberFormat="0" applyFill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85" fillId="0" borderId="71" applyNumberFormat="0" applyFill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85" fillId="0" borderId="71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94" fillId="0" borderId="72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111" fillId="0" borderId="84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111" fillId="0" borderId="84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111" fillId="0" borderId="84" applyNumberFormat="0" applyFill="0" applyAlignment="0" applyProtection="0">
      <alignment vertical="center"/>
    </xf>
    <xf numFmtId="210" fontId="61" fillId="31" borderId="0" applyNumberFormat="0" applyBorder="0" applyAlignment="0" applyProtection="0"/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111" fillId="0" borderId="0" applyNumberFormat="0" applyFill="0" applyBorder="0" applyAlignment="0" applyProtection="0">
      <alignment vertical="center"/>
    </xf>
    <xf numFmtId="210" fontId="82" fillId="0" borderId="0" applyNumberFormat="0" applyFill="0" applyBorder="0" applyAlignment="0" applyProtection="0">
      <alignment vertical="center"/>
    </xf>
    <xf numFmtId="210" fontId="61" fillId="31" borderId="0" applyNumberFormat="0" applyBorder="0" applyAlignment="0" applyProtection="0"/>
    <xf numFmtId="210" fontId="82" fillId="0" borderId="0" applyNumberFormat="0" applyFill="0" applyBorder="0" applyAlignment="0" applyProtection="0">
      <alignment vertical="center"/>
    </xf>
    <xf numFmtId="210" fontId="82" fillId="0" borderId="0" applyNumberFormat="0" applyFill="0" applyBorder="0" applyAlignment="0" applyProtection="0">
      <alignment vertical="center"/>
    </xf>
    <xf numFmtId="210" fontId="61" fillId="31" borderId="0" applyNumberFormat="0" applyBorder="0" applyAlignment="0" applyProtection="0"/>
    <xf numFmtId="210" fontId="82" fillId="0" borderId="0" applyNumberFormat="0" applyFill="0" applyBorder="0" applyAlignment="0" applyProtection="0">
      <alignment vertical="center"/>
    </xf>
    <xf numFmtId="210" fontId="82" fillId="0" borderId="0" applyNumberFormat="0" applyFill="0" applyBorder="0" applyAlignment="0" applyProtection="0">
      <alignment vertical="center"/>
    </xf>
    <xf numFmtId="210" fontId="82" fillId="0" borderId="0" applyNumberFormat="0" applyFill="0" applyBorder="0" applyAlignment="0" applyProtection="0">
      <alignment vertical="center"/>
    </xf>
    <xf numFmtId="210" fontId="82" fillId="0" borderId="0" applyNumberFormat="0" applyFill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82" fillId="0" borderId="0" applyNumberFormat="0" applyFill="0" applyBorder="0" applyAlignment="0" applyProtection="0">
      <alignment vertical="center"/>
    </xf>
    <xf numFmtId="210" fontId="82" fillId="0" borderId="0" applyNumberFormat="0" applyFill="0" applyBorder="0" applyAlignment="0" applyProtection="0">
      <alignment vertical="center"/>
    </xf>
    <xf numFmtId="210" fontId="82" fillId="0" borderId="0" applyNumberFormat="0" applyFill="0" applyBorder="0" applyAlignment="0" applyProtection="0">
      <alignment vertical="center"/>
    </xf>
    <xf numFmtId="210" fontId="82" fillId="0" borderId="0" applyNumberFormat="0" applyFill="0" applyBorder="0" applyAlignment="0" applyProtection="0">
      <alignment vertical="center"/>
    </xf>
    <xf numFmtId="210" fontId="82" fillId="0" borderId="0" applyNumberFormat="0" applyFill="0" applyBorder="0" applyAlignment="0" applyProtection="0">
      <alignment vertical="center"/>
    </xf>
    <xf numFmtId="210" fontId="272" fillId="50" borderId="70" applyNumberFormat="0" applyAlignment="0" applyProtection="0">
      <alignment vertical="center"/>
    </xf>
    <xf numFmtId="210" fontId="272" fillId="50" borderId="70" applyNumberFormat="0" applyAlignment="0" applyProtection="0">
      <alignment vertical="center"/>
    </xf>
    <xf numFmtId="210" fontId="272" fillId="50" borderId="70" applyNumberFormat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147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9" fillId="85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 applyFont="0" applyFill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9" fillId="62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37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37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00" fillId="50" borderId="73" applyNumberFormat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37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37" fillId="31" borderId="0" applyNumberFormat="0" applyBorder="0" applyAlignment="0" applyProtection="0">
      <alignment vertical="center"/>
    </xf>
    <xf numFmtId="210" fontId="86" fillId="0" borderId="0" applyFont="0" applyFill="0" applyBorder="0" applyAlignment="0" applyProtection="0"/>
    <xf numFmtId="251" fontId="60" fillId="0" borderId="0" applyFont="0" applyFill="0" applyBorder="0" applyAlignment="0" applyProtection="0"/>
    <xf numFmtId="210" fontId="62" fillId="0" borderId="0"/>
    <xf numFmtId="210" fontId="71" fillId="0" borderId="0"/>
    <xf numFmtId="210" fontId="60" fillId="0" borderId="0"/>
    <xf numFmtId="210" fontId="86" fillId="0" borderId="0"/>
    <xf numFmtId="210" fontId="60" fillId="0" borderId="0" applyFont="0" applyFill="0" applyBorder="0" applyAlignment="0" applyProtection="0"/>
    <xf numFmtId="210" fontId="60" fillId="0" borderId="0" applyFont="0" applyFill="0" applyBorder="0" applyAlignment="0" applyProtection="0"/>
    <xf numFmtId="190" fontId="60" fillId="0" borderId="0" applyFont="0" applyFill="0" applyBorder="0" applyAlignment="0" applyProtection="0"/>
    <xf numFmtId="213" fontId="60" fillId="0" borderId="0" applyFont="0" applyFill="0" applyBorder="0" applyAlignment="0" applyProtection="0"/>
    <xf numFmtId="251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145" fillId="80" borderId="0" applyNumberFormat="0" applyBorder="0" applyAlignment="0" applyProtection="0">
      <alignment vertical="center"/>
    </xf>
    <xf numFmtId="210" fontId="309" fillId="0" borderId="0">
      <alignment vertical="center"/>
    </xf>
    <xf numFmtId="210" fontId="101" fillId="0" borderId="0"/>
    <xf numFmtId="210" fontId="60" fillId="0" borderId="0"/>
    <xf numFmtId="210" fontId="30" fillId="0" borderId="0">
      <alignment vertical="center"/>
    </xf>
    <xf numFmtId="210" fontId="30" fillId="0" borderId="0">
      <alignment vertical="center"/>
    </xf>
    <xf numFmtId="210" fontId="67" fillId="0" borderId="0"/>
    <xf numFmtId="210" fontId="66" fillId="0" borderId="0">
      <alignment vertical="center"/>
    </xf>
    <xf numFmtId="210" fontId="60" fillId="0" borderId="0"/>
    <xf numFmtId="210" fontId="59" fillId="0" borderId="0"/>
    <xf numFmtId="210" fontId="67" fillId="0" borderId="0">
      <alignment vertical="center"/>
    </xf>
    <xf numFmtId="178" fontId="3" fillId="0" borderId="0">
      <alignment vertical="center"/>
    </xf>
    <xf numFmtId="210" fontId="58" fillId="0" borderId="0">
      <alignment vertical="center"/>
    </xf>
    <xf numFmtId="210" fontId="3" fillId="0" borderId="0"/>
    <xf numFmtId="279" fontId="3" fillId="0" borderId="0">
      <alignment vertical="center"/>
    </xf>
    <xf numFmtId="199" fontId="3" fillId="0" borderId="0">
      <alignment vertical="center"/>
    </xf>
    <xf numFmtId="276" fontId="3" fillId="0" borderId="0">
      <alignment vertical="center"/>
    </xf>
    <xf numFmtId="198" fontId="3" fillId="0" borderId="0">
      <alignment vertical="center"/>
    </xf>
    <xf numFmtId="207" fontId="3" fillId="0" borderId="0">
      <alignment vertical="center"/>
    </xf>
    <xf numFmtId="207" fontId="3" fillId="0" borderId="0">
      <alignment vertical="center"/>
    </xf>
    <xf numFmtId="210" fontId="310" fillId="31" borderId="0" applyNumberFormat="0" applyBorder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210" fontId="150" fillId="87" borderId="83" applyNumberFormat="0" applyAlignment="0" applyProtection="0">
      <alignment vertical="center"/>
    </xf>
    <xf numFmtId="42" fontId="60" fillId="0" borderId="0" applyFont="0" applyFill="0" applyBorder="0" applyAlignment="0" applyProtection="0">
      <alignment vertical="center"/>
    </xf>
    <xf numFmtId="200" fontId="60" fillId="0" borderId="0" applyFont="0" applyFill="0" applyBorder="0" applyAlignment="0" applyProtection="0"/>
    <xf numFmtId="267" fontId="157" fillId="0" borderId="0" applyFont="0" applyFill="0" applyBorder="0" applyAlignment="0" applyProtection="0">
      <alignment vertical="center"/>
    </xf>
    <xf numFmtId="44" fontId="58" fillId="0" borderId="0" applyFont="0" applyFill="0" applyBorder="0" applyAlignment="0" applyProtection="0">
      <alignment vertical="center"/>
    </xf>
    <xf numFmtId="44" fontId="58" fillId="0" borderId="0" applyFont="0" applyFill="0" applyBorder="0" applyAlignment="0" applyProtection="0">
      <alignment vertical="center"/>
    </xf>
    <xf numFmtId="210" fontId="60" fillId="0" borderId="0" applyFont="0" applyFill="0" applyBorder="0" applyAlignment="0" applyProtection="0"/>
    <xf numFmtId="210" fontId="60" fillId="0" borderId="0" applyFont="0" applyFill="0" applyBorder="0" applyAlignment="0" applyProtection="0"/>
    <xf numFmtId="210" fontId="60" fillId="0" borderId="0" applyFont="0" applyFill="0" applyBorder="0" applyAlignment="0" applyProtection="0"/>
    <xf numFmtId="21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10" fontId="60" fillId="0" borderId="0" applyFont="0" applyFill="0" applyBorder="0" applyAlignment="0" applyProtection="0"/>
    <xf numFmtId="200" fontId="3" fillId="0" borderId="0" applyFont="0" applyFill="0" applyBorder="0" applyAlignment="0" applyProtection="0"/>
    <xf numFmtId="258" fontId="60" fillId="0" borderId="0" applyFont="0" applyFill="0" applyBorder="0" applyAlignment="0" applyProtection="0"/>
    <xf numFmtId="296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44" fontId="60" fillId="0" borderId="0" applyFont="0" applyFill="0" applyBorder="0" applyAlignment="0" applyProtection="0">
      <alignment vertical="center"/>
    </xf>
    <xf numFmtId="241" fontId="101" fillId="0" borderId="0" applyFont="0" applyFill="0" applyBorder="0" applyAlignment="0" applyProtection="0"/>
    <xf numFmtId="210" fontId="101" fillId="0" borderId="0" applyFont="0" applyFill="0" applyBorder="0" applyAlignment="0" applyProtection="0"/>
    <xf numFmtId="210" fontId="311" fillId="0" borderId="74" applyNumberFormat="0" applyFill="0" applyAlignment="0" applyProtection="0">
      <alignment vertical="center"/>
    </xf>
    <xf numFmtId="210" fontId="60" fillId="0" borderId="0" applyFont="0" applyFill="0" applyBorder="0" applyAlignment="0" applyProtection="0"/>
    <xf numFmtId="210" fontId="157" fillId="66" borderId="75" applyNumberFormat="0" applyFont="0" applyAlignment="0" applyProtection="0">
      <alignment vertical="center"/>
    </xf>
    <xf numFmtId="210" fontId="157" fillId="66" borderId="75" applyNumberFormat="0" applyFont="0" applyAlignment="0" applyProtection="0">
      <alignment vertical="center"/>
    </xf>
    <xf numFmtId="210" fontId="157" fillId="66" borderId="75" applyNumberFormat="0" applyFont="0" applyAlignment="0" applyProtection="0">
      <alignment vertical="center"/>
    </xf>
    <xf numFmtId="210" fontId="157" fillId="66" borderId="75" applyNumberFormat="0" applyFont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39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>
      <alignment vertical="center"/>
    </xf>
    <xf numFmtId="210" fontId="69" fillId="101" borderId="0" applyNumberFormat="0" applyBorder="0" applyAlignment="0" applyProtection="0"/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>
      <alignment vertical="center"/>
    </xf>
    <xf numFmtId="210" fontId="69" fillId="58" borderId="0" applyNumberFormat="0" applyBorder="0" applyAlignment="0" applyProtection="0"/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>
      <alignment vertical="center"/>
    </xf>
    <xf numFmtId="210" fontId="69" fillId="85" borderId="0" applyNumberFormat="0" applyBorder="0" applyAlignment="0" applyProtection="0"/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>
      <alignment vertical="center"/>
    </xf>
    <xf numFmtId="210" fontId="69" fillId="70" borderId="0" applyNumberFormat="0" applyBorder="0" applyAlignment="0" applyProtection="0"/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>
      <alignment vertical="center"/>
    </xf>
    <xf numFmtId="210" fontId="69" fillId="62" borderId="0" applyNumberFormat="0" applyBorder="0" applyAlignment="0" applyProtection="0"/>
    <xf numFmtId="210" fontId="312" fillId="0" borderId="0" applyNumberFormat="0" applyFill="0" applyBorder="0" applyAlignment="0" applyProtection="0">
      <alignment vertical="top"/>
      <protection locked="0"/>
    </xf>
    <xf numFmtId="210" fontId="313" fillId="0" borderId="0" applyNumberFormat="0" applyFill="0" applyBorder="0" applyAlignment="0" applyProtection="0">
      <alignment vertical="top"/>
      <protection locked="0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102" fillId="0" borderId="74" applyNumberFormat="0" applyFill="0" applyAlignment="0" applyProtection="0">
      <alignment vertical="center"/>
    </xf>
    <xf numFmtId="210" fontId="314" fillId="0" borderId="87" applyNumberFormat="0" applyFill="0" applyAlignment="0" applyProtection="0">
      <alignment vertical="center"/>
    </xf>
    <xf numFmtId="210" fontId="183" fillId="103" borderId="2"/>
    <xf numFmtId="240" fontId="60" fillId="0" borderId="0" applyFont="0" applyFill="0" applyBorder="0" applyAlignment="0" applyProtection="0"/>
    <xf numFmtId="274" fontId="60" fillId="0" borderId="0" applyFont="0" applyFill="0" applyBorder="0" applyAlignment="0" applyProtection="0"/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32" fillId="0" borderId="0" applyNumberFormat="0" applyFill="0" applyBorder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81" fillId="32" borderId="70" applyNumberFormat="0" applyAlignment="0" applyProtection="0"/>
    <xf numFmtId="210" fontId="81" fillId="32" borderId="70" applyNumberFormat="0" applyAlignment="0" applyProtection="0"/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/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>
      <alignment vertical="center"/>
    </xf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40" fillId="32" borderId="70" applyNumberFormat="0" applyAlignment="0" applyProtection="0"/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00" fillId="50" borderId="73" applyNumberFormat="0" applyAlignment="0" applyProtection="0"/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>
      <alignment vertical="center"/>
    </xf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188" fillId="50" borderId="73" applyNumberFormat="0" applyAlignment="0" applyProtection="0"/>
    <xf numFmtId="210" fontId="315" fillId="0" borderId="0" applyNumberFormat="0" applyFill="0" applyBorder="0" applyAlignment="0" applyProtection="0">
      <alignment vertical="center"/>
    </xf>
    <xf numFmtId="210" fontId="136" fillId="101" borderId="0" applyNumberFormat="0" applyBorder="0" applyAlignment="0" applyProtection="0">
      <alignment vertical="center"/>
    </xf>
    <xf numFmtId="210" fontId="136" fillId="58" borderId="0" applyNumberFormat="0" applyBorder="0" applyAlignment="0" applyProtection="0">
      <alignment vertical="center"/>
    </xf>
    <xf numFmtId="210" fontId="136" fillId="85" borderId="0" applyNumberFormat="0" applyBorder="0" applyAlignment="0" applyProtection="0">
      <alignment vertical="center"/>
    </xf>
    <xf numFmtId="210" fontId="136" fillId="70" borderId="0" applyNumberFormat="0" applyBorder="0" applyAlignment="0" applyProtection="0">
      <alignment vertical="center"/>
    </xf>
    <xf numFmtId="210" fontId="136" fillId="62" borderId="0" applyNumberFormat="0" applyBorder="0" applyAlignment="0" applyProtection="0">
      <alignment vertical="center"/>
    </xf>
    <xf numFmtId="210" fontId="316" fillId="0" borderId="0"/>
    <xf numFmtId="210" fontId="218" fillId="0" borderId="71" applyNumberFormat="0" applyFill="0" applyAlignment="0" applyProtection="0">
      <alignment vertical="center"/>
    </xf>
    <xf numFmtId="210" fontId="298" fillId="0" borderId="72" applyNumberFormat="0" applyFill="0" applyAlignment="0" applyProtection="0">
      <alignment vertical="center"/>
    </xf>
    <xf numFmtId="210" fontId="151" fillId="0" borderId="84" applyNumberFormat="0" applyFill="0" applyAlignment="0" applyProtection="0">
      <alignment vertical="center"/>
    </xf>
    <xf numFmtId="210" fontId="151" fillId="0" borderId="0" applyNumberFormat="0" applyFill="0" applyBorder="0" applyAlignment="0" applyProtection="0">
      <alignment vertical="center"/>
    </xf>
    <xf numFmtId="210" fontId="142" fillId="0" borderId="0" applyNumberFormat="0" applyFill="0" applyBorder="0" applyAlignment="0" applyProtection="0">
      <alignment vertical="center"/>
    </xf>
    <xf numFmtId="210" fontId="98" fillId="0" borderId="0">
      <alignment vertical="top"/>
    </xf>
    <xf numFmtId="210" fontId="62" fillId="0" borderId="0"/>
    <xf numFmtId="210" fontId="71" fillId="0" borderId="0"/>
    <xf numFmtId="210" fontId="86" fillId="0" borderId="0"/>
    <xf numFmtId="210" fontId="317" fillId="32" borderId="70" applyNumberFormat="0" applyAlignment="0" applyProtection="0">
      <alignment vertical="center"/>
    </xf>
    <xf numFmtId="210" fontId="317" fillId="32" borderId="70" applyNumberFormat="0" applyAlignment="0" applyProtection="0">
      <alignment vertical="center"/>
    </xf>
    <xf numFmtId="210" fontId="317" fillId="32" borderId="70" applyNumberFormat="0" applyAlignment="0" applyProtection="0">
      <alignment vertical="center"/>
    </xf>
    <xf numFmtId="210" fontId="317" fillId="32" borderId="70" applyNumberFormat="0" applyAlignment="0" applyProtection="0">
      <alignment vertical="center"/>
    </xf>
    <xf numFmtId="210" fontId="318" fillId="50" borderId="73" applyNumberFormat="0" applyAlignment="0" applyProtection="0">
      <alignment vertical="center"/>
    </xf>
    <xf numFmtId="210" fontId="318" fillId="50" borderId="73" applyNumberFormat="0" applyAlignment="0" applyProtection="0">
      <alignment vertical="center"/>
    </xf>
    <xf numFmtId="210" fontId="318" fillId="50" borderId="73" applyNumberFormat="0" applyAlignment="0" applyProtection="0">
      <alignment vertical="center"/>
    </xf>
    <xf numFmtId="210" fontId="318" fillId="50" borderId="73" applyNumberFormat="0" applyAlignment="0" applyProtection="0">
      <alignment vertical="center"/>
    </xf>
    <xf numFmtId="210" fontId="319" fillId="0" borderId="0" applyNumberFormat="0" applyFill="0" applyBorder="0" applyAlignment="0" applyProtection="0">
      <alignment vertical="top"/>
      <protection locked="0"/>
    </xf>
    <xf numFmtId="210" fontId="320" fillId="87" borderId="83" applyNumberFormat="0" applyAlignment="0" applyProtection="0">
      <alignment vertical="center"/>
    </xf>
    <xf numFmtId="210" fontId="60" fillId="0" borderId="0" applyFont="0" applyFill="0" applyBorder="0" applyAlignment="0" applyProtection="0"/>
    <xf numFmtId="9" fontId="191" fillId="0" borderId="0" applyFont="0" applyFill="0" applyBorder="0" applyAlignment="0" applyProtection="0"/>
    <xf numFmtId="210" fontId="124" fillId="8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321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29" fillId="31" borderId="0" applyNumberFormat="0" applyBorder="0" applyAlignment="0" applyProtection="0"/>
    <xf numFmtId="210" fontId="206" fillId="31" borderId="0" applyNumberFormat="0" applyBorder="0" applyAlignment="0" applyProtection="0">
      <alignment vertical="center"/>
    </xf>
    <xf numFmtId="210" fontId="147" fillId="31" borderId="0" applyNumberFormat="0" applyBorder="0" applyAlignment="0" applyProtection="0"/>
    <xf numFmtId="210" fontId="147" fillId="31" borderId="0" applyNumberFormat="0" applyBorder="0" applyAlignment="0" applyProtection="0"/>
    <xf numFmtId="210" fontId="137" fillId="31" borderId="0" applyNumberFormat="0" applyBorder="0" applyAlignment="0" applyProtection="0"/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137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322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137" fillId="31" borderId="0" applyNumberFormat="0" applyBorder="0" applyAlignment="0" applyProtection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0" fillId="0" borderId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61" fillId="31" borderId="0" applyNumberFormat="0" applyBorder="0" applyAlignment="0" applyProtection="0"/>
    <xf numFmtId="210" fontId="206" fillId="31" borderId="0" applyNumberFormat="0" applyBorder="0" applyAlignment="0" applyProtection="0">
      <alignment vertical="center"/>
    </xf>
    <xf numFmtId="210" fontId="163" fillId="31" borderId="0" applyNumberFormat="0" applyBorder="0" applyAlignment="0" applyProtection="0">
      <alignment vertical="center"/>
    </xf>
    <xf numFmtId="210" fontId="163" fillId="31" borderId="0" applyNumberFormat="0" applyBorder="0" applyAlignment="0" applyProtection="0"/>
    <xf numFmtId="210" fontId="206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0" fillId="0" borderId="0"/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61" fillId="31" borderId="0" applyNumberFormat="0" applyBorder="0" applyAlignment="0" applyProtection="0">
      <alignment vertical="center"/>
    </xf>
    <xf numFmtId="210" fontId="163" fillId="31" borderId="0" applyNumberFormat="0" applyBorder="0" applyAlignment="0" applyProtection="0"/>
    <xf numFmtId="210" fontId="163" fillId="31" borderId="0" applyNumberFormat="0" applyBorder="0" applyAlignment="0" applyProtection="0"/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163" fillId="31" borderId="0" applyNumberFormat="0" applyBorder="0" applyAlignment="0" applyProtection="0"/>
    <xf numFmtId="210" fontId="206" fillId="31" borderId="0" applyNumberFormat="0" applyBorder="0" applyAlignment="0" applyProtection="0">
      <alignment vertical="center"/>
    </xf>
    <xf numFmtId="210" fontId="163" fillId="31" borderId="0" applyNumberFormat="0" applyBorder="0" applyAlignment="0" applyProtection="0"/>
    <xf numFmtId="210" fontId="206" fillId="31" borderId="0" applyNumberFormat="0" applyBorder="0" applyAlignment="0" applyProtection="0">
      <alignment vertical="center"/>
    </xf>
    <xf numFmtId="210" fontId="147" fillId="31" borderId="0" applyNumberFormat="0" applyBorder="0" applyAlignment="0" applyProtection="0"/>
    <xf numFmtId="210" fontId="147" fillId="31" borderId="0" applyNumberFormat="0" applyBorder="0" applyAlignment="0" applyProtection="0"/>
    <xf numFmtId="210" fontId="147" fillId="31" borderId="0" applyNumberFormat="0" applyBorder="0" applyAlignment="0" applyProtection="0"/>
    <xf numFmtId="210" fontId="147" fillId="31" borderId="0" applyNumberFormat="0" applyBorder="0" applyAlignment="0" applyProtection="0"/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163" fillId="31" borderId="0" applyNumberFormat="0" applyBorder="0" applyAlignment="0" applyProtection="0"/>
    <xf numFmtId="210" fontId="137" fillId="31" borderId="0" applyNumberFormat="0" applyBorder="0" applyAlignment="0" applyProtection="0"/>
    <xf numFmtId="210" fontId="137" fillId="31" borderId="0" applyNumberFormat="0" applyBorder="0" applyAlignment="0" applyProtection="0"/>
    <xf numFmtId="210" fontId="147" fillId="31" borderId="0" applyNumberFormat="0" applyBorder="0" applyAlignment="0" applyProtection="0"/>
    <xf numFmtId="210" fontId="147" fillId="31" borderId="0" applyNumberFormat="0" applyBorder="0" applyAlignment="0" applyProtection="0"/>
    <xf numFmtId="210" fontId="229" fillId="31" borderId="0" applyNumberFormat="0" applyBorder="0" applyAlignment="0" applyProtection="0">
      <alignment vertical="center"/>
    </xf>
    <xf numFmtId="210" fontId="229" fillId="31" borderId="0" applyNumberFormat="0" applyBorder="0" applyAlignment="0" applyProtection="0">
      <alignment vertical="center"/>
    </xf>
    <xf numFmtId="210" fontId="137" fillId="31" borderId="0" applyNumberFormat="0" applyBorder="0" applyAlignment="0" applyProtection="0">
      <alignment vertical="center"/>
    </xf>
    <xf numFmtId="210" fontId="137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206" fillId="31" borderId="0" applyNumberFormat="0" applyBorder="0" applyAlignment="0" applyProtection="0">
      <alignment vertical="center"/>
    </xf>
    <xf numFmtId="210" fontId="137" fillId="31" borderId="0" applyNumberFormat="0" applyBorder="0" applyAlignment="0" applyProtection="0">
      <alignment vertical="center"/>
    </xf>
    <xf numFmtId="210" fontId="323" fillId="0" borderId="0"/>
    <xf numFmtId="210" fontId="324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256" fillId="0" borderId="0" applyNumberFormat="0" applyFill="0" applyBorder="0" applyAlignment="0" applyProtection="0">
      <alignment vertical="center"/>
    </xf>
    <xf numFmtId="210" fontId="60" fillId="0" borderId="0"/>
    <xf numFmtId="210" fontId="325" fillId="0" borderId="0" applyNumberFormat="0" applyFill="0" applyBorder="0" applyAlignment="0" applyProtection="0">
      <alignment vertical="center"/>
    </xf>
    <xf numFmtId="274" fontId="58" fillId="0" borderId="0" applyFont="0" applyFill="0" applyBorder="0" applyAlignment="0" applyProtection="0"/>
    <xf numFmtId="240" fontId="58" fillId="0" borderId="0" applyFont="0" applyFill="0" applyBorder="0" applyAlignment="0" applyProtection="0"/>
    <xf numFmtId="289" fontId="58" fillId="0" borderId="0" applyFont="0" applyFill="0" applyBorder="0" applyAlignment="0" applyProtection="0"/>
    <xf numFmtId="297" fontId="58" fillId="0" borderId="0" applyFont="0" applyFill="0" applyBorder="0" applyAlignment="0" applyProtection="0"/>
    <xf numFmtId="41" fontId="292" fillId="0" borderId="0" applyFont="0" applyFill="0" applyBorder="0" applyAlignment="0" applyProtection="0"/>
    <xf numFmtId="43" fontId="292" fillId="0" borderId="0" applyFont="0" applyFill="0" applyBorder="0" applyAlignment="0" applyProtection="0"/>
    <xf numFmtId="210" fontId="191" fillId="0" borderId="0" applyFont="0" applyFill="0" applyBorder="0" applyAlignment="0" applyProtection="0"/>
    <xf numFmtId="210" fontId="191" fillId="0" borderId="0" applyFont="0" applyFill="0" applyBorder="0" applyAlignment="0" applyProtection="0"/>
    <xf numFmtId="210" fontId="191" fillId="0" borderId="0" applyFont="0" applyFill="0" applyBorder="0" applyAlignment="0" applyProtection="0"/>
    <xf numFmtId="210" fontId="191" fillId="0" borderId="0" applyFont="0" applyFill="0" applyBorder="0" applyAlignment="0" applyProtection="0"/>
    <xf numFmtId="210" fontId="191" fillId="0" borderId="0"/>
    <xf numFmtId="210" fontId="144" fillId="0" borderId="0" applyNumberFormat="0" applyFill="0" applyBorder="0" applyAlignment="0" applyProtection="0">
      <alignment vertical="top"/>
      <protection locked="0"/>
    </xf>
  </cellStyleXfs>
  <cellXfs count="791">
    <xf numFmtId="210" fontId="0" fillId="0" borderId="0" xfId="0">
      <alignment vertical="center"/>
    </xf>
    <xf numFmtId="210" fontId="1" fillId="2" borderId="1" xfId="22157" applyNumberFormat="1" applyFont="1" applyFill="1" applyBorder="1" applyAlignment="1">
      <alignment horizontal="center"/>
    </xf>
    <xf numFmtId="210" fontId="2" fillId="3" borderId="2" xfId="21965" applyNumberFormat="1" applyFont="1" applyFill="1" applyBorder="1">
      <alignment vertical="center"/>
    </xf>
    <xf numFmtId="210" fontId="2" fillId="3" borderId="3" xfId="21965" applyNumberFormat="1" applyFont="1" applyFill="1" applyBorder="1" applyAlignment="1">
      <alignment horizontal="center" vertical="center"/>
    </xf>
    <xf numFmtId="210" fontId="2" fillId="3" borderId="4" xfId="21965" applyNumberFormat="1" applyFont="1" applyFill="1" applyBorder="1" applyAlignment="1">
      <alignment horizontal="center" vertical="center"/>
    </xf>
    <xf numFmtId="210" fontId="2" fillId="3" borderId="5" xfId="21965" applyNumberFormat="1" applyFont="1" applyFill="1" applyBorder="1" applyAlignment="1">
      <alignment horizontal="center" vertical="center"/>
    </xf>
    <xf numFmtId="210" fontId="3" fillId="3" borderId="2" xfId="21965" applyNumberFormat="1" applyFill="1" applyBorder="1">
      <alignment vertical="center"/>
    </xf>
    <xf numFmtId="210" fontId="4" fillId="3" borderId="2" xfId="21965" applyNumberFormat="1" applyFont="1" applyFill="1" applyBorder="1" applyAlignment="1">
      <alignment horizontal="left" vertical="center"/>
    </xf>
    <xf numFmtId="210" fontId="3" fillId="3" borderId="6" xfId="21965" applyNumberFormat="1" applyFill="1" applyBorder="1" applyAlignment="1">
      <alignment horizontal="center" vertical="center" wrapText="1"/>
    </xf>
    <xf numFmtId="210" fontId="5" fillId="4" borderId="2" xfId="22228" applyNumberFormat="1" applyFont="1" applyFill="1" applyBorder="1" applyAlignment="1">
      <alignment horizontal="left" vertical="center" wrapText="1"/>
    </xf>
    <xf numFmtId="210" fontId="3" fillId="3" borderId="7" xfId="21965" applyNumberFormat="1" applyFill="1" applyBorder="1" applyAlignment="1">
      <alignment horizontal="center" vertical="center" wrapText="1"/>
    </xf>
    <xf numFmtId="210" fontId="3" fillId="3" borderId="2" xfId="21965" applyNumberFormat="1" applyFill="1" applyBorder="1" applyAlignment="1">
      <alignment horizontal="center" vertical="center"/>
    </xf>
    <xf numFmtId="210" fontId="6" fillId="4" borderId="2" xfId="22228" applyNumberFormat="1" applyFont="1" applyFill="1" applyBorder="1" applyAlignment="1">
      <alignment horizontal="left" vertical="center" wrapText="1"/>
    </xf>
    <xf numFmtId="210" fontId="1" fillId="2" borderId="0" xfId="22157" applyNumberFormat="1" applyFont="1" applyFill="1" applyAlignment="1">
      <alignment horizontal="center"/>
    </xf>
    <xf numFmtId="210" fontId="7" fillId="5" borderId="2" xfId="1227" applyNumberFormat="1" applyFont="1" applyFill="1" applyBorder="1" applyAlignment="1">
      <alignment horizontal="center" vertical="center"/>
    </xf>
    <xf numFmtId="210" fontId="7" fillId="6" borderId="2" xfId="1227" applyNumberFormat="1" applyFont="1" applyFill="1" applyBorder="1" applyAlignment="1">
      <alignment horizontal="center" vertical="center"/>
    </xf>
    <xf numFmtId="210" fontId="7" fillId="3" borderId="3" xfId="21965" applyNumberFormat="1" applyFont="1" applyFill="1" applyBorder="1" applyAlignment="1">
      <alignment horizontal="center" vertical="center" wrapText="1"/>
    </xf>
    <xf numFmtId="210" fontId="3" fillId="3" borderId="8" xfId="21965" applyNumberFormat="1" applyFill="1" applyBorder="1" applyAlignment="1">
      <alignment horizontal="center" vertical="center"/>
    </xf>
    <xf numFmtId="298" fontId="3" fillId="3" borderId="9" xfId="21965" applyNumberFormat="1" applyFill="1" applyBorder="1" applyAlignment="1">
      <alignment horizontal="center" vertical="center"/>
    </xf>
    <xf numFmtId="210" fontId="3" fillId="3" borderId="6" xfId="21965" applyNumberFormat="1" applyFill="1" applyBorder="1">
      <alignment vertical="center"/>
    </xf>
    <xf numFmtId="299" fontId="5" fillId="6" borderId="2" xfId="1227" applyNumberFormat="1" applyFont="1" applyFill="1" applyBorder="1" applyAlignment="1">
      <alignment horizontal="center" vertical="center"/>
    </xf>
    <xf numFmtId="217" fontId="8" fillId="3" borderId="3" xfId="21965" applyNumberFormat="1" applyFont="1" applyFill="1" applyBorder="1" applyAlignment="1">
      <alignment horizontal="center" vertical="center"/>
    </xf>
    <xf numFmtId="210" fontId="3" fillId="3" borderId="10" xfId="21965" applyNumberFormat="1" applyFill="1" applyBorder="1" applyAlignment="1">
      <alignment horizontal="center" vertical="center"/>
    </xf>
    <xf numFmtId="299" fontId="3" fillId="3" borderId="11" xfId="21965" applyNumberFormat="1" applyFill="1" applyBorder="1" applyAlignment="1">
      <alignment horizontal="center" vertical="center"/>
    </xf>
    <xf numFmtId="210" fontId="3" fillId="3" borderId="7" xfId="21965" applyNumberFormat="1" applyFill="1" applyBorder="1">
      <alignment vertical="center"/>
    </xf>
    <xf numFmtId="299" fontId="5" fillId="6" borderId="6" xfId="21965" applyNumberFormat="1" applyFont="1" applyFill="1" applyBorder="1" applyAlignment="1">
      <alignment horizontal="center" vertical="center"/>
    </xf>
    <xf numFmtId="217" fontId="8" fillId="3" borderId="2" xfId="21965" applyNumberFormat="1" applyFont="1" applyFill="1" applyBorder="1" applyAlignment="1">
      <alignment horizontal="center" vertical="center"/>
    </xf>
    <xf numFmtId="210" fontId="9" fillId="7" borderId="12" xfId="21965" applyNumberFormat="1" applyFont="1" applyFill="1" applyBorder="1">
      <alignment vertical="center"/>
    </xf>
    <xf numFmtId="37" fontId="3" fillId="3" borderId="0" xfId="21965" applyNumberFormat="1" applyFill="1" applyAlignment="1">
      <alignment horizontal="center" vertical="center"/>
    </xf>
    <xf numFmtId="37" fontId="5" fillId="6" borderId="6" xfId="21965" applyNumberFormat="1" applyFont="1" applyFill="1" applyBorder="1" applyAlignment="1">
      <alignment horizontal="center" vertical="center"/>
    </xf>
    <xf numFmtId="210" fontId="3" fillId="3" borderId="12" xfId="21965" applyNumberFormat="1" applyFill="1" applyBorder="1">
      <alignment vertical="center"/>
    </xf>
    <xf numFmtId="210" fontId="3" fillId="8" borderId="12" xfId="21965" applyNumberFormat="1" applyFill="1" applyBorder="1">
      <alignment vertical="center"/>
    </xf>
    <xf numFmtId="210" fontId="9" fillId="3" borderId="12" xfId="21965" applyNumberFormat="1" applyFont="1" applyFill="1" applyBorder="1">
      <alignment vertical="center"/>
    </xf>
    <xf numFmtId="210" fontId="3" fillId="3" borderId="0" xfId="21965" applyNumberFormat="1" applyFill="1">
      <alignment vertical="center"/>
    </xf>
    <xf numFmtId="37" fontId="5" fillId="6" borderId="2" xfId="21965" applyNumberFormat="1" applyFont="1" applyFill="1" applyBorder="1" applyAlignment="1">
      <alignment horizontal="center" vertical="center"/>
    </xf>
    <xf numFmtId="210" fontId="3" fillId="3" borderId="13" xfId="21965" applyNumberFormat="1" applyFill="1" applyBorder="1">
      <alignment vertical="center"/>
    </xf>
    <xf numFmtId="210" fontId="10" fillId="0" borderId="0" xfId="22141" applyFont="1" applyAlignment="1"/>
    <xf numFmtId="210" fontId="11" fillId="0" borderId="0" xfId="4082" applyFont="1"/>
    <xf numFmtId="210" fontId="11" fillId="9" borderId="0" xfId="4082" applyFont="1" applyFill="1"/>
    <xf numFmtId="210" fontId="12" fillId="10" borderId="0" xfId="4082" applyFont="1" applyFill="1" applyBorder="1" applyAlignment="1">
      <alignment vertical="center"/>
    </xf>
    <xf numFmtId="210" fontId="13" fillId="9" borderId="0" xfId="4082" applyFont="1" applyFill="1"/>
    <xf numFmtId="210" fontId="14" fillId="0" borderId="0" xfId="4082" applyFont="1" applyAlignment="1">
      <alignment horizontal="center"/>
    </xf>
    <xf numFmtId="210" fontId="15" fillId="9" borderId="0" xfId="4082" applyFont="1" applyFill="1"/>
    <xf numFmtId="285" fontId="16" fillId="0" borderId="0" xfId="4082" applyNumberFormat="1" applyFont="1" applyAlignment="1">
      <alignment horizontal="right"/>
    </xf>
    <xf numFmtId="285" fontId="7" fillId="0" borderId="0" xfId="4082" applyNumberFormat="1" applyFont="1"/>
    <xf numFmtId="285" fontId="16" fillId="0" borderId="0" xfId="4082" applyNumberFormat="1" applyFont="1"/>
    <xf numFmtId="285" fontId="7" fillId="0" borderId="0" xfId="4082" applyNumberFormat="1" applyFont="1" applyAlignment="1">
      <alignment horizontal="center"/>
    </xf>
    <xf numFmtId="239" fontId="16" fillId="0" borderId="0" xfId="4082" applyNumberFormat="1" applyFont="1" applyAlignment="1">
      <alignment horizontal="center"/>
    </xf>
    <xf numFmtId="210" fontId="17" fillId="0" borderId="0" xfId="4082" applyFont="1" applyFill="1"/>
    <xf numFmtId="210" fontId="18" fillId="9" borderId="0" xfId="4082" applyFont="1" applyFill="1"/>
    <xf numFmtId="285" fontId="7" fillId="11" borderId="2" xfId="4082" applyNumberFormat="1" applyFont="1" applyFill="1" applyBorder="1" applyAlignment="1">
      <alignment horizontal="center" vertical="center"/>
    </xf>
    <xf numFmtId="285" fontId="7" fillId="11" borderId="5" xfId="4082" applyNumberFormat="1" applyFont="1" applyFill="1" applyBorder="1" applyAlignment="1">
      <alignment horizontal="center" vertical="center"/>
    </xf>
    <xf numFmtId="285" fontId="7" fillId="11" borderId="3" xfId="4082" applyNumberFormat="1" applyFont="1" applyFill="1" applyBorder="1" applyAlignment="1">
      <alignment horizontal="center" vertical="center"/>
    </xf>
    <xf numFmtId="210" fontId="19" fillId="0" borderId="0" xfId="4082" applyFont="1" applyFill="1" applyAlignment="1">
      <alignment horizontal="center" vertical="center"/>
    </xf>
    <xf numFmtId="210" fontId="17" fillId="9" borderId="0" xfId="4082" applyFont="1" applyFill="1" applyAlignment="1">
      <alignment horizontal="center"/>
    </xf>
    <xf numFmtId="285" fontId="19" fillId="3" borderId="14" xfId="4082" applyNumberFormat="1" applyFont="1" applyFill="1" applyBorder="1" applyAlignment="1">
      <alignment horizontal="right" vertical="center"/>
    </xf>
    <xf numFmtId="285" fontId="7" fillId="0" borderId="15" xfId="4082" applyNumberFormat="1" applyFont="1" applyBorder="1" applyAlignment="1">
      <alignment horizontal="center" vertical="center"/>
    </xf>
    <xf numFmtId="285" fontId="7" fillId="0" borderId="12" xfId="4082" applyNumberFormat="1" applyFont="1" applyBorder="1" applyAlignment="1">
      <alignment horizontal="center" vertical="center"/>
    </xf>
    <xf numFmtId="300" fontId="7" fillId="9" borderId="2" xfId="4082" applyNumberFormat="1" applyFont="1" applyFill="1" applyBorder="1" applyAlignment="1">
      <alignment horizontal="center" vertical="center"/>
    </xf>
    <xf numFmtId="37" fontId="7" fillId="9" borderId="2" xfId="4082" applyNumberFormat="1" applyFont="1" applyFill="1" applyBorder="1" applyAlignment="1">
      <alignment horizontal="center" vertical="center"/>
    </xf>
    <xf numFmtId="210" fontId="20" fillId="0" borderId="0" xfId="4082" applyFont="1" applyFill="1" applyAlignment="1">
      <alignment horizontal="center" vertical="center"/>
    </xf>
    <xf numFmtId="210" fontId="17" fillId="9" borderId="0" xfId="4082" applyFont="1" applyFill="1"/>
    <xf numFmtId="285" fontId="16" fillId="3" borderId="16" xfId="4082" applyNumberFormat="1" applyFont="1" applyFill="1" applyBorder="1" applyAlignment="1">
      <alignment horizontal="right" wrapText="1"/>
    </xf>
    <xf numFmtId="285" fontId="16" fillId="0" borderId="17" xfId="4082" applyNumberFormat="1" applyFont="1" applyBorder="1" applyAlignment="1">
      <alignment horizontal="center"/>
    </xf>
    <xf numFmtId="285" fontId="16" fillId="0" borderId="0" xfId="4082" applyNumberFormat="1" applyFont="1" applyAlignment="1">
      <alignment horizontal="center"/>
    </xf>
    <xf numFmtId="300" fontId="16" fillId="3" borderId="2" xfId="4082" applyNumberFormat="1" applyFont="1" applyFill="1" applyBorder="1" applyAlignment="1">
      <alignment horizontal="center" vertical="center"/>
    </xf>
    <xf numFmtId="37" fontId="16" fillId="0" borderId="2" xfId="4082" applyNumberFormat="1" applyFont="1" applyBorder="1" applyAlignment="1">
      <alignment horizontal="center" vertical="center"/>
    </xf>
    <xf numFmtId="210" fontId="17" fillId="0" borderId="0" xfId="4082" applyFont="1" applyFill="1" applyAlignment="1">
      <alignment horizontal="center"/>
    </xf>
    <xf numFmtId="285" fontId="16" fillId="0" borderId="16" xfId="4082" applyNumberFormat="1" applyFont="1" applyBorder="1" applyAlignment="1">
      <alignment horizontal="right" vertical="center" wrapText="1"/>
    </xf>
    <xf numFmtId="285" fontId="16" fillId="0" borderId="17" xfId="4082" applyNumberFormat="1" applyFont="1" applyBorder="1"/>
    <xf numFmtId="39" fontId="16" fillId="0" borderId="2" xfId="4082" applyNumberFormat="1" applyFont="1" applyBorder="1" applyAlignment="1">
      <alignment horizontal="center" vertical="center"/>
    </xf>
    <xf numFmtId="285" fontId="16" fillId="0" borderId="18" xfId="4082" applyNumberFormat="1" applyFont="1" applyBorder="1" applyAlignment="1">
      <alignment horizontal="right" vertical="center" wrapText="1"/>
    </xf>
    <xf numFmtId="300" fontId="16" fillId="3" borderId="2" xfId="4082" applyNumberFormat="1" applyFont="1" applyFill="1" applyBorder="1"/>
    <xf numFmtId="37" fontId="16" fillId="0" borderId="2" xfId="4082" applyNumberFormat="1" applyFont="1" applyBorder="1"/>
    <xf numFmtId="210" fontId="11" fillId="3" borderId="0" xfId="4082" applyFont="1" applyFill="1" applyAlignment="1">
      <alignment horizontal="right"/>
    </xf>
    <xf numFmtId="300" fontId="16" fillId="0" borderId="2" xfId="4082" applyNumberFormat="1" applyFont="1" applyBorder="1"/>
    <xf numFmtId="210" fontId="11" fillId="3" borderId="0" xfId="4082" applyFont="1" applyFill="1"/>
    <xf numFmtId="285" fontId="16" fillId="3" borderId="19" xfId="4082" applyNumberFormat="1" applyFont="1" applyFill="1" applyBorder="1" applyAlignment="1">
      <alignment horizontal="right" wrapText="1"/>
    </xf>
    <xf numFmtId="285" fontId="16" fillId="0" borderId="13" xfId="4082" applyNumberFormat="1" applyFont="1" applyBorder="1" applyAlignment="1">
      <alignment horizontal="center"/>
    </xf>
    <xf numFmtId="300" fontId="16" fillId="0" borderId="2" xfId="4082" applyNumberFormat="1" applyFont="1" applyBorder="1" applyAlignment="1">
      <alignment horizontal="center" vertical="center"/>
    </xf>
    <xf numFmtId="285" fontId="12" fillId="12" borderId="0" xfId="4082" applyNumberFormat="1" applyFont="1" applyFill="1" applyAlignment="1">
      <alignment vertical="center"/>
    </xf>
    <xf numFmtId="285" fontId="8" fillId="12" borderId="0" xfId="0" applyNumberFormat="1" applyFont="1" applyFill="1">
      <alignment vertical="center"/>
    </xf>
    <xf numFmtId="285" fontId="12" fillId="13" borderId="0" xfId="4082" applyNumberFormat="1" applyFont="1" applyFill="1" applyAlignment="1">
      <alignment horizontal="left" vertical="center"/>
    </xf>
    <xf numFmtId="285" fontId="21" fillId="0" borderId="0" xfId="4082" applyNumberFormat="1" applyFont="1" applyAlignment="1">
      <alignment horizontal="center"/>
    </xf>
    <xf numFmtId="285" fontId="17" fillId="0" borderId="0" xfId="0" applyNumberFormat="1" applyFont="1" applyAlignment="1">
      <alignment horizontal="right"/>
    </xf>
    <xf numFmtId="285" fontId="20" fillId="0" borderId="0" xfId="0" applyNumberFormat="1" applyFont="1" applyAlignment="1">
      <alignment horizontal="center"/>
    </xf>
    <xf numFmtId="285" fontId="17" fillId="0" borderId="0" xfId="0" applyNumberFormat="1" applyFont="1" applyAlignment="1"/>
    <xf numFmtId="285" fontId="22" fillId="0" borderId="0" xfId="0" applyNumberFormat="1" applyFont="1" applyAlignment="1">
      <alignment horizontal="center"/>
    </xf>
    <xf numFmtId="239" fontId="15" fillId="0" borderId="0" xfId="0" applyNumberFormat="1" applyFont="1" applyAlignment="1">
      <alignment horizontal="center"/>
    </xf>
    <xf numFmtId="285" fontId="19" fillId="11" borderId="2" xfId="0" applyNumberFormat="1" applyFont="1" applyFill="1" applyBorder="1" applyAlignment="1">
      <alignment horizontal="center" vertical="center"/>
    </xf>
    <xf numFmtId="210" fontId="17" fillId="0" borderId="20" xfId="0" applyNumberFormat="1" applyFont="1" applyBorder="1" applyAlignment="1">
      <alignment horizontal="right"/>
    </xf>
    <xf numFmtId="285" fontId="17" fillId="0" borderId="21" xfId="0" applyNumberFormat="1" applyFont="1" applyBorder="1" applyAlignment="1"/>
    <xf numFmtId="285" fontId="20" fillId="0" borderId="0" xfId="0" applyNumberFormat="1" applyFont="1" applyAlignment="1">
      <alignment horizontal="center" vertical="center"/>
    </xf>
    <xf numFmtId="217" fontId="20" fillId="9" borderId="2" xfId="0" applyNumberFormat="1" applyFont="1" applyFill="1" applyBorder="1" applyAlignment="1">
      <alignment horizontal="center" vertical="center"/>
    </xf>
    <xf numFmtId="37" fontId="20" fillId="9" borderId="2" xfId="0" applyNumberFormat="1" applyFont="1" applyFill="1" applyBorder="1" applyAlignment="1">
      <alignment horizontal="center" vertical="center"/>
    </xf>
    <xf numFmtId="285" fontId="17" fillId="0" borderId="22" xfId="0" applyNumberFormat="1" applyFont="1" applyBorder="1" applyAlignment="1">
      <alignment horizontal="right" vertical="center" wrapText="1"/>
    </xf>
    <xf numFmtId="285" fontId="17" fillId="0" borderId="23" xfId="0" applyNumberFormat="1" applyFont="1" applyBorder="1" applyAlignment="1"/>
    <xf numFmtId="194" fontId="15" fillId="0" borderId="2" xfId="0" applyNumberFormat="1" applyFont="1" applyBorder="1" applyAlignment="1">
      <alignment horizontal="center" vertical="center"/>
    </xf>
    <xf numFmtId="210" fontId="15" fillId="0" borderId="2" xfId="0" applyNumberFormat="1" applyFont="1" applyBorder="1" applyAlignment="1">
      <alignment horizontal="center" vertical="center"/>
    </xf>
    <xf numFmtId="210" fontId="23" fillId="0" borderId="2" xfId="0" applyNumberFormat="1" applyFont="1" applyBorder="1" applyAlignment="1">
      <alignment horizontal="center" vertical="center"/>
    </xf>
    <xf numFmtId="210" fontId="15" fillId="3" borderId="2" xfId="0" applyNumberFormat="1" applyFont="1" applyFill="1" applyBorder="1" applyAlignment="1">
      <alignment horizontal="center" vertical="center"/>
    </xf>
    <xf numFmtId="285" fontId="17" fillId="0" borderId="24" xfId="0" applyNumberFormat="1" applyFont="1" applyBorder="1" applyAlignment="1">
      <alignment horizontal="right" vertical="center" wrapText="1"/>
    </xf>
    <xf numFmtId="285" fontId="17" fillId="0" borderId="25" xfId="0" applyNumberFormat="1" applyFont="1" applyBorder="1" applyAlignment="1"/>
    <xf numFmtId="300" fontId="15" fillId="0" borderId="2" xfId="0" applyNumberFormat="1" applyFont="1" applyBorder="1" applyAlignment="1">
      <alignment horizontal="center" vertical="center"/>
    </xf>
    <xf numFmtId="37" fontId="15" fillId="0" borderId="2" xfId="0" applyNumberFormat="1" applyFont="1" applyBorder="1" applyAlignment="1">
      <alignment horizontal="center" vertical="center"/>
    </xf>
    <xf numFmtId="285" fontId="17" fillId="0" borderId="26" xfId="0" applyNumberFormat="1" applyFont="1" applyBorder="1" applyAlignment="1">
      <alignment horizontal="right" vertical="center" wrapText="1"/>
    </xf>
    <xf numFmtId="285" fontId="17" fillId="0" borderId="27" xfId="0" applyNumberFormat="1" applyFont="1" applyBorder="1" applyAlignment="1"/>
    <xf numFmtId="285" fontId="15" fillId="0" borderId="2" xfId="0" applyNumberFormat="1" applyFont="1" applyBorder="1" applyAlignment="1">
      <alignment horizontal="center" vertical="center"/>
    </xf>
    <xf numFmtId="285" fontId="12" fillId="14" borderId="0" xfId="4082" applyNumberFormat="1" applyFont="1" applyFill="1" applyAlignment="1">
      <alignment vertical="center"/>
    </xf>
    <xf numFmtId="285" fontId="8" fillId="14" borderId="0" xfId="0" applyNumberFormat="1" applyFont="1" applyFill="1">
      <alignment vertical="center"/>
    </xf>
    <xf numFmtId="205" fontId="14" fillId="0" borderId="0" xfId="4082" applyNumberFormat="1" applyFont="1" applyAlignment="1">
      <alignment horizontal="center" wrapText="1"/>
    </xf>
    <xf numFmtId="205" fontId="14" fillId="0" borderId="0" xfId="4082" applyNumberFormat="1" applyFont="1" applyAlignment="1">
      <alignment horizontal="center"/>
    </xf>
    <xf numFmtId="285" fontId="0" fillId="0" borderId="0" xfId="0" applyNumberFormat="1">
      <alignment vertical="center"/>
    </xf>
    <xf numFmtId="285" fontId="24" fillId="0" borderId="0" xfId="0" applyNumberFormat="1" applyFont="1" applyAlignment="1">
      <alignment horizontal="center"/>
    </xf>
    <xf numFmtId="205" fontId="15" fillId="0" borderId="0" xfId="4082" applyNumberFormat="1" applyFont="1" applyAlignment="1">
      <alignment horizontal="right"/>
    </xf>
    <xf numFmtId="205" fontId="22" fillId="0" borderId="0" xfId="4082" applyNumberFormat="1" applyFont="1"/>
    <xf numFmtId="205" fontId="15" fillId="0" borderId="0" xfId="4082" applyNumberFormat="1" applyFont="1"/>
    <xf numFmtId="205" fontId="22" fillId="0" borderId="0" xfId="4082" applyNumberFormat="1" applyFont="1" applyAlignment="1">
      <alignment horizontal="center"/>
    </xf>
    <xf numFmtId="239" fontId="15" fillId="0" borderId="0" xfId="4082" applyNumberFormat="1" applyFont="1" applyAlignment="1">
      <alignment horizontal="center"/>
    </xf>
    <xf numFmtId="205" fontId="19" fillId="11" borderId="2" xfId="4082" applyNumberFormat="1" applyFont="1" applyFill="1" applyBorder="1" applyAlignment="1">
      <alignment horizontal="center" vertical="center"/>
    </xf>
    <xf numFmtId="205" fontId="19" fillId="11" borderId="5" xfId="4082" applyNumberFormat="1" applyFont="1" applyFill="1" applyBorder="1" applyAlignment="1">
      <alignment horizontal="center" vertical="center"/>
    </xf>
    <xf numFmtId="205" fontId="18" fillId="0" borderId="0" xfId="4082" applyNumberFormat="1" applyFont="1"/>
    <xf numFmtId="205" fontId="20" fillId="0" borderId="28" xfId="4082" applyNumberFormat="1" applyFont="1" applyBorder="1" applyAlignment="1">
      <alignment horizontal="right" vertical="center"/>
    </xf>
    <xf numFmtId="205" fontId="20" fillId="0" borderId="29" xfId="4082" applyNumberFormat="1" applyFont="1" applyBorder="1" applyAlignment="1">
      <alignment horizontal="center" vertical="center"/>
    </xf>
    <xf numFmtId="205" fontId="20" fillId="0" borderId="12" xfId="4082" applyNumberFormat="1" applyFont="1" applyBorder="1" applyAlignment="1">
      <alignment horizontal="center" vertical="center"/>
    </xf>
    <xf numFmtId="301" fontId="20" fillId="9" borderId="2" xfId="4082" applyNumberFormat="1" applyFont="1" applyFill="1" applyBorder="1" applyAlignment="1">
      <alignment horizontal="center" vertical="center"/>
    </xf>
    <xf numFmtId="205" fontId="20" fillId="9" borderId="2" xfId="4082" applyNumberFormat="1" applyFont="1" applyFill="1" applyBorder="1" applyAlignment="1">
      <alignment horizontal="center" vertical="center"/>
    </xf>
    <xf numFmtId="205" fontId="17" fillId="3" borderId="30" xfId="4082" applyNumberFormat="1" applyFont="1" applyFill="1" applyBorder="1" applyAlignment="1">
      <alignment horizontal="right" vertical="center" wrapText="1"/>
    </xf>
    <xf numFmtId="205" fontId="17" fillId="0" borderId="31" xfId="4082" applyNumberFormat="1" applyFont="1" applyBorder="1" applyAlignment="1">
      <alignment horizontal="center"/>
    </xf>
    <xf numFmtId="205" fontId="17" fillId="0" borderId="0" xfId="4082" applyNumberFormat="1" applyFont="1" applyAlignment="1">
      <alignment horizontal="center"/>
    </xf>
    <xf numFmtId="194" fontId="16" fillId="3" borderId="2" xfId="4082" applyNumberFormat="1" applyFont="1" applyFill="1" applyBorder="1" applyAlignment="1">
      <alignment horizontal="center" vertical="center"/>
    </xf>
    <xf numFmtId="205" fontId="17" fillId="0" borderId="2" xfId="4082" applyNumberFormat="1" applyFont="1" applyBorder="1" applyAlignment="1">
      <alignment horizontal="center" vertical="center"/>
    </xf>
    <xf numFmtId="205" fontId="17" fillId="0" borderId="30" xfId="4082" applyNumberFormat="1" applyFont="1" applyBorder="1" applyAlignment="1">
      <alignment horizontal="right" vertical="center" wrapText="1"/>
    </xf>
    <xf numFmtId="205" fontId="17" fillId="0" borderId="31" xfId="4082" applyNumberFormat="1" applyFont="1" applyBorder="1"/>
    <xf numFmtId="205" fontId="17" fillId="0" borderId="0" xfId="4082" applyNumberFormat="1" applyFont="1"/>
    <xf numFmtId="205" fontId="17" fillId="0" borderId="32" xfId="4082" applyNumberFormat="1" applyFont="1" applyBorder="1" applyAlignment="1">
      <alignment horizontal="right" vertical="center" wrapText="1"/>
    </xf>
    <xf numFmtId="205" fontId="17" fillId="0" borderId="33" xfId="4082" applyNumberFormat="1" applyFont="1" applyBorder="1"/>
    <xf numFmtId="205" fontId="17" fillId="0" borderId="34" xfId="4082" applyNumberFormat="1" applyFont="1" applyBorder="1" applyAlignment="1">
      <alignment horizontal="right" vertical="center" wrapText="1"/>
    </xf>
    <xf numFmtId="205" fontId="17" fillId="0" borderId="35" xfId="4082" applyNumberFormat="1" applyFont="1" applyBorder="1"/>
    <xf numFmtId="285" fontId="12" fillId="15" borderId="0" xfId="4082" applyNumberFormat="1" applyFont="1" applyFill="1" applyAlignment="1">
      <alignment vertical="center"/>
    </xf>
    <xf numFmtId="39" fontId="12" fillId="13" borderId="0" xfId="4082" applyNumberFormat="1" applyFont="1" applyFill="1" applyAlignment="1">
      <alignment horizontal="left" vertical="center"/>
    </xf>
    <xf numFmtId="39" fontId="12" fillId="13" borderId="0" xfId="4082" applyNumberFormat="1" applyFont="1" applyFill="1" applyAlignment="1">
      <alignment horizontal="center" vertical="center"/>
    </xf>
    <xf numFmtId="205" fontId="21" fillId="0" borderId="0" xfId="4082" applyNumberFormat="1" applyFont="1" applyAlignment="1">
      <alignment horizontal="center" wrapText="1"/>
    </xf>
    <xf numFmtId="205" fontId="21" fillId="0" borderId="0" xfId="4082" applyNumberFormat="1" applyFont="1" applyAlignment="1">
      <alignment horizontal="center"/>
    </xf>
    <xf numFmtId="205" fontId="22" fillId="0" borderId="0" xfId="4082" applyNumberFormat="1" applyFont="1" applyAlignment="1">
      <alignment horizontal="right" vertical="center"/>
    </xf>
    <xf numFmtId="205" fontId="22" fillId="0" borderId="0" xfId="4082" applyNumberFormat="1" applyFont="1" applyAlignment="1">
      <alignment vertical="center"/>
    </xf>
    <xf numFmtId="205" fontId="22" fillId="0" borderId="0" xfId="4082" applyNumberFormat="1" applyFont="1" applyAlignment="1">
      <alignment horizontal="center" vertical="center"/>
    </xf>
    <xf numFmtId="239" fontId="22" fillId="0" borderId="0" xfId="4082" applyNumberFormat="1" applyFont="1" applyAlignment="1">
      <alignment horizontal="center" vertical="center"/>
    </xf>
    <xf numFmtId="205" fontId="20" fillId="0" borderId="36" xfId="4082" applyNumberFormat="1" applyFont="1" applyBorder="1" applyAlignment="1">
      <alignment horizontal="right" vertical="center"/>
    </xf>
    <xf numFmtId="205" fontId="20" fillId="0" borderId="37" xfId="4082" applyNumberFormat="1" applyFont="1" applyBorder="1" applyAlignment="1">
      <alignment horizontal="center" vertical="center"/>
    </xf>
    <xf numFmtId="205" fontId="20" fillId="3" borderId="38" xfId="4082" applyNumberFormat="1" applyFont="1" applyFill="1" applyBorder="1" applyAlignment="1">
      <alignment horizontal="right" vertical="center" wrapText="1"/>
    </xf>
    <xf numFmtId="205" fontId="17" fillId="0" borderId="39" xfId="4082" applyNumberFormat="1" applyFont="1" applyBorder="1" applyAlignment="1">
      <alignment horizontal="center"/>
    </xf>
    <xf numFmtId="205" fontId="20" fillId="0" borderId="38" xfId="4082" applyNumberFormat="1" applyFont="1" applyBorder="1" applyAlignment="1">
      <alignment horizontal="right" vertical="center" wrapText="1"/>
    </xf>
    <xf numFmtId="205" fontId="17" fillId="0" borderId="39" xfId="4082" applyNumberFormat="1" applyFont="1" applyBorder="1"/>
    <xf numFmtId="205" fontId="20" fillId="0" borderId="40" xfId="4082" applyNumberFormat="1" applyFont="1" applyBorder="1" applyAlignment="1">
      <alignment horizontal="right" vertical="center" wrapText="1"/>
    </xf>
    <xf numFmtId="205" fontId="17" fillId="0" borderId="41" xfId="4082" applyNumberFormat="1" applyFont="1" applyBorder="1"/>
    <xf numFmtId="205" fontId="20" fillId="0" borderId="42" xfId="4082" applyNumberFormat="1" applyFont="1" applyBorder="1" applyAlignment="1">
      <alignment horizontal="right" vertical="center" wrapText="1"/>
    </xf>
    <xf numFmtId="205" fontId="17" fillId="0" borderId="43" xfId="4082" applyNumberFormat="1" applyFont="1" applyBorder="1"/>
    <xf numFmtId="300" fontId="12" fillId="10" borderId="0" xfId="4082" applyNumberFormat="1" applyFont="1" applyFill="1" applyBorder="1" applyAlignment="1">
      <alignment vertical="center"/>
    </xf>
    <xf numFmtId="210" fontId="15" fillId="0" borderId="0" xfId="4082" applyFont="1" applyBorder="1" applyAlignment="1">
      <alignment horizontal="right"/>
    </xf>
    <xf numFmtId="210" fontId="19" fillId="3" borderId="0" xfId="4082" applyFont="1" applyFill="1" applyBorder="1" applyAlignment="1">
      <alignment horizontal="center" vertical="center"/>
    </xf>
    <xf numFmtId="210" fontId="20" fillId="0" borderId="0" xfId="4082" applyFont="1" applyFill="1" applyBorder="1" applyAlignment="1">
      <alignment horizontal="right" vertical="center"/>
    </xf>
    <xf numFmtId="300" fontId="17" fillId="0" borderId="0" xfId="4082" applyNumberFormat="1" applyFont="1" applyFill="1" applyAlignment="1">
      <alignment horizontal="center"/>
    </xf>
    <xf numFmtId="210" fontId="17" fillId="3" borderId="0" xfId="4082" applyFont="1" applyFill="1" applyBorder="1" applyAlignment="1">
      <alignment horizontal="right" wrapText="1"/>
    </xf>
    <xf numFmtId="210" fontId="17" fillId="0" borderId="0" xfId="4082" applyFont="1" applyBorder="1" applyAlignment="1">
      <alignment horizontal="right" vertical="center" wrapText="1"/>
    </xf>
    <xf numFmtId="37" fontId="17" fillId="0" borderId="0" xfId="4082" applyNumberFormat="1" applyFont="1" applyBorder="1" applyAlignment="1">
      <alignment horizontal="center" vertical="center"/>
    </xf>
    <xf numFmtId="210" fontId="0" fillId="0" borderId="0" xfId="0" applyBorder="1">
      <alignment vertical="center"/>
    </xf>
    <xf numFmtId="210" fontId="25" fillId="3" borderId="0" xfId="4082" applyFont="1" applyFill="1" applyBorder="1" applyAlignment="1">
      <alignment vertical="center"/>
    </xf>
    <xf numFmtId="210" fontId="14" fillId="0" borderId="0" xfId="4082" applyFont="1" applyBorder="1" applyAlignment="1">
      <alignment horizontal="center"/>
    </xf>
    <xf numFmtId="210" fontId="17" fillId="0" borderId="0" xfId="0" applyNumberFormat="1" applyFont="1" applyAlignment="1">
      <alignment horizontal="right"/>
    </xf>
    <xf numFmtId="210" fontId="19" fillId="3" borderId="0" xfId="0" applyNumberFormat="1" applyFont="1" applyFill="1" applyBorder="1" applyAlignment="1">
      <alignment horizontal="center" vertical="center"/>
    </xf>
    <xf numFmtId="210" fontId="17" fillId="0" borderId="0" xfId="0" applyNumberFormat="1" applyFont="1" applyBorder="1" applyAlignment="1">
      <alignment horizontal="right"/>
    </xf>
    <xf numFmtId="210" fontId="17" fillId="0" borderId="0" xfId="0" applyNumberFormat="1" applyFont="1" applyFill="1" applyBorder="1" applyAlignment="1">
      <alignment horizontal="right" vertical="center" wrapText="1"/>
    </xf>
    <xf numFmtId="210" fontId="17" fillId="0" borderId="0" xfId="0" applyNumberFormat="1" applyFont="1" applyBorder="1" applyAlignment="1">
      <alignment horizontal="right" vertical="center" wrapText="1"/>
    </xf>
    <xf numFmtId="210" fontId="22" fillId="0" borderId="0" xfId="4082" applyFont="1" applyBorder="1"/>
    <xf numFmtId="210" fontId="15" fillId="0" borderId="0" xfId="4082" applyFont="1" applyFill="1" applyBorder="1"/>
    <xf numFmtId="210" fontId="22" fillId="0" borderId="0" xfId="4082" applyFont="1" applyBorder="1" applyAlignment="1">
      <alignment horizontal="center"/>
    </xf>
    <xf numFmtId="239" fontId="15" fillId="0" borderId="0" xfId="4082" applyNumberFormat="1" applyFont="1" applyFill="1" applyBorder="1" applyAlignment="1">
      <alignment horizontal="center"/>
    </xf>
    <xf numFmtId="210" fontId="18" fillId="3" borderId="0" xfId="4082" applyFont="1" applyFill="1" applyBorder="1"/>
    <xf numFmtId="210" fontId="20" fillId="0" borderId="0" xfId="4082" applyFont="1" applyFill="1" applyBorder="1" applyAlignment="1">
      <alignment horizontal="center" vertical="center"/>
    </xf>
    <xf numFmtId="300" fontId="20" fillId="3" borderId="0" xfId="4082" applyNumberFormat="1" applyFont="1" applyFill="1" applyBorder="1" applyAlignment="1">
      <alignment horizontal="center" vertical="center"/>
    </xf>
    <xf numFmtId="37" fontId="20" fillId="3" borderId="0" xfId="4082" applyNumberFormat="1" applyFont="1" applyFill="1" applyBorder="1" applyAlignment="1">
      <alignment horizontal="center" vertical="center"/>
    </xf>
    <xf numFmtId="210" fontId="17" fillId="0" borderId="0" xfId="4082" applyFont="1" applyBorder="1" applyAlignment="1">
      <alignment horizontal="center"/>
    </xf>
    <xf numFmtId="210" fontId="17" fillId="0" borderId="0" xfId="4082" applyFont="1" applyFill="1" applyBorder="1" applyAlignment="1">
      <alignment horizontal="center"/>
    </xf>
    <xf numFmtId="300" fontId="17" fillId="0" borderId="0" xfId="4082" applyNumberFormat="1" applyFont="1" applyBorder="1" applyAlignment="1">
      <alignment horizontal="center" vertical="center"/>
    </xf>
    <xf numFmtId="210" fontId="17" fillId="0" borderId="0" xfId="4082" applyFont="1" applyBorder="1"/>
    <xf numFmtId="210" fontId="17" fillId="0" borderId="0" xfId="4082" applyFont="1" applyFill="1" applyBorder="1"/>
    <xf numFmtId="300" fontId="17" fillId="3" borderId="0" xfId="4082" applyNumberFormat="1" applyFont="1" applyFill="1" applyBorder="1" applyAlignment="1">
      <alignment horizontal="center" vertical="center"/>
    </xf>
    <xf numFmtId="39" fontId="17" fillId="0" borderId="0" xfId="4082" applyNumberFormat="1" applyFont="1" applyBorder="1" applyAlignment="1">
      <alignment horizontal="center" vertical="center"/>
    </xf>
    <xf numFmtId="210" fontId="20" fillId="0" borderId="0" xfId="0" applyNumberFormat="1" applyFont="1" applyAlignment="1">
      <alignment horizontal="center"/>
    </xf>
    <xf numFmtId="210" fontId="17" fillId="0" borderId="0" xfId="0" applyNumberFormat="1" applyFont="1" applyFill="1" applyAlignment="1"/>
    <xf numFmtId="210" fontId="22" fillId="0" borderId="0" xfId="0" applyNumberFormat="1" applyFont="1" applyAlignment="1">
      <alignment horizontal="center"/>
    </xf>
    <xf numFmtId="239" fontId="15" fillId="0" borderId="0" xfId="0" applyNumberFormat="1" applyFont="1" applyFill="1" applyAlignment="1">
      <alignment horizontal="center"/>
    </xf>
    <xf numFmtId="210" fontId="17" fillId="3" borderId="0" xfId="0" applyNumberFormat="1" applyFont="1" applyFill="1" applyBorder="1" applyAlignment="1"/>
    <xf numFmtId="210" fontId="17" fillId="0" borderId="0" xfId="0" applyNumberFormat="1" applyFont="1" applyBorder="1" applyAlignment="1"/>
    <xf numFmtId="210" fontId="20" fillId="0" borderId="0" xfId="0" applyNumberFormat="1" applyFont="1" applyFill="1" applyBorder="1" applyAlignment="1">
      <alignment horizontal="center" vertical="center"/>
    </xf>
    <xf numFmtId="217" fontId="20" fillId="9" borderId="0" xfId="0" applyNumberFormat="1" applyFont="1" applyFill="1" applyBorder="1" applyAlignment="1">
      <alignment horizontal="center" vertical="center"/>
    </xf>
    <xf numFmtId="192" fontId="20" fillId="9" borderId="0" xfId="0" applyNumberFormat="1" applyFont="1" applyFill="1" applyBorder="1" applyAlignment="1">
      <alignment horizontal="center" vertical="center"/>
    </xf>
    <xf numFmtId="210" fontId="17" fillId="0" borderId="0" xfId="0" applyNumberFormat="1" applyFont="1" applyFill="1" applyBorder="1" applyAlignment="1"/>
    <xf numFmtId="194" fontId="15" fillId="0" borderId="0" xfId="0" applyNumberFormat="1" applyFont="1" applyFill="1" applyBorder="1" applyAlignment="1">
      <alignment horizontal="center" vertical="center"/>
    </xf>
    <xf numFmtId="210" fontId="15" fillId="0" borderId="0" xfId="0" applyNumberFormat="1" applyFont="1" applyFill="1" applyBorder="1" applyAlignment="1">
      <alignment horizontal="center" vertical="center"/>
    </xf>
    <xf numFmtId="210" fontId="23" fillId="0" borderId="0" xfId="0" applyNumberFormat="1" applyFont="1" applyFill="1" applyBorder="1" applyAlignment="1">
      <alignment horizontal="center" vertical="center"/>
    </xf>
    <xf numFmtId="210" fontId="15" fillId="3" borderId="0" xfId="0" applyNumberFormat="1" applyFont="1" applyFill="1" applyBorder="1" applyAlignment="1">
      <alignment horizontal="center" vertical="center"/>
    </xf>
    <xf numFmtId="300" fontId="15" fillId="0" borderId="0" xfId="0" applyNumberFormat="1" applyFont="1" applyFill="1" applyBorder="1" applyAlignment="1">
      <alignment horizontal="center" vertical="center"/>
    </xf>
    <xf numFmtId="192" fontId="15" fillId="0" borderId="0" xfId="0" applyNumberFormat="1" applyFont="1" applyFill="1" applyBorder="1" applyAlignment="1">
      <alignment horizontal="center" vertical="center"/>
    </xf>
    <xf numFmtId="210" fontId="26" fillId="0" borderId="0" xfId="0" applyFont="1">
      <alignment vertical="center"/>
    </xf>
    <xf numFmtId="0" fontId="26" fillId="0" borderId="0" xfId="0" applyNumberFormat="1" applyFont="1">
      <alignment vertical="center"/>
    </xf>
    <xf numFmtId="210" fontId="26" fillId="16" borderId="0" xfId="0" applyFont="1" applyFill="1">
      <alignment vertical="center"/>
    </xf>
    <xf numFmtId="302" fontId="26" fillId="0" borderId="0" xfId="0" applyNumberFormat="1" applyFont="1">
      <alignment vertical="center"/>
    </xf>
    <xf numFmtId="303" fontId="26" fillId="0" borderId="0" xfId="0" applyNumberFormat="1" applyFont="1">
      <alignment vertical="center"/>
    </xf>
    <xf numFmtId="225" fontId="17" fillId="0" borderId="0" xfId="0" applyNumberFormat="1" applyFont="1" applyFill="1" applyBorder="1" applyAlignment="1">
      <alignment vertical="center" wrapText="1"/>
    </xf>
    <xf numFmtId="0" fontId="16" fillId="0" borderId="0" xfId="0" applyNumberFormat="1" applyFont="1" applyFill="1" applyBorder="1" applyAlignment="1">
      <alignment vertical="center" wrapText="1"/>
    </xf>
    <xf numFmtId="0" fontId="17" fillId="0" borderId="0" xfId="0" applyNumberFormat="1" applyFont="1" applyFill="1" applyBorder="1" applyAlignment="1">
      <alignment vertical="center" wrapText="1"/>
    </xf>
    <xf numFmtId="210" fontId="26" fillId="0" borderId="0" xfId="0" applyNumberFormat="1" applyFont="1">
      <alignment vertical="center"/>
    </xf>
    <xf numFmtId="210" fontId="16" fillId="0" borderId="0" xfId="0" applyNumberFormat="1" applyFont="1" applyFill="1" applyAlignment="1">
      <alignment horizontal="left" vertical="center" wrapText="1"/>
    </xf>
    <xf numFmtId="185" fontId="17" fillId="0" borderId="0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horizontal="right" vertical="center"/>
    </xf>
    <xf numFmtId="210" fontId="26" fillId="0" borderId="0" xfId="0" applyFont="1" applyAlignment="1">
      <alignment horizontal="left" vertical="top"/>
    </xf>
    <xf numFmtId="302" fontId="26" fillId="0" borderId="0" xfId="0" applyNumberFormat="1" applyFont="1" applyFill="1" applyAlignment="1">
      <alignment horizontal="right" vertical="center"/>
    </xf>
    <xf numFmtId="210" fontId="27" fillId="0" borderId="0" xfId="0" applyFont="1" applyFill="1" applyAlignment="1">
      <alignment horizontal="left" vertical="center" wrapText="1"/>
    </xf>
    <xf numFmtId="264" fontId="0" fillId="0" borderId="0" xfId="0" applyNumberFormat="1">
      <alignment vertical="center"/>
    </xf>
    <xf numFmtId="0" fontId="0" fillId="0" borderId="0" xfId="0" applyNumberFormat="1">
      <alignment vertical="center"/>
    </xf>
    <xf numFmtId="210" fontId="0" fillId="0" borderId="0" xfId="0" applyFont="1" applyAlignment="1">
      <alignment vertical="center" wrapText="1"/>
    </xf>
    <xf numFmtId="303" fontId="0" fillId="0" borderId="0" xfId="0" applyNumberFormat="1">
      <alignment vertical="center"/>
    </xf>
    <xf numFmtId="210" fontId="16" fillId="0" borderId="0" xfId="0" applyFont="1" applyFill="1" applyAlignment="1">
      <alignment horizontal="left" vertical="center" wrapText="1"/>
    </xf>
    <xf numFmtId="303" fontId="26" fillId="0" borderId="0" xfId="0" applyNumberFormat="1" applyFont="1" applyFill="1" applyAlignment="1">
      <alignment horizontal="right" vertical="center"/>
    </xf>
    <xf numFmtId="2" fontId="26" fillId="0" borderId="0" xfId="0" applyNumberFormat="1" applyFont="1" applyFill="1" applyBorder="1" applyAlignment="1">
      <alignment horizontal="right" vertical="center"/>
    </xf>
    <xf numFmtId="1" fontId="17" fillId="0" borderId="0" xfId="0" applyNumberFormat="1" applyFont="1" applyFill="1" applyBorder="1" applyAlignment="1">
      <alignment vertical="center" wrapText="1"/>
    </xf>
    <xf numFmtId="210" fontId="16" fillId="0" borderId="0" xfId="22227" applyNumberFormat="1" applyFont="1" applyFill="1" applyAlignment="1">
      <alignment horizontal="left" vertical="center" wrapText="1"/>
    </xf>
    <xf numFmtId="210" fontId="16" fillId="0" borderId="0" xfId="22227" applyNumberFormat="1" applyFont="1" applyFill="1" applyBorder="1" applyAlignment="1">
      <alignment horizontal="left" vertical="center" wrapText="1"/>
    </xf>
    <xf numFmtId="210" fontId="16" fillId="0" borderId="0" xfId="22225" applyNumberFormat="1" applyFont="1" applyFill="1" applyBorder="1" applyAlignment="1">
      <alignment horizontal="left" vertical="center" wrapText="1"/>
    </xf>
    <xf numFmtId="0" fontId="26" fillId="0" borderId="0" xfId="54" applyNumberFormat="1" applyFont="1" applyFill="1" applyBorder="1" applyAlignment="1">
      <alignment horizontal="center" vertical="center"/>
    </xf>
    <xf numFmtId="210" fontId="0" fillId="0" borderId="0" xfId="0" applyNumberFormat="1">
      <alignment vertical="center"/>
    </xf>
    <xf numFmtId="0" fontId="26" fillId="17" borderId="0" xfId="0" applyNumberFormat="1" applyFont="1" applyFill="1">
      <alignment vertical="center"/>
    </xf>
    <xf numFmtId="0" fontId="17" fillId="0" borderId="0" xfId="0" applyNumberFormat="1" applyFont="1" applyFill="1" applyAlignment="1">
      <alignment horizontal="right" vertical="center"/>
    </xf>
    <xf numFmtId="0" fontId="17" fillId="0" borderId="0" xfId="0" applyNumberFormat="1" applyFont="1" applyFill="1" applyAlignment="1">
      <alignment horizontal="right" vertical="center" wrapText="1"/>
    </xf>
    <xf numFmtId="210" fontId="0" fillId="0" borderId="0" xfId="0" applyAlignment="1">
      <alignment horizontal="right" vertical="center"/>
    </xf>
    <xf numFmtId="37" fontId="0" fillId="0" borderId="0" xfId="0" applyNumberFormat="1" applyAlignment="1">
      <alignment horizontal="right" vertical="center"/>
    </xf>
    <xf numFmtId="210" fontId="27" fillId="0" borderId="0" xfId="21582" applyFont="1" applyFill="1" applyBorder="1" applyAlignment="1">
      <alignment horizontal="left" vertical="center"/>
    </xf>
    <xf numFmtId="210" fontId="8" fillId="0" borderId="0" xfId="0" applyNumberFormat="1" applyFont="1" applyFill="1" applyBorder="1" applyAlignment="1">
      <alignment horizontal="left" wrapText="1"/>
    </xf>
    <xf numFmtId="210" fontId="0" fillId="0" borderId="0" xfId="21582" applyFont="1" applyFill="1" applyBorder="1" applyAlignment="1">
      <alignment horizontal="left" vertical="center"/>
    </xf>
    <xf numFmtId="261" fontId="27" fillId="0" borderId="0" xfId="21582" applyNumberFormat="1" applyFont="1" applyFill="1" applyBorder="1" applyAlignment="1">
      <alignment horizontal="left" vertical="center"/>
    </xf>
    <xf numFmtId="261" fontId="0" fillId="0" borderId="0" xfId="0" applyNumberFormat="1" applyFont="1" applyFill="1" applyBorder="1" applyAlignment="1">
      <alignment horizontal="left" vertical="center"/>
    </xf>
    <xf numFmtId="261" fontId="0" fillId="0" borderId="0" xfId="21582" applyNumberFormat="1" applyFont="1" applyFill="1" applyBorder="1" applyAlignment="1">
      <alignment horizontal="left" vertical="center"/>
    </xf>
    <xf numFmtId="261" fontId="0" fillId="0" borderId="0" xfId="0" applyNumberFormat="1" applyFont="1" applyFill="1" applyBorder="1" applyAlignment="1">
      <alignment horizontal="left" vertical="top" wrapText="1"/>
    </xf>
    <xf numFmtId="261" fontId="0" fillId="0" borderId="0" xfId="0" applyNumberFormat="1" applyAlignment="1">
      <alignment vertical="center"/>
    </xf>
    <xf numFmtId="261" fontId="8" fillId="0" borderId="0" xfId="0" applyNumberFormat="1" applyFont="1" applyFill="1" applyBorder="1" applyAlignment="1">
      <alignment horizontal="left" vertical="center"/>
    </xf>
    <xf numFmtId="261" fontId="27" fillId="0" borderId="0" xfId="21582" applyNumberFormat="1" applyFont="1" applyFill="1" applyAlignment="1">
      <alignment horizontal="left" vertical="center"/>
    </xf>
    <xf numFmtId="261" fontId="27" fillId="0" borderId="0" xfId="0" applyNumberFormat="1" applyFont="1" applyFill="1" applyAlignment="1">
      <alignment horizontal="left" vertical="center"/>
    </xf>
    <xf numFmtId="210" fontId="0" fillId="0" borderId="0" xfId="0" applyFont="1" applyFill="1" applyBorder="1" applyAlignment="1">
      <alignment horizontal="left" vertical="center"/>
    </xf>
    <xf numFmtId="210" fontId="0" fillId="0" borderId="0" xfId="0" applyNumberFormat="1" applyFont="1" applyFill="1" applyBorder="1" applyAlignment="1">
      <alignment horizontal="left" vertical="top" wrapText="1"/>
    </xf>
    <xf numFmtId="210" fontId="9" fillId="0" borderId="0" xfId="21582" applyFont="1" applyFill="1" applyBorder="1" applyAlignment="1">
      <alignment horizontal="left" vertical="center"/>
    </xf>
    <xf numFmtId="210" fontId="28" fillId="0" borderId="0" xfId="21582" applyFont="1" applyFill="1" applyBorder="1" applyAlignment="1">
      <alignment horizontal="left" vertical="center"/>
    </xf>
    <xf numFmtId="285" fontId="11" fillId="0" borderId="0" xfId="0" applyNumberFormat="1" applyFont="1">
      <alignment vertical="center"/>
    </xf>
    <xf numFmtId="285" fontId="11" fillId="0" borderId="0" xfId="0" applyNumberFormat="1" applyFont="1" applyAlignment="1">
      <alignment horizontal="left" vertical="center"/>
    </xf>
    <xf numFmtId="285" fontId="11" fillId="0" borderId="0" xfId="21582" applyNumberFormat="1" applyFont="1" applyAlignment="1">
      <alignment horizontal="left" vertical="center"/>
    </xf>
    <xf numFmtId="210" fontId="11" fillId="0" borderId="0" xfId="0" applyNumberFormat="1" applyFont="1" applyAlignment="1">
      <alignment horizontal="left" vertical="top" wrapText="1"/>
    </xf>
    <xf numFmtId="210" fontId="0" fillId="0" borderId="0" xfId="0" applyFont="1">
      <alignment vertical="center"/>
    </xf>
    <xf numFmtId="0" fontId="11" fillId="0" borderId="0" xfId="0" applyNumberFormat="1" applyFont="1" applyAlignment="1">
      <alignment horizontal="right" vertical="center"/>
    </xf>
    <xf numFmtId="285" fontId="11" fillId="18" borderId="0" xfId="0" applyNumberFormat="1" applyFont="1" applyFill="1">
      <alignment vertical="center"/>
    </xf>
    <xf numFmtId="285" fontId="11" fillId="18" borderId="0" xfId="0" applyNumberFormat="1" applyFont="1" applyFill="1" applyAlignment="1">
      <alignment horizontal="left" vertical="center"/>
    </xf>
    <xf numFmtId="285" fontId="11" fillId="18" borderId="0" xfId="21582" applyNumberFormat="1" applyFont="1" applyFill="1" applyAlignment="1">
      <alignment horizontal="left" vertical="center"/>
    </xf>
    <xf numFmtId="210" fontId="11" fillId="18" borderId="0" xfId="0" applyNumberFormat="1" applyFont="1" applyFill="1" applyAlignment="1">
      <alignment horizontal="left" vertical="top" wrapText="1"/>
    </xf>
    <xf numFmtId="210" fontId="28" fillId="18" borderId="0" xfId="21582" applyFont="1" applyFill="1" applyBorder="1" applyAlignment="1">
      <alignment horizontal="left" vertical="center"/>
    </xf>
    <xf numFmtId="210" fontId="27" fillId="18" borderId="0" xfId="21582" applyFont="1" applyFill="1" applyBorder="1" applyAlignment="1">
      <alignment horizontal="left" vertical="center"/>
    </xf>
    <xf numFmtId="210" fontId="0" fillId="18" borderId="0" xfId="0" applyFont="1" applyFill="1">
      <alignment vertical="center"/>
    </xf>
    <xf numFmtId="0" fontId="11" fillId="18" borderId="0" xfId="0" applyNumberFormat="1" applyFont="1" applyFill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210" fontId="27" fillId="0" borderId="0" xfId="0" applyFont="1" applyFill="1" applyAlignment="1">
      <alignment horizontal="left" vertical="center"/>
    </xf>
    <xf numFmtId="302" fontId="0" fillId="0" borderId="0" xfId="0" applyNumberFormat="1" applyAlignment="1">
      <alignment horizontal="right" vertical="center"/>
    </xf>
    <xf numFmtId="302" fontId="27" fillId="0" borderId="0" xfId="0" applyNumberFormat="1" applyFont="1" applyFill="1" applyAlignment="1">
      <alignment horizontal="right" vertical="center"/>
    </xf>
    <xf numFmtId="210" fontId="29" fillId="0" borderId="0" xfId="0" applyNumberFormat="1" applyFont="1" applyFill="1" applyBorder="1" applyAlignment="1">
      <alignment horizontal="left" vertical="center"/>
    </xf>
    <xf numFmtId="210" fontId="27" fillId="0" borderId="0" xfId="0" applyNumberFormat="1" applyFont="1" applyFill="1" applyAlignment="1">
      <alignment horizontal="left" vertical="center"/>
    </xf>
    <xf numFmtId="210" fontId="16" fillId="0" borderId="0" xfId="22122" applyNumberFormat="1" applyFont="1" applyFill="1" applyBorder="1" applyAlignment="1">
      <alignment vertical="center" wrapText="1" shrinkToFit="1"/>
    </xf>
    <xf numFmtId="302" fontId="16" fillId="0" borderId="0" xfId="0" applyNumberFormat="1" applyFont="1" applyFill="1" applyAlignment="1">
      <alignment horizontal="right" vertical="center"/>
    </xf>
    <xf numFmtId="210" fontId="27" fillId="0" borderId="0" xfId="22122" applyNumberFormat="1" applyFont="1" applyFill="1" applyBorder="1" applyAlignment="1">
      <alignment horizontal="left" vertical="center"/>
    </xf>
    <xf numFmtId="210" fontId="0" fillId="0" borderId="0" xfId="0" applyNumberFormat="1" applyAlignment="1">
      <alignment horizontal="right" vertical="center"/>
    </xf>
    <xf numFmtId="37" fontId="0" fillId="0" borderId="0" xfId="0" applyNumberFormat="1" applyFill="1">
      <alignment vertical="center"/>
    </xf>
    <xf numFmtId="37" fontId="0" fillId="0" borderId="0" xfId="0" applyNumberFormat="1" applyAlignment="1">
      <alignment vertical="center"/>
    </xf>
    <xf numFmtId="304" fontId="8" fillId="0" borderId="0" xfId="33522" applyNumberFormat="1" applyFont="1" applyFill="1" applyBorder="1" applyAlignment="1"/>
    <xf numFmtId="304" fontId="8" fillId="19" borderId="44" xfId="33522" applyNumberFormat="1" applyFont="1" applyFill="1" applyBorder="1" applyAlignment="1">
      <alignment vertical="center"/>
    </xf>
    <xf numFmtId="210" fontId="8" fillId="19" borderId="44" xfId="33522" applyNumberFormat="1" applyFont="1" applyFill="1" applyBorder="1" applyAlignment="1">
      <alignment vertical="center"/>
    </xf>
    <xf numFmtId="305" fontId="8" fillId="19" borderId="45" xfId="33522" applyNumberFormat="1" applyFont="1" applyFill="1" applyBorder="1" applyAlignment="1">
      <alignment vertical="center"/>
    </xf>
    <xf numFmtId="305" fontId="0" fillId="0" borderId="0" xfId="0" applyNumberFormat="1">
      <alignment vertical="center"/>
    </xf>
    <xf numFmtId="304" fontId="16" fillId="0" borderId="0" xfId="0" applyNumberFormat="1" applyFont="1" applyFill="1" applyAlignment="1">
      <alignment horizontal="left" vertical="center"/>
    </xf>
    <xf numFmtId="304" fontId="0" fillId="0" borderId="0" xfId="0" applyNumberFormat="1">
      <alignment vertical="center"/>
    </xf>
    <xf numFmtId="302" fontId="11" fillId="0" borderId="0" xfId="0" applyNumberFormat="1" applyFont="1" applyAlignment="1">
      <alignment vertical="center"/>
    </xf>
    <xf numFmtId="302" fontId="11" fillId="0" borderId="0" xfId="0" applyNumberFormat="1" applyFont="1" applyAlignment="1">
      <alignment horizontal="right" vertical="center"/>
    </xf>
    <xf numFmtId="304" fontId="11" fillId="0" borderId="0" xfId="33522" applyNumberFormat="1" applyFont="1" applyFill="1" applyBorder="1" applyAlignment="1">
      <alignment vertical="center"/>
    </xf>
    <xf numFmtId="302" fontId="11" fillId="18" borderId="0" xfId="0" applyNumberFormat="1" applyFont="1" applyFill="1" applyAlignment="1">
      <alignment vertical="center"/>
    </xf>
    <xf numFmtId="302" fontId="11" fillId="18" borderId="0" xfId="0" applyNumberFormat="1" applyFont="1" applyFill="1" applyAlignment="1">
      <alignment horizontal="right" vertical="center"/>
    </xf>
    <xf numFmtId="304" fontId="11" fillId="18" borderId="0" xfId="33522" applyNumberFormat="1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Alignment="1">
      <alignment vertical="center"/>
    </xf>
    <xf numFmtId="304" fontId="8" fillId="18" borderId="0" xfId="33522" applyNumberFormat="1" applyFont="1" applyFill="1" applyBorder="1" applyAlignment="1"/>
    <xf numFmtId="302" fontId="17" fillId="0" borderId="0" xfId="22122" applyNumberFormat="1" applyFont="1" applyFill="1" applyBorder="1" applyAlignment="1">
      <alignment vertical="center" shrinkToFit="1"/>
    </xf>
    <xf numFmtId="302" fontId="0" fillId="0" borderId="0" xfId="0" applyNumberFormat="1" applyAlignment="1">
      <alignment vertical="center"/>
    </xf>
    <xf numFmtId="304" fontId="8" fillId="0" borderId="0" xfId="33522" applyNumberFormat="1" applyFont="1" applyFill="1" applyBorder="1" applyAlignment="1">
      <alignment vertical="center"/>
    </xf>
    <xf numFmtId="210" fontId="0" fillId="0" borderId="0" xfId="0" applyNumberFormat="1" applyFill="1">
      <alignment vertical="center"/>
    </xf>
    <xf numFmtId="306" fontId="8" fillId="0" borderId="0" xfId="33522" applyNumberFormat="1" applyFont="1" applyFill="1" applyBorder="1" applyAlignment="1">
      <alignment vertical="center"/>
    </xf>
    <xf numFmtId="302" fontId="16" fillId="0" borderId="0" xfId="0" applyNumberFormat="1" applyFont="1" applyFill="1" applyAlignment="1">
      <alignment vertical="center"/>
    </xf>
    <xf numFmtId="306" fontId="16" fillId="0" borderId="0" xfId="22122" applyNumberFormat="1" applyFont="1" applyFill="1" applyBorder="1" applyAlignment="1">
      <alignment horizontal="left" vertical="center"/>
    </xf>
    <xf numFmtId="304" fontId="16" fillId="0" borderId="0" xfId="22122" applyNumberFormat="1" applyFont="1" applyFill="1" applyBorder="1" applyAlignment="1">
      <alignment horizontal="left" vertical="center"/>
    </xf>
    <xf numFmtId="304" fontId="16" fillId="0" borderId="0" xfId="22122" applyNumberFormat="1" applyFont="1" applyFill="1" applyBorder="1" applyAlignment="1">
      <alignment horizontal="right" vertical="center"/>
    </xf>
    <xf numFmtId="304" fontId="16" fillId="20" borderId="0" xfId="22122" applyNumberFormat="1" applyFont="1" applyFill="1" applyBorder="1" applyAlignment="1">
      <alignment horizontal="right" vertical="center"/>
    </xf>
    <xf numFmtId="304" fontId="0" fillId="20" borderId="0" xfId="0" applyNumberFormat="1" applyFill="1">
      <alignment vertical="center"/>
    </xf>
    <xf numFmtId="210" fontId="0" fillId="20" borderId="0" xfId="0" applyNumberFormat="1" applyFill="1">
      <alignment vertical="center"/>
    </xf>
    <xf numFmtId="305" fontId="0" fillId="20" borderId="0" xfId="0" applyNumberFormat="1" applyFill="1">
      <alignment vertical="center"/>
    </xf>
    <xf numFmtId="306" fontId="16" fillId="0" borderId="0" xfId="22122" applyNumberFormat="1" applyFont="1" applyFill="1" applyBorder="1" applyAlignment="1">
      <alignment horizontal="right" vertical="center"/>
    </xf>
    <xf numFmtId="306" fontId="0" fillId="0" borderId="0" xfId="0" applyNumberFormat="1">
      <alignment vertical="center"/>
    </xf>
    <xf numFmtId="302" fontId="0" fillId="0" borderId="0" xfId="0" applyNumberFormat="1">
      <alignment vertical="center"/>
    </xf>
    <xf numFmtId="239" fontId="16" fillId="0" borderId="0" xfId="0" applyNumberFormat="1" applyFont="1" applyFill="1" applyAlignment="1">
      <alignment horizontal="right"/>
    </xf>
    <xf numFmtId="302" fontId="16" fillId="0" borderId="0" xfId="0" applyNumberFormat="1" applyFont="1" applyFill="1" applyAlignment="1">
      <alignment horizontal="center"/>
    </xf>
    <xf numFmtId="302" fontId="16" fillId="0" borderId="0" xfId="0" applyNumberFormat="1" applyFont="1" applyFill="1" applyAlignment="1"/>
    <xf numFmtId="239" fontId="16" fillId="0" borderId="0" xfId="22122" applyNumberFormat="1" applyFont="1" applyFill="1" applyBorder="1" applyAlignment="1">
      <alignment horizontal="right" vertical="center"/>
    </xf>
    <xf numFmtId="239" fontId="16" fillId="0" borderId="0" xfId="0" applyNumberFormat="1" applyFont="1" applyFill="1" applyAlignment="1">
      <alignment horizontal="center"/>
    </xf>
    <xf numFmtId="210" fontId="16" fillId="0" borderId="0" xfId="0" applyFont="1" applyFill="1" applyAlignment="1">
      <alignment horizontal="left" vertical="center"/>
    </xf>
    <xf numFmtId="182" fontId="16" fillId="0" borderId="0" xfId="0" applyNumberFormat="1" applyFont="1" applyFill="1" applyAlignment="1">
      <alignment horizontal="left" vertical="center"/>
    </xf>
    <xf numFmtId="210" fontId="30" fillId="20" borderId="0" xfId="0" applyFont="1" applyFill="1" applyAlignment="1">
      <alignment horizontal="left" vertical="center"/>
    </xf>
    <xf numFmtId="210" fontId="16" fillId="0" borderId="0" xfId="0" applyNumberFormat="1" applyFont="1" applyFill="1" applyAlignment="1">
      <alignment horizontal="left" vertical="center"/>
    </xf>
    <xf numFmtId="210" fontId="31" fillId="0" borderId="0" xfId="21672" applyFont="1" applyAlignment="1">
      <alignment horizontal="left" vertical="center"/>
    </xf>
    <xf numFmtId="210" fontId="32" fillId="0" borderId="0" xfId="21672" applyFont="1" applyAlignment="1">
      <alignment horizontal="left"/>
    </xf>
    <xf numFmtId="190" fontId="31" fillId="21" borderId="2" xfId="216" applyNumberFormat="1" applyFont="1" applyFill="1" applyBorder="1" applyAlignment="1">
      <alignment horizontal="right" wrapText="1"/>
    </xf>
    <xf numFmtId="190" fontId="31" fillId="21" borderId="0" xfId="216" applyNumberFormat="1" applyFont="1" applyFill="1" applyBorder="1" applyAlignment="1">
      <alignment horizontal="right" wrapText="1"/>
    </xf>
    <xf numFmtId="210" fontId="31" fillId="0" borderId="0" xfId="20849" applyFont="1" applyAlignment="1">
      <alignment vertical="center"/>
    </xf>
    <xf numFmtId="16" fontId="31" fillId="0" borderId="0" xfId="21672" applyNumberFormat="1" applyFont="1" applyAlignment="1">
      <alignment horizontal="left" vertical="center"/>
    </xf>
    <xf numFmtId="15" fontId="33" fillId="0" borderId="0" xfId="21672" applyNumberFormat="1" applyFont="1" applyAlignment="1">
      <alignment horizontal="left"/>
    </xf>
    <xf numFmtId="190" fontId="31" fillId="0" borderId="0" xfId="216" applyNumberFormat="1" applyFont="1" applyBorder="1" applyAlignment="1">
      <alignment vertical="center" wrapText="1"/>
    </xf>
    <xf numFmtId="210" fontId="34" fillId="0" borderId="0" xfId="21672" applyFont="1" applyFill="1" applyBorder="1" applyAlignment="1"/>
    <xf numFmtId="210" fontId="34" fillId="0" borderId="0" xfId="21672" applyFont="1" applyFill="1" applyBorder="1" applyAlignment="1">
      <alignment wrapText="1"/>
    </xf>
    <xf numFmtId="210" fontId="35" fillId="0" borderId="0" xfId="21672" applyFont="1" applyFill="1" applyBorder="1" applyAlignment="1">
      <alignment wrapText="1"/>
    </xf>
    <xf numFmtId="210" fontId="36" fillId="0" borderId="0" xfId="21672" applyFont="1" applyFill="1" applyBorder="1" applyAlignment="1">
      <alignment horizontal="center"/>
    </xf>
    <xf numFmtId="210" fontId="36" fillId="0" borderId="0" xfId="21672" applyFont="1" applyFill="1" applyBorder="1" applyAlignment="1">
      <alignment horizontal="center" wrapText="1"/>
    </xf>
    <xf numFmtId="210" fontId="37" fillId="22" borderId="6" xfId="21672" applyFont="1" applyFill="1" applyBorder="1" applyAlignment="1">
      <alignment horizontal="left" wrapText="1"/>
    </xf>
    <xf numFmtId="210" fontId="37" fillId="22" borderId="6" xfId="21672" applyFont="1" applyFill="1" applyBorder="1" applyAlignment="1">
      <alignment horizontal="left" wrapText="1" indent="5"/>
    </xf>
    <xf numFmtId="190" fontId="37" fillId="22" borderId="6" xfId="216" applyNumberFormat="1" applyFont="1" applyFill="1" applyBorder="1" applyAlignment="1">
      <alignment horizontal="center" wrapText="1"/>
    </xf>
    <xf numFmtId="210" fontId="35" fillId="0" borderId="0" xfId="21672" applyFont="1" applyFill="1" applyBorder="1" applyAlignment="1">
      <alignment horizontal="left" vertical="center" wrapText="1"/>
    </xf>
    <xf numFmtId="210" fontId="37" fillId="0" borderId="0" xfId="21672" applyFont="1" applyFill="1" applyBorder="1" applyAlignment="1">
      <alignment horizontal="left" vertical="top" wrapText="1" indent="5"/>
    </xf>
    <xf numFmtId="190" fontId="38" fillId="0" borderId="0" xfId="216" applyNumberFormat="1" applyFont="1" applyFill="1" applyBorder="1" applyAlignment="1">
      <alignment horizontal="center" wrapText="1"/>
    </xf>
    <xf numFmtId="190" fontId="31" fillId="0" borderId="0" xfId="20849" applyNumberFormat="1" applyFont="1" applyFill="1" applyAlignment="1">
      <alignment vertical="center" wrapText="1"/>
    </xf>
    <xf numFmtId="210" fontId="31" fillId="0" borderId="0" xfId="20849" applyFont="1" applyFill="1" applyAlignment="1">
      <alignment vertical="center" wrapText="1"/>
    </xf>
    <xf numFmtId="210" fontId="31" fillId="0" borderId="0" xfId="20849" applyFont="1" applyBorder="1" applyAlignment="1">
      <alignment horizontal="left" vertical="center"/>
    </xf>
    <xf numFmtId="236" fontId="31" fillId="21" borderId="0" xfId="216" applyNumberFormat="1" applyFont="1" applyFill="1" applyBorder="1" applyAlignment="1">
      <alignment horizontal="right" wrapText="1"/>
    </xf>
    <xf numFmtId="236" fontId="31" fillId="0" borderId="0" xfId="216" applyNumberFormat="1" applyFont="1" applyFill="1" applyBorder="1" applyAlignment="1">
      <alignment horizontal="right" wrapText="1"/>
    </xf>
    <xf numFmtId="210" fontId="35" fillId="0" borderId="1" xfId="21672" applyFont="1" applyFill="1" applyBorder="1" applyAlignment="1">
      <alignment horizontal="left" vertical="center" wrapText="1"/>
    </xf>
    <xf numFmtId="210" fontId="31" fillId="0" borderId="1" xfId="20849" applyFont="1" applyBorder="1" applyAlignment="1">
      <alignment horizontal="left" vertical="center"/>
    </xf>
    <xf numFmtId="236" fontId="31" fillId="21" borderId="1" xfId="216" applyNumberFormat="1" applyFont="1" applyFill="1" applyBorder="1" applyAlignment="1">
      <alignment horizontal="right" wrapText="1"/>
    </xf>
    <xf numFmtId="210" fontId="31" fillId="0" borderId="0" xfId="20849" applyFont="1" applyAlignment="1">
      <alignment horizontal="left" vertical="center"/>
    </xf>
    <xf numFmtId="2" fontId="39" fillId="23" borderId="0" xfId="216" applyNumberFormat="1" applyFont="1" applyFill="1" applyBorder="1" applyAlignment="1">
      <alignment horizontal="right" wrapText="1"/>
    </xf>
    <xf numFmtId="2" fontId="31" fillId="20" borderId="0" xfId="216" applyNumberFormat="1" applyFont="1" applyFill="1" applyBorder="1" applyAlignment="1">
      <alignment horizontal="right" wrapText="1"/>
    </xf>
    <xf numFmtId="210" fontId="31" fillId="0" borderId="0" xfId="20849" applyFont="1" applyBorder="1" applyAlignment="1">
      <alignment vertical="center"/>
    </xf>
    <xf numFmtId="9" fontId="31" fillId="21" borderId="0" xfId="23551" applyFont="1" applyFill="1" applyBorder="1" applyAlignment="1">
      <alignment horizontal="right" wrapText="1"/>
    </xf>
    <xf numFmtId="9" fontId="31" fillId="0" borderId="0" xfId="23551" applyFont="1" applyFill="1" applyBorder="1" applyAlignment="1">
      <alignment horizontal="right" wrapText="1"/>
    </xf>
    <xf numFmtId="210" fontId="31" fillId="0" borderId="1" xfId="20849" applyFont="1" applyBorder="1" applyAlignment="1">
      <alignment vertical="center"/>
    </xf>
    <xf numFmtId="9" fontId="31" fillId="21" borderId="1" xfId="23551" applyFont="1" applyFill="1" applyBorder="1" applyAlignment="1">
      <alignment horizontal="right" wrapText="1"/>
    </xf>
    <xf numFmtId="9" fontId="31" fillId="0" borderId="1" xfId="23551" applyFont="1" applyFill="1" applyBorder="1" applyAlignment="1">
      <alignment horizontal="right" wrapText="1"/>
    </xf>
    <xf numFmtId="210" fontId="31" fillId="0" borderId="0" xfId="20849" applyFont="1" applyBorder="1" applyAlignment="1">
      <alignment horizontal="left" vertical="center" indent="2"/>
    </xf>
    <xf numFmtId="236" fontId="31" fillId="0" borderId="0" xfId="17630" applyNumberFormat="1" applyFont="1" applyFill="1" applyBorder="1" applyAlignment="1">
      <alignment horizontal="right" wrapText="1"/>
    </xf>
    <xf numFmtId="210" fontId="31" fillId="0" borderId="0" xfId="20849" applyFont="1" applyBorder="1">
      <alignment vertical="center"/>
    </xf>
    <xf numFmtId="236" fontId="31" fillId="18" borderId="0" xfId="216" applyNumberFormat="1" applyFont="1" applyFill="1" applyBorder="1" applyAlignment="1">
      <alignment horizontal="right" wrapText="1"/>
    </xf>
    <xf numFmtId="236" fontId="31" fillId="0" borderId="1" xfId="216" applyNumberFormat="1" applyFont="1" applyFill="1" applyBorder="1" applyAlignment="1">
      <alignment horizontal="right" wrapText="1"/>
    </xf>
    <xf numFmtId="235" fontId="31" fillId="0" borderId="0" xfId="216" applyNumberFormat="1" applyFont="1" applyFill="1" applyBorder="1" applyAlignment="1">
      <alignment horizontal="right" wrapText="1"/>
    </xf>
    <xf numFmtId="210" fontId="31" fillId="0" borderId="1" xfId="20849" applyFont="1" applyBorder="1">
      <alignment vertical="center"/>
    </xf>
    <xf numFmtId="217" fontId="31" fillId="21" borderId="0" xfId="18746" applyNumberFormat="1" applyFont="1" applyFill="1" applyBorder="1" applyAlignment="1">
      <alignment vertical="center" wrapText="1"/>
    </xf>
    <xf numFmtId="235" fontId="31" fillId="20" borderId="0" xfId="216" applyNumberFormat="1" applyFont="1" applyFill="1" applyBorder="1" applyAlignment="1">
      <alignment horizontal="right" wrapText="1"/>
    </xf>
    <xf numFmtId="235" fontId="31" fillId="21" borderId="0" xfId="216" applyNumberFormat="1" applyFont="1" applyFill="1" applyBorder="1" applyAlignment="1">
      <alignment horizontal="right" wrapText="1"/>
    </xf>
    <xf numFmtId="210" fontId="31" fillId="0" borderId="0" xfId="20849" applyFont="1" applyFill="1" applyBorder="1" applyAlignment="1">
      <alignment horizontal="left" vertical="center"/>
    </xf>
    <xf numFmtId="210" fontId="35" fillId="0" borderId="46" xfId="21672" applyFont="1" applyFill="1" applyBorder="1" applyAlignment="1">
      <alignment horizontal="left" vertical="center" wrapText="1"/>
    </xf>
    <xf numFmtId="210" fontId="31" fillId="0" borderId="46" xfId="20849" applyFont="1" applyFill="1" applyBorder="1" applyAlignment="1">
      <alignment horizontal="left" vertical="center"/>
    </xf>
    <xf numFmtId="190" fontId="31" fillId="0" borderId="46" xfId="216" applyNumberFormat="1" applyFont="1" applyFill="1" applyBorder="1" applyAlignment="1">
      <alignment horizontal="right" wrapText="1"/>
    </xf>
    <xf numFmtId="236" fontId="31" fillId="0" borderId="46" xfId="216" applyNumberFormat="1" applyFont="1" applyFill="1" applyBorder="1" applyAlignment="1">
      <alignment horizontal="right" wrapText="1"/>
    </xf>
    <xf numFmtId="190" fontId="31" fillId="0" borderId="0" xfId="216" applyNumberFormat="1" applyFont="1" applyFill="1" applyBorder="1" applyAlignment="1">
      <alignment horizontal="right" wrapText="1"/>
    </xf>
    <xf numFmtId="236" fontId="31" fillId="21" borderId="46" xfId="216" applyNumberFormat="1" applyFont="1" applyFill="1" applyBorder="1" applyAlignment="1">
      <alignment horizontal="right" wrapText="1"/>
    </xf>
    <xf numFmtId="217" fontId="31" fillId="21" borderId="12" xfId="18746" applyNumberFormat="1" applyFont="1" applyFill="1" applyBorder="1" applyAlignment="1">
      <alignment vertical="center" wrapText="1"/>
    </xf>
    <xf numFmtId="217" fontId="31" fillId="21" borderId="19" xfId="18746" applyNumberFormat="1" applyFont="1" applyFill="1" applyBorder="1" applyAlignment="1">
      <alignment vertical="center" wrapText="1"/>
    </xf>
    <xf numFmtId="210" fontId="35" fillId="0" borderId="4" xfId="21672" applyFont="1" applyFill="1" applyBorder="1" applyAlignment="1">
      <alignment horizontal="left" vertical="center" wrapText="1"/>
    </xf>
    <xf numFmtId="210" fontId="31" fillId="0" borderId="4" xfId="20849" applyFont="1" applyFill="1" applyBorder="1" applyAlignment="1">
      <alignment horizontal="left" vertical="center"/>
    </xf>
    <xf numFmtId="235" fontId="31" fillId="0" borderId="4" xfId="216" applyNumberFormat="1" applyFont="1" applyFill="1" applyBorder="1" applyAlignment="1">
      <alignment horizontal="right" wrapText="1"/>
    </xf>
    <xf numFmtId="0" fontId="31" fillId="0" borderId="0" xfId="33522" applyNumberFormat="1" applyFont="1" applyFill="1" applyBorder="1" applyAlignment="1">
      <alignment horizontal="right" wrapText="1"/>
    </xf>
    <xf numFmtId="210" fontId="31" fillId="0" borderId="46" xfId="20849" applyFont="1" applyBorder="1" applyAlignment="1">
      <alignment horizontal="left" vertical="center"/>
    </xf>
    <xf numFmtId="0" fontId="31" fillId="0" borderId="46" xfId="216" applyNumberFormat="1" applyFont="1" applyFill="1" applyBorder="1" applyAlignment="1">
      <alignment horizontal="right" wrapText="1"/>
    </xf>
    <xf numFmtId="195" fontId="31" fillId="0" borderId="0" xfId="216" applyNumberFormat="1" applyFont="1" applyFill="1" applyBorder="1" applyAlignment="1">
      <alignment horizontal="right" wrapText="1"/>
    </xf>
    <xf numFmtId="210" fontId="31" fillId="0" borderId="1" xfId="20849" applyFont="1" applyFill="1" applyBorder="1" applyAlignment="1">
      <alignment horizontal="left" vertical="center"/>
    </xf>
    <xf numFmtId="222" fontId="31" fillId="0" borderId="1" xfId="216" applyNumberFormat="1" applyFont="1" applyFill="1" applyBorder="1" applyAlignment="1">
      <alignment horizontal="right" wrapText="1"/>
    </xf>
    <xf numFmtId="210" fontId="31" fillId="0" borderId="0" xfId="21672" applyFont="1" applyFill="1" applyBorder="1" applyAlignment="1">
      <alignment horizontal="right" wrapText="1"/>
    </xf>
    <xf numFmtId="210" fontId="31" fillId="0" borderId="0" xfId="21672" applyFont="1" applyBorder="1"/>
    <xf numFmtId="200" fontId="31" fillId="0" borderId="0" xfId="33522" applyNumberFormat="1" applyFont="1" applyFill="1" applyBorder="1" applyAlignment="1">
      <alignment horizontal="right" wrapText="1"/>
    </xf>
    <xf numFmtId="210" fontId="35" fillId="0" borderId="3" xfId="21672" applyFont="1" applyFill="1" applyBorder="1" applyAlignment="1">
      <alignment horizontal="left" vertical="center" wrapText="1"/>
    </xf>
    <xf numFmtId="210" fontId="31" fillId="0" borderId="4" xfId="21672" applyFont="1" applyFill="1" applyBorder="1" applyAlignment="1">
      <alignment horizontal="left"/>
    </xf>
    <xf numFmtId="304" fontId="31" fillId="0" borderId="4" xfId="29042" applyNumberFormat="1" applyFont="1" applyFill="1" applyBorder="1" applyAlignment="1">
      <alignment horizontal="right" wrapText="1"/>
    </xf>
    <xf numFmtId="210" fontId="31" fillId="0" borderId="1" xfId="21672" applyFont="1" applyBorder="1" applyAlignment="1">
      <alignment horizontal="left"/>
    </xf>
    <xf numFmtId="304" fontId="31" fillId="0" borderId="1" xfId="29042" applyNumberFormat="1" applyFont="1" applyFill="1" applyBorder="1" applyAlignment="1">
      <alignment horizontal="right" wrapText="1"/>
    </xf>
    <xf numFmtId="210" fontId="31" fillId="0" borderId="0" xfId="21672" applyFont="1" applyBorder="1" applyAlignment="1">
      <alignment horizontal="left"/>
    </xf>
    <xf numFmtId="210" fontId="35" fillId="3" borderId="47" xfId="21672" applyFont="1" applyFill="1" applyBorder="1" applyAlignment="1">
      <alignment horizontal="left" vertical="center"/>
    </xf>
    <xf numFmtId="210" fontId="35" fillId="0" borderId="47" xfId="21672" applyFont="1" applyBorder="1"/>
    <xf numFmtId="182" fontId="31" fillId="0" borderId="47" xfId="29042" applyNumberFormat="1" applyFont="1" applyFill="1" applyBorder="1" applyAlignment="1">
      <alignment horizontal="right" wrapText="1"/>
    </xf>
    <xf numFmtId="210" fontId="40" fillId="4" borderId="0" xfId="21672" applyFont="1" applyFill="1" applyBorder="1" applyAlignment="1">
      <alignment horizontal="left" vertical="center"/>
    </xf>
    <xf numFmtId="210" fontId="31" fillId="4" borderId="0" xfId="21672" applyFont="1" applyFill="1" applyBorder="1"/>
    <xf numFmtId="190" fontId="31" fillId="4" borderId="0" xfId="216" applyNumberFormat="1" applyFont="1" applyFill="1" applyBorder="1" applyAlignment="1">
      <alignment horizontal="right" wrapText="1"/>
    </xf>
    <xf numFmtId="210" fontId="31" fillId="4" borderId="0" xfId="20849" applyFont="1" applyFill="1" applyBorder="1" applyAlignment="1">
      <alignment vertical="center" wrapText="1"/>
    </xf>
    <xf numFmtId="210" fontId="37" fillId="22" borderId="0" xfId="20849" applyFont="1" applyFill="1" applyBorder="1" applyAlignment="1">
      <alignment horizontal="center"/>
    </xf>
    <xf numFmtId="210" fontId="37" fillId="22" borderId="0" xfId="21672" applyFont="1" applyFill="1" applyBorder="1" applyAlignment="1">
      <alignment horizontal="center"/>
    </xf>
    <xf numFmtId="210" fontId="37" fillId="22" borderId="0" xfId="20849" applyFont="1" applyFill="1" applyBorder="1" applyAlignment="1">
      <alignment horizontal="center" wrapText="1"/>
    </xf>
    <xf numFmtId="210" fontId="37" fillId="22" borderId="1" xfId="20849" applyFont="1" applyFill="1" applyBorder="1" applyAlignment="1">
      <alignment horizontal="center"/>
    </xf>
    <xf numFmtId="210" fontId="37" fillId="22" borderId="1" xfId="21672" applyFont="1" applyFill="1" applyBorder="1" applyAlignment="1">
      <alignment horizontal="center"/>
    </xf>
    <xf numFmtId="210" fontId="37" fillId="22" borderId="1" xfId="20849" applyFont="1" applyFill="1" applyBorder="1" applyAlignment="1">
      <alignment horizontal="center" wrapText="1"/>
    </xf>
    <xf numFmtId="210" fontId="31" fillId="0" borderId="0" xfId="21672" applyFont="1" applyFill="1" applyBorder="1"/>
    <xf numFmtId="239" fontId="31" fillId="0" borderId="0" xfId="20849" applyNumberFormat="1" applyFont="1" applyFill="1">
      <alignment vertical="center"/>
    </xf>
    <xf numFmtId="304" fontId="41" fillId="0" borderId="0" xfId="33522" applyNumberFormat="1" applyFont="1" applyFill="1" applyBorder="1" applyAlignment="1">
      <alignment horizontal="right" wrapText="1"/>
    </xf>
    <xf numFmtId="210" fontId="31" fillId="0" borderId="0" xfId="20849" applyFont="1">
      <alignment vertical="center"/>
    </xf>
    <xf numFmtId="265" fontId="31" fillId="0" borderId="0" xfId="20849" applyNumberFormat="1" applyFont="1">
      <alignment vertical="center"/>
    </xf>
    <xf numFmtId="236" fontId="41" fillId="0" borderId="1" xfId="216" applyNumberFormat="1" applyFont="1" applyFill="1" applyBorder="1" applyAlignment="1">
      <alignment horizontal="right" wrapText="1"/>
    </xf>
    <xf numFmtId="190" fontId="41" fillId="0" borderId="0" xfId="20849" applyNumberFormat="1" applyFont="1" applyFill="1" applyBorder="1">
      <alignment vertical="center"/>
    </xf>
    <xf numFmtId="210" fontId="42" fillId="0" borderId="0" xfId="20849" applyFont="1" applyFill="1" applyBorder="1">
      <alignment vertical="center"/>
    </xf>
    <xf numFmtId="236" fontId="31" fillId="0" borderId="0" xfId="20849" applyNumberFormat="1" applyFont="1">
      <alignment vertical="center"/>
    </xf>
    <xf numFmtId="190" fontId="31" fillId="0" borderId="0" xfId="20849" applyNumberFormat="1" applyFont="1" applyFill="1" applyBorder="1">
      <alignment vertical="center"/>
    </xf>
    <xf numFmtId="190" fontId="31" fillId="21" borderId="46" xfId="216" applyNumberFormat="1" applyFont="1" applyFill="1" applyBorder="1" applyAlignment="1">
      <alignment horizontal="right" wrapText="1"/>
    </xf>
    <xf numFmtId="210" fontId="42" fillId="0" borderId="46" xfId="20849" applyFont="1" applyFill="1" applyBorder="1">
      <alignment vertical="center"/>
    </xf>
    <xf numFmtId="190" fontId="31" fillId="0" borderId="46" xfId="20849" applyNumberFormat="1" applyFont="1" applyFill="1" applyBorder="1">
      <alignment vertical="center"/>
    </xf>
    <xf numFmtId="190" fontId="31" fillId="0" borderId="0" xfId="20849" applyNumberFormat="1" applyFont="1" applyFill="1">
      <alignment vertical="center"/>
    </xf>
    <xf numFmtId="200" fontId="42" fillId="0" borderId="0" xfId="29042" applyNumberFormat="1" applyFont="1" applyFill="1" applyAlignment="1">
      <alignment vertical="center"/>
    </xf>
    <xf numFmtId="200" fontId="31" fillId="0" borderId="0" xfId="20849" applyNumberFormat="1" applyFont="1" applyFill="1">
      <alignment vertical="center"/>
    </xf>
    <xf numFmtId="200" fontId="31" fillId="0" borderId="0" xfId="20849" applyNumberFormat="1" applyFont="1" applyFill="1" applyBorder="1">
      <alignment vertical="center"/>
    </xf>
    <xf numFmtId="210" fontId="31" fillId="0" borderId="0" xfId="20849" applyFont="1" applyFill="1">
      <alignment vertical="center"/>
    </xf>
    <xf numFmtId="210" fontId="35" fillId="4" borderId="0" xfId="20849" applyFont="1" applyFill="1" applyBorder="1">
      <alignment vertical="center"/>
    </xf>
    <xf numFmtId="295" fontId="35" fillId="0" borderId="0" xfId="20849" applyNumberFormat="1" applyFont="1" applyFill="1">
      <alignment vertical="center"/>
    </xf>
    <xf numFmtId="210" fontId="31" fillId="0" borderId="0" xfId="20849" applyFont="1" applyFill="1" applyBorder="1">
      <alignment vertical="center"/>
    </xf>
    <xf numFmtId="200" fontId="31" fillId="0" borderId="0" xfId="20849" applyNumberFormat="1" applyFont="1">
      <alignment vertical="center"/>
    </xf>
    <xf numFmtId="210" fontId="42" fillId="22" borderId="3" xfId="20849" applyFont="1" applyFill="1" applyBorder="1" applyAlignment="1">
      <alignment horizontal="center" vertical="center" wrapText="1"/>
    </xf>
    <xf numFmtId="210" fontId="42" fillId="22" borderId="5" xfId="20849" applyFont="1" applyFill="1" applyBorder="1" applyAlignment="1">
      <alignment horizontal="center" vertical="center" wrapText="1"/>
    </xf>
    <xf numFmtId="210" fontId="42" fillId="22" borderId="2" xfId="20849" applyFont="1" applyFill="1" applyBorder="1" applyAlignment="1">
      <alignment horizontal="center" vertical="center" wrapText="1"/>
    </xf>
    <xf numFmtId="210" fontId="37" fillId="22" borderId="2" xfId="20849" applyFont="1" applyFill="1" applyBorder="1" applyAlignment="1">
      <alignment horizontal="center" vertical="center" wrapText="1"/>
    </xf>
    <xf numFmtId="190" fontId="37" fillId="22" borderId="2" xfId="216" applyNumberFormat="1" applyFont="1" applyFill="1" applyBorder="1" applyAlignment="1">
      <alignment horizontal="center" vertical="center" wrapText="1"/>
    </xf>
    <xf numFmtId="304" fontId="31" fillId="0" borderId="6" xfId="33522" applyNumberFormat="1" applyFont="1" applyFill="1" applyBorder="1" applyAlignment="1">
      <alignment horizontal="right" wrapText="1"/>
    </xf>
    <xf numFmtId="305" fontId="31" fillId="24" borderId="12" xfId="20849" applyNumberFormat="1" applyFont="1" applyFill="1" applyBorder="1" applyAlignment="1">
      <alignment vertical="center" wrapText="1"/>
    </xf>
    <xf numFmtId="295" fontId="31" fillId="0" borderId="48" xfId="33522" applyNumberFormat="1" applyFont="1" applyFill="1" applyBorder="1" applyAlignment="1">
      <alignment horizontal="right" wrapText="1"/>
    </xf>
    <xf numFmtId="239" fontId="31" fillId="21" borderId="12" xfId="20849" applyNumberFormat="1" applyFont="1" applyFill="1" applyBorder="1" applyAlignment="1">
      <alignment vertical="center" wrapText="1"/>
    </xf>
    <xf numFmtId="212" fontId="31" fillId="24" borderId="12" xfId="11297" applyNumberFormat="1" applyFont="1" applyFill="1" applyBorder="1" applyAlignment="1">
      <alignment vertical="center" wrapText="1"/>
    </xf>
    <xf numFmtId="295" fontId="31" fillId="0" borderId="0" xfId="20849" applyNumberFormat="1" applyFont="1" applyFill="1" applyBorder="1">
      <alignment vertical="center"/>
    </xf>
    <xf numFmtId="210" fontId="37" fillId="22" borderId="6" xfId="20849" applyFont="1" applyFill="1" applyBorder="1" applyAlignment="1">
      <alignment horizontal="center"/>
    </xf>
    <xf numFmtId="210" fontId="37" fillId="22" borderId="13" xfId="20849" applyFont="1" applyFill="1" applyBorder="1" applyAlignment="1">
      <alignment horizontal="center"/>
    </xf>
    <xf numFmtId="308" fontId="31" fillId="0" borderId="48" xfId="33522" applyNumberFormat="1" applyFont="1" applyFill="1" applyBorder="1" applyAlignment="1">
      <alignment horizontal="right" wrapText="1"/>
    </xf>
    <xf numFmtId="212" fontId="31" fillId="24" borderId="12" xfId="18908" applyNumberFormat="1" applyFont="1" applyFill="1" applyBorder="1" applyAlignment="1">
      <alignment vertical="center" wrapText="1"/>
    </xf>
    <xf numFmtId="210" fontId="31" fillId="0" borderId="7" xfId="20849" applyFont="1" applyFill="1" applyBorder="1">
      <alignment vertical="center"/>
    </xf>
    <xf numFmtId="210" fontId="41" fillId="0" borderId="1" xfId="21672" applyFont="1" applyFill="1" applyBorder="1" applyAlignment="1">
      <alignment horizontal="left" vertical="center"/>
    </xf>
    <xf numFmtId="210" fontId="31" fillId="0" borderId="1" xfId="21672" applyFont="1" applyFill="1" applyBorder="1"/>
    <xf numFmtId="239" fontId="31" fillId="0" borderId="1" xfId="20849" applyNumberFormat="1" applyFont="1" applyFill="1" applyBorder="1">
      <alignment vertical="center"/>
    </xf>
    <xf numFmtId="304" fontId="31" fillId="0" borderId="1" xfId="29042" applyNumberFormat="1" applyFont="1" applyFill="1" applyBorder="1" applyAlignment="1">
      <alignment vertical="center" wrapText="1"/>
    </xf>
    <xf numFmtId="210" fontId="41" fillId="0" borderId="0" xfId="21672" applyFont="1" applyFill="1" applyBorder="1" applyAlignment="1">
      <alignment horizontal="left" vertical="center"/>
    </xf>
    <xf numFmtId="304" fontId="31" fillId="0" borderId="0" xfId="29042" applyNumberFormat="1" applyFont="1" applyFill="1" applyBorder="1" applyAlignment="1">
      <alignment vertical="center" wrapText="1"/>
    </xf>
    <xf numFmtId="200" fontId="43" fillId="0" borderId="47" xfId="29042" applyNumberFormat="1" applyFont="1" applyFill="1" applyBorder="1" applyAlignment="1">
      <alignment horizontal="center" vertical="center"/>
    </xf>
    <xf numFmtId="200" fontId="38" fillId="0" borderId="47" xfId="29042" applyNumberFormat="1" applyFont="1" applyFill="1" applyBorder="1" applyAlignment="1">
      <alignment wrapText="1"/>
    </xf>
    <xf numFmtId="210" fontId="31" fillId="0" borderId="0" xfId="21672" applyFont="1" applyFill="1" applyBorder="1" applyAlignment="1">
      <alignment horizontal="left" vertical="center"/>
    </xf>
    <xf numFmtId="210" fontId="31" fillId="0" borderId="0" xfId="20849" applyNumberFormat="1" applyFont="1" applyFill="1" applyBorder="1" applyAlignment="1">
      <alignment vertical="center" wrapText="1"/>
    </xf>
    <xf numFmtId="210" fontId="31" fillId="22" borderId="0" xfId="21672" applyFont="1" applyFill="1" applyBorder="1" applyAlignment="1">
      <alignment horizontal="left" vertical="center"/>
    </xf>
    <xf numFmtId="210" fontId="31" fillId="22" borderId="0" xfId="21672" applyFont="1" applyFill="1" applyBorder="1"/>
    <xf numFmtId="210" fontId="42" fillId="22" borderId="1" xfId="20849" applyNumberFormat="1" applyFont="1" applyFill="1" applyBorder="1" applyAlignment="1">
      <alignment horizontal="center" vertical="center" wrapText="1"/>
    </xf>
    <xf numFmtId="210" fontId="37" fillId="22" borderId="49" xfId="20849" applyFont="1" applyFill="1" applyBorder="1" applyAlignment="1">
      <alignment horizontal="center" vertical="center"/>
    </xf>
    <xf numFmtId="210" fontId="37" fillId="22" borderId="46" xfId="21672" applyFont="1" applyFill="1" applyBorder="1" applyAlignment="1">
      <alignment horizontal="center"/>
    </xf>
    <xf numFmtId="210" fontId="37" fillId="22" borderId="3" xfId="20849" applyFont="1" applyFill="1" applyBorder="1" applyAlignment="1">
      <alignment horizontal="center" vertical="center" wrapText="1"/>
    </xf>
    <xf numFmtId="210" fontId="35" fillId="0" borderId="12" xfId="21672" applyFont="1" applyFill="1" applyBorder="1" applyAlignment="1">
      <alignment horizontal="left" vertical="center" wrapText="1"/>
    </xf>
    <xf numFmtId="210" fontId="39" fillId="0" borderId="0" xfId="21672" applyFont="1" applyFill="1" applyBorder="1"/>
    <xf numFmtId="304" fontId="31" fillId="0" borderId="48" xfId="33522" applyNumberFormat="1" applyFont="1" applyFill="1" applyBorder="1" applyAlignment="1">
      <alignment horizontal="right" wrapText="1"/>
    </xf>
    <xf numFmtId="304" fontId="31" fillId="0" borderId="0" xfId="33522" applyNumberFormat="1" applyFont="1" applyFill="1" applyBorder="1" applyAlignment="1">
      <alignment horizontal="right" wrapText="1"/>
    </xf>
    <xf numFmtId="304" fontId="31" fillId="0" borderId="49" xfId="29042" applyNumberFormat="1" applyFont="1" applyFill="1" applyBorder="1" applyAlignment="1">
      <alignment horizontal="right" wrapText="1"/>
    </xf>
    <xf numFmtId="217" fontId="31" fillId="3" borderId="0" xfId="18746" applyNumberFormat="1" applyFont="1" applyFill="1" applyBorder="1" applyAlignment="1">
      <alignment vertical="center" wrapText="1"/>
    </xf>
    <xf numFmtId="210" fontId="31" fillId="0" borderId="12" xfId="21672" applyFont="1" applyFill="1" applyBorder="1" applyAlignment="1">
      <alignment horizontal="left" vertical="center"/>
    </xf>
    <xf numFmtId="304" fontId="31" fillId="0" borderId="12" xfId="29042" applyNumberFormat="1" applyFont="1" applyFill="1" applyBorder="1" applyAlignment="1">
      <alignment horizontal="right" wrapText="1"/>
    </xf>
    <xf numFmtId="210" fontId="31" fillId="0" borderId="19" xfId="21672" applyFont="1" applyFill="1" applyBorder="1" applyAlignment="1">
      <alignment horizontal="left" vertical="center"/>
    </xf>
    <xf numFmtId="304" fontId="31" fillId="0" borderId="50" xfId="33522" applyNumberFormat="1" applyFont="1" applyFill="1" applyBorder="1" applyAlignment="1">
      <alignment horizontal="right" wrapText="1"/>
    </xf>
    <xf numFmtId="304" fontId="31" fillId="0" borderId="1" xfId="33522" applyNumberFormat="1" applyFont="1" applyFill="1" applyBorder="1" applyAlignment="1">
      <alignment horizontal="right" wrapText="1"/>
    </xf>
    <xf numFmtId="304" fontId="31" fillId="0" borderId="19" xfId="29042" applyNumberFormat="1" applyFont="1" applyFill="1" applyBorder="1" applyAlignment="1">
      <alignment horizontal="right" wrapText="1"/>
    </xf>
    <xf numFmtId="210" fontId="39" fillId="3" borderId="1" xfId="20849" applyNumberFormat="1" applyFont="1" applyFill="1" applyBorder="1" applyAlignment="1">
      <alignment vertical="center" wrapText="1"/>
    </xf>
    <xf numFmtId="236" fontId="35" fillId="0" borderId="47" xfId="216" applyNumberFormat="1" applyFont="1" applyFill="1" applyBorder="1" applyAlignment="1">
      <alignment horizontal="right" wrapText="1"/>
    </xf>
    <xf numFmtId="200" fontId="43" fillId="0" borderId="0" xfId="29042" applyNumberFormat="1" applyFont="1" applyFill="1" applyBorder="1" applyAlignment="1">
      <alignment horizontal="right" vertical="center"/>
    </xf>
    <xf numFmtId="200" fontId="35" fillId="0" borderId="0" xfId="29042" applyNumberFormat="1" applyFont="1" applyFill="1" applyBorder="1"/>
    <xf numFmtId="200" fontId="38" fillId="0" borderId="0" xfId="29042" applyNumberFormat="1" applyFont="1" applyFill="1" applyBorder="1" applyAlignment="1">
      <alignment wrapText="1"/>
    </xf>
    <xf numFmtId="190" fontId="35" fillId="0" borderId="0" xfId="216" applyNumberFormat="1" applyFont="1" applyFill="1" applyBorder="1" applyAlignment="1">
      <alignment horizontal="right" wrapText="1"/>
    </xf>
    <xf numFmtId="210" fontId="44" fillId="0" borderId="0" xfId="21672" applyFont="1" applyFill="1" applyBorder="1" applyAlignment="1">
      <alignment horizontal="center"/>
    </xf>
    <xf numFmtId="210" fontId="37" fillId="22" borderId="0" xfId="20849" applyFont="1" applyFill="1" applyAlignment="1">
      <alignment horizontal="center"/>
    </xf>
    <xf numFmtId="210" fontId="42" fillId="22" borderId="13" xfId="20849" applyFont="1" applyFill="1" applyBorder="1" applyAlignment="1">
      <alignment horizontal="center" vertical="center" wrapText="1"/>
    </xf>
    <xf numFmtId="210" fontId="37" fillId="22" borderId="6" xfId="20849" applyFont="1" applyFill="1" applyBorder="1" applyAlignment="1">
      <alignment horizontal="center" vertical="center" wrapText="1"/>
    </xf>
    <xf numFmtId="190" fontId="37" fillId="22" borderId="6" xfId="216" applyNumberFormat="1" applyFont="1" applyFill="1" applyBorder="1" applyAlignment="1">
      <alignment horizontal="center" vertical="center" wrapText="1"/>
    </xf>
    <xf numFmtId="210" fontId="31" fillId="0" borderId="0" xfId="21672" applyFont="1" applyFill="1" applyBorder="1" applyAlignment="1">
      <alignment vertical="center"/>
    </xf>
    <xf numFmtId="304" fontId="31" fillId="0" borderId="48" xfId="29042" applyNumberFormat="1" applyFont="1" applyFill="1" applyBorder="1" applyAlignment="1">
      <alignment vertical="center" wrapText="1"/>
    </xf>
    <xf numFmtId="182" fontId="31" fillId="25" borderId="7" xfId="29042" applyNumberFormat="1" applyFont="1" applyFill="1" applyBorder="1" applyAlignment="1">
      <alignment vertical="center" wrapText="1"/>
    </xf>
    <xf numFmtId="200" fontId="31" fillId="0" borderId="7" xfId="29042" applyNumberFormat="1" applyFont="1" applyFill="1" applyBorder="1" applyAlignment="1">
      <alignment vertical="center" wrapText="1"/>
    </xf>
    <xf numFmtId="200" fontId="31" fillId="25" borderId="7" xfId="29042" applyNumberFormat="1" applyFont="1" applyFill="1" applyBorder="1" applyAlignment="1">
      <alignment vertical="center" wrapText="1"/>
    </xf>
    <xf numFmtId="210" fontId="31" fillId="0" borderId="1" xfId="21672" applyFont="1" applyFill="1" applyBorder="1" applyAlignment="1">
      <alignment horizontal="left" vertical="center"/>
    </xf>
    <xf numFmtId="304" fontId="31" fillId="0" borderId="13" xfId="29042" applyNumberFormat="1" applyFont="1" applyFill="1" applyBorder="1" applyAlignment="1">
      <alignment vertical="center" wrapText="1"/>
    </xf>
    <xf numFmtId="200" fontId="31" fillId="25" borderId="13" xfId="29042" applyNumberFormat="1" applyFont="1" applyFill="1" applyBorder="1" applyAlignment="1">
      <alignment vertical="center" wrapText="1"/>
    </xf>
    <xf numFmtId="210" fontId="41" fillId="0" borderId="0" xfId="21672" applyFont="1" applyFill="1" applyBorder="1" applyAlignment="1">
      <alignment horizontal="left"/>
    </xf>
    <xf numFmtId="200" fontId="43" fillId="0" borderId="47" xfId="29042" applyNumberFormat="1" applyFont="1" applyFill="1" applyBorder="1" applyAlignment="1">
      <alignment horizontal="right" vertical="center"/>
    </xf>
    <xf numFmtId="200" fontId="35" fillId="0" borderId="47" xfId="29042" applyNumberFormat="1" applyFont="1" applyFill="1" applyBorder="1"/>
    <xf numFmtId="190" fontId="35" fillId="0" borderId="47" xfId="216" applyNumberFormat="1" applyFont="1" applyFill="1" applyBorder="1" applyAlignment="1">
      <alignment horizontal="right" wrapText="1"/>
    </xf>
    <xf numFmtId="210" fontId="31" fillId="0" borderId="0" xfId="21672" applyFont="1" applyFill="1" applyBorder="1" applyAlignment="1">
      <alignment horizontal="center"/>
    </xf>
    <xf numFmtId="210" fontId="31" fillId="0" borderId="0" xfId="20849" applyFont="1" applyFill="1" applyBorder="1" applyAlignment="1">
      <alignment vertical="center" wrapText="1"/>
    </xf>
    <xf numFmtId="190" fontId="45" fillId="0" borderId="0" xfId="216" applyNumberFormat="1" applyFont="1" applyFill="1" applyBorder="1" applyAlignment="1">
      <alignment horizontal="right" wrapText="1"/>
    </xf>
    <xf numFmtId="210" fontId="44" fillId="0" borderId="0" xfId="21672" applyFont="1" applyFill="1" applyBorder="1" applyAlignment="1"/>
    <xf numFmtId="210" fontId="42" fillId="22" borderId="19" xfId="20849" applyFont="1" applyFill="1" applyBorder="1" applyAlignment="1">
      <alignment horizontal="center" vertical="center" wrapText="1"/>
    </xf>
    <xf numFmtId="210" fontId="31" fillId="0" borderId="0" xfId="21672" applyFont="1" applyBorder="1" applyAlignment="1">
      <alignment vertical="center"/>
    </xf>
    <xf numFmtId="200" fontId="31" fillId="0" borderId="0" xfId="33522" applyNumberFormat="1" applyFont="1" applyFill="1" applyBorder="1" applyAlignment="1">
      <alignment horizontal="right" vertical="center" wrapText="1"/>
    </xf>
    <xf numFmtId="200" fontId="31" fillId="0" borderId="0" xfId="29042" applyNumberFormat="1" applyFont="1" applyFill="1" applyBorder="1" applyAlignment="1">
      <alignment horizontal="right" vertical="center" wrapText="1"/>
    </xf>
    <xf numFmtId="239" fontId="31" fillId="21" borderId="49" xfId="20849" applyNumberFormat="1" applyFont="1" applyFill="1" applyBorder="1" applyAlignment="1">
      <alignment vertical="center" wrapText="1"/>
    </xf>
    <xf numFmtId="210" fontId="31" fillId="0" borderId="1" xfId="21672" applyFont="1" applyFill="1" applyBorder="1" applyAlignment="1">
      <alignment horizontal="left"/>
    </xf>
    <xf numFmtId="304" fontId="31" fillId="21" borderId="13" xfId="29042" applyNumberFormat="1" applyFont="1" applyFill="1" applyBorder="1" applyAlignment="1">
      <alignment vertical="center" wrapText="1"/>
    </xf>
    <xf numFmtId="236" fontId="31" fillId="0" borderId="0" xfId="20849" applyNumberFormat="1" applyFont="1" applyFill="1" applyBorder="1" applyAlignment="1">
      <alignment vertical="center" wrapText="1"/>
    </xf>
    <xf numFmtId="210" fontId="37" fillId="22" borderId="3" xfId="20849" applyFont="1" applyFill="1" applyBorder="1" applyAlignment="1">
      <alignment horizontal="center" vertical="center"/>
    </xf>
    <xf numFmtId="210" fontId="37" fillId="22" borderId="4" xfId="21672" applyFont="1" applyFill="1" applyBorder="1" applyAlignment="1">
      <alignment horizontal="center"/>
    </xf>
    <xf numFmtId="210" fontId="35" fillId="0" borderId="1" xfId="21672" applyFont="1" applyFill="1" applyBorder="1" applyAlignment="1">
      <alignment horizontal="left" vertical="center"/>
    </xf>
    <xf numFmtId="210" fontId="31" fillId="0" borderId="1" xfId="21672" applyFont="1" applyFill="1" applyBorder="1" applyAlignment="1">
      <alignment vertical="center" wrapText="1"/>
    </xf>
    <xf numFmtId="304" fontId="39" fillId="18" borderId="1" xfId="29042" applyNumberFormat="1" applyFont="1" applyFill="1" applyBorder="1" applyAlignment="1">
      <alignment vertical="center" wrapText="1"/>
    </xf>
    <xf numFmtId="304" fontId="39" fillId="0" borderId="1" xfId="29042" applyNumberFormat="1" applyFont="1" applyFill="1" applyBorder="1" applyAlignment="1">
      <alignment vertical="center" wrapText="1"/>
    </xf>
    <xf numFmtId="236" fontId="39" fillId="0" borderId="1" xfId="216" applyNumberFormat="1" applyFont="1" applyFill="1" applyBorder="1" applyAlignment="1">
      <alignment horizontal="right" vertical="center" wrapText="1"/>
    </xf>
    <xf numFmtId="200" fontId="35" fillId="0" borderId="47" xfId="29042" applyNumberFormat="1" applyFont="1" applyFill="1" applyBorder="1" applyAlignment="1">
      <alignment wrapText="1"/>
    </xf>
    <xf numFmtId="10" fontId="31" fillId="0" borderId="1" xfId="23551" applyNumberFormat="1" applyFont="1" applyFill="1" applyBorder="1" applyAlignment="1">
      <alignment horizontal="right" vertical="center" wrapText="1"/>
    </xf>
    <xf numFmtId="294" fontId="39" fillId="0" borderId="1" xfId="216" applyNumberFormat="1" applyFont="1" applyFill="1" applyBorder="1" applyAlignment="1">
      <alignment horizontal="right" vertical="center" wrapText="1"/>
    </xf>
    <xf numFmtId="200" fontId="39" fillId="21" borderId="1" xfId="33522" applyNumberFormat="1" applyFont="1" applyFill="1" applyBorder="1" applyAlignment="1">
      <alignment vertical="center" wrapText="1"/>
    </xf>
    <xf numFmtId="200" fontId="39" fillId="21" borderId="1" xfId="29042" applyNumberFormat="1" applyFont="1" applyFill="1" applyBorder="1" applyAlignment="1">
      <alignment vertical="center" wrapText="1"/>
    </xf>
    <xf numFmtId="9" fontId="39" fillId="21" borderId="1" xfId="216" applyNumberFormat="1" applyFont="1" applyFill="1" applyBorder="1" applyAlignment="1">
      <alignment horizontal="right" wrapText="1"/>
    </xf>
    <xf numFmtId="210" fontId="44" fillId="0" borderId="0" xfId="21672" applyFont="1" applyFill="1" applyBorder="1" applyAlignment="1">
      <alignment horizontal="left" vertical="center" wrapText="1"/>
    </xf>
    <xf numFmtId="10" fontId="31" fillId="0" borderId="0" xfId="23551" applyNumberFormat="1" applyFont="1" applyFill="1" applyBorder="1" applyAlignment="1">
      <alignment vertical="center" wrapText="1"/>
    </xf>
    <xf numFmtId="210" fontId="44" fillId="0" borderId="51" xfId="20849" applyFont="1" applyBorder="1" applyAlignment="1">
      <alignment horizontal="left" vertical="center"/>
    </xf>
    <xf numFmtId="210" fontId="39" fillId="0" borderId="51" xfId="21672" applyFont="1" applyFill="1" applyBorder="1"/>
    <xf numFmtId="190" fontId="44" fillId="0" borderId="51" xfId="216" applyNumberFormat="1" applyFont="1" applyFill="1" applyBorder="1" applyAlignment="1">
      <alignment horizontal="right" wrapText="1"/>
    </xf>
    <xf numFmtId="210" fontId="39" fillId="0" borderId="0" xfId="20849" applyFont="1" applyAlignment="1">
      <alignment horizontal="left" vertical="center"/>
    </xf>
    <xf numFmtId="10" fontId="35" fillId="18" borderId="0" xfId="216" applyNumberFormat="1" applyFont="1" applyFill="1" applyBorder="1" applyAlignment="1">
      <alignment horizontal="right" vertical="center" wrapText="1"/>
    </xf>
    <xf numFmtId="10" fontId="35" fillId="0" borderId="0" xfId="216" applyNumberFormat="1" applyFont="1" applyFill="1" applyBorder="1" applyAlignment="1">
      <alignment horizontal="right" vertical="center" wrapText="1"/>
    </xf>
    <xf numFmtId="200" fontId="44" fillId="0" borderId="47" xfId="29042" applyNumberFormat="1" applyFont="1" applyFill="1" applyBorder="1" applyAlignment="1">
      <alignment horizontal="left" vertical="center" wrapText="1"/>
    </xf>
    <xf numFmtId="10" fontId="35" fillId="18" borderId="13" xfId="216" applyNumberFormat="1" applyFont="1" applyFill="1" applyBorder="1" applyAlignment="1">
      <alignment horizontal="right" vertical="center" wrapText="1"/>
    </xf>
    <xf numFmtId="200" fontId="31" fillId="0" borderId="47" xfId="33522" applyFont="1" applyFill="1" applyBorder="1" applyAlignment="1">
      <alignment vertical="center" wrapText="1"/>
    </xf>
    <xf numFmtId="190" fontId="31" fillId="0" borderId="0" xfId="216" applyNumberFormat="1" applyFont="1" applyFill="1" applyBorder="1" applyAlignment="1">
      <alignment horizontal="center" wrapText="1"/>
    </xf>
    <xf numFmtId="210" fontId="46" fillId="26" borderId="0" xfId="21672" applyFont="1" applyFill="1" applyBorder="1" applyAlignment="1">
      <alignment horizontal="center"/>
    </xf>
    <xf numFmtId="210" fontId="7" fillId="18" borderId="52" xfId="39" applyNumberFormat="1" applyFont="1" applyFill="1" applyBorder="1" applyAlignment="1">
      <alignment horizontal="right" wrapText="1"/>
    </xf>
    <xf numFmtId="309" fontId="31" fillId="0" borderId="0" xfId="23551" applyNumberFormat="1" applyFont="1" applyAlignment="1">
      <alignment vertical="center" wrapText="1"/>
    </xf>
    <xf numFmtId="310" fontId="7" fillId="0" borderId="0" xfId="216" applyNumberFormat="1" applyFont="1" applyFill="1" applyBorder="1" applyAlignment="1">
      <alignment horizontal="right" wrapText="1"/>
    </xf>
    <xf numFmtId="210" fontId="41" fillId="0" borderId="0" xfId="21672" applyFont="1" applyAlignment="1">
      <alignment horizontal="left"/>
    </xf>
    <xf numFmtId="190" fontId="31" fillId="0" borderId="0" xfId="216" applyNumberFormat="1" applyFont="1" applyAlignment="1">
      <alignment horizontal="center" wrapText="1"/>
    </xf>
    <xf numFmtId="190" fontId="31" fillId="0" borderId="0" xfId="216" applyNumberFormat="1" applyFont="1" applyAlignment="1">
      <alignment horizontal="right" vertical="center" wrapText="1"/>
    </xf>
    <xf numFmtId="304" fontId="31" fillId="0" borderId="7" xfId="33522" applyNumberFormat="1" applyFont="1" applyFill="1" applyBorder="1" applyAlignment="1">
      <alignment horizontal="right" wrapText="1"/>
    </xf>
    <xf numFmtId="295" fontId="31" fillId="0" borderId="48" xfId="29042" applyNumberFormat="1" applyFont="1" applyFill="1" applyBorder="1" applyAlignment="1">
      <alignment horizontal="right" wrapText="1"/>
    </xf>
    <xf numFmtId="194" fontId="31" fillId="21" borderId="19" xfId="11297" applyNumberFormat="1" applyFont="1" applyFill="1" applyBorder="1" applyAlignment="1">
      <alignment vertical="center" wrapText="1"/>
    </xf>
    <xf numFmtId="295" fontId="31" fillId="0" borderId="50" xfId="33522" applyNumberFormat="1" applyFont="1" applyFill="1" applyBorder="1" applyAlignment="1">
      <alignment horizontal="right" wrapText="1"/>
    </xf>
    <xf numFmtId="239" fontId="31" fillId="21" borderId="19" xfId="20849" applyNumberFormat="1" applyFont="1" applyFill="1" applyBorder="1" applyAlignment="1">
      <alignment vertical="center" wrapText="1"/>
    </xf>
    <xf numFmtId="295" fontId="31" fillId="0" borderId="50" xfId="29042" applyNumberFormat="1" applyFont="1" applyFill="1" applyBorder="1" applyAlignment="1">
      <alignment horizontal="right" wrapText="1"/>
    </xf>
    <xf numFmtId="217" fontId="31" fillId="21" borderId="19" xfId="20849" applyNumberFormat="1" applyFont="1" applyFill="1" applyBorder="1" applyAlignment="1">
      <alignment vertical="center" wrapText="1"/>
    </xf>
    <xf numFmtId="239" fontId="31" fillId="0" borderId="0" xfId="20849" applyNumberFormat="1" applyFont="1" applyFill="1" applyBorder="1" applyAlignment="1">
      <alignment vertical="center" wrapText="1"/>
    </xf>
    <xf numFmtId="190" fontId="35" fillId="3" borderId="47" xfId="216" applyNumberFormat="1" applyFont="1" applyFill="1" applyBorder="1" applyAlignment="1">
      <alignment horizontal="right" wrapText="1"/>
    </xf>
    <xf numFmtId="295" fontId="35" fillId="3" borderId="47" xfId="29042" applyNumberFormat="1" applyFont="1" applyFill="1" applyBorder="1" applyAlignment="1">
      <alignment wrapText="1"/>
    </xf>
    <xf numFmtId="228" fontId="35" fillId="0" borderId="47" xfId="29042" applyNumberFormat="1" applyFont="1" applyFill="1" applyBorder="1" applyAlignment="1">
      <alignment wrapText="1"/>
    </xf>
    <xf numFmtId="190" fontId="42" fillId="22" borderId="1" xfId="216" applyNumberFormat="1" applyFont="1" applyFill="1" applyBorder="1" applyAlignment="1">
      <alignment horizontal="center" wrapText="1"/>
    </xf>
    <xf numFmtId="190" fontId="37" fillId="22" borderId="5" xfId="216" applyNumberFormat="1" applyFont="1" applyFill="1" applyBorder="1" applyAlignment="1">
      <alignment horizontal="center" vertical="center" wrapText="1"/>
    </xf>
    <xf numFmtId="210" fontId="31" fillId="0" borderId="46" xfId="20849" applyFont="1" applyBorder="1">
      <alignment vertical="center"/>
    </xf>
    <xf numFmtId="212" fontId="31" fillId="24" borderId="12" xfId="18746" applyNumberFormat="1" applyFont="1" applyFill="1" applyBorder="1" applyAlignment="1">
      <alignment vertical="center" wrapText="1"/>
    </xf>
    <xf numFmtId="307" fontId="31" fillId="24" borderId="12" xfId="18746" applyNumberFormat="1" applyFont="1" applyFill="1" applyBorder="1" applyAlignment="1">
      <alignment vertical="center" wrapText="1"/>
    </xf>
    <xf numFmtId="44" fontId="31" fillId="0" borderId="0" xfId="20849" applyNumberFormat="1" applyFont="1" applyBorder="1">
      <alignment vertical="center"/>
    </xf>
    <xf numFmtId="200" fontId="31" fillId="0" borderId="0" xfId="20849" applyNumberFormat="1" applyFont="1" applyBorder="1">
      <alignment vertical="center"/>
    </xf>
    <xf numFmtId="212" fontId="31" fillId="24" borderId="19" xfId="18746" applyNumberFormat="1" applyFont="1" applyFill="1" applyBorder="1" applyAlignment="1">
      <alignment vertical="center" wrapText="1"/>
    </xf>
    <xf numFmtId="307" fontId="39" fillId="24" borderId="19" xfId="20849" applyNumberFormat="1" applyFont="1" applyFill="1" applyBorder="1" applyAlignment="1">
      <alignment vertical="center" wrapText="1"/>
    </xf>
    <xf numFmtId="44" fontId="31" fillId="0" borderId="1" xfId="20849" applyNumberFormat="1" applyFont="1" applyBorder="1">
      <alignment vertical="center"/>
    </xf>
    <xf numFmtId="236" fontId="35" fillId="3" borderId="47" xfId="216" applyNumberFormat="1" applyFont="1" applyFill="1" applyBorder="1" applyAlignment="1">
      <alignment horizontal="right" wrapText="1"/>
    </xf>
    <xf numFmtId="200" fontId="35" fillId="3" borderId="47" xfId="29042" applyNumberFormat="1" applyFont="1" applyFill="1" applyBorder="1" applyAlignment="1">
      <alignment wrapText="1"/>
    </xf>
    <xf numFmtId="200" fontId="35" fillId="0" borderId="47" xfId="29042" applyNumberFormat="1" applyFont="1" applyFill="1" applyBorder="1" applyAlignment="1">
      <alignment horizontal="right" wrapText="1"/>
    </xf>
    <xf numFmtId="200" fontId="35" fillId="0" borderId="47" xfId="29042" applyNumberFormat="1" applyFont="1" applyFill="1" applyBorder="1" applyAlignment="1">
      <alignment horizontal="right"/>
    </xf>
    <xf numFmtId="200" fontId="35" fillId="0" borderId="0" xfId="29042" applyNumberFormat="1" applyFont="1" applyFill="1" applyBorder="1" applyAlignment="1">
      <alignment wrapText="1"/>
    </xf>
    <xf numFmtId="200" fontId="35" fillId="0" borderId="0" xfId="29042" applyNumberFormat="1" applyFont="1" applyFill="1" applyBorder="1" applyAlignment="1">
      <alignment vertical="center" wrapText="1"/>
    </xf>
    <xf numFmtId="200" fontId="35" fillId="0" borderId="0" xfId="29042" applyNumberFormat="1" applyFont="1" applyFill="1" applyBorder="1" applyAlignment="1">
      <alignment horizontal="right" wrapText="1"/>
    </xf>
    <xf numFmtId="200" fontId="35" fillId="0" borderId="0" xfId="29042" applyNumberFormat="1" applyFont="1" applyFill="1" applyBorder="1" applyAlignment="1">
      <alignment horizontal="right"/>
    </xf>
    <xf numFmtId="200" fontId="31" fillId="0" borderId="48" xfId="29042" applyNumberFormat="1" applyFont="1" applyFill="1" applyBorder="1" applyAlignment="1">
      <alignment vertical="center" wrapText="1"/>
    </xf>
    <xf numFmtId="304" fontId="31" fillId="0" borderId="53" xfId="29042" applyNumberFormat="1" applyFont="1" applyFill="1" applyBorder="1" applyAlignment="1">
      <alignment vertical="center" wrapText="1"/>
    </xf>
    <xf numFmtId="304" fontId="31" fillId="25" borderId="6" xfId="29042" applyNumberFormat="1" applyFont="1" applyFill="1" applyBorder="1" applyAlignment="1">
      <alignment vertical="center" wrapText="1"/>
    </xf>
    <xf numFmtId="304" fontId="31" fillId="0" borderId="6" xfId="29042" applyNumberFormat="1" applyFont="1" applyFill="1" applyBorder="1" applyAlignment="1">
      <alignment vertical="center" wrapText="1"/>
    </xf>
    <xf numFmtId="304" fontId="31" fillId="0" borderId="7" xfId="29042" applyNumberFormat="1" applyFont="1" applyFill="1" applyBorder="1" applyAlignment="1">
      <alignment vertical="center" wrapText="1"/>
    </xf>
    <xf numFmtId="304" fontId="31" fillId="25" borderId="7" xfId="29042" applyNumberFormat="1" applyFont="1" applyFill="1" applyBorder="1" applyAlignment="1">
      <alignment vertical="center" wrapText="1"/>
    </xf>
    <xf numFmtId="295" fontId="31" fillId="25" borderId="7" xfId="29042" applyNumberFormat="1" applyFont="1" applyFill="1" applyBorder="1" applyAlignment="1">
      <alignment vertical="center" wrapText="1"/>
    </xf>
    <xf numFmtId="200" fontId="31" fillId="0" borderId="13" xfId="29042" applyNumberFormat="1" applyFont="1" applyFill="1" applyBorder="1" applyAlignment="1">
      <alignment vertical="center" wrapText="1"/>
    </xf>
    <xf numFmtId="304" fontId="39" fillId="18" borderId="13" xfId="29042" applyNumberFormat="1" applyFont="1" applyFill="1" applyBorder="1" applyAlignment="1">
      <alignment vertical="center" wrapText="1"/>
    </xf>
    <xf numFmtId="182" fontId="31" fillId="18" borderId="13" xfId="29042" applyNumberFormat="1" applyFont="1" applyFill="1" applyBorder="1" applyAlignment="1">
      <alignment vertical="center" wrapText="1"/>
    </xf>
    <xf numFmtId="311" fontId="35" fillId="0" borderId="47" xfId="216" applyNumberFormat="1" applyFont="1" applyFill="1" applyBorder="1" applyAlignment="1">
      <alignment horizontal="right" wrapText="1"/>
    </xf>
    <xf numFmtId="210" fontId="42" fillId="22" borderId="1" xfId="20849" applyFont="1" applyFill="1" applyBorder="1" applyAlignment="1">
      <alignment horizontal="center" vertical="center" wrapText="1"/>
    </xf>
    <xf numFmtId="210" fontId="42" fillId="22" borderId="50" xfId="20849" applyFont="1" applyFill="1" applyBorder="1" applyAlignment="1">
      <alignment horizontal="center" vertical="center" wrapText="1"/>
    </xf>
    <xf numFmtId="239" fontId="31" fillId="21" borderId="6" xfId="20849" applyNumberFormat="1" applyFont="1" applyFill="1" applyBorder="1" applyAlignment="1">
      <alignment vertical="center" wrapText="1"/>
    </xf>
    <xf numFmtId="295" fontId="31" fillId="3" borderId="53" xfId="29042" applyNumberFormat="1" applyFont="1" applyFill="1" applyBorder="1" applyAlignment="1">
      <alignment vertical="center" wrapText="1"/>
    </xf>
    <xf numFmtId="295" fontId="31" fillId="0" borderId="53" xfId="29042" applyNumberFormat="1" applyFont="1" applyFill="1" applyBorder="1" applyAlignment="1">
      <alignment vertical="center" wrapText="1"/>
    </xf>
    <xf numFmtId="236" fontId="31" fillId="21" borderId="49" xfId="216" applyNumberFormat="1" applyFont="1" applyFill="1" applyBorder="1" applyAlignment="1">
      <alignment vertical="center" wrapText="1"/>
    </xf>
    <xf numFmtId="295" fontId="31" fillId="0" borderId="50" xfId="29042" applyNumberFormat="1" applyFont="1" applyFill="1" applyBorder="1" applyAlignment="1">
      <alignment vertical="center" wrapText="1"/>
    </xf>
    <xf numFmtId="304" fontId="31" fillId="21" borderId="19" xfId="29042" applyNumberFormat="1" applyFont="1" applyFill="1" applyBorder="1" applyAlignment="1">
      <alignment vertical="center" wrapText="1"/>
    </xf>
    <xf numFmtId="200" fontId="31" fillId="0" borderId="50" xfId="29042" applyNumberFormat="1" applyFont="1" applyFill="1" applyBorder="1" applyAlignment="1">
      <alignment vertical="center" wrapText="1"/>
    </xf>
    <xf numFmtId="312" fontId="31" fillId="0" borderId="0" xfId="20849" applyNumberFormat="1" applyFont="1" applyFill="1" applyBorder="1" applyAlignment="1">
      <alignment vertical="center" wrapText="1"/>
    </xf>
    <xf numFmtId="295" fontId="35" fillId="0" borderId="47" xfId="29042" applyNumberFormat="1" applyFont="1" applyFill="1" applyBorder="1" applyAlignment="1">
      <alignment wrapText="1"/>
    </xf>
    <xf numFmtId="200" fontId="35" fillId="0" borderId="47" xfId="29042" applyNumberFormat="1" applyFont="1" applyFill="1" applyBorder="1" applyAlignment="1">
      <alignment vertical="center" wrapText="1"/>
    </xf>
    <xf numFmtId="210" fontId="37" fillId="0" borderId="0" xfId="20849" applyFont="1" applyFill="1" applyBorder="1" applyAlignment="1"/>
    <xf numFmtId="210" fontId="37" fillId="22" borderId="13" xfId="20849" applyFont="1" applyFill="1" applyBorder="1" applyAlignment="1">
      <alignment wrapText="1"/>
    </xf>
    <xf numFmtId="200" fontId="31" fillId="0" borderId="0" xfId="20849" applyNumberFormat="1" applyFont="1" applyAlignment="1">
      <alignment vertical="center" wrapText="1"/>
    </xf>
    <xf numFmtId="295" fontId="31" fillId="0" borderId="1" xfId="33522" applyNumberFormat="1" applyFont="1" applyFill="1" applyBorder="1" applyAlignment="1">
      <alignment vertical="center" wrapText="1"/>
    </xf>
    <xf numFmtId="210" fontId="31" fillId="0" borderId="0" xfId="20849" applyFont="1" applyFill="1" applyBorder="1" applyAlignment="1">
      <alignment horizontal="center" vertical="center" wrapText="1"/>
    </xf>
    <xf numFmtId="210" fontId="31" fillId="0" borderId="0" xfId="20849" applyFont="1" applyBorder="1" applyAlignment="1">
      <alignment vertical="center" wrapText="1"/>
    </xf>
    <xf numFmtId="200" fontId="35" fillId="18" borderId="47" xfId="29042" applyNumberFormat="1" applyFont="1" applyFill="1" applyBorder="1" applyAlignment="1">
      <alignment wrapText="1"/>
    </xf>
    <xf numFmtId="294" fontId="39" fillId="0" borderId="1" xfId="17630" applyNumberFormat="1" applyFont="1" applyFill="1" applyBorder="1" applyAlignment="1">
      <alignment horizontal="right" vertical="center" wrapText="1"/>
    </xf>
    <xf numFmtId="210" fontId="31" fillId="0" borderId="1" xfId="33522" applyNumberFormat="1" applyFont="1" applyFill="1" applyBorder="1" applyAlignment="1">
      <alignment vertical="center" wrapText="1"/>
    </xf>
    <xf numFmtId="300" fontId="31" fillId="0" borderId="0" xfId="20849" applyNumberFormat="1" applyFont="1" applyFill="1" applyBorder="1" applyAlignment="1">
      <alignment vertical="center" wrapText="1"/>
    </xf>
    <xf numFmtId="222" fontId="31" fillId="0" borderId="1" xfId="20849" applyNumberFormat="1" applyFont="1" applyFill="1" applyBorder="1" applyAlignment="1">
      <alignment vertical="center" wrapText="1"/>
    </xf>
    <xf numFmtId="200" fontId="31" fillId="0" borderId="0" xfId="20849" applyNumberFormat="1" applyFont="1" applyFill="1" applyBorder="1" applyAlignment="1">
      <alignment vertical="center" wrapText="1"/>
    </xf>
    <xf numFmtId="200" fontId="31" fillId="0" borderId="47" xfId="20849" applyNumberFormat="1" applyFont="1" applyFill="1" applyBorder="1" applyAlignment="1">
      <alignment vertical="center" wrapText="1"/>
    </xf>
    <xf numFmtId="210" fontId="31" fillId="0" borderId="0" xfId="20849" applyFont="1" applyFill="1" applyBorder="1" applyAlignment="1">
      <alignment horizontal="left" vertical="center" wrapText="1"/>
    </xf>
    <xf numFmtId="277" fontId="31" fillId="0" borderId="0" xfId="20849" applyNumberFormat="1" applyFont="1" applyFill="1" applyBorder="1" applyAlignment="1">
      <alignment vertical="center" wrapText="1"/>
    </xf>
    <xf numFmtId="230" fontId="31" fillId="0" borderId="0" xfId="20849" applyNumberFormat="1" applyFont="1" applyFill="1" applyBorder="1" applyAlignment="1">
      <alignment vertical="center" wrapText="1"/>
    </xf>
    <xf numFmtId="294" fontId="31" fillId="0" borderId="0" xfId="20849" applyNumberFormat="1" applyFont="1" applyFill="1" applyBorder="1" applyAlignment="1">
      <alignment vertical="center" wrapText="1"/>
    </xf>
    <xf numFmtId="44" fontId="31" fillId="0" borderId="0" xfId="20849" applyNumberFormat="1" applyFont="1" applyAlignment="1">
      <alignment vertical="center" wrapText="1"/>
    </xf>
    <xf numFmtId="239" fontId="31" fillId="21" borderId="12" xfId="11297" applyNumberFormat="1" applyFont="1" applyFill="1" applyBorder="1" applyAlignment="1">
      <alignment vertical="center" wrapText="1"/>
    </xf>
    <xf numFmtId="308" fontId="31" fillId="0" borderId="50" xfId="33522" applyNumberFormat="1" applyFont="1" applyFill="1" applyBorder="1" applyAlignment="1">
      <alignment horizontal="right" wrapText="1"/>
    </xf>
    <xf numFmtId="239" fontId="31" fillId="21" borderId="19" xfId="11297" applyNumberFormat="1" applyFont="1" applyFill="1" applyBorder="1" applyAlignment="1">
      <alignment vertical="center" wrapText="1"/>
    </xf>
    <xf numFmtId="210" fontId="31" fillId="0" borderId="13" xfId="20849" applyFont="1" applyFill="1" applyBorder="1">
      <alignment vertical="center"/>
    </xf>
    <xf numFmtId="210" fontId="31" fillId="0" borderId="53" xfId="20849" applyFont="1" applyFill="1" applyBorder="1">
      <alignment vertical="center"/>
    </xf>
    <xf numFmtId="210" fontId="31" fillId="0" borderId="48" xfId="20849" applyFont="1" applyFill="1" applyBorder="1">
      <alignment vertical="center"/>
    </xf>
    <xf numFmtId="210" fontId="31" fillId="0" borderId="48" xfId="20849" applyFont="1" applyBorder="1">
      <alignment vertical="center"/>
    </xf>
    <xf numFmtId="210" fontId="31" fillId="0" borderId="50" xfId="20849" applyFont="1" applyFill="1" applyBorder="1">
      <alignment vertical="center"/>
    </xf>
    <xf numFmtId="210" fontId="31" fillId="0" borderId="19" xfId="20849" applyFont="1" applyBorder="1">
      <alignment vertical="center"/>
    </xf>
    <xf numFmtId="210" fontId="31" fillId="0" borderId="50" xfId="20849" applyFont="1" applyBorder="1">
      <alignment vertical="center"/>
    </xf>
    <xf numFmtId="210" fontId="35" fillId="0" borderId="0" xfId="20849" applyFont="1">
      <alignment vertical="center"/>
    </xf>
    <xf numFmtId="228" fontId="47" fillId="18" borderId="0" xfId="20849" applyNumberFormat="1" applyFont="1" applyFill="1">
      <alignment vertical="center"/>
    </xf>
    <xf numFmtId="210" fontId="37" fillId="22" borderId="49" xfId="20849" applyFont="1" applyFill="1" applyBorder="1" applyAlignment="1">
      <alignment horizontal="center"/>
    </xf>
    <xf numFmtId="210" fontId="37" fillId="22" borderId="12" xfId="20849" applyFont="1" applyFill="1" applyBorder="1" applyAlignment="1">
      <alignment horizontal="center"/>
    </xf>
    <xf numFmtId="210" fontId="37" fillId="22" borderId="7" xfId="20849" applyFont="1" applyFill="1" applyBorder="1" applyAlignment="1">
      <alignment horizontal="center"/>
    </xf>
    <xf numFmtId="182" fontId="31" fillId="0" borderId="6" xfId="29042" applyNumberFormat="1" applyFont="1" applyFill="1" applyBorder="1" applyAlignment="1">
      <alignment vertical="center" wrapText="1"/>
    </xf>
    <xf numFmtId="182" fontId="31" fillId="25" borderId="6" xfId="29042" applyNumberFormat="1" applyFont="1" applyFill="1" applyBorder="1" applyAlignment="1">
      <alignment vertical="center" wrapText="1"/>
    </xf>
    <xf numFmtId="210" fontId="31" fillId="0" borderId="7" xfId="20849" applyFont="1" applyFill="1" applyBorder="1" applyAlignment="1">
      <alignment vertical="center" wrapText="1"/>
    </xf>
    <xf numFmtId="210" fontId="31" fillId="0" borderId="1" xfId="20849" applyFont="1" applyFill="1" applyBorder="1" applyAlignment="1">
      <alignment vertical="center" wrapText="1"/>
    </xf>
    <xf numFmtId="210" fontId="31" fillId="0" borderId="13" xfId="20849" applyFont="1" applyFill="1" applyBorder="1" applyAlignment="1">
      <alignment vertical="center" wrapText="1"/>
    </xf>
    <xf numFmtId="310" fontId="35" fillId="0" borderId="47" xfId="216" applyNumberFormat="1" applyFont="1" applyFill="1" applyBorder="1" applyAlignment="1">
      <alignment horizontal="right" wrapText="1"/>
    </xf>
    <xf numFmtId="200" fontId="47" fillId="18" borderId="0" xfId="20849" applyNumberFormat="1" applyFont="1" applyFill="1">
      <alignment vertical="center"/>
    </xf>
    <xf numFmtId="295" fontId="31" fillId="0" borderId="53" xfId="33522" applyNumberFormat="1" applyFont="1" applyFill="1" applyBorder="1" applyAlignment="1">
      <alignment vertical="center" wrapText="1"/>
    </xf>
    <xf numFmtId="210" fontId="31" fillId="0" borderId="2" xfId="20849" applyFont="1" applyFill="1" applyBorder="1" applyAlignment="1">
      <alignment vertical="center" wrapText="1"/>
    </xf>
    <xf numFmtId="182" fontId="35" fillId="0" borderId="47" xfId="29042" applyNumberFormat="1" applyFont="1" applyFill="1" applyBorder="1" applyAlignment="1">
      <alignment wrapText="1"/>
    </xf>
    <xf numFmtId="182" fontId="47" fillId="0" borderId="0" xfId="20849" applyNumberFormat="1" applyFont="1" applyFill="1">
      <alignment vertical="center"/>
    </xf>
    <xf numFmtId="210" fontId="38" fillId="0" borderId="0" xfId="20849" applyFont="1" applyFill="1" applyAlignment="1">
      <alignment vertical="center" wrapText="1"/>
    </xf>
    <xf numFmtId="210" fontId="31" fillId="0" borderId="0" xfId="17777" applyFont="1" applyAlignment="1">
      <alignment horizontal="left" vertical="center"/>
    </xf>
    <xf numFmtId="9" fontId="31" fillId="0" borderId="0" xfId="20849" applyNumberFormat="1" applyFont="1" applyAlignment="1">
      <alignment vertical="center" wrapText="1"/>
    </xf>
    <xf numFmtId="210" fontId="48" fillId="0" borderId="0" xfId="33482" applyFont="1"/>
    <xf numFmtId="210" fontId="49" fillId="0" borderId="0" xfId="21562" applyFont="1" applyAlignment="1">
      <alignment horizontal="left" vertical="center"/>
    </xf>
    <xf numFmtId="210" fontId="0" fillId="0" borderId="0" xfId="0" applyNumberFormat="1" applyFill="1" applyAlignment="1"/>
    <xf numFmtId="210" fontId="0" fillId="0" borderId="0" xfId="0" applyFill="1" applyAlignment="1">
      <alignment wrapText="1"/>
    </xf>
    <xf numFmtId="210" fontId="0" fillId="0" borderId="0" xfId="0" applyFill="1" applyAlignment="1">
      <alignment horizontal="center" wrapText="1"/>
    </xf>
    <xf numFmtId="210" fontId="0" fillId="0" borderId="0" xfId="0" applyFill="1" applyAlignment="1">
      <alignment horizontal="center" vertical="center" wrapText="1"/>
    </xf>
    <xf numFmtId="210" fontId="50" fillId="22" borderId="0" xfId="6029" applyFont="1" applyFill="1" applyBorder="1" applyAlignment="1"/>
    <xf numFmtId="210" fontId="50" fillId="22" borderId="12" xfId="6029" applyFont="1" applyFill="1" applyBorder="1" applyAlignment="1">
      <alignment wrapText="1"/>
    </xf>
    <xf numFmtId="190" fontId="37" fillId="22" borderId="0" xfId="216" applyNumberFormat="1" applyFont="1" applyFill="1" applyBorder="1" applyAlignment="1">
      <alignment horizontal="center" wrapText="1"/>
    </xf>
    <xf numFmtId="210" fontId="50" fillId="22" borderId="0" xfId="6029" applyFont="1" applyFill="1" applyBorder="1" applyAlignment="1">
      <alignment horizontal="center" wrapText="1"/>
    </xf>
    <xf numFmtId="210" fontId="5" fillId="0" borderId="49" xfId="6029" applyFont="1" applyFill="1" applyBorder="1" applyAlignment="1">
      <alignment vertical="center"/>
    </xf>
    <xf numFmtId="210" fontId="5" fillId="0" borderId="49" xfId="6029" applyFont="1" applyFill="1" applyBorder="1" applyAlignment="1">
      <alignment vertical="center" wrapText="1"/>
    </xf>
    <xf numFmtId="236" fontId="5" fillId="0" borderId="46" xfId="17630" applyNumberFormat="1" applyFont="1" applyFill="1" applyBorder="1" applyAlignment="1">
      <alignment vertical="center" wrapText="1"/>
    </xf>
    <xf numFmtId="210" fontId="5" fillId="0" borderId="12" xfId="6029" applyFont="1" applyFill="1" applyBorder="1" applyAlignment="1">
      <alignment vertical="center"/>
    </xf>
    <xf numFmtId="210" fontId="5" fillId="0" borderId="12" xfId="6029" applyFont="1" applyFill="1" applyBorder="1" applyAlignment="1">
      <alignment vertical="center" wrapText="1"/>
    </xf>
    <xf numFmtId="235" fontId="5" fillId="0" borderId="0" xfId="17630" applyNumberFormat="1" applyFont="1" applyFill="1" applyBorder="1" applyAlignment="1">
      <alignment vertical="center" wrapText="1"/>
    </xf>
    <xf numFmtId="236" fontId="5" fillId="0" borderId="0" xfId="6029" applyNumberFormat="1" applyFont="1" applyFill="1" applyBorder="1" applyAlignment="1">
      <alignment vertical="center" wrapText="1"/>
    </xf>
    <xf numFmtId="236" fontId="5" fillId="0" borderId="46" xfId="6029" applyNumberFormat="1" applyFont="1" applyFill="1" applyBorder="1" applyAlignment="1">
      <alignment vertical="center" wrapText="1"/>
    </xf>
    <xf numFmtId="210" fontId="5" fillId="0" borderId="19" xfId="6029" applyFont="1" applyFill="1" applyBorder="1" applyAlignment="1">
      <alignment vertical="center"/>
    </xf>
    <xf numFmtId="236" fontId="5" fillId="0" borderId="19" xfId="6029" applyNumberFormat="1" applyFont="1" applyFill="1" applyBorder="1" applyAlignment="1">
      <alignment vertical="center" wrapText="1"/>
    </xf>
    <xf numFmtId="228" fontId="5" fillId="0" borderId="49" xfId="33522" applyNumberFormat="1" applyFont="1" applyFill="1" applyBorder="1" applyAlignment="1">
      <alignment vertical="center" wrapText="1"/>
    </xf>
    <xf numFmtId="228" fontId="5" fillId="0" borderId="46" xfId="33522" applyNumberFormat="1" applyFont="1" applyFill="1" applyBorder="1" applyAlignment="1">
      <alignment vertical="center" wrapText="1"/>
    </xf>
    <xf numFmtId="228" fontId="5" fillId="0" borderId="12" xfId="33522" applyNumberFormat="1" applyFont="1" applyFill="1" applyBorder="1" applyAlignment="1">
      <alignment vertical="center" wrapText="1"/>
    </xf>
    <xf numFmtId="228" fontId="5" fillId="0" borderId="0" xfId="33522" applyNumberFormat="1" applyFont="1" applyFill="1" applyBorder="1" applyAlignment="1">
      <alignment vertical="center" wrapText="1"/>
    </xf>
    <xf numFmtId="228" fontId="5" fillId="0" borderId="19" xfId="33522" applyNumberFormat="1" applyFont="1" applyFill="1" applyBorder="1" applyAlignment="1">
      <alignment vertical="center" wrapText="1"/>
    </xf>
    <xf numFmtId="228" fontId="5" fillId="0" borderId="1" xfId="33522" applyNumberFormat="1" applyFont="1" applyFill="1" applyBorder="1" applyAlignment="1">
      <alignment vertical="center" wrapText="1"/>
    </xf>
    <xf numFmtId="210" fontId="32" fillId="0" borderId="49" xfId="6029" applyFont="1" applyFill="1" applyBorder="1" applyAlignment="1">
      <alignment horizontal="center" vertical="center"/>
    </xf>
    <xf numFmtId="276" fontId="5" fillId="25" borderId="49" xfId="33522" applyNumberFormat="1" applyFont="1" applyFill="1" applyBorder="1" applyAlignment="1">
      <alignment horizontal="right" vertical="center" wrapText="1"/>
    </xf>
    <xf numFmtId="40" fontId="5" fillId="27" borderId="46" xfId="33522" applyNumberFormat="1" applyFont="1" applyFill="1" applyBorder="1" applyAlignment="1">
      <alignment vertical="center" wrapText="1"/>
    </xf>
    <xf numFmtId="40" fontId="5" fillId="25" borderId="4" xfId="33522" applyNumberFormat="1" applyFont="1" applyFill="1" applyBorder="1" applyAlignment="1">
      <alignment vertical="center" wrapText="1"/>
    </xf>
    <xf numFmtId="210" fontId="5" fillId="0" borderId="54" xfId="6029" applyFont="1" applyBorder="1">
      <alignment vertical="center"/>
    </xf>
    <xf numFmtId="10" fontId="32" fillId="0" borderId="54" xfId="23551" applyNumberFormat="1" applyFont="1" applyBorder="1" applyAlignment="1">
      <alignment vertical="center" wrapText="1"/>
    </xf>
    <xf numFmtId="200" fontId="5" fillId="0" borderId="55" xfId="33522" applyFont="1" applyBorder="1" applyAlignment="1">
      <alignment horizontal="right" vertical="center" wrapText="1"/>
    </xf>
    <xf numFmtId="200" fontId="5" fillId="0" borderId="51" xfId="33522" applyFont="1" applyBorder="1" applyAlignment="1">
      <alignment horizontal="right" vertical="center" wrapText="1"/>
    </xf>
    <xf numFmtId="200" fontId="5" fillId="0" borderId="51" xfId="33522" applyFont="1" applyFill="1" applyBorder="1" applyAlignment="1">
      <alignment vertical="center" wrapText="1"/>
    </xf>
    <xf numFmtId="210" fontId="32" fillId="0" borderId="19" xfId="6029" applyFont="1" applyFill="1" applyBorder="1" applyAlignment="1">
      <alignment horizontal="center" vertical="center"/>
    </xf>
    <xf numFmtId="200" fontId="32" fillId="0" borderId="19" xfId="33522" applyFont="1" applyFill="1" applyBorder="1" applyAlignment="1">
      <alignment horizontal="right" vertical="center" wrapText="1"/>
    </xf>
    <xf numFmtId="200" fontId="5" fillId="0" borderId="1" xfId="33522" applyFont="1" applyFill="1" applyBorder="1" applyAlignment="1">
      <alignment vertical="center" wrapText="1"/>
    </xf>
    <xf numFmtId="210" fontId="51" fillId="0" borderId="0" xfId="0" applyFont="1" applyAlignment="1"/>
    <xf numFmtId="210" fontId="51" fillId="0" borderId="0" xfId="0" applyFont="1" applyAlignment="1">
      <alignment wrapText="1"/>
    </xf>
    <xf numFmtId="210" fontId="32" fillId="0" borderId="47" xfId="21672" applyFont="1" applyFill="1" applyBorder="1" applyAlignment="1">
      <alignment horizontal="left" vertical="center"/>
    </xf>
    <xf numFmtId="200" fontId="32" fillId="0" borderId="47" xfId="21672" applyNumberFormat="1" applyFont="1" applyFill="1" applyBorder="1" applyAlignment="1">
      <alignment horizontal="left" vertical="center" indent="1"/>
    </xf>
    <xf numFmtId="210" fontId="32" fillId="0" borderId="0" xfId="21672" applyFont="1" applyFill="1" applyBorder="1" applyAlignment="1">
      <alignment horizontal="left" vertical="center"/>
    </xf>
    <xf numFmtId="200" fontId="51" fillId="0" borderId="0" xfId="0" applyNumberFormat="1" applyFont="1" applyAlignment="1">
      <alignment wrapText="1"/>
    </xf>
    <xf numFmtId="210" fontId="52" fillId="0" borderId="0" xfId="0" applyFont="1" applyAlignment="1"/>
    <xf numFmtId="200" fontId="51" fillId="0" borderId="0" xfId="0" applyNumberFormat="1" applyFont="1" applyAlignment="1"/>
    <xf numFmtId="210" fontId="53" fillId="22" borderId="0" xfId="0" applyFont="1" applyFill="1" applyBorder="1" applyAlignment="1"/>
    <xf numFmtId="276" fontId="2" fillId="18" borderId="56" xfId="15414" applyNumberFormat="1" applyFont="1" applyFill="1" applyBorder="1" applyAlignment="1">
      <alignment vertical="center" wrapText="1"/>
    </xf>
    <xf numFmtId="210" fontId="51" fillId="0" borderId="6" xfId="0" applyFont="1" applyBorder="1" applyAlignment="1"/>
    <xf numFmtId="200" fontId="54" fillId="28" borderId="6" xfId="33522" applyNumberFormat="1" applyFont="1" applyFill="1" applyBorder="1" applyAlignment="1"/>
    <xf numFmtId="210" fontId="51" fillId="0" borderId="7" xfId="0" applyFont="1" applyBorder="1" applyAlignment="1"/>
    <xf numFmtId="200" fontId="54" fillId="28" borderId="7" xfId="33522" applyNumberFormat="1" applyFont="1" applyFill="1" applyBorder="1" applyAlignment="1"/>
    <xf numFmtId="207" fontId="54" fillId="18" borderId="7" xfId="33522" applyNumberFormat="1" applyFont="1" applyFill="1" applyBorder="1" applyAlignment="1"/>
    <xf numFmtId="210" fontId="51" fillId="0" borderId="13" xfId="0" applyFont="1" applyFill="1" applyBorder="1" applyAlignment="1"/>
    <xf numFmtId="200" fontId="54" fillId="28" borderId="13" xfId="33522" applyNumberFormat="1" applyFont="1" applyFill="1" applyBorder="1" applyAlignment="1"/>
    <xf numFmtId="210" fontId="51" fillId="0" borderId="2" xfId="0" applyFont="1" applyBorder="1" applyAlignment="1"/>
    <xf numFmtId="200" fontId="54" fillId="0" borderId="2" xfId="33522" applyNumberFormat="1" applyFont="1" applyBorder="1" applyAlignment="1"/>
    <xf numFmtId="210" fontId="50" fillId="22" borderId="0" xfId="6029" applyFont="1" applyFill="1" applyBorder="1" applyAlignment="1">
      <alignment wrapText="1"/>
    </xf>
    <xf numFmtId="190" fontId="37" fillId="22" borderId="6" xfId="17630" applyNumberFormat="1" applyFont="1" applyFill="1" applyBorder="1" applyAlignment="1">
      <alignment horizontal="center" wrapText="1"/>
    </xf>
    <xf numFmtId="210" fontId="50" fillId="22" borderId="57" xfId="6029" applyFont="1" applyFill="1" applyBorder="1" applyAlignment="1">
      <alignment wrapText="1"/>
    </xf>
    <xf numFmtId="210" fontId="51" fillId="0" borderId="58" xfId="0" applyFont="1" applyBorder="1" applyAlignment="1">
      <alignment wrapText="1"/>
    </xf>
    <xf numFmtId="210" fontId="51" fillId="0" borderId="53" xfId="0" applyFont="1" applyBorder="1" applyAlignment="1"/>
    <xf numFmtId="235" fontId="5" fillId="0" borderId="0" xfId="17630" applyNumberFormat="1" applyFont="1" applyBorder="1" applyAlignment="1">
      <alignment wrapText="1"/>
    </xf>
    <xf numFmtId="210" fontId="51" fillId="0" borderId="57" xfId="0" applyFont="1" applyBorder="1" applyAlignment="1">
      <alignment wrapText="1"/>
    </xf>
    <xf numFmtId="210" fontId="51" fillId="0" borderId="48" xfId="0" applyFont="1" applyBorder="1" applyAlignment="1"/>
    <xf numFmtId="1" fontId="51" fillId="0" borderId="57" xfId="0" applyNumberFormat="1" applyFont="1" applyBorder="1" applyAlignment="1">
      <alignment wrapText="1"/>
    </xf>
    <xf numFmtId="1" fontId="51" fillId="0" borderId="59" xfId="0" applyNumberFormat="1" applyFont="1" applyBorder="1" applyAlignment="1">
      <alignment wrapText="1"/>
    </xf>
    <xf numFmtId="210" fontId="51" fillId="0" borderId="50" xfId="0" applyFont="1" applyBorder="1" applyAlignment="1"/>
    <xf numFmtId="228" fontId="51" fillId="0" borderId="58" xfId="17630" applyNumberFormat="1" applyFont="1" applyFill="1" applyBorder="1" applyAlignment="1">
      <alignment wrapText="1"/>
    </xf>
    <xf numFmtId="9" fontId="51" fillId="0" borderId="53" xfId="23551" applyFont="1" applyBorder="1"/>
    <xf numFmtId="228" fontId="5" fillId="0" borderId="0" xfId="33522" applyNumberFormat="1" applyFont="1" applyBorder="1" applyAlignment="1">
      <alignment wrapText="1"/>
    </xf>
    <xf numFmtId="228" fontId="5" fillId="0" borderId="57" xfId="17630" applyNumberFormat="1" applyFont="1" applyFill="1" applyBorder="1" applyAlignment="1">
      <alignment wrapText="1"/>
    </xf>
    <xf numFmtId="9" fontId="51" fillId="0" borderId="48" xfId="23551" applyFont="1" applyBorder="1"/>
    <xf numFmtId="228" fontId="51" fillId="0" borderId="57" xfId="17630" applyNumberFormat="1" applyFont="1" applyBorder="1" applyAlignment="1">
      <alignment wrapText="1"/>
    </xf>
    <xf numFmtId="228" fontId="51" fillId="0" borderId="59" xfId="17630" applyNumberFormat="1" applyFont="1" applyBorder="1" applyAlignment="1">
      <alignment wrapText="1"/>
    </xf>
    <xf numFmtId="9" fontId="51" fillId="0" borderId="50" xfId="23551" applyFont="1" applyBorder="1"/>
    <xf numFmtId="40" fontId="5" fillId="27" borderId="4" xfId="33522" applyNumberFormat="1" applyFont="1" applyFill="1" applyBorder="1" applyAlignment="1">
      <alignment vertical="center" wrapText="1"/>
    </xf>
    <xf numFmtId="276" fontId="5" fillId="18" borderId="60" xfId="17630" applyNumberFormat="1" applyFont="1" applyFill="1" applyBorder="1" applyAlignment="1">
      <alignment vertical="center" wrapText="1"/>
    </xf>
    <xf numFmtId="9" fontId="51" fillId="0" borderId="5" xfId="23551" applyFont="1" applyBorder="1"/>
    <xf numFmtId="210" fontId="0" fillId="29" borderId="0" xfId="0" applyFill="1">
      <alignment vertical="center"/>
    </xf>
    <xf numFmtId="276" fontId="5" fillId="18" borderId="61" xfId="17630" applyNumberFormat="1" applyFont="1" applyFill="1" applyBorder="1" applyAlignment="1">
      <alignment vertical="center" wrapText="1"/>
    </xf>
    <xf numFmtId="9" fontId="51" fillId="0" borderId="62" xfId="23551" applyFont="1" applyBorder="1"/>
    <xf numFmtId="276" fontId="5" fillId="0" borderId="59" xfId="17630" applyNumberFormat="1" applyFont="1" applyFill="1" applyBorder="1" applyAlignment="1">
      <alignment vertical="center" wrapText="1"/>
    </xf>
    <xf numFmtId="9" fontId="51" fillId="0" borderId="63" xfId="23551" applyFont="1" applyBorder="1"/>
    <xf numFmtId="313" fontId="0" fillId="29" borderId="0" xfId="0" applyNumberFormat="1" applyFill="1">
      <alignment vertical="center"/>
    </xf>
    <xf numFmtId="210" fontId="55" fillId="0" borderId="0" xfId="21561" applyFont="1" applyFill="1" applyBorder="1" applyProtection="1"/>
    <xf numFmtId="190" fontId="31" fillId="28" borderId="2" xfId="17630" applyNumberFormat="1" applyFont="1" applyFill="1" applyBorder="1" applyAlignment="1">
      <alignment horizontal="right"/>
    </xf>
    <xf numFmtId="190" fontId="31" fillId="0" borderId="2" xfId="17630" applyNumberFormat="1" applyFont="1" applyBorder="1" applyAlignment="1">
      <alignment vertical="center"/>
    </xf>
    <xf numFmtId="190" fontId="31" fillId="0" borderId="49" xfId="17630" applyNumberFormat="1" applyFont="1" applyBorder="1" applyAlignment="1">
      <alignment vertical="center"/>
    </xf>
    <xf numFmtId="210" fontId="37" fillId="22" borderId="6" xfId="21672" applyFont="1" applyFill="1" applyBorder="1" applyAlignment="1">
      <alignment horizontal="center"/>
    </xf>
    <xf numFmtId="210" fontId="37" fillId="22" borderId="53" xfId="20849" applyFont="1" applyFill="1" applyBorder="1" applyAlignment="1">
      <alignment horizontal="center" vertical="center"/>
    </xf>
    <xf numFmtId="210" fontId="35" fillId="0" borderId="2" xfId="21672" applyFont="1" applyFill="1" applyBorder="1" applyAlignment="1">
      <alignment horizontal="left" vertical="center" wrapText="1"/>
    </xf>
    <xf numFmtId="210" fontId="31" fillId="0" borderId="2" xfId="20849" applyFont="1" applyBorder="1" applyAlignment="1">
      <alignment horizontal="left" vertical="center"/>
    </xf>
    <xf numFmtId="236" fontId="35" fillId="25" borderId="46" xfId="17630" applyNumberFormat="1" applyFont="1" applyFill="1" applyBorder="1" applyAlignment="1">
      <alignment horizontal="right"/>
    </xf>
    <xf numFmtId="210" fontId="0" fillId="0" borderId="6" xfId="0" applyBorder="1" applyAlignment="1"/>
    <xf numFmtId="210" fontId="35" fillId="0" borderId="7" xfId="21672" applyFont="1" applyFill="1" applyBorder="1" applyAlignment="1">
      <alignment horizontal="left" vertical="center" wrapText="1"/>
    </xf>
    <xf numFmtId="210" fontId="31" fillId="0" borderId="7" xfId="20849" applyFont="1" applyBorder="1" applyAlignment="1">
      <alignment horizontal="left" vertical="center"/>
    </xf>
    <xf numFmtId="236" fontId="35" fillId="0" borderId="49" xfId="17630" applyNumberFormat="1" applyFont="1" applyFill="1" applyBorder="1" applyAlignment="1">
      <alignment horizontal="right"/>
    </xf>
    <xf numFmtId="210" fontId="35" fillId="0" borderId="2" xfId="21672" applyNumberFormat="1" applyFont="1" applyFill="1" applyBorder="1" applyAlignment="1">
      <alignment horizontal="left" vertical="center" wrapText="1"/>
    </xf>
    <xf numFmtId="210" fontId="31" fillId="0" borderId="2" xfId="21672" applyNumberFormat="1" applyFont="1" applyBorder="1"/>
    <xf numFmtId="200" fontId="31" fillId="28" borderId="2" xfId="33522" applyFont="1" applyFill="1" applyBorder="1" applyAlignment="1">
      <alignment horizontal="right"/>
    </xf>
    <xf numFmtId="210" fontId="0" fillId="0" borderId="7" xfId="0" applyNumberFormat="1" applyBorder="1" applyAlignment="1"/>
    <xf numFmtId="210" fontId="31" fillId="0" borderId="13" xfId="20906" applyFont="1" applyBorder="1" applyAlignment="1">
      <alignment horizontal="left" vertical="center"/>
    </xf>
    <xf numFmtId="210" fontId="0" fillId="0" borderId="0" xfId="0" applyNumberFormat="1" applyAlignment="1"/>
    <xf numFmtId="210" fontId="0" fillId="0" borderId="3" xfId="0" applyNumberFormat="1" applyFill="1" applyBorder="1" applyAlignment="1">
      <alignment horizontal="center"/>
    </xf>
    <xf numFmtId="210" fontId="0" fillId="0" borderId="2" xfId="0" applyNumberFormat="1" applyFill="1" applyBorder="1" applyAlignment="1">
      <alignment horizontal="center"/>
    </xf>
    <xf numFmtId="210" fontId="35" fillId="0" borderId="6" xfId="21672" applyNumberFormat="1" applyFont="1" applyFill="1" applyBorder="1" applyAlignment="1">
      <alignment horizontal="left" vertical="center" wrapText="1"/>
    </xf>
    <xf numFmtId="210" fontId="31" fillId="0" borderId="49" xfId="21672" applyNumberFormat="1" applyFont="1" applyBorder="1"/>
    <xf numFmtId="304" fontId="0" fillId="18" borderId="2" xfId="33522" applyNumberFormat="1" applyFont="1" applyFill="1" applyBorder="1"/>
    <xf numFmtId="304" fontId="0" fillId="0" borderId="7" xfId="0" applyNumberFormat="1" applyBorder="1" applyAlignment="1"/>
    <xf numFmtId="44" fontId="0" fillId="0" borderId="0" xfId="0" applyNumberFormat="1" applyAlignment="1"/>
    <xf numFmtId="210" fontId="0" fillId="0" borderId="7" xfId="0" applyNumberFormat="1" applyBorder="1" applyAlignment="1">
      <alignment horizontal="left" vertical="center"/>
    </xf>
    <xf numFmtId="210" fontId="31" fillId="0" borderId="12" xfId="21672" applyNumberFormat="1" applyFont="1" applyBorder="1"/>
    <xf numFmtId="210" fontId="0" fillId="0" borderId="7" xfId="0" applyNumberFormat="1" applyFill="1" applyBorder="1" applyAlignment="1">
      <alignment horizontal="left" vertical="center"/>
    </xf>
    <xf numFmtId="210" fontId="0" fillId="0" borderId="13" xfId="0" applyNumberFormat="1" applyBorder="1" applyAlignment="1">
      <alignment horizontal="left" vertical="center"/>
    </xf>
    <xf numFmtId="210" fontId="31" fillId="0" borderId="19" xfId="21672" applyNumberFormat="1" applyFont="1" applyBorder="1"/>
    <xf numFmtId="210" fontId="0" fillId="0" borderId="6" xfId="0" applyNumberFormat="1" applyBorder="1" applyAlignment="1">
      <alignment horizontal="left" vertical="center"/>
    </xf>
    <xf numFmtId="304" fontId="0" fillId="0" borderId="6" xfId="0" applyNumberFormat="1" applyFill="1" applyBorder="1" applyAlignment="1">
      <alignment vertical="center"/>
    </xf>
    <xf numFmtId="210" fontId="31" fillId="17" borderId="12" xfId="21672" applyNumberFormat="1" applyFont="1" applyFill="1" applyBorder="1"/>
    <xf numFmtId="304" fontId="56" fillId="18" borderId="2" xfId="33522" applyNumberFormat="1" applyFont="1" applyFill="1" applyBorder="1"/>
    <xf numFmtId="210" fontId="0" fillId="0" borderId="0" xfId="0" applyAlignment="1"/>
    <xf numFmtId="210" fontId="31" fillId="0" borderId="12" xfId="21672" applyNumberFormat="1" applyFont="1" applyFill="1" applyBorder="1"/>
    <xf numFmtId="304" fontId="0" fillId="0" borderId="7" xfId="0" applyNumberFormat="1" applyFill="1" applyBorder="1" applyAlignment="1">
      <alignment vertical="center"/>
    </xf>
    <xf numFmtId="210" fontId="31" fillId="0" borderId="12" xfId="21672" applyNumberFormat="1" applyFont="1" applyFill="1" applyBorder="1" applyAlignment="1">
      <alignment wrapText="1"/>
    </xf>
    <xf numFmtId="304" fontId="8" fillId="18" borderId="2" xfId="33522" applyNumberFormat="1" applyFont="1" applyFill="1" applyBorder="1" applyAlignment="1">
      <alignment horizontal="center" vertical="center"/>
    </xf>
    <xf numFmtId="210" fontId="0" fillId="0" borderId="13" xfId="0" applyNumberFormat="1" applyFill="1" applyBorder="1" applyAlignment="1">
      <alignment horizontal="left" vertical="center"/>
    </xf>
    <xf numFmtId="210" fontId="31" fillId="0" borderId="19" xfId="21672" applyNumberFormat="1" applyFont="1" applyFill="1" applyBorder="1"/>
    <xf numFmtId="304" fontId="0" fillId="0" borderId="13" xfId="0" applyNumberFormat="1" applyFill="1" applyBorder="1" applyAlignment="1">
      <alignment vertical="center"/>
    </xf>
    <xf numFmtId="210" fontId="0" fillId="0" borderId="0" xfId="0" applyNumberFormat="1" applyFill="1" applyBorder="1" applyAlignment="1">
      <alignment horizontal="left" vertical="center"/>
    </xf>
    <xf numFmtId="210" fontId="0" fillId="0" borderId="0" xfId="0" applyNumberFormat="1" applyFill="1" applyBorder="1" applyAlignment="1"/>
    <xf numFmtId="210" fontId="0" fillId="0" borderId="7" xfId="0" applyNumberFormat="1" applyFill="1" applyBorder="1" applyAlignment="1"/>
    <xf numFmtId="210" fontId="35" fillId="0" borderId="6" xfId="21672" applyNumberFormat="1" applyFont="1" applyFill="1" applyBorder="1" applyAlignment="1">
      <alignment horizontal="center" vertical="center" wrapText="1"/>
    </xf>
    <xf numFmtId="210" fontId="31" fillId="0" borderId="6" xfId="21672" applyNumberFormat="1" applyFont="1" applyBorder="1"/>
    <xf numFmtId="294" fontId="0" fillId="0" borderId="7" xfId="0" applyNumberFormat="1" applyBorder="1" applyAlignment="1"/>
    <xf numFmtId="210" fontId="35" fillId="0" borderId="7" xfId="21672" applyNumberFormat="1" applyFont="1" applyFill="1" applyBorder="1" applyAlignment="1">
      <alignment horizontal="center" vertical="center" wrapText="1"/>
    </xf>
    <xf numFmtId="200" fontId="0" fillId="18" borderId="2" xfId="33522" applyNumberFormat="1" applyFont="1" applyFill="1" applyBorder="1"/>
    <xf numFmtId="210" fontId="35" fillId="0" borderId="13" xfId="21672" applyNumberFormat="1" applyFont="1" applyFill="1" applyBorder="1" applyAlignment="1">
      <alignment horizontal="center" vertical="center" wrapText="1"/>
    </xf>
    <xf numFmtId="210" fontId="31" fillId="17" borderId="49" xfId="21672" applyNumberFormat="1" applyFont="1" applyFill="1" applyBorder="1"/>
    <xf numFmtId="210" fontId="35" fillId="0" borderId="49" xfId="21672" applyNumberFormat="1" applyFont="1" applyFill="1" applyBorder="1" applyAlignment="1">
      <alignment horizontal="left" vertical="center" wrapText="1"/>
    </xf>
    <xf numFmtId="302" fontId="31" fillId="18" borderId="2" xfId="33522" applyNumberFormat="1" applyFont="1" applyFill="1" applyBorder="1" applyAlignment="1">
      <alignment horizontal="right"/>
    </xf>
    <xf numFmtId="210" fontId="35" fillId="0" borderId="12" xfId="21672" applyNumberFormat="1" applyFont="1" applyFill="1" applyBorder="1" applyAlignment="1">
      <alignment horizontal="left" vertical="center" wrapText="1"/>
    </xf>
    <xf numFmtId="302" fontId="31" fillId="18" borderId="12" xfId="33522" applyNumberFormat="1" applyFont="1" applyFill="1" applyBorder="1" applyAlignment="1">
      <alignment horizontal="right"/>
    </xf>
    <xf numFmtId="210" fontId="31" fillId="17" borderId="7" xfId="21672" applyNumberFormat="1" applyFont="1" applyFill="1" applyBorder="1"/>
    <xf numFmtId="302" fontId="0" fillId="18" borderId="2" xfId="0" applyNumberFormat="1" applyFill="1" applyBorder="1" applyAlignment="1"/>
    <xf numFmtId="210" fontId="35" fillId="0" borderId="13" xfId="21672" applyNumberFormat="1" applyFont="1" applyFill="1" applyBorder="1" applyAlignment="1">
      <alignment horizontal="left" vertical="center" wrapText="1"/>
    </xf>
    <xf numFmtId="10" fontId="0" fillId="18" borderId="2" xfId="23551" applyNumberFormat="1" applyFont="1" applyFill="1" applyBorder="1"/>
    <xf numFmtId="210" fontId="0" fillId="0" borderId="3" xfId="0" applyNumberFormat="1" applyBorder="1" applyAlignment="1">
      <alignment horizontal="left" vertical="center"/>
    </xf>
    <xf numFmtId="210" fontId="31" fillId="0" borderId="3" xfId="21672" applyNumberFormat="1" applyFont="1" applyFill="1" applyBorder="1"/>
    <xf numFmtId="294" fontId="31" fillId="18" borderId="19" xfId="33522" applyNumberFormat="1" applyFont="1" applyFill="1" applyBorder="1" applyAlignment="1">
      <alignment horizontal="right"/>
    </xf>
    <xf numFmtId="210" fontId="0" fillId="0" borderId="13" xfId="0" applyNumberFormat="1" applyBorder="1" applyAlignment="1"/>
    <xf numFmtId="210" fontId="0" fillId="0" borderId="0" xfId="0" applyBorder="1" applyAlignment="1">
      <alignment horizontal="left" vertical="center"/>
    </xf>
    <xf numFmtId="210" fontId="3" fillId="0" borderId="0" xfId="21343" applyBorder="1" applyAlignment="1">
      <alignment horizontal="left" vertical="center"/>
    </xf>
    <xf numFmtId="210" fontId="0" fillId="0" borderId="0" xfId="0" applyBorder="1" applyAlignment="1"/>
    <xf numFmtId="210" fontId="31" fillId="0" borderId="0" xfId="20849" applyFont="1" applyBorder="1" applyAlignment="1" quotePrefix="1">
      <alignment horizontal="left" vertical="center"/>
    </xf>
    <xf numFmtId="210" fontId="31" fillId="0" borderId="1" xfId="20849" applyFont="1" applyBorder="1" applyAlignment="1" quotePrefix="1">
      <alignment horizontal="left" vertical="center"/>
    </xf>
    <xf numFmtId="210" fontId="31" fillId="0" borderId="0" xfId="20849" applyFont="1" applyFill="1" applyBorder="1" applyAlignment="1" quotePrefix="1">
      <alignment horizontal="left" vertical="center"/>
    </xf>
    <xf numFmtId="210" fontId="31" fillId="0" borderId="46" xfId="20849" applyFont="1" applyFill="1" applyBorder="1" applyAlignment="1" quotePrefix="1">
      <alignment horizontal="left" vertical="center"/>
    </xf>
    <xf numFmtId="210" fontId="31" fillId="0" borderId="4" xfId="20849" applyFont="1" applyFill="1" applyBorder="1" applyAlignment="1" quotePrefix="1">
      <alignment horizontal="left" vertical="center"/>
    </xf>
    <xf numFmtId="210" fontId="31" fillId="0" borderId="1" xfId="20849" applyFont="1" applyFill="1" applyBorder="1" applyAlignment="1" quotePrefix="1">
      <alignment horizontal="left" vertical="center"/>
    </xf>
    <xf numFmtId="210" fontId="31" fillId="0" borderId="4" xfId="21672" applyFont="1" applyFill="1" applyBorder="1" applyAlignment="1" quotePrefix="1">
      <alignment horizontal="left"/>
    </xf>
    <xf numFmtId="210" fontId="31" fillId="0" borderId="1" xfId="21672" applyFont="1" applyBorder="1" applyAlignment="1" quotePrefix="1">
      <alignment horizontal="left"/>
    </xf>
  </cellXfs>
  <cellStyles count="36275">
    <cellStyle name="一般" xfId="0" builtinId="0"/>
    <cellStyle name="_0522週品質管理週報_0507月設備妥善率8D1_0536周周管審_0536周直通率8d" xfId="1"/>
    <cellStyle name="_0522週品質管理週報_0507月設備妥善率8D1_0536周周管審_0541周直通率8D" xfId="2"/>
    <cellStyle name="差_效益分析&amp;產能評估_M1 SuedeFixtureEquipment Cost_A0_2010_10_15_Bolt RFQ_Foxlink_03.1 2011_nego meeting@MACH 3 2" xfId="3"/>
    <cellStyle name="超連結" xfId="4" builtinId="8"/>
    <cellStyle name="差_Creak Pearl Reliability Fixture RFQ_2009 04 24_Xl0000002_Leopard RFQ ME BOM Costs-0618-2_Bolt RFQ_Foxlink_03.1 2011_nego meeting@MACH 2" xfId="5"/>
    <cellStyle name="强调文字颜色 1 6" xfId="6"/>
    <cellStyle name="差_Creak Pearl Reliability Fixture RFQ_2009 04 24_Xl0000002_Leopard RFQ ME BOM Costs-0618-2_Bolt RFQ Proposal_Foxlink_ (Pricing Summary) 2 25 2011 3 3" xfId="7"/>
    <cellStyle name="_2006_0412 Ernestine_Cooper tooling and plastic price to MS_JC_Quotebook_V3_07SEP11_Internal RFQ River Standalone  Bundle Unibom_v1 2_20080603_EJ" xfId="8"/>
    <cellStyle name="_0535周周報1_0540周周管審" xfId="9"/>
    <cellStyle name="40% - 强调文字颜色 1" xfId="10"/>
    <cellStyle name="_0526週品質管理週報_0530周設備妥善_八月份周直通率8d1_Book1_編制表" xfId="11"/>
    <cellStyle name="差_Creak Pearl Reliability Fixture RFQ_2009 04 24_Pearl RFQ(Submittal)ver2_05_12_2009 _Foxlink_Shadow RFQ NREUni BOM_12032009 2 2 3" xfId="12"/>
    <cellStyle name="_0522週品質管理週報_0531周設備妥善_八月份周直通率8d1_0538周周管審--FINl_複本 0541周周管審_編制表" xfId="13"/>
    <cellStyle name="差_F3   SMT設備明細_jupite r設備&amp;治工具LIST (總)_flow chart 2009.12.12_Jackson 效益分析 testing update_16th Jan1_Jackson 效益分析 (2-1 B0 上系統)_Leopard效益分析08-17" xfId="14"/>
    <cellStyle name="20% - 輔色2" xfId="15" builtinId="34"/>
    <cellStyle name="_2005 04 DELL SMT Data2 -Process_DELL廠級目標dip.EXC _DELL廠級目標dip(2月) EXC _BPI 8D-SMT-2月 (3)_DELL MB廠級目標.xls 圖表 1_DELLTEAM入庫資料1" xfId="16"/>
    <cellStyle name="差_F3   SMT設備明細_Bolt RFQ Proposal_Foxlink_ (Pricing Summary) 2 25 2011 2 4" xfId="17"/>
    <cellStyle name="_x0007_ 11 3" xfId="18"/>
    <cellStyle name="Valuta_Access" xfId="19"/>
    <cellStyle name="好_River EE BOM_Xl0000000_Leopard_UniBOM_ME_0603-2_Bolt RFQ_Foxlink_03.1 2011_nego meeting@MACH 3 3" xfId="20"/>
    <cellStyle name="_2006_0329 Ernestine_Cooper Cost Feedback_Quotebook_V3_07SEP11_Stream RFQ Unibom--0626-1756_Stream Quotebook (Submittal)_POC2_20081117-1" xfId="21"/>
    <cellStyle name="千分位[0]" xfId="22" builtinId="6"/>
    <cellStyle name="好_Creek EE BOM cost_20090425_Creek RFQ feedback 04_28_2009_FD Update_Leopard_UniBOM_ME_0602_Bolt RFQ_Foxlink_03.1 2011 5" xfId="23"/>
    <cellStyle name="好_Creek Assembly Fixture  Test Equipment RFQ_20090427_Lemur RFQ ME BOM Costs-0623" xfId="24"/>
    <cellStyle name="60% - Accent2 11" xfId="25"/>
    <cellStyle name="Normal 15 12" xfId="26"/>
    <cellStyle name="_0522週品質管理週報_0507月設備妥善率8D1_0536周周管審_0538周周管審--FINl_0607 M1 Manpower (含大本編制)" xfId="27"/>
    <cellStyle name="好_Creek EE BOM cost_20090425_Leopard Lemur Squirrel UniBom-06.22.2010_EE cost _update_internal_Bolt RFQ_Foxlink_03.1 2011" xfId="28"/>
    <cellStyle name="_2006_0410b Ernestine_Cooper tooling and plastic price to MS_Quotebook_07SEP10_BlueAnt_Quotebook_V3_07SEP11_RFQ_River_BAFO_2008 0606_M1_Stream Quotebook(Submittal)_POC1_20080903 2" xfId="29"/>
    <cellStyle name="_Summary slides for the RickDe deck 6-7-00_FY06 P6 XBox 360 Mfg Var - Close Pack" xfId="30"/>
    <cellStyle name="_Flex Mechanicals Doumen Sales forecast - Jan.06-updated_Tom OS ( Oct)_X-BOX Console line setup budget 20080414" xfId="31"/>
    <cellStyle name="_0522週品質管理週報_0530周設備妥善_八月份周直通率8d1_複本 0541周周管審" xfId="32"/>
    <cellStyle name="_x0007_ 14" xfId="33"/>
    <cellStyle name="_8月月管審附件.xls 圖表 1_八月份周直通率8d1_複本 0541周周管審" xfId="34"/>
    <cellStyle name="Normal 30 2 4" xfId="35"/>
    <cellStyle name="_PCBA_SENAI_ACT  FCST_2009 xBOX ramp up budget code applicaiton 300K --New May26 (3)" xfId="36"/>
    <cellStyle name="_0534周周報1_0534周SMT周管審" xfId="37"/>
    <cellStyle name="_Flextronics Radon  Build Plan 4-27-2005_Line capacity plan to B17(2-27_Scenario 1 of recovery until 1102" xfId="38"/>
    <cellStyle name="千分位" xfId="39" builtinId="3"/>
    <cellStyle name="差_Creek RFQ feedback 04_28_2009_FD Update_Leopard_UniBOM_ME_0603-2_Bolt RFQ_Foxlink_03.1 2011" xfId="40"/>
    <cellStyle name="_0522週品質管理週報_0536周周管審_0541周直通率8D_外包部人力編制" xfId="41"/>
    <cellStyle name="_0522週品質管理週報_0536周周管審_0536周直通率8d_外包部人力編制" xfId="42"/>
    <cellStyle name="标题 5 3" xfId="43"/>
    <cellStyle name="好_River EE BOM_Xl0000002_Leopard RFQ ME BOM Costs-0618-2" xfId="44"/>
    <cellStyle name="_0522週品質管理週報_0507月設備妥善率8D1_0538周周管審--FINl_0607 M1 Manpower (含大本編制)" xfId="45"/>
    <cellStyle name="_04Xbox console Metrics - 7_11_FY06 P06 360Periphs SPC" xfId="46"/>
    <cellStyle name="差_HP Mouse 產能評估(上系統)_M1 Bolt wireless mouse FixtureEquipment Cost_A2_2010_12_07_Bolt RFQ Proposal_Foxlink_ (Pricing Summary) 2 25 2011 5 2" xfId="47"/>
    <cellStyle name="20% - 輔色1" xfId="48" builtinId="30"/>
    <cellStyle name="_Flex Mechanicals Doumen Sales forecast - Jan.06-updated_Volume Fcst Jul 06-update HP _Copy of X-BOX for line setup budget" xfId="49"/>
    <cellStyle name="_Flextronics Radon  Build Plan 4-27-2005_Mice transfer plan (2)_Tester Demand Plan_Tester Demand Plan 062707" xfId="50"/>
    <cellStyle name="_0522週品質管理週報_0530周設備妥善_0533周SMT周管審" xfId="51"/>
    <cellStyle name="_0522週品質管理週報_0507月設備妥善率8D1_0536周周管審_0537周直通率8d_0541周直通率8D_0607 M1 Manpower (含大本編制)" xfId="52"/>
    <cellStyle name="_0522週品質管理週報_0507月設備妥善率8D1_0536周周管審_0536周直通率8d_複本 0541周周管審_0751-1219M1 Manpower" xfId="53"/>
    <cellStyle name="貨幣" xfId="54" builtinId="4"/>
    <cellStyle name="_0522週品質管理週報_0507月設備妥善率8D1_0536周周管審_0536周直通率8d_複本 0541周周管審_0733-0815M1 Manpower-3" xfId="55"/>
    <cellStyle name="好_River EE BOM_Creak Pearl Reliability Fixture RFQ_2009 04 24_Creek  Pearl RFQ_May 12_Leopard_UniBOM_ME_0602 2 2 3" xfId="56"/>
    <cellStyle name="_2005 04 DELL SMT Data2 -Process_DELL廠級目標dip(1月) EXC _DELL MB廠級目標.xls 圖表 1_DELL制程課管理目標" xfId="57"/>
    <cellStyle name="差_Creak Pearl Reliability Fixture RFQ_2009 04 24_Leopard_UniBOM_ME_0602_Bolt RFQ Proposal_Foxlink_ (Pricing Summary) 2 25 2011 4 2" xfId="58"/>
    <cellStyle name="差_Creak Pearl Reliability Fixture RFQ_2009 04 24_Leopard Lemur Squirrel UniBom-06.22.2010_EE cost _update_internal_Bolt RFQ_Foxlink_03.1 2011 3 2" xfId="59"/>
    <cellStyle name="_2005 04 DELL SMT Data2 -Process_DELL廠級目標dip(1月) EXC _DELL MB廠級目標.xls 圖表 1_DELL MB廠級目標.重要不能刪_2007DELL SMT廠級目標KPI(MT)1" xfId="60"/>
    <cellStyle name="_Mulan Edge Procurement Plan July 12 P1A_MOST Std - Project A BB Line_FMTQCI-MIS3H064-P027(01)Nazca Copy Exact Flow chart" xfId="61"/>
    <cellStyle name="備註" xfId="62" builtinId="10"/>
    <cellStyle name="_0522週品質管理週報_0507月設備妥善率8D1_0536周周管審_Book1_複本 0541周周管審_編制表" xfId="63"/>
    <cellStyle name="好_0842周 顯卡報廢超標8D_HP 2 2 2" xfId="64"/>
    <cellStyle name="已瀏覽過的超連結" xfId="65" builtinId="9"/>
    <cellStyle name="_0522週品質管理週報_0507月設備妥善率8D1_0536周周管審_0538周周管審--FINl_0733-0815M1 Manpower-3" xfId="66"/>
    <cellStyle name="好_River EE BOM_Creek RFQ feedback 04_28_2009_FD Update_Leopard UniBom_Foxlink_6 21 2010-ME_nego_Bolt RFQ Proposal_Foxlink_ (Pricing Summary) 2 25 2011 4" xfId="67"/>
    <cellStyle name="_x0007_ 13 3" xfId="68"/>
    <cellStyle name="好_Creek Assembly Fixture  Test Equipment RFQ_20090427_Squirrel UniBom-06.23.2010_update_internal_Bolt RFQ_Foxlink_03.1 2011_nego meeting@MACH" xfId="69"/>
    <cellStyle name="_Sales Forecast (plastic XX)0703_PL Fcst Jul 06-updated G&amp;A Value_2009 xBOX ramp up budget code applicaiton 300K --New May27" xfId="70"/>
    <cellStyle name="_Sales Forecast (plastic XX)1203_PL Fcst Jul 06-updated G&amp;A Value_2009 xBOX ramp up budget code applicaiton 300K --New May27" xfId="71"/>
    <cellStyle name="百分比" xfId="72" builtinId="5"/>
    <cellStyle name="_04Xbox console Metrics - 7_11_FY06 P4 CM Consigned RM" xfId="73"/>
    <cellStyle name="差_Creek RFQ feedback 04_28_2009_FD Update_Squirrel UniBom-06.23.2010_update_internal_Bolt RFQ Proposal_Foxlink_ (Pricing Summary) 2 25 2011 5 3" xfId="74"/>
    <cellStyle name="_Ernestine Parts Budgetary Quote - LA (20060319)_RFQ_River_BAFO_2008 0606_M1" xfId="75"/>
    <cellStyle name="_2006_0406 Ernestine_Cooper tooling_Quotebook_07SEP10_BlueAnt_Quotebook_V3_07SEP11_RFQ_River_BAFO_2008 0606_M1_Stream Quotebook (Submittal)_POC2_20081117-1" xfId="76"/>
    <cellStyle name="_0526週品質管理週報_0530周設備妥善_Book1_外包部人力編制" xfId="77"/>
    <cellStyle name="好_River EE BOM_Xl0000002 2 2 2" xfId="78"/>
    <cellStyle name="好_River EE BOM_Creak Pearl Reliability Fixture RFQ_2009 04 24_Xl0000002_Leopard_UniBOM_ME_0603-2_Bolt RFQ Proposal_Foxlink_ (Pricing Summary) 2 25 2011 6" xfId="79"/>
    <cellStyle name="20% - 輔色5" xfId="80" builtinId="46"/>
    <cellStyle name="_7月月管審附件.xls 圖表 1_0536周周管審_0541周直通率8D" xfId="81"/>
    <cellStyle name="_7月月管審附件.xls 圖表 1_0536周周管審_0536周直通率8d" xfId="82"/>
    <cellStyle name="_Flex Depot 2005 rev3_plforecastsample_2009 xBOX ramp up budget code applicaiton" xfId="83"/>
    <cellStyle name="40% - 輔色3" xfId="84" builtinId="39"/>
    <cellStyle name="_2005 04 DELL SMT Data2 -Process_DELL MB廠級目標  (2)_DELL MB廠級目標_DELL MB廠級目標四月 _DELL MB廠級目標十一月 (4)" xfId="85"/>
    <cellStyle name="_0522週品質管理週報_0507月設備妥善率8D1_0536周周管審_0540周直通率8D1_複本 0541周周管審_離職原因分析" xfId="86"/>
    <cellStyle name="_2006_0319 Ernestine_Cooper Cost Feedback_Quotebook_07SEP10_BlueAnt_Quotebook_V3_07SEP11_Internal RFQ River Standalone  Bundle Unibom_v1 2_20080603_EJ_Stream Quotebook(Submittal)_POC1_20080903 2" xfId="87"/>
    <cellStyle name="60% - 輔色1" xfId="88" builtinId="32"/>
    <cellStyle name="好_River EE BOM_Creak Pearl Reliability Fixture RFQ_2009 04 24_Creek  Pearl RFQ_May 12_Leopard_UniBOM_ME_0603-2_Bolt RFQ_Foxlink_03.1 2011 3 3" xfId="89"/>
    <cellStyle name="_08FY01_Inventory Trend Summary_P2 Waynea review" xfId="90"/>
    <cellStyle name="_0522週品質管理週報_0507月設備妥善率8D1_0536周周管審_0536周直通率8d_0541周直通率8D_離職原因分析" xfId="91"/>
    <cellStyle name="_LIPs - Tooling Tracker - July 2" xfId="92"/>
    <cellStyle name="_201005所需資料" xfId="93"/>
    <cellStyle name="差_Xl0000000_Leopard Lemur Squirrel UniBom-06.22.2010_EE cost _update_internal_Bolt RFQ Proposal_Foxlink_ (Pricing Summary) 2 25 2011 4 2" xfId="94"/>
    <cellStyle name="好_River EE BOM_Xl0000000_Leopard_UniBOM_ME_0602_Bolt RFQ Proposal_Foxlink_ (Pricing Summary) 2 25 2011 7" xfId="95"/>
    <cellStyle name="貨幣[0]" xfId="96" builtinId="7"/>
    <cellStyle name="?d????_PLDT" xfId="97"/>
    <cellStyle name="_2005 04 DELL SMT Data2 -Process_DELL廠級目標dip EXC _DELL廠級目標dip(2月) EXC _DELL MB廠級目標四月 _2007DELL SMT廠級目標KPI(MT)1" xfId="98"/>
    <cellStyle name="好_River EE BOM_Creak Pearl Reliability Fixture RFQ_2009 04 24_Creek RFQ feedback 04_28_2009_FD Update_Leopard_UniBOM_ME_0602_Bolt RFQ Proposal_Foxlink_ (Pricing Summary) 2 25 2011 2 2" xfId="99"/>
    <cellStyle name="警告文字" xfId="100" builtinId="11"/>
    <cellStyle name="_0522週品質管理週報_0536周周管審_0538周直通率8d1_編制表" xfId="101"/>
    <cellStyle name="差_Erie mouse 效益分析( 11-19 A1)_Flow chart and Fixture(Jackson)_A1_Jackson 效益分析 (2-1 B0 上系統)" xfId="102"/>
    <cellStyle name="_0522週品質管理週報_0530周設備妥善_八月份周直通率8d1_0538周周管審--FINl_複本 0541周周管審_0607 M1 Manpower (含大本編制)" xfId="103"/>
    <cellStyle name="_0522週品質管理週報_0507月設備妥善率8D1_0536周周管審_0536周直通率8d_0540周直通率8D1_複本 0541周周管審_編制表" xfId="104"/>
    <cellStyle name="_2005 04 DELL SMT Data2 -Process_2006日常管理目標.DIP _DELL廠級目標dip(2月) EXC _DELL MB廠級目標 (2)_DELL MB廠級目標_DELL制程課管理目標" xfId="105"/>
    <cellStyle name="_2006_0409 Ernestine_Cooper tooling_Internal RFQ River Standalone  Bundle Unibom_v1 2_20080603_EJ" xfId="106"/>
    <cellStyle name="_~0961996" xfId="107"/>
    <cellStyle name="60% - アクセント 2" xfId="108"/>
    <cellStyle name="_co8058sb 2" xfId="109"/>
    <cellStyle name="_QA name list 3_format" xfId="110"/>
    <cellStyle name="標題" xfId="111" builtinId="15"/>
    <cellStyle name="_0522週品質管理週報_0507月設備妥善率8D1_0541周直通率8D_外包部人力編制" xfId="112"/>
    <cellStyle name="好_Creek Assembly Fixture  Test Equipment RFQ_20090427_Leopard_UniBOM_ME_0602-1_Bolt RFQ_Foxlink_03.1 2011_nego meeting@MACH_Bolt_Cliff 7" xfId="113"/>
    <cellStyle name="差_Creek RFQ feedback 04_28_2009_FD Update_Leopard RFQ ME BOM Costs-0618-2_Bolt RFQ Proposal_Foxlink_ (Pricing Summary) 2 25 2011 6" xfId="114"/>
    <cellStyle name="_Avaya SPICE demand on May-8-06 (based on ramp-up plan)_Tester Demand Plan_Tester Demand Plan 062707" xfId="115"/>
    <cellStyle name="說明文字" xfId="116" builtinId="53"/>
    <cellStyle name="_0526週品質管理週報_0507月設備妥善率8D1_0540周直通率8D1_編制表" xfId="117"/>
    <cellStyle name="_bom updated on 2002-11-10-1_Lenovo PACK  Packing Proposal" xfId="118"/>
    <cellStyle name="壞_Creek EE BOM cost_20090425_Creek RFQ feedback 04_28_2009_FD Update_Leopard_UniBOM_ME_0531_Bolt RFQ_Foxlink_03.1 2011 3" xfId="119"/>
    <cellStyle name="好_River EE BOM_Xl0000002_Leopard_UniBOM_ME_0603-2_Bolt RFQ_Foxlink_03.1 2011_nego meeting@MACH" xfId="120"/>
    <cellStyle name="差_Creak Pearl Reliability Fixture RFQ_2009 04 24_Pearl RFQ(Submittal)ver2_05_12_2009 _Leopard_UniBOM_ME_0531_Bolt RFQ_Foxlink_03.1 2011_nego meeting@MACH 2" xfId="121"/>
    <cellStyle name="好_Creek Assembly Fixture  Test Equipment RFQ_20090427_Squirrel UniBom-06.23.2010_update_internal_Bolt RFQ Proposal_Foxlink_ (Pricing Summary) 2 25 2011 3 3" xfId="122"/>
    <cellStyle name="好_Creek Assembly Fixture  Test Equipment RFQ_20090427 2 3" xfId="123"/>
    <cellStyle name="_2005 04 DELL SMT Data2 -Process_2006日常管理目標.DIP _DELL廠級目標dip(2月) EXC _DELL MB廠級目標四月 _DELL MB廠級目標十一月 (4)" xfId="124"/>
    <cellStyle name="_Book2_PL Forecast by segment-most final 0806_Copy of Tom OS ( Oct) new for LOG_2009 xBOX ramp up budget code applicaiton 300K --New May26 (3)" xfId="125"/>
    <cellStyle name="好_效益分析&amp;產能評估_Bolt RFQ_Foxlink_03.1 2011 4" xfId="126"/>
    <cellStyle name="_0522週品質管理週報_0507月設備妥善率8D1_0536周周管審_0538周直通率8d1_0541周直通率8D_離職原因分析" xfId="127"/>
    <cellStyle name="_220071-78(Oct 2006)_Copy of X-BOX for line setup budget" xfId="128"/>
    <cellStyle name="Normal 20 4 3" xfId="129"/>
    <cellStyle name="_2_22 operational build plan and component forecast" xfId="130"/>
    <cellStyle name="_x0007_ 15 3" xfId="131"/>
    <cellStyle name="_x0007_ 20 3" xfId="132"/>
    <cellStyle name="_2005 04 DELL SMT Data2 -Process_2006日常管理目標.DIP _DELL廠級目標dip(2月) EXC _DELLTEAM入庫資料1_2007DELL SMT廠級目標KPI(MT)1" xfId="133"/>
    <cellStyle name="_Ernestine Parts Budgetary Quote - LA (20060319)_Quotebook_07SEP10_Stream RFQ Unibom--0626-1756 2" xfId="134"/>
    <cellStyle name="好_River EE BOM_Creak Pearl Reliability Fixture RFQ_2009 04 24_Pearl RFQ(Submittal)ver2_05_12_2009 _Leopard RFQ ME BOM Costs-0618-2_Bolt RFQ_Foxlink_03.1 2011 2 2" xfId="135"/>
    <cellStyle name="_x0007_ 10" xfId="136"/>
    <cellStyle name="_0522週品質管理週報_0507月設備妥善率8D1_Book1_0607 M1 Manpower (含大本編制)" xfId="137"/>
    <cellStyle name="_Corsica_PBOM_Flex" xfId="138"/>
    <cellStyle name="40% - 輔色6" xfId="139" builtinId="51"/>
    <cellStyle name="60% - 輔色4" xfId="140" builtinId="44"/>
    <cellStyle name="_2006_0409 Ernestine_Cooper tooling_Quotebook_V3_07SEP11_Stream RFQ Unibom--0626-1756_Stream Quotebook(Submittal)_POC1_20080903" xfId="141"/>
    <cellStyle name="_0522週品質管理週報_0536周周管審_0733-0815M1 Manpower-3" xfId="142"/>
    <cellStyle name="_2005 04 DELL SMT Data2 -Process_DELL SMT 廠級目標KPI_DELL MB廠級目標.xls 圖表 1_DELL MB廠級目標.重要不能刪_DELL MB廠級目標十一月 (4)" xfId="143"/>
    <cellStyle name="_2005 04 DELL SMT Data2 -Process_2006日常管理目標.DIP _DELL廠級目標dip(2月) EXC _DELL MB廠級目標 _DELL MB廠級目標_DELL制程課管理目標" xfId="144"/>
    <cellStyle name="壞_Creek Assembly Fixture  Test Equipment RFQ_20090427_Leopard Lemur Squirrel UniBom-06.22.2010_EE cost _update_internal 2 2 2" xfId="145"/>
    <cellStyle name="_2005 04 DELL SMT Data2 -Process_2006日常管理目標.DIP _DELL MB廠級目標.xls 圖表 1_DELL MB廠級目標_DELL MB廠級目標十一月 (4)" xfId="146"/>
    <cellStyle name="_Mice UPH_Line transition plan to B17 rev 5_Tester Demand Plan 062707" xfId="147"/>
    <cellStyle name="_0522週品質管理週報_0507月設備妥善率8D1_0536周周管審_0537周直通率8d_0751-1219M1 Manpower" xfId="148"/>
    <cellStyle name="_2006_0409 Ernestine_Cooper tooling and plastic price to MS_RFQ_River_BAFO_2008 0606_M1 2" xfId="149"/>
    <cellStyle name="好_River EE BOM_Wedge_ME_BOM-v00-11v0630 2 2" xfId="150"/>
    <cellStyle name="_2006_0319 Ernestine_Cooper Cost Feedback_Quotebook_07SEP10_Internal RFQ River Standalone  Bundle Unibom_v1 2_20080603_EJ" xfId="151"/>
    <cellStyle name="好_River EE BOM_Creak Pearl Reliability Fixture RFQ_2009 04 24_Leopard RFQ ME BOM Costs-0618-2_Bolt RFQ Proposal_Foxlink_ (Pricing Summary) 2 25 2011 4 3" xfId="152"/>
    <cellStyle name="標題 1" xfId="153" builtinId="16"/>
    <cellStyle name="好_River EE BOM_Creak Pearl Reliability Fixture RFQ_2009 04 24_Pearl RFQ(Submittal)ver2_05_12_2009 _Leopard RFQ ME BOM Costs-0618-2_Bolt RFQ_Foxlink_03.1 2011 2 3" xfId="154"/>
    <cellStyle name="9_Revised AP DPO Oct 04 v2_PL Fcst Jul 06-updated G&amp;A Value" xfId="155"/>
    <cellStyle name="_x0007_ 11" xfId="156"/>
    <cellStyle name="好_Creek Assembly Fixture  Test Equipment RFQ_20090427_Xl0000002_Leopard RFQ ME BOM Costs-0618_Bolt RFQ_Foxlink_03.1 2011 2" xfId="157"/>
    <cellStyle name="Normal 4 3 2 5" xfId="158"/>
    <cellStyle name="_空焊明細_0538周周管審--FINl_複本 0541周周管審" xfId="159"/>
    <cellStyle name="_0522週品質管理週報_0507月設備妥善率8D1_0536周周管審_0537周直通率8d_0541周直通率8D" xfId="160"/>
    <cellStyle name="好_River EE BOM_Creek RFQ feedback 04_28_2009_FD Update_Squirrel RFQ ME BOM Costs-0623_Bolt RFQ_Foxlink_03.1 2011_nego meeting@MACH 2 2" xfId="161"/>
    <cellStyle name="_ASUS WLAN  SMT 標準工時表0628" xfId="162"/>
    <cellStyle name="60% - 輔色5" xfId="163" builtinId="48"/>
    <cellStyle name="_Airquote - DELL chasis (FP)_Lenovo PACK  Packing Proposal" xfId="164"/>
    <cellStyle name="_Forecast - Segment-OCE-June06(1)_plforecastsample_Budget GC Other Form" xfId="165"/>
    <cellStyle name="_0522週品質管理週報_0507月設備妥善率8D1_0536周周管審_0538周周管審--FINl_0751-1219M1 Manpower" xfId="166"/>
    <cellStyle name="_2005 04 DELL SMT Data2 -Process_DELL MB廠級目標 (2)_DELL MB廠級目標.xls 圖表 1_DELL MB廠級目標_2007DELL SMT廠級目標KPI(MT)1" xfId="167"/>
    <cellStyle name="標題 2" xfId="168" builtinId="17"/>
    <cellStyle name="_Book2_PL Forecast by segment-most final 0806_Forecast Template v4" xfId="169"/>
    <cellStyle name="_0535週管審_八月份周直通率8d1_0540周直通率8D1_複本 0541周周管審" xfId="170"/>
    <cellStyle name="_0526週品質管理週報_0530周設備妥善_八月份周直通率8d1_0538周周管審--FINl" xfId="171"/>
    <cellStyle name="好_River EE BOM_Creak Pearl Reliability Fixture RFQ_2009 04 24_Leopard RFQ ME BOM Costs-0618-2_Bolt RFQ_Foxlink_03.1 2011_nego meeting@MACH 2 3" xfId="172"/>
    <cellStyle name="_freight  hub cost-7-281" xfId="173"/>
    <cellStyle name="_020106 MS Insight Open POa" xfId="174"/>
    <cellStyle name="_Dash_BOM_MS_Jan02-07 (worksheet)_Internal RFQ River Standalone  Bundle Unibom_v1 2_20080603_EJ" xfId="175"/>
    <cellStyle name="差_foxlink Bristol for 10063D-2010-10-11_Bristol ME parts tooling cost 20101022 updated_Bristol TC Estimate Update 08012011" xfId="176"/>
    <cellStyle name="_Mechanical Contribution Margins (Q2'06) 0705_Mechanical Contribution Margins forecast 0506 FP_Volume Fcst 1006 updated_Tom OS ( Oct)_2009 xBOX ramp up budget code applicaiton 300K --New May27" xfId="177"/>
    <cellStyle name="_0522週品質管理週報_0530周設備妥善_八月份周直通率8d1_0540周直通率8D1_0733-0815M1 Manpower-3" xfId="178"/>
    <cellStyle name="_x0007_ 12" xfId="179"/>
    <cellStyle name="Title 6" xfId="180"/>
    <cellStyle name="_0522週品質管理週報_0507月設備妥善率8D1_外包部人力編制" xfId="181"/>
    <cellStyle name="_0526週品質管理週報_0507月設備妥善率8D1_0540周直通率8D1_複本 0541周周管審_外包部人力編制" xfId="182"/>
    <cellStyle name="差_Erie mouse 效益分析( 11-19 A1)_效益分析(總 12-28 Update)_Jackson 效益分析 (2-1 B0 上系統)_Leopard Flowchart &amp; 產能評估" xfId="183"/>
    <cellStyle name="_Book2_Mechanical Contribution Margins forecast 0506 FP_Volume Fcst 1006 updated_Copy of Tom OS ( Oct) new for LOG_X-BOX Console line setup budget 20080414" xfId="184"/>
    <cellStyle name="壞_Creek Assembly Fixture  Test Equipment RFQ_20090427_Xl0000002_Leopard UniBom_Foxlink_6 21 2010-ME_nego_Bolt RFQ_Foxlink_03.1 2011 2 3" xfId="185"/>
    <cellStyle name="_x0007_ 10 2" xfId="186"/>
    <cellStyle name="標題 3" xfId="187" builtinId="18"/>
    <cellStyle name="_BOM_BlueVox (Wiima) &amp; BCM2044 v03022007_Bristol UniBom_Foxlink_02082011 RevA" xfId="188"/>
    <cellStyle name="_2005 04 DELL SMT Data2 -Process_DELL廠級目標dip.EXC _DELL MB廠級目標.xls 圖表 1_DELL MB廠級目標_2007DELL SMT廠級目標KPI(MT)1" xfId="189"/>
    <cellStyle name="60% - 輔色6" xfId="190" builtinId="52"/>
    <cellStyle name="40% - 强调文字颜色 6 2 2" xfId="191"/>
    <cellStyle name="_3wk周報" xfId="192"/>
    <cellStyle name="_2005 04 DELL SMT Data2 -Process_2006日常管理目標.DIP _DELL廠級目標dip(2月) EXC _DELL MB廠級目標 _DELL MB廠級目標_DELL MB廠級目標四月 _2007DELL SMT廠級目標KPI(MT)1" xfId="193"/>
    <cellStyle name="_x0007_ 13" xfId="194"/>
    <cellStyle name="_短路明細" xfId="195"/>
    <cellStyle name="_0522週品質管理週報_0530周設備妥善_九月份直通率8D" xfId="196"/>
    <cellStyle name="_x0007_ 10 3" xfId="197"/>
    <cellStyle name="標題 4" xfId="198" builtinId="19"/>
    <cellStyle name="_2005 04 DELL SMT Data2 -Process_DELL廠級目標dip EXC _DELL MB廠級目標_DELL MB廠級目標四月 _2007DELL SMT廠級目標KPI(MT)1" xfId="199"/>
    <cellStyle name="好_Creek Assembly Fixture  Test Equipment RFQ_20090427_Xl0000002_Leopard_UniBOM_ME_0603-2_Bolt RFQ_Foxlink_03.1 2011_nego meeting@MACH 3 3" xfId="200"/>
    <cellStyle name="輸入" xfId="201" builtinId="20"/>
    <cellStyle name="_0522週品質管理週報_0507月設備妥善率8D1_0536周周管審_0540周直通率8D1_複本 0541周周管審_0744-1031M1 Manpower" xfId="202"/>
    <cellStyle name="_Biz Ops By Stream_CopyOfP6 Waynea review" xfId="203"/>
    <cellStyle name="好_Bristol  cost 20100914Rev.A" xfId="204"/>
    <cellStyle name="アクセント 6" xfId="205"/>
    <cellStyle name="_acut_X-BOX BB" xfId="206"/>
    <cellStyle name="_Z9 blueAnt ME BOM 0910 final_BlueAnt_Quotebook_V3_07SEP11 2" xfId="207"/>
    <cellStyle name="_2006_0406 Ernestine_Cooper tooling_Quotebook_V3_07SEP11_Internal RFQ River Standalone  Bundle Unibom_v1 2_20080603_EJ_Stream Quotebook(Submittal)_POC1_20080903 2" xfId="208"/>
    <cellStyle name="_2006_0406 Ernestine_Cooper tooling_Quotebook_07SEP10_BlueAnt_Quotebook_V3_07SEP11_Internal RFQ River Standalone  Bundle Unibom_v1 2_20080603_EJ_Stream Package Quotation_20090311" xfId="209"/>
    <cellStyle name="壞_foxlink Bristol for 10063D-2010-10-11_Bristol RFQ response _20101102_internal (4)_Bristol TC Estimate Update 08112011_internal working file" xfId="210"/>
    <cellStyle name="_0522週品質管理週報_0507月設備妥善率8D1_0536周周管審_0536周直通率8d_0541周直通率8D_0744-1031M1 Manpower" xfId="211"/>
    <cellStyle name="_Airquote - DELL chasis (FP)_Lenovo Park Format_July 07 05" xfId="212"/>
    <cellStyle name="好" xfId="213" builtinId="26"/>
    <cellStyle name="好_Creek Assembly Fixture  Test Equipment RFQ_20090427_Leopard_UniBOM_ME_0602 3 3" xfId="214"/>
    <cellStyle name="_2006_0409 Ernestine_Cooper tooling and plastic price to MS_Quotebook_07SEP10_BlueAnt_Quotebook_V3_07SEP11_Internal RFQ River Standalone  Bundle Unibom_v1 2_20080603_EJ_Stream Quotebook(Submittal)_POC1_20080903 2" xfId="215"/>
    <cellStyle name="千位分隔 4" xfId="216"/>
    <cellStyle name="_0526週品質管理週報_0530周設備妥善_八月份周直通率8d1_0733-0815M1 Manpower-3" xfId="217"/>
    <cellStyle name="好_0842周 顯卡報廢超標8D_2009MB KPI_MBO3F製造部hp0209-01 5 2 3" xfId="218"/>
    <cellStyle name="輸出" xfId="219" builtinId="21"/>
    <cellStyle name="_2006_0406 Ernestine_Cooper tooling_Quotebook_V3_07SEP11_Stream RFQ Unibom--0626-1756_Stream Quotebook(Submittal)_POC1_20080903" xfId="220"/>
    <cellStyle name="差_HP Mouse 產能評估(上系統)_Erie 效益分析 (Update)_Flow chart and Fixture(1-4)_Jackson 效益分析 (2-1 B0 上系統)_Leopard效益分析08-17" xfId="221"/>
    <cellStyle name="_2006_0329 Ernestine_Cooper Cost Feedback_Quotebook_V3_07SEP11_RFQ_River_BAFO_2008 0606_M1_Stream Quotebook(Submittal)_POC1_20080903" xfId="222"/>
    <cellStyle name="計算方式" xfId="223" builtinId="22"/>
    <cellStyle name="好_K TEST 2 2 2" xfId="224"/>
    <cellStyle name="_2005 04 DELL SMT Data2 -Process_2006日常管理目標.DIP _DELL MB廠級目標_DELL MB廠級目標四月 _DELL MB廠級目標十一月 (4)" xfId="225"/>
    <cellStyle name="差_Xl0000000_Leopard_UniBOM_ME_0531" xfId="226"/>
    <cellStyle name="_0535周周報1_0537周直通率8d" xfId="227"/>
    <cellStyle name="差_Xl0000002_Leopard_UniBOM_ME_0602_Bolt RFQ_Foxlink_03.1 2011_nego meeting@MACH 2 3" xfId="228"/>
    <cellStyle name="檢查儲存格" xfId="229" builtinId="23"/>
    <cellStyle name="Normal 27 3 2 2" xfId="230"/>
    <cellStyle name="Normal 32 3 2 2" xfId="231"/>
    <cellStyle name="_FCT Pareto By Line-Aug 14th(DEV01286-8)_Test Time" xfId="232"/>
    <cellStyle name="_2005 04 DELL SMT Data2 -Process_DELL廠級目標dip EXC _DELL廠級目標dip(2月) EXC _BPI 8D-SMT-2月 (3)_DELL MB廠級目標.xls 圖表 1_2007DELL SMT廠級目標KPI(MT)1" xfId="233"/>
    <cellStyle name="_2005 04 DELL SMT Data2 -Process_2006日常管理目標.DIP _DELL廠級目標dip(2月) EXC _BPI 8D-SMT-2月 (3)_DELL MB廠級目標_HP制程課2007管理指標匯總-八月匯總" xfId="234"/>
    <cellStyle name="_短路明細_0538周周管審--FINl" xfId="235"/>
    <cellStyle name="差_HP  專案(設備&amp;治工具需夠買)update_Erie 效益分析 (Update)_效益分析(總 12-28 Update)_Jackson 效益分析 (2-1 B0 上系統)_Leopard效益分析08-17" xfId="236"/>
    <cellStyle name="_Seagate-Twister8.14 (1)" xfId="237"/>
    <cellStyle name="_x0007_ 14 3" xfId="238"/>
    <cellStyle name="_BOM update - Supplier List (Purchase) 111102_Radon chill_Quotation_Price(Internal) 6-9" xfId="239"/>
    <cellStyle name="連結的儲存格" xfId="240" builtinId="24"/>
    <cellStyle name="好_Erie 效益分析 (Update)_Jackson 效益分析 (2-1 B0 上系統)_squirrel效益分析08-17" xfId="241"/>
    <cellStyle name="加總" xfId="242" builtinId="25"/>
    <cellStyle name="_Monaco PCBA manpower summary" xfId="243"/>
    <cellStyle name="_0522週品質管理週報_0507月設備妥善率8D1_0541周直通率8D" xfId="244"/>
    <cellStyle name="_x0007_ 4" xfId="245"/>
    <cellStyle name="好_Creek EE BOM cost_20090425_Bolt RFQ_Foxlink_03.1 2011 3 3" xfId="246"/>
    <cellStyle name="_0530周周管審_八月份周直通率8d1_Book1_外包部人力編制" xfId="247"/>
    <cellStyle name="_2006_0409 Ernestine_Cooper tooling_Quotebook_07SEP10_RFQ_River_BAFO_2008 0606_M1" xfId="248"/>
    <cellStyle name="壞" xfId="249" builtinId="27"/>
    <cellStyle name="中性" xfId="250" builtinId="28"/>
    <cellStyle name="_x0007_ 6" xfId="251"/>
    <cellStyle name="好_Creek Assembly Fixture  Test Equipment RFQ_20090427_Xl0000002_Foxlink_Shadow RFQ NREUni BOM_12032009 2 2 2" xfId="252"/>
    <cellStyle name="_Flex Mechanicals Doumen Sales forecast - Jan.06_Volume Fcst 1006 updated_X-BOX Console line setup budget 20080414" xfId="253"/>
    <cellStyle name="輔色1" xfId="254" builtinId="29"/>
    <cellStyle name="_2006_0412 Ernestine_Cooper tooling and plastic price to MS_JC_Quotebook_V3_07SEP11_RFQ_River_BAFO_2008 0606_M1_Stream Quotebook(Submittal)_POC1_20080903 2" xfId="255"/>
    <cellStyle name="差_jupite r設備&amp;治工具LIST (總)_pq_~5631336_Jackson 效益分析 (2-1 B0 上系統)_Leopard效益分析08-17" xfId="256"/>
    <cellStyle name="差_F3   SMT設備明細_效益分析_flow chart 2009.12.12_Flow chart and Fixture(1-4)_Jackson 效益分析 (2-1 B0 上系統)_Leopard效益分析08-17" xfId="257"/>
    <cellStyle name="20% - 輔色3" xfId="258" builtinId="38"/>
    <cellStyle name="_2006_0317 Ernestine_Cooper Cost Feedback_Quotebook_V3_07SEP11_RFQ_River_BAFO_2008 0606_M1_Stream Quotebook (Submittal)_POC2_20081117-1" xfId="259"/>
    <cellStyle name="40% - 輔色1" xfId="260" builtinId="31"/>
    <cellStyle name="差_Creak Pearl Reliability Fixture RFQ_2009 04 24_Pearl RFQ(Submittal)ver2_05_12_2009 _Squirrel UniBom-06.23.2010_update_internal_Bolt RFQ_Foxlink_03.1 2011_nego meeting@MACH 3" xfId="261"/>
    <cellStyle name="_2005 04 DELL SMT Data2 -Process_2006日常管理目標.DIP _DELL廠級目標dip(2月) EXC _BPI 8D-SMT-2月_DELL MB廠級目標_DELL MB廠級目標_2007DELL SMT廠級目標KPI(MT)1" xfId="262"/>
    <cellStyle name="好_Creek EE BOM cost_20090425_Creek RFQ feedback 04_28_2009_FD Update_Leopard_UniBOM_ME_0531_Bolt RFQ Proposal_Foxlink_ (Pricing Summary) 2 25 2011 2 2" xfId="263"/>
    <cellStyle name="?…????? [0.00]_laroux" xfId="264"/>
    <cellStyle name="差_Xl0000002_Leopard RFQ ME BOM Costs-0618_Bolt RFQ_Foxlink_03.1 2011_nego meeting@MACH 2 2" xfId="265"/>
    <cellStyle name="好_Bristol TC Estimate Update 08112011_internal working file" xfId="266"/>
    <cellStyle name="_2006_0409 Ernestine_Cooper tooling and plastic price to MS" xfId="267"/>
    <cellStyle name="_2005 04 DELL SMT Data2 -Process_DELL MB廠級目標 _DELL MB廠級目標_DELL制程課管理目標" xfId="268"/>
    <cellStyle name="_NRE Cost for Boron EV3B build" xfId="269"/>
    <cellStyle name="_x0007_ 7" xfId="270"/>
    <cellStyle name="壞_Creek EE BOM cost_20090425_Creek RFQ feedback 04_28_2009_FD Update_Leopard_UniBOM_ME_0603-2 3 3" xfId="271"/>
    <cellStyle name="_2006_0409 Ernestine_Cooper tooling and plastic price to MS_Quotebook_07SEP10_RFQ_River_BAFO_2008 0606_M1_Stream Quotebook(Submittal)_POC1_20080903" xfId="272"/>
    <cellStyle name="差_Creak Pearl Reliability Fixture RFQ_2009 04 24_Xl0000002_Squirrel UniBom-06.23.2010_update_internal_Bolt RFQ Proposal_Foxlink_ (Pricing Summary) 2 25 2011 5 2" xfId="273"/>
    <cellStyle name="好_Creek Assembly Fixture  Test Equipment RFQ_20090427_Xl0000002_Foxlink_Shadow RFQ NREUni BOM_12032009 2 2 3" xfId="274"/>
    <cellStyle name="輔色2" xfId="275" builtinId="33"/>
    <cellStyle name="好_River EE BOM_Xl0000002_Leopard_UniBOM_ME_0602_Bolt RFQ Proposal_Foxlink_ (Pricing Summary) 2 25 2011 4" xfId="276"/>
    <cellStyle name="_0522週品質管理週報_0530周設備妥善_0538周周管審--FINl_複本 0541周周管審_0751-1219M1 Manpower" xfId="277"/>
    <cellStyle name="_2006_0410 Ernestine_Cooper tooling and plastic price to MS_Quotebook_07SEP10_BlueAnt_Quotebook_V3_07SEP11_Internal RFQ River Standalone  Bundle Unibom_v1 2_20080603_EJ_Stream Quotebook(Submittal)_POC1_20080903 2" xfId="278"/>
    <cellStyle name="_0522週品質管理週報_0507月設備妥善率8D1_0536周周管審_Book1_外包部人力編制" xfId="279"/>
    <cellStyle name="20% - 輔色4" xfId="280" builtinId="42"/>
    <cellStyle name="_FP Q1 FY08 Fcst_Internal Hourly Rate Q1 FY08 Version 06052007 Draft_Internal Hourly Rate Q1 FY08 Version (2)" xfId="281"/>
    <cellStyle name="_0522週品質管理週報_0507月設備妥善率8D1_0536周周管審_0536周直通率8d_0540周直通率8D1_複本 0541周周管審_0733-0815M1 Manpower-3" xfId="282"/>
    <cellStyle name="_2007年8月4日报到人员名单" xfId="283"/>
    <cellStyle name="_0522週品質管理週報_0507月設備妥善率8D1_0536周周管審_0536周直通率8d_Book1_複本 0541周周管審_離職原因分析" xfId="284"/>
    <cellStyle name="_CTB to BMC 0601 (2)_MOST Std - Project A BB Line_FMTQCI-MIS3H064-P027(01)Nazca Copy Exact Flow chart" xfId="285"/>
    <cellStyle name="40% - 輔色2" xfId="286" builtinId="35"/>
    <cellStyle name="_0522週品質管理週報_0507月設備妥善率8D1_0536周周管審_0540周直通率8D1" xfId="287"/>
    <cellStyle name="_2005 04 DELL SMT Data2 -Process_DELLTEAM入庫資料1_2007DELL SMT廠級目標KPI(MT)1" xfId="288"/>
    <cellStyle name="好_0842周 顯卡報廢超標8D_HP 2 4" xfId="289"/>
    <cellStyle name="_0522週品質管理週報_0507月設備妥善率8D1_0536周周管審_0537周直通率8d_0541周直通率8D_外包部人力編制" xfId="290"/>
    <cellStyle name="_2006_0410b Ernestine_Cooper tooling and plastic price to MS_RFQ_River_BAFO_2008 0606_M1_Stream Package Quotation_20090311" xfId="291"/>
    <cellStyle name="差_Creak Pearl Reliability Fixture RFQ_2009 04 24_Leopard_UniBOM_ME_0602-1 3 3" xfId="292"/>
    <cellStyle name="_Ernestine Parts Budgetary Quote - LA (20060319)_Quotebook_V3_07SEP11_Stream RFQ Unibom--0626-1756_Stream Quotebook(Submittal)_POC1_20080903 2" xfId="293"/>
    <cellStyle name="_x001e_" xfId="294"/>
    <cellStyle name="_2005 04 DELL SMT Data2 -Process_DELL SMT 廠級目標KPI_DELL MB廠級目標_DELL MB廠級目標" xfId="295"/>
    <cellStyle name="20% - 輔色6" xfId="296" builtinId="50"/>
    <cellStyle name="40% - 輔色4" xfId="297" builtinId="43"/>
    <cellStyle name="_0522週品質管理週報_0507月設備妥善率8D1_0536周周管審_0537周直通率8d_複本 0541周周管審_離職原因分析" xfId="298"/>
    <cellStyle name="好_River EE BOM_Creak Pearl Reliability Fixture RFQ_2009 04 24_Creek RFQ feedback 04_28_2009_FD Update_Leopard_UniBOM_ME_0602_Bolt RFQ Proposal_Foxlink_ (Pricing Summary) 2 25 2011 2" xfId="299"/>
    <cellStyle name="_Seagate FLAGSHIP DESKTOP ME bom cost_Rev.A2 58" xfId="300"/>
    <cellStyle name="_Seagate FLAGSHIP DESKTOP ME bom cost_Rev.A2 63" xfId="301"/>
    <cellStyle name="_2005 04 DELL SMT Data2 -Process_DELL MB廠級目標 (2)_DELL MB廠級目標.xls 圖表 1_DELLTEAM入庫資料1_DELL MB廠級目標十一月 (4)" xfId="302"/>
    <cellStyle name="_Book2_Volume Fcst 1006 updated_Copy of Tom OS ( Oct) new for LOG_Copy of X-BOX for line setup budget" xfId="303"/>
    <cellStyle name="60% - 輔色2" xfId="304" builtinId="36"/>
    <cellStyle name="_x0007_ 8" xfId="305"/>
    <cellStyle name="_2006_0412 Ernestine_Cooper tooling and plastic price to MS_JC_Quotebook_V3_07SEP11_Internal RFQ River Standalone  Bundle Unibom_v1 2_20080603_EJ_Stream Quotebook(Submittal)_POC1_20080903" xfId="306"/>
    <cellStyle name="_2005 04 DELL SMT Data2 -Process_DELL廠級目標dip.EXC _DELL MB廠級目標_DELL MB廠級目標_DELL MB廠級目標十一月 (4)" xfId="307"/>
    <cellStyle name="_Sales Forecast (plastic XX)0703_Volume Fcst Jul 06-update HP _Forecast Template v4" xfId="308"/>
    <cellStyle name="_Sales Forecast (plastic XX)1203_Volume Fcst Jul 06-update HP _Forecast Template v4" xfId="309"/>
    <cellStyle name="差_Creak Pearl Reliability Fixture RFQ_2009 04 24_Xl0000002_Squirrel UniBom-06.23.2010_update_internal_Bolt RFQ Proposal_Foxlink_ (Pricing Summary) 2 25 2011 5 3" xfId="310"/>
    <cellStyle name="輔色3" xfId="311" builtinId="37"/>
    <cellStyle name="差_Creak Pearl Reliability Fixture RFQ_2009 04 24_Leopard UniBom_Foxlink_6 21 2010-ME_nego_Bolt RFQ_Foxlink_03.1 2011_nego meeting@MACH 2" xfId="312"/>
    <cellStyle name="_200903所需資料" xfId="313"/>
    <cellStyle name="40% - 輔色5" xfId="314" builtinId="47"/>
    <cellStyle name="_x0007_" xfId="315"/>
    <cellStyle name="60% - 輔色3" xfId="316" builtinId="40"/>
    <cellStyle name="_xbox live-Rene_FY06 P6 CM Consigned RM" xfId="317"/>
    <cellStyle name="_x0004_" xfId="318"/>
    <cellStyle name="_0522週品質管理週報_0507月設備妥善率8D1_0536周周管審" xfId="319"/>
    <cellStyle name="Normal 21 4 2" xfId="320"/>
    <cellStyle name="_x0007_ 9" xfId="321"/>
    <cellStyle name="輔色4" xfId="322" builtinId="41"/>
    <cellStyle name="_2006_0410b Ernestine_Cooper tooling and plastic price to MS_Quotebook_07SEP10_BlueAnt_Quotebook_V3_07SEP11_Internal RFQ River Standalone  Bundle Unibom_v1 2_20080603_EJ_Stream Package Quotation_20090311" xfId="323"/>
    <cellStyle name="_08年LCM費用分析080214" xfId="324"/>
    <cellStyle name="_0522週品質管理週報_0507月設備妥善率8D1_0540周直通率8D1_複本 0541周周管審" xfId="325"/>
    <cellStyle name="_2005 04 DELL SMT Data2 -Process_DELL MB廠級目標 (2)_DELL MB廠級目標_DELL MB廠級目標_2007DELL SMT廠級目標KPI(MT)1" xfId="326"/>
    <cellStyle name="輔色5" xfId="327" builtinId="45"/>
    <cellStyle name="_August-05_2009 xBOX ramp up budget code applicaiton" xfId="328"/>
    <cellStyle name="_8001_1" xfId="329"/>
    <cellStyle name="_Ernestine Requipment  Fixture List_04_06_2006_Quotebook_V3_07SEP11_Internal RFQ River Standalone  Bundle Unibom_v1 2_20080603_EJ 2" xfId="330"/>
    <cellStyle name="輔色6" xfId="331" builtinId="49"/>
    <cellStyle name="_Xbox SW POs FY02-FY03" xfId="332"/>
    <cellStyle name="_0522週品質管理週報_0507月設備妥善率8D1_0536周周管審_0537周直通率8d_複本 0541周周管審_編制表" xfId="333"/>
    <cellStyle name="_0526週品質管理週報_0531周設備妥善_0538周周管審--FINl_複本 0541周周管審_0733-0815M1 Manpower-3" xfId="334"/>
    <cellStyle name="_Flex Mechanicals Doumen Sales forecast - Jan.06-updated_Internal Hourly Rate Q1 FY08 Version (2)" xfId="335"/>
    <cellStyle name="_x0007_ 9 2" xfId="336"/>
    <cellStyle name="好_River EE BOM_Creak Pearl Reliability Fixture RFQ_2009 04 24_Pearl RFQ(Submittal)ver2_05_12_2009 _Leopard_UniBOM_ME_0602-1_Bolt RFQ_Foxlink_03.1 2011 2 2" xfId="337"/>
    <cellStyle name="_Avaya SPICE demand on Apr-25-06 (based on ramp-up plan)_Scenario 2 of recovery until 1116" xfId="338"/>
    <cellStyle name="差_HP  專案(設備&amp;治工具需夠買)update_Bolt RFQ Proposal_Foxlink_ (Pricing Summary) 2 25 2011 4" xfId="339"/>
    <cellStyle name="好_效益分析&amp;產能評估_MS Bolt wireless mouse FixtureEquipment Cost_A5_2010_02_21_Bolt RFQ_Foxlink_03.1 2011_nego meeting@MACH" xfId="340"/>
    <cellStyle name="好_River EE BOM_Creak Pearl Reliability Fixture RFQ_2009 04 24_Creek RFQ feedback 04_28_2009_FD Update_Leopard_UniBOM_ME_0602 2 3" xfId="341"/>
    <cellStyle name="_Mechanical Contribution Margins (Q1'06, applied to Apr'04 Fcst)_PL Fcst Jul 06-updated G&amp;A Value_Internal Hourly Rate Q1 FY08 Version 06142007 excl. Corporate Allocation" xfId="342"/>
    <cellStyle name="壞_Creek EE BOM cost_20090425_Creek RFQ feedback 04_28_2009_FD Update_Leopard UniBom_Foxlink_6 21 2010-ME_nego_Bolt RFQ Proposal_Foxlink_ (Pricing Summary) 2 25 2011 8" xfId="343"/>
    <cellStyle name="_0530周周管審_0541周SMT周管審_外包部人力編制" xfId="344"/>
    <cellStyle name=" 1" xfId="345"/>
    <cellStyle name="_0522週品質管理週報_0507月設備妥善率8D1_0536周周管審_0540周直通率8D1_外包部人力編制" xfId="346"/>
    <cellStyle name="差_F3   SMT設備明細_Bolt RFQ Proposal_Foxlink_ (Pricing Summary) 2 25 2011 2 3" xfId="347"/>
    <cellStyle name="好_River EE BOM_Creak Pearl Reliability Fixture RFQ_2009 04 24_Pearl RFQ(Submittal)ver2_05_12_2009 _Leopard RFQ ME BOM Costs-0618_Bolt RFQ_Foxlink_03.1 2011_nego meeting@MACH" xfId="348"/>
    <cellStyle name="Normal 48 3 2 3" xfId="349"/>
    <cellStyle name="Normal 53 3 2 3" xfId="350"/>
    <cellStyle name="壞_Creek Assembly Fixture  Test Equipment RFQ_20090427_Xl0000002_Leopard UniBom_Foxlink_6 21 2010-ME_nego_Bolt RFQ_Foxlink_03.1 2011 3 3" xfId="351"/>
    <cellStyle name="_x0007_ 11 2" xfId="352"/>
    <cellStyle name="_220076-78(Sep 2006)_Forecast Template v4" xfId="353"/>
    <cellStyle name="_0522週品質管理週報_0530周設備妥善_0541周直通率8D" xfId="354"/>
    <cellStyle name="好_River EE BOM_Foxlink_Shadow RFQ NREUni BOM_12032009_Bolt RFQ_Foxlink_03.1 2011_nego meeting@MACH" xfId="355"/>
    <cellStyle name="好_River EE BOM_Xl0000000_Leopard RFQ ME BOM Costs-0618_Bolt RFQ_Foxlink_03.1 2011" xfId="356"/>
    <cellStyle name="_2005 04 DELL SMT Data2 -Process_DELL廠級目標dip.EXC _DELL廠級目標dip(2月) EXC _BPI 8D-SMT-2月_DELL MB廠級目標.xls 圖表 1" xfId="357"/>
    <cellStyle name="差_F3   SMT設備明細_Bolt RFQ Proposal_Foxlink_ (Pricing Summary) 2 25 2011 3 3" xfId="358"/>
    <cellStyle name="好_River EE BOM_Bolt RFQ Proposal_Foxlink_ (Pricing Summary) 2 25 2011 4" xfId="359"/>
    <cellStyle name="Parts" xfId="360"/>
    <cellStyle name="Heading 2 13" xfId="361"/>
    <cellStyle name="_x0007_ 12 2" xfId="362"/>
    <cellStyle name="_184071 - P8 Non-DW PPV_Copy of Pending MRB 01 27 06 (2)" xfId="363"/>
    <cellStyle name="差_Creak Pearl Reliability Fixture RFQ_2009 04 24_Creek  Pearl RFQ_May 12_Leopard_UniBOM_ME_0602-1_Bolt RFQ Proposal_Foxlink_ (Pricing Summary) 2 25 2011 4 3" xfId="364"/>
    <cellStyle name="_0526週品質管理週報_0536周周管審_0537周直通率8d1_複本 0541周周管審" xfId="365"/>
    <cellStyle name="_0522週品質管理週報_0530周設備妥善" xfId="366"/>
    <cellStyle name="差_jupite r設備&amp;治工具LIST (總)_Dallas flow chart&amp;設備&amp;治工具清單(12-8 A0)_Flow Chart&amp;設備治工具清單 _~1159284" xfId="367"/>
    <cellStyle name="Normal 25 2 2 3" xfId="368"/>
    <cellStyle name="Normal 30 2 2 3" xfId="369"/>
    <cellStyle name="_0522週品質管理週報_0507月設備妥善率8D1_0536周周管審_0537周直通率8d_0733-0815M1 Manpower-3" xfId="370"/>
    <cellStyle name="_04Xbox console Metrics - 7_11_CopyOfP6 Waynea review" xfId="371"/>
    <cellStyle name="_8月月管審附件.xls 圖表 1" xfId="372"/>
    <cellStyle name="믅됞 [0.00]_laroux" xfId="373"/>
    <cellStyle name="好_River EE BOM_Bolt RFQ Proposal_Foxlink_ (Pricing Summary) 2 25 2011 5" xfId="374"/>
    <cellStyle name="Heading 2 14" xfId="375"/>
    <cellStyle name="_x0007_ 12 3" xfId="376"/>
    <cellStyle name="差_Creak Pearl Reliability Fixture RFQ_2009 04 24_Creek  Pearl RFQ_May 12_Leopard_UniBOM_ME_0602-1_Bolt RFQ Proposal_Foxlink_ (Pricing Summary) 2 25 2011 5 3" xfId="377"/>
    <cellStyle name="Normal 20 2 2" xfId="378"/>
    <cellStyle name="_0522週品質管理週報_0536周周管審_0537周直通率8d_0541周直通率8D_0733-0815M1 Manpower-3" xfId="379"/>
    <cellStyle name="差_F3   SMT設備明細_Bolt RFQ Proposal_Foxlink_ (Pricing Summary) 2 25 2011 4 3" xfId="380"/>
    <cellStyle name="差_dallas產能評估_Dallas flow chart&amp;設備&amp;治工具清單(12-8 A0)_Flow chart and Fixture(Jackson)_A1_Jackson 效益分析 (2-1 B0 上系統)_Leopard Flowchart &amp; 產能評估" xfId="381"/>
    <cellStyle name="_x0007_ 13 2" xfId="382"/>
    <cellStyle name="差_Squirrel UniBom-06.23.2010_update_internal_Bolt RFQ_Foxlink_03.1 2011_nego meeting@MACH 3 3" xfId="383"/>
    <cellStyle name="_0522週品質管理週報_0507月設備妥善率8D1_0536周周管審_外包部人力編制" xfId="384"/>
    <cellStyle name="好_Creek EE BOM cost_20090425_Leopard_UniBOM_ME_0531_Bolt RFQ_Foxlink_03.1 2011_nego meeting@MACH 2" xfId="385"/>
    <cellStyle name="好_River EE BOM_Xl0000000_Leopard_UniBOM_ME_0602-1_Bolt RFQ Proposal_Foxlink_ (Pricing Summary) 2 25 2011 6" xfId="386"/>
    <cellStyle name="_0522週品質管理週報_0530周設備妥善_0534周SMT周管審" xfId="387"/>
    <cellStyle name="_0522週品質管理週報_0541周直通率8D_編制表" xfId="388"/>
    <cellStyle name="差_F3   SMT設備明細_jupite r設備&amp;治工具LIST (總)_flow chart 2009.12.12_效益分析(總 12-28 Update)_Leopard效益分析08-17" xfId="389"/>
    <cellStyle name="差_F3   SMT設備明細_Bolt RFQ Proposal_Foxlink_ (Pricing Summary) 2 25 2011 5 3" xfId="390"/>
    <cellStyle name="_x0007_ 14 2" xfId="391"/>
    <cellStyle name="_0522週品質管理週報_0531周設備妥善_八月份周直通率8d1_0540周直通率8D1" xfId="392"/>
    <cellStyle name="?d????[0]" xfId="393"/>
    <cellStyle name="_2006_0319 Ernestine_Cooper Cost Feedback_Quotebook_07SEP10_BlueAnt_Quotebook_V3_07SEP11_Stream RFQ Unibom--0626-1756_Stream Quotebook(Submittal)_POC1_20080903 2" xfId="394"/>
    <cellStyle name="差_Xl0000002_Leopard_UniBOM_ME_0602-1 2 2 3" xfId="395"/>
    <cellStyle name="_0522週品質管理週報_0531周設備妥善_複本 0541周周管審_外包部人力編制" xfId="396"/>
    <cellStyle name="_Flex Mechanicals Doumen Sales forecast - Jan.06-updated_Volume Fcst 1006 updated_Copy of Tom OS ( Oct) new for LOG_2009 xBOX ramp up budget code applicaiton 300K --New May27" xfId="397"/>
    <cellStyle name="好_River EE BOM_Creek RFQ feedback 04_28_2009_FD Update_Leopard_UniBOM_ME_0531_Bolt RFQ_Foxlink_03.1 2011 3 2" xfId="398"/>
    <cellStyle name="_x0007_ 15" xfId="399"/>
    <cellStyle name="_x0007_ 20" xfId="400"/>
    <cellStyle name="差_MS Bolt wireless mouse FixtureEquipment Cost_A5_2010_02_21_Bolt RFQ_Foxlink_03.1 2011_nego meeting@MACH" xfId="401"/>
    <cellStyle name="好_River EE BOM_Stream Package Quotation_20090311 3" xfId="402"/>
    <cellStyle name="???_~ME0858" xfId="403"/>
    <cellStyle name="_x0007_ 15 2" xfId="404"/>
    <cellStyle name="_x0007_ 20 2" xfId="405"/>
    <cellStyle name="Normal 2 6 3" xfId="406"/>
    <cellStyle name="_0522週品質管理週報_0540周直通率8D1_編制表" xfId="407"/>
    <cellStyle name="好_River EE BOM_Foxlink_Shadow RFQ NREUni BOM_12032009_Bolt RFQ Proposal_Foxlink_ (Pricing Summary) 2 25 2011 2 2 3" xfId="408"/>
    <cellStyle name="_0522週品質管理週報_0507月設備妥善率8D1_0536周周管審_0537周直通率8d_0541周直通率8D_0751-1219M1 Manpower" xfId="409"/>
    <cellStyle name="好_Creek Assembly Fixture  Test Equipment RFQ_20090427_Xl0000002_Leopard UniBom_Foxlink_6 21 2010-ME_nego_Bolt RFQ_Foxlink_03.1 2011 2" xfId="410"/>
    <cellStyle name="_0526週品質管理週報_0530周設備妥善_八月份周直通率8d1_複本 0541周周管審_0733-0815M1 Manpower-3" xfId="411"/>
    <cellStyle name="差_jupite r設備&amp;治工具LIST (總)_Flow Chart&amp;PQ分析(12-1)_Flow chart and Fixture(1-4)_Jackson 效益分析 (2-1 B0 上系統)" xfId="412"/>
    <cellStyle name="_~4887572 2" xfId="413"/>
    <cellStyle name="差_F3   SMT設備明細_M1 SuedeFixtureEquipment Cost_A0_2010_10_15_Wedge_ME_BOM-v00-11v0715 2" xfId="414"/>
    <cellStyle name="壞_Creek EE BOM cost_20090425_Leopard_UniBOM_ME_0603-2" xfId="415"/>
    <cellStyle name="好_River EE BOM_Creek RFQ feedback 04_28_2009_FD Update_Leopard_UniBOM_ME_0531_Bolt RFQ_Foxlink_03.1 2011 3 3" xfId="416"/>
    <cellStyle name="_x0007_ 16" xfId="417"/>
    <cellStyle name="_x0007_ 21" xfId="418"/>
    <cellStyle name="差_Creak Pearl Reliability Fixture RFQ_2009 04 24_Xl0000002_Foxlink_Shadow RFQ NREUni BOM_12032009_Bolt RFQ_Foxlink_03.1 2011_nego meeting@MACH 3" xfId="419"/>
    <cellStyle name="_x0007_ 16 2" xfId="420"/>
    <cellStyle name="_x0007_ 21 2" xfId="421"/>
    <cellStyle name="_2005 04 DELL SMT Data2 -Process_DELL MB廠級目標 _DELL MB廠級目標.xls 圖表 1_DELLTEAM入庫資料1" xfId="422"/>
    <cellStyle name="好_MB9月管審誤判超標 8D 2 5" xfId="423"/>
    <cellStyle name="_2005 04 DELL SMT Data2 -Process_DELL MB廠級目標  (2)_DELL MB廠級目標.xls 圖表 1_MT 2007 KPI" xfId="424"/>
    <cellStyle name="_0522週品質管理週報_0507月設備妥善率8D1_0536周周管審_0537周直通率8d_複本 0541周周管審_0607 M1 Manpower (含大本編制)" xfId="425"/>
    <cellStyle name="_220071-78(Oct 2006) (2)_Budget GC Other Form" xfId="426"/>
    <cellStyle name="差_Creak Pearl Reliability Fixture RFQ_2009 04 24_Xl0000002_Foxlink_Shadow RFQ NREUni BOM_12032009_Bolt RFQ_Foxlink_03.1 2011_nego meeting@MACH 4" xfId="427"/>
    <cellStyle name="_x0007_ 16 3" xfId="428"/>
    <cellStyle name="_x0007_ 21 3" xfId="429"/>
    <cellStyle name="_Flextronics Radon  Build Plan 4-27-2005_Capacity demand for Radon 200k_Line transition plan to B17 rev 5" xfId="430"/>
    <cellStyle name="_0526週品質管理週報_0507月設備妥善率8D1_0536周周管審_0537周直通率8d1_外包部人力編制" xfId="431"/>
    <cellStyle name="_0522週品質管理週報_Book1_複本 0541周周管審_外包部人力編制" xfId="432"/>
    <cellStyle name="_0522週品質管理週報_0536周周管審_0538周直通率8d1_複本 0541周周管審_0733-0815M1 Manpower-3" xfId="433"/>
    <cellStyle name="差_F3   SMT設備明細_M1 SuedeFixtureEquipment Cost_A0_2010_10_15_Wedge_ME_BOM-v00-11v0715 3" xfId="434"/>
    <cellStyle name="_x0007_ 17" xfId="435"/>
    <cellStyle name="_x0007_ 22" xfId="436"/>
    <cellStyle name="_0522週品質管理週報_0530周設備妥善_0540周周管審_0541周直通率8D_0733-0815M1 Manpower-3" xfId="437"/>
    <cellStyle name="_產能估算 " xfId="438"/>
    <cellStyle name="_2006_0317 Ernestine_Cooper Cost Feedback_Quotebook_07SEP10_RFQ_River_BAFO_2008 0606_M1_Stream Quotebook(Submittal)_POC1_20080903 2" xfId="439"/>
    <cellStyle name="差_MS Bolt wireless mouse FixtureEquipment Cost_A5_2010_02_21_Bolt RFQ Proposal_Foxlink_ (Pricing Summary) 2 25 2011 4" xfId="440"/>
    <cellStyle name="Currency 16 3" xfId="441"/>
    <cellStyle name="_0522週品質管理週報_0536周周管審_外包部人力編制" xfId="442"/>
    <cellStyle name="_0522週品質管理週報_0530周設備妥善_0537周SMT周管審_0733-0815M1 Manpower-3" xfId="443"/>
    <cellStyle name="_x0007_ 17 2" xfId="444"/>
    <cellStyle name="_x0007_ 22 2" xfId="445"/>
    <cellStyle name="好_River EE BOM_Creak Pearl Reliability Fixture RFQ_2009 04 24_Pearl RFQ(Submittal)ver2_05_12_2009 _Leopard_UniBOM_ME_0602-1_Bolt RFQ Proposal_Foxlink_ (Pricing Summary) 2 25 2011 4" xfId="446"/>
    <cellStyle name="Heading 3 13" xfId="447"/>
    <cellStyle name="_184071 - RMA Review (3)_P6 Waynea review" xfId="448"/>
    <cellStyle name="差_HP Mouse 產能評估(Forecast更改後)_Erie 效益分析 (Update)_Flow chart and Fixture(Jackson)_A1_Jackson 效益分析 (2-1 B0 上系統)_Leopard Flowchart &amp; 產能評估" xfId="449"/>
    <cellStyle name="_x0007_ 17 3" xfId="450"/>
    <cellStyle name="_x0007_ 22 3" xfId="451"/>
    <cellStyle name="好_River EE BOM_Creak Pearl Reliability Fixture RFQ_2009 04 24_Pearl RFQ(Submittal)ver2_05_12_2009 _Leopard_UniBOM_ME_0602-1_Bolt RFQ Proposal_Foxlink_ (Pricing Summary) 2 25 2011 5" xfId="452"/>
    <cellStyle name="Heading 3 14" xfId="453"/>
    <cellStyle name="_Flex Mechanicals Doumen Sales forecast - Jan.06-updated_Volume Fcst 1006 updated_Copy of X-BOX for line setup budget" xfId="454"/>
    <cellStyle name="_0526週品質管理週報_0530周設備妥善_0538周周管審--FINl_外包部人力編制" xfId="455"/>
    <cellStyle name="_0522週品質管理週報_0507月設備妥善率8D1_0536周周管審_0536周直通率8d_Book1_複本 0541周周管審_編制表" xfId="456"/>
    <cellStyle name="好_Creek EE BOM cost_20090425_Creek RFQ feedback 04_28_2009_FD Update_Squirrel RFQ ME BOM Costs-0623 2 3" xfId="457"/>
    <cellStyle name="_2006_0409 Ernestine_Cooper tooling and plastic price to MS_Erie  Mouse RFQ Pricing IE 2" xfId="458"/>
    <cellStyle name="_x0007_ 18" xfId="459"/>
    <cellStyle name="_x0007_ 23" xfId="460"/>
    <cellStyle name="_2005 04 DELL SMT Data2 -Process_DELL廠級目標dip EXC _DELL MB廠級目標_DELL MB廠級目標四月 " xfId="461"/>
    <cellStyle name="_2005 04 DELL SMT Data2 -Process_DELL制程課管理目標" xfId="462"/>
    <cellStyle name="_0522週品質管理週報_0530周設備妥善_0538周周管審--FINl_複本 0541周周管審_0744-1031M1 Manpower" xfId="463"/>
    <cellStyle name="_2005 US Flex Forecast Ver2_X-BOX BB" xfId="464"/>
    <cellStyle name="好_Creek EE BOM cost_20090425_Leopard_UniBOM_ME_0602_Bolt RFQ_Foxlink_03.1 2011 5" xfId="465"/>
    <cellStyle name="_x0007_ 18 2" xfId="466"/>
    <cellStyle name="_x0007_ 23 2" xfId="467"/>
    <cellStyle name="_2005 US Flex Forecast Ver2_plforecastsample_X-BOX BB" xfId="468"/>
    <cellStyle name="好_River EE BOM_Creak Pearl Reliability Fixture RFQ_2009 04 24_Pearl RFQ(Submittal)ver2_05_12_2009 _Leopard UniBom_Foxlink_6 21 2010-ME_nego_Bolt RFQ_Foxlink_03.1 2011_nego meeting@MACH 3" xfId="469"/>
    <cellStyle name="_PL Fcst Jul 06-updated G&amp;A Value_Copy of Tom OS ( Oct) new for LOG_2009 xBOX ramp up budget code applicaiton 300K --New May26 (3)" xfId="470"/>
    <cellStyle name="_8D_1_0541周直通率8D" xfId="471"/>
    <cellStyle name="好_Creek EE BOM cost_20090425_Leopard_UniBOM_ME_0603-2_Bolt RFQ_Foxlink_03.1 2011 2" xfId="472"/>
    <cellStyle name="_0522週品質管理週報_0507月設備妥善率8D1_0541周直通率8D_0607 M1 Manpower (含大本編制)" xfId="473"/>
    <cellStyle name="_Sales Breakdown2005-12(Link ) (2)" xfId="474"/>
    <cellStyle name="_Mechanical Contribution Margins (Q1'06, applied to Apr'04 Fcst)_Mechanical Contribution Margins forecast 0506 FP_PL Forecast by segment-most final 0806_Copy of Tom OS ( Oct) new for LOG_Forecast Template v4" xfId="475"/>
    <cellStyle name="_x0007_ 18 3" xfId="476"/>
    <cellStyle name="_x0007_ 23 3" xfId="477"/>
    <cellStyle name="_x0007_ 19" xfId="478"/>
    <cellStyle name="_x0007_ 24" xfId="479"/>
    <cellStyle name="_x0007_ 19 2" xfId="480"/>
    <cellStyle name="_x0007_ 24 2" xfId="481"/>
    <cellStyle name="好_River EE BOM_Squirrel UniBom-06.23.2010_update_internal_Bolt RFQ Proposal_Foxlink_ (Pricing Summary) 2 25 2011 4 3" xfId="482"/>
    <cellStyle name="_2005 04 DELL SMT Data2 -Process_DELL廠級目標dip EXC _DELL廠級目標dip(2月) EXC " xfId="483"/>
    <cellStyle name="_x0007_ 19 3" xfId="484"/>
    <cellStyle name="_x0007_ 24 3" xfId="485"/>
    <cellStyle name="_x0007_ 2" xfId="486"/>
    <cellStyle name="_2005 04 DELL SMT Data2 -Process_2006日常管理目標.DIP _DELL廠級目標dip(2月) EXC _BPI 8D-SMT-2月 (3)_DELL MB廠級目標_DELL制程課管理指標" xfId="487"/>
    <cellStyle name="好_River EE BOM_Xl0000000_Leopard_UniBOM_ME_0603-2_Bolt RFQ_Foxlink_03.1 2011_nego meeting@MACH 5" xfId="488"/>
    <cellStyle name="_FCT Pareto By Line-July 17th X808665-001-DEV01282-5-1_Update yield report for DEV02342(7.6) " xfId="489"/>
    <cellStyle name="_x0007_ 2 2" xfId="490"/>
    <cellStyle name="差_HP Mouse 產能評估(Forecast更改後)_M1 SuedeFixtureEquipment Cost_A0_2010_10_15_Bolt RFQ_Foxlink_03.1 2011 5" xfId="491"/>
    <cellStyle name="差_Xl0000002_Bolt RFQ_Foxlink_03.1 2011 3" xfId="492"/>
    <cellStyle name="_Dongle_ME_BOM_v0.1" xfId="493"/>
    <cellStyle name="_0522週品質管理週報_0507月設備妥善率8D1_0536周周管審_0537周直通率8d_編制表" xfId="494"/>
    <cellStyle name="_x0007_ 2 3" xfId="495"/>
    <cellStyle name="差_HP Mouse 產能評估(Forecast更改後)_M1 SuedeFixtureEquipment Cost_A0_2010_10_15_Wedge_ME_BOM-v00-11v0630 2 3" xfId="496"/>
    <cellStyle name="20% - 强调文字颜色 5 2 4" xfId="497"/>
    <cellStyle name="_August-05_Budget GC Other Form" xfId="498"/>
    <cellStyle name="Normal 5 3 2 3 2" xfId="499"/>
    <cellStyle name="_x0007_ 25" xfId="500"/>
    <cellStyle name="_2005 04 DELL SMT Data2 -Process_2006日常管理目標.DIP _DELL廠級目標dip(2月) EXC _DELL MB廠級目標 _DELL MB廠級目標.xls 圖表 1_DELL制程課管理目標" xfId="501"/>
    <cellStyle name="差_Creak Pearl Reliability Fixture RFQ_2009 04 24_Creek RFQ feedback 04_28_2009_FD Update_Squirrel UniBom-06.23.2010_update_internal_Bolt RFQ_Foxlink_03.1 2011_nego meeting@MACH" xfId="502"/>
    <cellStyle name="好_River EE BOM_Squirrel UniBom-06.23.2010_update_internal_Bolt RFQ Proposal_Foxlink_ (Pricing Summary) 2 25 2011 5 2" xfId="503"/>
    <cellStyle name="_x0007_ 25 2" xfId="504"/>
    <cellStyle name="好_River EE BOM_Creak Pearl Reliability Fixture RFQ_2009 04 24 3" xfId="505"/>
    <cellStyle name=";;; 2" xfId="506"/>
    <cellStyle name="_2006_0412 Ernestine_Cooper tooling and plastic price to MS_JC_Quotebook_07SEP10_BlueAnt_Quotebook_V3_07SEP11_Internal RFQ River Standalone  Bundle Unibom_v1 2_20080603_EJ 2" xfId="507"/>
    <cellStyle name="_x0007_ 25 3" xfId="508"/>
    <cellStyle name="好_River EE BOM_Creak Pearl Reliability Fixture RFQ_2009 04 24 4" xfId="509"/>
    <cellStyle name="_Wistron Xenon True-Up File (May)" xfId="510"/>
    <cellStyle name="Normal 5 3 2 3 3" xfId="511"/>
    <cellStyle name="_x0007_ 26" xfId="512"/>
    <cellStyle name="好_Creek Assembly Fixture  Test Equipment RFQ_20090427_Leopard UniBom_Foxlink_6 21 2010-ME_nego_Bolt RFQ_Foxlink_03.1 2011_Bolt_Cliff 2 4" xfId="513"/>
    <cellStyle name="_0522週品質管理週報_0531周設備妥善_八月份周直通率8d1_0538周周管審--FINl_編制表" xfId="514"/>
    <cellStyle name="_Foxlink Xenon Forecast 7-18-2005_Internal RFQ River Standalone  Bundle Unibom_v1 2_20080603_EJ 2" xfId="515"/>
    <cellStyle name="_x0007_ 27" xfId="516"/>
    <cellStyle name="差_jupite r設備&amp;治工具LIST (總)_Jackson 效益分析 testing update_16th Jan111" xfId="517"/>
    <cellStyle name="_x0007_ 3" xfId="518"/>
    <cellStyle name="_0522週品質管理週報_0507月設備妥善率8D1_0534周SMT周管審_0733-0815M1 Manpower-3" xfId="519"/>
    <cellStyle name="_0522週品質管理週報_0536周周管審_0536周直通率8d_0540周直通率8D1_複本 0541周周管審_0607 M1 Manpower (含大本編制)" xfId="520"/>
    <cellStyle name="好_River EE BOM_Creak Pearl Reliability Fixture RFQ_2009 04 24_Xl0000002_Squirrel UniBom-06.23.2010_update_internal_Bolt RFQ_Foxlink_03.1 2011 5" xfId="521"/>
    <cellStyle name="_x0007_ 3 2" xfId="522"/>
    <cellStyle name="specstores" xfId="523"/>
    <cellStyle name="_Depot Capacity Rev02 040605-Rev1-2 modified_plforecastsample_X-BOX BB" xfId="524"/>
    <cellStyle name="_2005 04 DELL SMT Data2 -Process_DELL廠級目標dip.EXC _DELL廠級目標dip(2月) EXC _BPI 8D-SMT-2月 (3)_DELL MB廠級目標_MT 2007 KPI" xfId="525"/>
    <cellStyle name="_2005 04 DELL SMT Data2 -Process_DELL廠級目標dip EXC _DELL廠級目標dip(2月) EXC _DELL MB廠級目標 _DELL MB廠級目標_2007DELL SMT廠級目標KPI(MT)1" xfId="526"/>
    <cellStyle name="_0526週品質管理週報_0507月設備妥善率8D1_0536周周管審_0537周直通率8d1_編制表" xfId="527"/>
    <cellStyle name="_0522週品質管理週報_Book1_複本 0541周周管審_編制表" xfId="528"/>
    <cellStyle name="_Fcst March_06(Revised 2.)_PL Fcst Jul 06-updated G&amp;A Value_Copy of Tom OS ( Oct) new for LOG_2009 xBOX ramp up budget code applicaiton 300K --New May26 (3)" xfId="529"/>
    <cellStyle name="_x0007_ 3 3" xfId="530"/>
    <cellStyle name="_budget est WIP 5_8_06" xfId="531"/>
    <cellStyle name="_x0007_ 4 2" xfId="532"/>
    <cellStyle name="_2005 04 DELL SMT Data2 -Process_DELL廠級目標dip(1月) EXC _DELL MB廠級目標_2007DELL SMT廠級目標KPI(MT)1" xfId="533"/>
    <cellStyle name="差_Xl0000002_Leopard_UniBOM_ME_0602-1_Bolt RFQ Proposal_Foxlink_ (Pricing Summary) 2 25 2011 2 4" xfId="534"/>
    <cellStyle name="_0522週品質管理週報_0507月設備妥善率8D1_0534周SMT周管審" xfId="535"/>
    <cellStyle name="_360 Tooling  Test" xfId="536"/>
    <cellStyle name="_2005 04 DELL SMT Data2 -Process_DELL廠級目標dip EXC _DELL廠級目標dip(2月) EXC _BPI 8D-SMT-2月_DELL MB廠級目標_DELLTEAM入庫資料1" xfId="537"/>
    <cellStyle name="_x0007_ 4 3" xfId="538"/>
    <cellStyle name="_Flex Mechanicals Doumen Sales forecast - Jan.06_PL Forecast by segment-most final 0806_Tom OS ( Oct)_X-BOX Console line setup budget 20080414" xfId="539"/>
    <cellStyle name="_x0007_ 5" xfId="540"/>
    <cellStyle name="_bom updated on 2002-11-10_Lenovo PACK  Packing Proposal" xfId="541"/>
    <cellStyle name="好_Bristol  cost 20100914Rev.A_Bristol ME parts tooling cost 20101022 updated_Bristol TC Estimate Update 08012011" xfId="542"/>
    <cellStyle name="_Forecast - Segment WGCJune06_plforecastsample_X-BOX BB" xfId="543"/>
    <cellStyle name="_August-05_plforecastsample_2009 xBOX ramp up budget code applicaiton" xfId="544"/>
    <cellStyle name="Normal 45 2 2 2" xfId="545"/>
    <cellStyle name="Normal 50 2 2 2" xfId="546"/>
    <cellStyle name="差_Creak Pearl Reliability Fixture RFQ_2009 04 24_Xl0000002_Leopard_UniBOM_ME_0531 2 4" xfId="547"/>
    <cellStyle name="差_Creak Pearl Reliability Fixture RFQ_2009 04 24_Xl0000002_Leopard_UniBOM_ME_0603-2_Bolt RFQ_Foxlink_03.1 2011_nego meeting@MACH 2 3" xfId="548"/>
    <cellStyle name="好_River EE BOM_Creak Pearl Reliability Fixture RFQ_2009 04 24_Pearl RFQ(Submittal)ver2_05_12_2009 _Leopard_UniBOM_ME_0602_Bolt RFQ Proposal_Foxlink_ (Pricing Summary) 2 25 2011 3" xfId="549"/>
    <cellStyle name="_Flex Mechanicals Doumen Sales forecast - Jan.06-updated_PL Fcst Jul 06-updated G&amp;A Value_Tom OS ( Oct)_2009 xBOX ramp up budget code applicaiton" xfId="550"/>
    <cellStyle name="_Book2_Mechanical Contribution Margins forecast 0506 FP_Volume Fcst 1006 updated_Tom OS ( Oct)_X-BOX Console line setup budget and Buyer list" xfId="551"/>
    <cellStyle name="_0535周周報1_九月份直通率8D" xfId="552"/>
    <cellStyle name="_0522週品質管理週報_0507月設備妥善率8D1_0536周周管審_複本 0541周周管審" xfId="553"/>
    <cellStyle name="差_Creak Pearl Reliability Fixture RFQ_2009 04 24_Creek RFQ feedback 04_28_2009_FD Update_Squirrel RFQ ME BOM Costs-0623_Bolt RFQ Proposal_Foxlink_ (Pricing Summary) 2 25 2011 2 2" xfId="554"/>
    <cellStyle name="_0533周周報_八月份周直通率8d1_0538周周管審--FINl" xfId="555"/>
    <cellStyle name="好_Creek Assembly Fixture  Test Equipment RFQ_20090427_Xl0000002_Squirrel UniBom-06.23.2010_update_internal_Bolt RFQ Proposal_Foxlink_ (Pricing Summary) 2 25 2011 3" xfId="556"/>
    <cellStyle name="_0522週品質管理週報_0530周設備妥善_0540周周管審_複本 0541周周管審_編制表" xfId="557"/>
    <cellStyle name="_0526週品質管理週報_0536周周管審_0538周直通率8d1_0541周直通率8D_外包部人力編制" xfId="558"/>
    <cellStyle name="_x0007_ 5 2" xfId="559"/>
    <cellStyle name="_Quo-Serengeti ME-060416-V8_Jerry" xfId="560"/>
    <cellStyle name="_x0007_ 5 3" xfId="561"/>
    <cellStyle name="差_Xl0000000_Bolt RFQ Proposal_Foxlink_ (Pricing Summary) 2 25 2011 2 2 2" xfId="562"/>
    <cellStyle name="Percent [00]" xfId="563"/>
    <cellStyle name="_2005 04 DELL SMT Data2 -Process_DELL廠級目標dip(1月) EXC _DELL MB廠級目標_DELLTEAM入庫資料1_DELL MB廠級目標十一月 (4)" xfId="564"/>
    <cellStyle name="_Flex Mechanicals Doumen Sales forecast - Jan.06-updated_PL Forecast by segment-most final 0806_X-BOX Console line setup budget and Buyer list" xfId="565"/>
    <cellStyle name="_0526週品質管理週報_0507月設備妥善率8D1_0534周SMT周管審_外包部人力編制" xfId="566"/>
    <cellStyle name="_0522週品質管理週報_0507月設備妥善率8D1_0536周周管審_Book1_複本 0541周周管審_0733-0815M1 Manpower-3" xfId="567"/>
    <cellStyle name="_x0007_ 6 2" xfId="568"/>
    <cellStyle name="_7月月管審附件.xls 圖表 1" xfId="569"/>
    <cellStyle name="_Seagate FLAGSHIP DESKTOP ME bom cost_Rev.A2 7" xfId="570"/>
    <cellStyle name="_2006_0410 Ernestine_Cooper tooling and plastic price to MS_RFQ_River_BAFO_2008 0606_M1_Stream Package Quotation_20090311" xfId="571"/>
    <cellStyle name="_2_22 operational build plan and component forecast_FY06 P7 CM Consigned RM" xfId="572"/>
    <cellStyle name="壞_Creek EE BOM cost_20090425_Leopard_UniBOM_ME_0602-1_Bolt RFQ Proposal_Foxlink_ (Pricing Summary) 2 25 2011 2" xfId="573"/>
    <cellStyle name="_0522週品質管理週報_0507月設備妥善率8D1_0536周周管審_0538周直通率8d1_0541周直通率8D_外包部人力編制" xfId="574"/>
    <cellStyle name="_2005 04 DELL SMT Data2 -Process_2006日常管理目標.DIP _DELL廠級目標dip(2月) EXC _DELL MB廠級目標  (2)_DELL MB廠級目標.xls 圖表 1_DELL制程課管理目標 (4)" xfId="575"/>
    <cellStyle name="差_Creak Pearl Reliability Fixture RFQ_2009 04 24_Creek RFQ feedback 04_28_2009_FD Update_Squirrel RFQ ME BOM Costs-0623_Bolt RFQ Proposal_Foxlink_ (Pricing Summary) 2 25 2011 3 3" xfId="576"/>
    <cellStyle name="差_Creak Pearl Reliability Fixture RFQ_2009 04 24_Creek RFQ feedback 04_28_2009_FD Update_Leopard_UniBOM_ME_0603-2_Bolt RFQ_Foxlink_03.1 2011 4" xfId="577"/>
    <cellStyle name="好_Creek EE BOM cost_20090425_Bolt RFQ_Foxlink_03.1 2011_nego meeting@MACH 2 2" xfId="578"/>
    <cellStyle name="_x0007_ 6 3" xfId="579"/>
    <cellStyle name="好_RIO Trial run QA Report-7.21（SEA97217)_Xl0000010" xfId="580"/>
    <cellStyle name="_0522週品質管理週報_0530周設備妥善_0541周SMT周管審" xfId="581"/>
    <cellStyle name="_0522週品質管理週報_0530周設備妥善_0536周SMT周管審" xfId="582"/>
    <cellStyle name="_0522週品質管理週報_0507月設備妥善率8D1_0536周周管審_0540周直通率8D1_複本 0541周周管審_0607 M1 Manpower (含大本編制)" xfId="583"/>
    <cellStyle name="_2005 04 DELL SMT Data2 -Process_2006日常管理目標.DIP _DELL廠級目標dip(2月) EXC _DELL MB廠級目標 (2)_DELL MB廠級目標_DELLTEAM入庫資料1_DELL MB廠級目標十一月 (4)" xfId="584"/>
    <cellStyle name="好_River EE BOM_Creek RFQ feedback 04_28_2009_FD Update_Leopard UniBom_Foxlink_6 21 2010-ME_nego_Bolt RFQ Proposal_Foxlink_ (Pricing Summary) 2 25 2011 2 2 2" xfId="585"/>
    <cellStyle name="_0522週品質管理週報_0507月設備妥善率8D1_0536周周管審_0536周直通率8d_0541周直通率8D_0607 M1 Manpower (含大本編制)" xfId="586"/>
    <cellStyle name="_acut_Budget GC Other Form" xfId="587"/>
    <cellStyle name="差_F3   SMT設備明細_jupite r設備&amp;治工具LIST (總)_pq_效益分析(總 12-28 Update)_Leopard效益分析08-17" xfId="588"/>
    <cellStyle name="_2006_0409 Ernestine_Cooper tooling and plastic price to MS 2" xfId="589"/>
    <cellStyle name="_PL Fcst_akl(Friday)_PL Forecast by segment-most final 0806_Forecast Template v4" xfId="590"/>
    <cellStyle name="_2005 04 DELL SMT Data2 -Process_DELL廠級目標dip EXC _DELL廠級目標dip(2月) EXC _DELL MB廠級目標 (2)_DELL MB廠級目標_DELL MB廠級目標_2007DELL SMT廠級目標KPI(MT)1" xfId="591"/>
    <cellStyle name="_0522週品質管理週報_0531周設備妥善_8月SMT月管審 _外包部人力編制" xfId="592"/>
    <cellStyle name="_x0007_ 7 2" xfId="593"/>
    <cellStyle name="_3月出貨計劃25日更新" xfId="594"/>
    <cellStyle name="_12月費用分析" xfId="595"/>
    <cellStyle name="差_F3   SMT設備明細_jupite r設備&amp;治工具LIST (總)_Flow chart and Fixture(1-4)_Jackson 效益分析 (2-1 B0 上系統)_Leopard效益分析08-17" xfId="596"/>
    <cellStyle name="_0522週品質管理週報_0530周設備妥善_0537周SMT周管審1_0744-1031M1 Manpower" xfId="597"/>
    <cellStyle name="_0526週品質管理週報_0530周設備妥善_0540周周管審_0541周直通率8D" xfId="598"/>
    <cellStyle name="好_River EE BOM_Xl0000002_Squirrel RFQ ME BOM Costs-0623 3" xfId="599"/>
    <cellStyle name="_0522週品質管理週報_0531周設備妥善_0538周周管審--FINl_複本 0541周周管審_編制表" xfId="600"/>
    <cellStyle name="好_River EE BOM_Xl0000002_Leopard_UniBOM_ME_0602_Bolt RFQ_Foxlink_03.1 2011 3" xfId="601"/>
    <cellStyle name="好_River EE BOM_Creak Pearl Reliability Fixture RFQ_2009 04 24_Creek  Pearl RFQ_May 12_Leopard_UniBOM_ME_0602_Bolt RFQ Proposal_Foxlink_ (Pricing Summary) 2 25 2011 4" xfId="602"/>
    <cellStyle name="差_Creak Pearl Reliability Fixture RFQ_2009 04 24_Pearl RFQ(Submittal)ver2_05_12_2009 _Squirrel UniBom-06.23.2010_update_internal_Bolt RFQ_Foxlink_03.1 2011_nego meeting@MACH 3 3" xfId="603"/>
    <cellStyle name="好_Creek EE BOM cost_20090425_Creek RFQ feedback 04_28_2009_FD Update_Leopard_UniBOM_ME_0531_Bolt RFQ Proposal_Foxlink_ (Pricing Summary) 2 25 2011 2 2 3" xfId="604"/>
    <cellStyle name="_0522週品質管理週報_0507月設備妥善率8D1_Book1_複本 0541周周管審_0744-1031M1 Manpower" xfId="605"/>
    <cellStyle name="_7月月管審附件.xls 圖表 1_0536周周管審_0538周周管審--FINl_複本 0541周周管審" xfId="606"/>
    <cellStyle name="好_Creek Assembly Fixture  Test Equipment RFQ_20090427_Xl0000002_Leopard_UniBOM_ME_0602 2" xfId="607"/>
    <cellStyle name="_x0007_ 7 3" xfId="608"/>
    <cellStyle name="_0526週品質管理週報_0531周設備妥善_0541周SMT周管審" xfId="609"/>
    <cellStyle name="_0526週品質管理週報_0531周設備妥善_0536周SMT周管審" xfId="610"/>
    <cellStyle name="差_HP Mouse 產能評估(Forecast更改後)_Erie 效益分析 (Update)_Jackson 效益分析 (1-18 A7)" xfId="611"/>
    <cellStyle name="好_River EE BOM_Creak Pearl Reliability Fixture RFQ_2009 04 24_Squirrel UniBom-06.23.2010_update_internal_Bolt RFQ_Foxlink_03.1 2011_nego meeting@MACH 5" xfId="612"/>
    <cellStyle name="_x0007_ 8 2" xfId="613"/>
    <cellStyle name="差_F3   SMT設備明細_Erie 效益分析 (Update)_Flow Chart&amp;設備治工具清單 _Leopard效益分析08-17" xfId="614"/>
    <cellStyle name="_~0041271" xfId="615"/>
    <cellStyle name="_x0007_ 8 3" xfId="616"/>
    <cellStyle name="_Avaya Spice demand  forecast on May-22-06 (based on ramp-up plan)_Scenario 2 of recovery until 1116" xfId="617"/>
    <cellStyle name="_04Xbox console Metrics - 7_11_FY06 P7 XBox 360 Mfg Var - Close Pack" xfId="618"/>
    <cellStyle name="差_效益分析&amp;產能評估_M1 SuedeFixtureEquipment Cost_A0_2010_10_15_Bolt RFQ Proposal_Foxlink_ (Pricing Summary) 2 25 2011 2" xfId="619"/>
    <cellStyle name="_June Freight analysis v_Final_FY06 Xenon Console Other Mfg Costs Forecast - january v1" xfId="620"/>
    <cellStyle name="好_River EE BOM_Creek RFQ feedback 04_28_2009_FD Update_Leopard Lemur Squirrel UniBom-06.22.2010_EE cost _update_internal_Bolt RFQ_Foxlink_03.1 2011 3 2" xfId="621"/>
    <cellStyle name="差_F3   SMT設備明細_效益分析_Flow Chart(shadow)-b (1-4 Update)_Jackson 效益分析 (2-1 B0 上系統)_Leopard Flowchart &amp; 產能評估" xfId="622"/>
    <cellStyle name="好_River EE BOM_Xl0000000_Leopard RFQ ME BOM Costs-0618_Bolt RFQ Proposal_Foxlink_ (Pricing Summary) 2 25 2011 5" xfId="623"/>
    <cellStyle name="_August-05_2009 xBOX ramp up budget code applicaiton 300K --New May26 (3)" xfId="624"/>
    <cellStyle name="差_Creak Pearl Reliability Fixture RFQ_2009 04 24_Creek RFQ feedback 04_28_2009_FD Update_Leopard RFQ ME BOM Costs-0618-2" xfId="625"/>
    <cellStyle name="_x0007_ 9 3" xfId="626"/>
    <cellStyle name="好_Bristol ME parts quotation 20101021-Rev4_Bristol RFQ response _20101102_internal (4)" xfId="627"/>
    <cellStyle name="_0522週品質管理週報_0530周設備妥善_0537周SMT周管審1_0751-1219M1 Manpower" xfId="628"/>
    <cellStyle name="差_Xl0000000_Leopard_UniBOM_ME_0531_Bolt RFQ_Foxlink_03.1 2011_nego meeting@MACH 2" xfId="629"/>
    <cellStyle name="_0526週品質管理週報_0507月設備妥善率8D1_0538周周管審--FINl_複本 0541周周管審" xfId="630"/>
    <cellStyle name="差_dallas產能評估_Flow Chart&amp;設備治工具清單 _Jackson 效益分析 (2-1 B0 上系統)_Leopard效益分析08-17" xfId="631"/>
    <cellStyle name="好_River EE BOM_Creak Pearl Reliability Fixture RFQ_2009 04 24_Foxlink_Shadow RFQ NREUni BOM_12032009_Bolt RFQ_Foxlink_03.1 2011_nego meeting@MACH 2 3" xfId="632"/>
    <cellStyle name="Normal 4 4 2 6" xfId="633"/>
    <cellStyle name="_0522週品質管理週報_0507月設備妥善率8D1_Book1_複本 0541周周管審_0751-1219M1 Manpower" xfId="634"/>
    <cellStyle name="%" xfId="635"/>
    <cellStyle name="好_River EE BOM_Creak Pearl Reliability Fixture RFQ_2009 04 24_Creek RFQ feedback 04_28_2009_FD Update_Leopard RFQ ME BOM Costs-0618 3" xfId="636"/>
    <cellStyle name="_0522週品質管理週報_0507月設備妥善率8D1_0536周周管審_0540周直通率8D1_複本 0541周周管審_0751-1219M1 Manpower" xfId="637"/>
    <cellStyle name="好_River EE BOM_Creak Pearl Reliability Fixture RFQ_2009 04 24_Creek RFQ feedback 04_28_2009_FD Update_Leopard_UniBOM_ME_0602-1_Bolt RFQ Proposal_Foxlink_ (Pricing Summary) 2 25 2011 7" xfId="638"/>
    <cellStyle name="_0533周周報_0540周周管審_複本 0541周周管審" xfId="639"/>
    <cellStyle name="% 2" xfId="640"/>
    <cellStyle name="Accent1_CMAP20 ASUS-2009 KPI Review" xfId="641"/>
    <cellStyle name="差_F3   SMT設備明細_效益分析_Dallas效益分析&amp;投資回收期 (12-2 A1)_Jackson 效益分析 (2-1 B0 上系統)_Leopard效益分析08-17" xfId="642"/>
    <cellStyle name="_0522週品質管理週報_0507月設備妥善率8D1_0536周周管審_0536周直通率8d_0541周直通率8D_0751-1219M1 Manpower" xfId="643"/>
    <cellStyle name="_新增Microsoft Excel 工作表 (2)" xfId="644"/>
    <cellStyle name="_05FY01_Inventory Trend Summary_P2 Waynea review" xfId="645"/>
    <cellStyle name="_Ronald_Mono_V1R0_BOM_Cost_Anaysis_2" xfId="646"/>
    <cellStyle name="_0522週品質管理週報_0531周設備妥善_8月SMT月管審 _0744-1031M1 Manpower" xfId="647"/>
    <cellStyle name="_0530周周管審_八月份周直通率8d1_0538周周管審--FINl_複本 0541周周管審" xfId="648"/>
    <cellStyle name="好_Creek Assembly Fixture  Test Equipment RFQ_20090427_Xl0000002_Leopard UniBom_Foxlink_6 21 2010-ME_nego_Bolt RFQ_Foxlink_03.1 2011_nego meeting@MACH 2 2" xfId="649"/>
    <cellStyle name="Title 2" xfId="650"/>
    <cellStyle name="% 3" xfId="651"/>
    <cellStyle name="差_jupite r設備&amp;治工具LIST (總)_~5631336" xfId="652"/>
    <cellStyle name="好_Creek Assembly Fixture  Test Equipment RFQ_20090427_Xl0000002_Leopard UniBom_Foxlink_6 21 2010-ME_nego_Bolt RFQ_Foxlink_03.1 2011_nego meeting@MACH 2 3" xfId="653"/>
    <cellStyle name="Title 3" xfId="654"/>
    <cellStyle name="% 4" xfId="655"/>
    <cellStyle name="_0522週品質管理週報_0507月設備妥善率8D1_0536周周管審_0536周直通率8d_離職原因分析" xfId="656"/>
    <cellStyle name="_0522週品質管理週報_0507月設備妥善率8D1_0536周周管審_0541周直通率8D_離職原因分析" xfId="657"/>
    <cellStyle name="差_F3   SMT設備明細_jupite r設備&amp;治工具LIST (總)_Dallas效益分析&amp;投資回收期 (12-2 A1)_效益分析(總 12-28 Update)" xfId="658"/>
    <cellStyle name="_Sales Forecast (plastic XX)0703_Volume Fcst 1006 updated_X-BOX Console line setup budget 20080414" xfId="659"/>
    <cellStyle name="_Sales Forecast (plastic XX)1203_Volume Fcst 1006 updated_X-BOX Console line setup budget 20080414" xfId="660"/>
    <cellStyle name=";;;" xfId="661"/>
    <cellStyle name="差_F3   SMT設備明細_jupite r設備&amp;治工具LIST (總)_Flow Chart&amp;PQ分析(12-1)_Flow Chart&amp;設備治工具清單 _Jackson 效益分析 (2-1 B0 上系統)_Leopard效益分析08-17" xfId="662"/>
    <cellStyle name="_ASUS WL SMT標準工時2_本周產能(0404FC111_awl線體需求計算6.6" xfId="663"/>
    <cellStyle name="_0526週品質管理週報_0530周設備妥善_Book1_複本 0541周周管審" xfId="664"/>
    <cellStyle name="差_Xl0000002_Leopard UniBom_Foxlink_6 21 2010-ME_nego_Bolt RFQ Proposal_Foxlink_ (Pricing Summary) 2 25 2011 4 3" xfId="665"/>
    <cellStyle name="_0522週品質管理週報_0530周設備妥善_0537周SMT周管審_編制表" xfId="666"/>
    <cellStyle name="好_River EE BOM_Xl0000000_Squirrel UniBom-06.23.2010_update_internal_Bolt RFQ_Foxlink_03.1 2011 2 2" xfId="667"/>
    <cellStyle name="_184071 - RMA Review (3)_P6 Si Ops review" xfId="668"/>
    <cellStyle name="_0522週品質管理週報_0507月設備妥善率8D1_0538周周管審--FINl_外包部人力編制" xfId="669"/>
    <cellStyle name="_0522週品質管理週報_0536周周管審_0538周周管審--FINl_複本 0541周周管審_0733-0815M1 Manpower-3" xfId="670"/>
    <cellStyle name="_200809-11費用報表_2010銷售明細實績-201006" xfId="671"/>
    <cellStyle name=";;; 3" xfId="672"/>
    <cellStyle name="_0522週品質管理週報_0507月設備妥善率8D1_0536周周管審_0540周直通率8D1_編制表" xfId="673"/>
    <cellStyle name="_0522週品質管理週報_0507月設備妥善率8D1_0733-0815M1 Manpower-3" xfId="674"/>
    <cellStyle name="_Book12_0538周周管審--FINl" xfId="675"/>
    <cellStyle name="_2005 04 DELL SMT Data2 -Process_DELL廠級目標dip.EXC _DELL MB廠級目標.xls 圖表 1_DELL制程課管理目標 (4)" xfId="676"/>
    <cellStyle name="_W528 5 CTB_Mulan-EDGE_ROA1281693 FXC_MOST Std - Project A BB Line_Nazca copy exact flow chart 2012313" xfId="677"/>
    <cellStyle name="好_Creek Assembly Fixture  Test Equipment RFQ_20090427_Bolt RFQ_Foxlink_03.1 2011_Bolt_Cliff 2 3" xfId="678"/>
    <cellStyle name="_0522週品質管理週報_0530周設備妥善_8月SMT月管審 _0751-1219M1 Manpower" xfId="679"/>
    <cellStyle name=";;; 4" xfId="680"/>
    <cellStyle name="_bom updated on 2002-11-10_Lenovo Park Format_July 07 05V2" xfId="681"/>
    <cellStyle name="好_River EE BOM_Xl0000002_Leopard UniBom_Foxlink_6 21 2010-ME_nego 3 2" xfId="682"/>
    <cellStyle name="_2006_0319 Ernestine_Cooper Cost Feedback_Quotebook_V3_07SEP11_Stream RFQ Unibom--0626-1756_Stream Quotebook(Submittal)_POC1_20080903 2" xfId="683"/>
    <cellStyle name="差_F3   SMT設備明細_jupite r設備&amp;治工具LIST (總)_flow chart 2009.12.12_Jackson 效益分析 (2-1 B0 上系統)_Leopard Flowchart &amp; 產能評估" xfId="684"/>
    <cellStyle name="Normal 20 2 2 3" xfId="685"/>
    <cellStyle name="??" xfId="686"/>
    <cellStyle name="_Alvin-Development NRE_Internal RFQ River Standalone  Bundle Unibom_v1 2_20080603_EJ_Stream Quotebook (Submittal)_POC2_20081117-1" xfId="687"/>
    <cellStyle name="差_Creak Pearl Reliability Fixture RFQ_2009 04 24_Creek RFQ feedback 04_28_2009_FD Update_Squirrel UniBom-06.23.2010_update_internal_Bolt RFQ_Foxlink_03.1 2011_nego meeting@MACH 2 2" xfId="688"/>
    <cellStyle name="_0522週品質管理週報_0507月設備妥善率8D1_複本 0541周周管審_外包部人力編制" xfId="689"/>
    <cellStyle name="_2006_0409 Ernestine_Cooper tooling_RFQ_River_BAFO_2008 0606_M1_Stream Quotebook(Submittal)_POC1_20080903 2" xfId="690"/>
    <cellStyle name="差_Creak Pearl Reliability Fixture RFQ_2009 04 24_Xl0000002_Leopard UniBom_Foxlink_6 21 2010-ME_nego_Bolt RFQ Proposal_Foxlink_ (Pricing Summary) 2 25 2011 2 2 2" xfId="691"/>
    <cellStyle name="_Fcst March_06(Revised 2.)_Tom OS ( Oct)_Forecast Template v4" xfId="692"/>
    <cellStyle name="_2006_0406 Ernestine_Cooper tooling_Quotebook_V3_07SEP11 2" xfId="693"/>
    <cellStyle name="差_Creak Pearl Reliability Fixture RFQ_2009 04 24_Creek  Pearl RFQ_May 12_Leopard_UniBOM_ME_0603-2_Bolt RFQ_Foxlink_03.1 2011_nego meeting@MACH 3 2" xfId="694"/>
    <cellStyle name="_2005 04 DELL SMT Data2 -Process_DELL MB廠級目標  (2)_DELL MB廠級目標" xfId="695"/>
    <cellStyle name="差_Creak Pearl Reliability Fixture RFQ_2009 04 24_Leopard_UniBOM_ME_0602_Bolt RFQ_Foxlink_03.1 2011_nego meeting@MACH 4" xfId="696"/>
    <cellStyle name="?? [0.00]_laroux" xfId="697"/>
    <cellStyle name="Title 2 3" xfId="698"/>
    <cellStyle name="_184071 - RMA Review (3)_CopyOfP6 Waynea review" xfId="699"/>
    <cellStyle name="My Style" xfId="700"/>
    <cellStyle name="Normal 14 2 2 2 3" xfId="701"/>
    <cellStyle name="_0522週品質管理週報_0507月設備妥善率8D1_0536周周管審_編制表" xfId="702"/>
    <cellStyle name="?? [0]_??" xfId="703"/>
    <cellStyle name="_2005 04 DELL SMT Data2 -Process_DELL廠級目標dip.EXC _DELL廠級目標dip(2月) EXC _BPI 8D-SMT-2月 (3)_DELL MB廠級目標_DELL制程課管理指標" xfId="704"/>
    <cellStyle name="_2005 04 DELL SMT Data2 -Process_2006日常管理目標.DIP _DELL廠級目標dip(2月) EXC _BPI 8D-SMT-2月_DELL MB廠級目標.xls 圖表 1_DELL MB廠級目標.重要不能刪_2007DELL SMT廠級目標KPI(MT)1" xfId="705"/>
    <cellStyle name="标题 1 2 2 4" xfId="706"/>
    <cellStyle name="?? 2" xfId="707"/>
    <cellStyle name="_0522週品質管理週報_0507月設備妥善率8D1_0534周SMT周管審_0607 M1 Manpower (含大本編制)" xfId="708"/>
    <cellStyle name="好_MB9月管審換線超時8d_HP 3 4" xfId="709"/>
    <cellStyle name="_2005 04 DELL SMT Data2 -Process_DELL廠級目標dip EXC _DELL廠級目標dip(2月) EXC _DELL MB廠級目標 _DELL MB廠級目標.xls 圖表 1_DELL制程課管理目標 (4)" xfId="710"/>
    <cellStyle name="60% - 强调文字颜色 2 5" xfId="711"/>
    <cellStyle name="??&amp;O?&amp;H?_x0008__x000f__x0007_?_x0007__x0001__x0001_" xfId="712"/>
    <cellStyle name="好_效益分析&amp;產能評估_Bolt RFQ_Foxlink_03.1 2011 2 2" xfId="713"/>
    <cellStyle name="好_River EE BOM_Creak Pearl Reliability Fixture RFQ_2009 04 24_Creek  Pearl RFQ_May 12_Leopard RFQ ME BOM Costs-0618-2_Bolt RFQ_Foxlink_03.1 2011_nego meeting@MACH 4" xfId="714"/>
    <cellStyle name="_2005 04 DELL SMT Data2 -Process_2006日常管理目標.DIP _DELL廠級目標dip(2月) EXC _BPI 8D-SMT-2月_DELL MB廠級目標_DELL MB廠級目標四月 " xfId="715"/>
    <cellStyle name="好_River EE BOM_Creak Pearl Reliability Fixture RFQ_2009 04 24_Xl0000002_Leopard_UniBOM_ME_0603-2_Bolt RFQ_Foxlink_03.1 2011 3" xfId="716"/>
    <cellStyle name="_0522週品質管理週報_0536周周管審_0536周直通率8d_複本 0541周周管審_0733-0815M1 Manpower-3" xfId="717"/>
    <cellStyle name="好_Creek EE BOM cost_20090425_Creek RFQ feedback 04_28_2009_FD Update_Foxlink_Shadow RFQ NREUni BOM_12032009_Bolt RFQ Proposal_Foxlink_ (Pricing Summary) 2 25 2011 2 2 3" xfId="718"/>
    <cellStyle name="??&amp;O?&amp;H?_x0008_??_x0007__x0001__x0001_" xfId="719"/>
    <cellStyle name="_bom updated on 2002-11-10-1_Mustang production assembly quotation (internal review)3-16 Rev7" xfId="720"/>
    <cellStyle name="差_Xl0000002_Squirrel RFQ ME BOM Costs-0623 2 2 2" xfId="721"/>
    <cellStyle name="好_River EE BOM_Creak Pearl Reliability Fixture RFQ_2009 04 24_Pearl RFQ(Submittal)ver2_05_12_2009 _Bolt RFQ_Foxlink_03.1 2011" xfId="722"/>
    <cellStyle name="壞_Creek EE BOM cost_20090425_Creek RFQ feedback 04_28_2009_FD Update_Leopard_UniBOM_ME_0531_Bolt RFQ Proposal_Foxlink_ (Pricing Summary) 2 25 2011 3" xfId="723"/>
    <cellStyle name="???? [0.00]_laroux" xfId="724"/>
    <cellStyle name="好_River EE BOM_Creak Pearl Reliability Fixture RFQ_2009 04 24_Pearl RFQ(Submittal)ver2_05_12_2009 _Leopard Lemur Squirrel UniBom-06.22.2010_EE cost _update_internal 2" xfId="725"/>
    <cellStyle name="?????_VERA" xfId="726"/>
    <cellStyle name="好_River EE BOM_Creak Pearl Reliability Fixture RFQ_2009 04 24_Leopard UniBom_Foxlink_6 21 2010-ME_nego_Bolt RFQ Proposal_Foxlink_ (Pricing Summary) 2 25 2011 5" xfId="727"/>
    <cellStyle name="????_laroux" xfId="728"/>
    <cellStyle name="_Flex Mechanicals Doumen Sales forecast - Jan.06-updated_PL Fcst Jul 06-updated G&amp;A Value_Copy of Tom OS ( Oct) new for LOG_X-BOX BB" xfId="729"/>
    <cellStyle name="_0522週品質管理週報_0507月設備妥善率8D1_0536周周管審_0538周周管審--FINl_複本 0541周周管審_外包部人力編制" xfId="730"/>
    <cellStyle name="_Q1 FY06 FDM vs WZS Costed BOM v1" xfId="731"/>
    <cellStyle name="_0522週品質管理週報_0531周設備妥善_0534周SMT周管審" xfId="732"/>
    <cellStyle name="_2006_0409 Ernestine_Cooper tooling and plastic price to MS_Quotebook_07SEP10_BlueAnt_Quotebook_V3_07SEP11_RFQ_River_BAFO_2008 0606_M1" xfId="733"/>
    <cellStyle name="好_River EE BOM_Creak Pearl Reliability Fixture RFQ_2009 04 24_Creek  Pearl RFQ_May 12_Squirrel UniBom-06.23.2010_update_internal_Bolt RFQ_Foxlink_03.1 2011_nego meeting@MACH 2 2" xfId="734"/>
    <cellStyle name="适中 2 4" xfId="735"/>
    <cellStyle name="???[0]_~ME0858" xfId="736"/>
    <cellStyle name="_0522週品質管理週報_0507月設備妥善率8D1_0540周直通率8D1_編制表" xfId="737"/>
    <cellStyle name="_2006_0410 Ernestine_Cooper tooling and plastic price to MS_Quotebook_V3_07SEP11_Stream RFQ Unibom--0626-1756" xfId="738"/>
    <cellStyle name="_0522週品質管理週報_0507月設備妥善率8D1_0538周周管審--FINl_0744-1031M1 Manpower" xfId="739"/>
    <cellStyle name="_August-05_2009 xBOX ramp up budget code applicaiton 300K --New May27" xfId="740"/>
    <cellStyle name="差_Creak Pearl Reliability Fixture RFQ_2009 04 24_Creek  Pearl RFQ_May 12_Leopard RFQ ME BOM Costs-0618-2_Bolt RFQ Proposal_Foxlink_ (Pricing Summary) 2 25 2011 2 4" xfId="741"/>
    <cellStyle name="_220071-78(Oct 2006) (2)_X-BOX BB" xfId="742"/>
    <cellStyle name="好_River EE BOM_Xl0000002_Leopard_UniBOM_ME_0602-1_Bolt RFQ Proposal_Foxlink_ (Pricing Summary) 2 25 2011 2" xfId="743"/>
    <cellStyle name="??_?.????" xfId="744"/>
    <cellStyle name="好_River EE BOM_Creak Pearl Reliability Fixture RFQ_2009 04 24_Creek RFQ feedback 04_28_2009_FD Update_Leopard_UniBOM_ME_0602-1_Bolt RFQ Proposal_Foxlink_ (Pricing Summary) 2 25 2011 6" xfId="745"/>
    <cellStyle name="_Biz Ops By Stream_FY06 P4 CM Consigned RM" xfId="746"/>
    <cellStyle name="好_Creek Assembly Fixture  Test Equipment RFQ_20090427_Xl0000002_Squirrel RFQ ME BOM Costs-0623_Bolt RFQ Proposal_Foxlink_ (Pricing Summary) 2 25 2011 7" xfId="747"/>
    <cellStyle name="60% - Accent5 12" xfId="748"/>
    <cellStyle name="_0526週品質管理週報_0507月設備妥善率8D1_0536周周管審_0538周直通率8d1_0541周直通率8D_外包部人力編制" xfId="749"/>
    <cellStyle name="?…?????_laroux" xfId="750"/>
    <cellStyle name="?f?? [0]" xfId="751"/>
    <cellStyle name="_2005 04 DELL SMT Data2 -Process_DELL廠級目標dip.EXC _DELL廠級目標dip(2月) EXC _BPI 8D-SMT-2月 (3)_DELL MB廠級目標.xls 圖表 1_DELL MB廠級目標四月 _2007DELL SMT廠級目標KPI(MT)1" xfId="752"/>
    <cellStyle name="?f??_PLDT" xfId="753"/>
    <cellStyle name="差_F3   SMT設備明細_jupite r設備&amp;治工具LIST (總)_效益分析(總 12-28 Update)_Jackson 效益分析 (2-1 B0 上系統)_squirrel效益分析08-17" xfId="754"/>
    <cellStyle name="好_River EE BOM_Creak Pearl Reliability Fixture RFQ_2009 04 24_Pearl RFQ(Submittal)ver2_05_12_2009 _Squirrel UniBom-06.23.2010_update_internal_Bolt RFQ_Foxlink_03.1 2011_nego meeting@MACH" xfId="755"/>
    <cellStyle name="_0522週品質管理週報_0507月設備妥善率8D1_0536周周管審_0540周直通率8D1_0744-1031M1 Manpower" xfId="756"/>
    <cellStyle name="差_F3   SMT設備明細_效益分析_Dallas flow chart&amp;設備&amp;治工具清單(12-8 A0)_Flow Chart&amp;設備治工具清單 _squirrel效益分析08-17" xfId="757"/>
    <cellStyle name="_0535周周報1_0537周SMT周管審1" xfId="758"/>
    <cellStyle name="?Ť????_PLDT" xfId="759"/>
    <cellStyle name="好_River EE BOM_Creak Pearl Reliability Fixture RFQ_2009 04 24_Creek  Pearl RFQ_May 12_Bristol UniBom_Foxlink_02082011 RevA" xfId="760"/>
    <cellStyle name="_Mechanical Contribution Margins (Q1'06, applied to Apr'04 Fcst)_Mechanical Contribution Margins forecast 0506 FP_PL Forecast by segment-most final 0806_Copy of Tom OS ( Oct) new for LOG_Budget GC Other Form" xfId="761"/>
    <cellStyle name="_0522週品質管理週報_0507月設備妥善率8D1_0536周周管審_0751-1219M1 Manpower" xfId="762"/>
    <cellStyle name="_Fcst March_06(Revised 2.)_PL Fcst Jul 06-updated G&amp;A Value_Tom OS ( Oct)_2009 xBOX ramp up budget code applicaiton" xfId="763"/>
    <cellStyle name="?W?_report3" xfId="764"/>
    <cellStyle name="_2005 04 DELL SMT Data2 -Process_DELL廠級目標dip EXC _DELL廠級目標dip(2月) EXC _DELL MB廠級目標 (2)_2007DELL SMT廠級目標KPI(MT)1" xfId="765"/>
    <cellStyle name="_050205 MS Insight Open PO_P2 Waynea review" xfId="766"/>
    <cellStyle name="差_HP Mouse 產能評估(Forecast更改後) 3" xfId="767"/>
    <cellStyle name="_PPV ALLOCATION-Nov04_Zune v2  Manufacturing Pricing 2" xfId="768"/>
    <cellStyle name="_D: 1.MS Project Plutto KYE Response RFQ Response-Pluto_1018.doc 的 工作表_Stream RFQ Unibom--0626-1756_Stream Quotebook (Submittal)_POC2_20081117-1" xfId="769"/>
    <cellStyle name="?W準_report3" xfId="770"/>
    <cellStyle name="_Sales Breakdown Analysis 3_PL Fcst Jul 06-updated G&amp;A Value_Tom OS ( Oct)_X-BOX Console line setup budget 20080414" xfId="771"/>
    <cellStyle name="_~0039583" xfId="772"/>
    <cellStyle name="好_Creek EE BOM cost_20090425_Creek RFQ feedback 04_28_2009_FD Update_Leopard Lemur Squirrel UniBom-06.22.2010_EE cost _update_internal 2 2 2" xfId="773"/>
    <cellStyle name="_8D_1_八月月報2_0541周直通率8D" xfId="774"/>
    <cellStyle name="_0522週品質管理週報_0507月設備妥善率8D1_0538周周管審--FINl_複本 0541周周管審_0751-1219M1 Manpower" xfId="775"/>
    <cellStyle name="差_Creek RFQ feedback 04_28_2009_FD Update_Squirrel UniBom-06.23.2010_update_internal 5" xfId="776"/>
    <cellStyle name="_0526週品質管理週報_0507月設備妥善率8D1_0536周周管審_0537周直通率8d1_0541周直通率8D_0733-0815M1 Manpower-3" xfId="777"/>
    <cellStyle name="_Book12_8月SMT月管審 " xfId="778"/>
    <cellStyle name="_~0041271 2" xfId="779"/>
    <cellStyle name="好_River EE BOM_Creak Pearl Reliability Fixture RFQ_2009 04 24_Pearl RFQ(Submittal)ver2_05_12_2009  5" xfId="780"/>
    <cellStyle name="好_Creek EE BOM cost_20090425_Creek RFQ feedback 04_28_2009_FD Update_Leopard RFQ ME BOM Costs-0618-2_Bolt RFQ Proposal_Foxlink_ (Pricing Summary) 2 25 2011 3" xfId="781"/>
    <cellStyle name="_0522週品質管理週報_0507月設備妥善率8D1_0536周周管審_0537周直通率8d1_複本 0541周周管審_編制表" xfId="782"/>
    <cellStyle name="_~0042941" xfId="783"/>
    <cellStyle name="_Antenna Headcount &amp;  Product Process Time 2006_MOST Std - S1300 F2lines_FMTQCI-MIS3H064-P027(01)Nazca Copy Exact Flow chart" xfId="784"/>
    <cellStyle name="_2005 04 DELL SMT Data2 -Process_DELL廠級目標dip EXC _DELL MB廠級目標.xls 圖表 1_DELL制程課管理指標" xfId="785"/>
    <cellStyle name="_0522週品質管理週報_0507月設備妥善率8D1_0536周周管審_0538周周管審--FINl_離職原因分析" xfId="786"/>
    <cellStyle name="好_Creek EE BOM cost_20090425_Creek RFQ feedback 04_28_2009_FD Update_Squirrel RFQ ME BOM Costs-0623 3 3" xfId="787"/>
    <cellStyle name="_2005 04 DELL SMT Data2 -Process_DELL廠級目標dip.EXC _DELL廠級目標dip(2月) EXC _BPI 8D-SMT-2月_DELL MB廠級目標_DELL MB廠級目標_2007DELL SMT廠級目標KPI(MT)1" xfId="788"/>
    <cellStyle name="_~0042941 2" xfId="789"/>
    <cellStyle name="_2005 04 DELL SMT Data2 -Process_DELL MB廠級目標 _DELL MB廠級目標_DELL MB廠級目標.重要不能刪_2007DELL SMT廠級目標KPI(MT)1" xfId="790"/>
    <cellStyle name="差_F3   SMT設備明細_效益分析_Dallas flow chart&amp;設備&amp;治工具清單(12-8 A0)_Flow Chart&amp;設備治工具清單 _Jackson 效益分析 (2-1 B0 上系統)_Leopard效益分析08-17" xfId="791"/>
    <cellStyle name="好_2010-05 費用分析0604" xfId="792"/>
    <cellStyle name="_~0302927" xfId="793"/>
    <cellStyle name="_0522週品質管理週報_0507月設備妥善率8D1_0536周周管審_0538周周管審--FINl_複本 0541周周管審_0744-1031M1 Manpower" xfId="794"/>
    <cellStyle name="差_Creak Pearl Reliability Fixture RFQ_2009 04 24_Pearl RFQ(Submittal)ver2_05_12_2009 _Leopard_UniBOM_ME_0531 3 2" xfId="795"/>
    <cellStyle name="差_F3   SMT設備明細_效益分析_Dallas效益分析&amp;投資回收期 (12-2 A1)_Jackson 效益分析 testing update_16th Jan111_Jackson 效益分析 (2-1 B0 上系統)" xfId="796"/>
    <cellStyle name="_COMP DM  PL Aug.06_2009 xBOX ramp up budget code applicaiton 300K --New May26 (3)" xfId="797"/>
    <cellStyle name="_2005 04 DELL SMT Data2 -Process_DELL廠級目標dip(1月) EXC " xfId="798"/>
    <cellStyle name="差_Creek RFQ feedback 04_28_2009_FD Update_Foxlink_Shadow RFQ NREUni BOM_12032009_Bolt RFQ Proposal_Foxlink_ (Pricing Summary) 2 25 2011 2 2 2" xfId="799"/>
    <cellStyle name="_0522週品質管理週報_0507月設備妥善率8D1" xfId="800"/>
    <cellStyle name="40% - 强调文字颜色 5 2 2 3" xfId="801"/>
    <cellStyle name="_Flex Mechanicals Doumen Sales forecast - Jan.06_Forecast Template v4" xfId="802"/>
    <cellStyle name="_2005 04 DELL SMT Data2 -Process_DELL廠級目標dip EXC _DELL廠級目標dip(2月) EXC _DELLTEAM入庫資料1_2007DELL SMT廠級目標KPI(MT)1" xfId="803"/>
    <cellStyle name="_~0598430 的 工作表" xfId="804"/>
    <cellStyle name="_~1158376" xfId="805"/>
    <cellStyle name="_2005 04 DELL SMT Data2 -Process_DELL廠級目標dip.EXC _DELL廠級目標dip(2月) EXC _BPI 8D-SMT-2月_DELL MB廠級目標_DELL MB廠級目標十一月 (4)" xfId="806"/>
    <cellStyle name="差_HP Mouse 產能評估(上系統)_費用統計" xfId="807"/>
    <cellStyle name="好_River EE BOM_Creek RFQ feedback 04_28_2009_FD Update_Squirrel UniBom-06.23.2010_update_internal_Bolt RFQ Proposal_Foxlink_ (Pricing Summary) 2 25 2011 4 3" xfId="808"/>
    <cellStyle name="_0522週品質管理週報_0507月設備妥善率8D1_0536周周管審_0536周直通率8d_Book1_離職原因分析" xfId="809"/>
    <cellStyle name="好_Creek Assembly Fixture  Test Equipment RFQ_20090427_Xl0000002_Leopard UniBom_Foxlink_6 21 2010-ME_nego 2" xfId="810"/>
    <cellStyle name="_~3880547" xfId="811"/>
    <cellStyle name="_0526週品質管理週報_0536周周管審_0536周直通率8d_0540周直通率8D1_0733-0815M1 Manpower-3" xfId="812"/>
    <cellStyle name="_~4887572" xfId="813"/>
    <cellStyle name="_2005 04 DELL SMT Data2 -Process_DELL SMT 廠級目標KPI_DELL MB廠級目標" xfId="814"/>
    <cellStyle name="_0522週品質管理週報_0507月設備妥善率8D1_0536周周管審_0538周直通率8d1_0751-1219M1 Manpower" xfId="815"/>
    <cellStyle name="差_HP  專案(設備&amp;治工具需夠買)update_M1 Bolt wireless mouse FixtureEquipment Cost_A2_2010_12_07_Bolt RFQ Proposal_Foxlink_ (Pricing Summary) 2 25 2011 2" xfId="816"/>
    <cellStyle name="差_Creak Pearl Reliability Fixture RFQ_2009 04 24_Creek RFQ feedback 04_28_2009_FD Update_Leopard UniBom_Foxlink_6 21 2010-ME_nego_Bolt RFQ Proposal_Foxlink_ (Pricing Summary) 2 25 2011 4 3" xfId="817"/>
    <cellStyle name="差_Creak Pearl Reliability Fixture RFQ_2009 04 24_Creek  Pearl RFQ_May 12_Leopard_UniBOM_ME_0602-1 3" xfId="818"/>
    <cellStyle name="好_Creek EE BOM cost_20090425_Creek RFQ feedback 04_28_2009_FD Update_Leopard UniBom_Foxlink_6 21 2010-ME_nego 2" xfId="819"/>
    <cellStyle name="_8D_1_八月月報2" xfId="820"/>
    <cellStyle name="_~5972595 的 工作表" xfId="821"/>
    <cellStyle name="_~6015999" xfId="822"/>
    <cellStyle name="_~9519257" xfId="823"/>
    <cellStyle name="_~9705453" xfId="824"/>
    <cellStyle name="_Forecast - Segment WVJune06_Budget GC Other Form" xfId="825"/>
    <cellStyle name="_01 M1 Overall process flow 080111" xfId="826"/>
    <cellStyle name="好_River EE BOM_Creak Pearl Reliability Fixture RFQ_2009 04 24_Leopard_UniBOM_ME_0602_Bolt RFQ Proposal_Foxlink_ (Pricing Summary) 2 25 2011 3 3" xfId="827"/>
    <cellStyle name="_2006_0412 Ernestine_Cooper tooling and plastic price to MS_JC_Stream RFQ Unibom--0626-1756_Stream Quotebook (Submittal)_POC2_20081117-1" xfId="828"/>
    <cellStyle name="差_jupite r設備&amp;治工具LIST (總)_flow chart 2009.12.12_Jackson 效益分析 testing update_16th Jan111_Jackson 效益分析 (2-1 B0 上系統)_Leopard效益分析08-17" xfId="829"/>
    <cellStyle name="_030606 MS Insight Open PO Type Scrub" xfId="830"/>
    <cellStyle name="_Mechanical Contribution Margins (Q1'06, applied to Apr'04 Fcst)_Mechanical Contribution Margins forecast 0506 FP_PL Fcst Jul 06-updated G&amp;A Value_Copy of Tom OS ( Oct) new for LOG_Budget GC Other Form" xfId="831"/>
    <cellStyle name="_0522週品質管理週報_0507月設備妥善率8D1_0536周周管審_0536周直通率8d_Book1_複本 0541周周管審_外包部人力編制" xfId="832"/>
    <cellStyle name="一般 3 2 5" xfId="833"/>
    <cellStyle name="_0522週品質管理週報_0507月設備妥善率8D1_0536周周管審_0538周周管審--FINl_複本 0541周周管審_0733-0815M1 Manpower-3" xfId="834"/>
    <cellStyle name="_CHANNELHPD02_FY06 P7 CM Consigned RM" xfId="835"/>
    <cellStyle name="_B1PEND KPI格式-080504" xfId="836"/>
    <cellStyle name="_0522週品質管理週報_0507月設備妥善率8D1_0536周周管審_0537周直通率8d_0541周直通率8D_0744-1031M1 Manpower" xfId="837"/>
    <cellStyle name="_2005 04 DELL SMT Data2 -Process_2006日常管理目標.DIP _DELL廠級目標dip(2月) EXC _BPI 8D-SMT-2月_DELL MB廠級目標.xls 圖表 1_DELL MB廠級目標四月 " xfId="838"/>
    <cellStyle name="_04-1208  F23-00170 costBOM ver.1.2" xfId="839"/>
    <cellStyle name="好_River EE BOM_Xl0000002_Leopard RFQ ME BOM Costs-0618-2_Bolt RFQ Proposal_Foxlink_ (Pricing Summary) 2 25 2011 2" xfId="840"/>
    <cellStyle name="_2006_0409 Ernestine_Cooper tooling_Quotebook_V3_07SEP11_RFQ_River_BAFO_2008 0606_M1" xfId="841"/>
    <cellStyle name="_2005 04 DELL SMT Data2 -Process_2006日常管理目標.DIP _DELL廠級目標dip(2月) EXC _BPI 8D-SMT-2月 (3)" xfId="842"/>
    <cellStyle name="Normal 4 19" xfId="843"/>
    <cellStyle name="Normal 4 24" xfId="844"/>
    <cellStyle name="_0522週品質管理週報_0507月設備妥善率8D1_0536周周管審_0536周直通率8d_0540周直通率8D1_離職原因分析" xfId="845"/>
    <cellStyle name="_04Xbox console Metrics - 7_11" xfId="846"/>
    <cellStyle name="_Ernestine Equipment  Fixture List_04_11_2006_FL_Quotebook_V3_07SEP11_Stream RFQ Unibom--0626-1756 2" xfId="847"/>
    <cellStyle name="好_River EE BOM_Creak Pearl Reliability Fixture RFQ_2009 04 24_Xl0000002_Leopard_UniBOM_ME_0602_Bolt RFQ_Foxlink_03.1 2011_nego meeting@MACH 2" xfId="848"/>
    <cellStyle name="壞_Creek Assembly Fixture  Test Equipment RFQ_20090427_Xl0000002_Foxlink_Shadow RFQ NREUni BOM_12032009_Bolt RFQ_Foxlink_03.1 2011 5" xfId="849"/>
    <cellStyle name="_04Xbox console Metrics - 7_11_360 Tooling  Test" xfId="850"/>
    <cellStyle name="_0522週品質管理週報_0507月設備妥善率8D1_0536周周管審_0538周直通率8d1_複本 0541周周管審_0607 M1 Manpower (含大本編制)" xfId="851"/>
    <cellStyle name="_0522週品質管理週報_0507月設備妥善率8D1_0536周周管審_0538周直通率8d1_複本 0541周周管審" xfId="852"/>
    <cellStyle name="_8月月管審附件.xls 圖表 1_八月份周直通率8d1_Book1_複本 0541周周管審" xfId="853"/>
    <cellStyle name="_7月月管審附件.xls 圖表 1_0536周周管審_0538周周管審--FINl" xfId="854"/>
    <cellStyle name="差_HP Mouse 產能評估(Forecast更改後)_費用統計_Leopard效益分析08-17" xfId="855"/>
    <cellStyle name="_LVPC-人力需求統計" xfId="856"/>
    <cellStyle name="差_HP Mouse 產能評估(上系統)_M1 SuedeFixtureEquipment Cost_A0_2010_10_15_Wedge_ME_BOM-v00-11v0715" xfId="857"/>
    <cellStyle name="_04Xbox console Metrics - 7_11_360 Tooling &amp; Test" xfId="858"/>
    <cellStyle name="_PL Fcst_akl(Friday)_Volume Fcst Jul 06-update HP _Forecast Template v4" xfId="859"/>
    <cellStyle name="差_Creak Pearl Reliability Fixture RFQ_2009 04 24_Creek  Pearl RFQ_May 12_Bolt RFQ_Foxlink_03.1 2011 3 3" xfId="860"/>
    <cellStyle name="_SIMON Chicony uni-BOM_070601 rev.10" xfId="861"/>
    <cellStyle name="_2006_0410b Ernestine_Cooper tooling and plastic price to MS_Quotebook_V3_07SEP11_Internal RFQ River Standalone  Bundle Unibom_v1 2_20080603_EJ_Stream Package Quotation_20090311" xfId="862"/>
    <cellStyle name="_0522週品質管理週報_0507月設備妥善率8D1_0536周周管審_0536周直通率8d_0733-0815M1 Manpower-3" xfId="863"/>
    <cellStyle name="_0522週品質管理週報_0507月設備妥善率8D1_0536周周管審_0541周直通率8D_0733-0815M1 Manpower-3" xfId="864"/>
    <cellStyle name="_Sales Breakdown Analysis 3_Volume Fcst 1006 updated_Tom OS ( Oct)_2009 xBOX ramp up budget code applicaiton" xfId="865"/>
    <cellStyle name="_386896SOP1_1" xfId="866"/>
    <cellStyle name="_04Xbox console Metrics - 7_11_accessories spc 1 0 slide" xfId="867"/>
    <cellStyle name="_2006_0410b Ernestine_Cooper tooling and plastic price to MS_Stream RFQ Unibom--0626-1756_Stream Quotebook (Submittal)_POC2_20081117-1" xfId="868"/>
    <cellStyle name="_Mfg Variances FY04 12604_FY06 P6 XBox 360 Mfg Var - Close Pack" xfId="869"/>
    <cellStyle name="差_F3   SMT設備明細_M1 SuedeFixtureEquipment Cost_A0_2010_10_15_Bolt RFQ_Foxlink_03.1 2011_nego meeting@MACH" xfId="870"/>
    <cellStyle name="_2005 04 DELL SMT Data2 -Process_2006日常管理目標.DIP _DELL MB廠級目標.xls 圖表 1_DELL MB廠級目標.重要不能刪_DELL MB廠級目標十一月 (4)" xfId="871"/>
    <cellStyle name="好_River EE BOM_Creak Pearl Reliability Fixture RFQ_2009 04 24_Pearl RFQ(Submittal)ver2_05_12_2009 _Leopard UniBom_Foxlink_6 21 2010-ME_nego_Bolt RFQ Proposal_Foxlink_ (Pricing Summary) 2 25 2011 4" xfId="872"/>
    <cellStyle name="_OP1 DPO Forecast Final_PL Forecast by segment-most final 0806_Tom OS ( Oct)_2009 xBOX ramp up budget code applicaiton 300K --New May26 (3)" xfId="873"/>
    <cellStyle name="_bom updated on 2002-11-10_Mustang production assembly quotation (internal review)4-1 Rev8" xfId="874"/>
    <cellStyle name="_0522週品質管理週報_0536周周管審_0538周周管審--FINl_複本 0541周周管審" xfId="875"/>
    <cellStyle name="_04Xbox console Metrics - 7_11_Book1" xfId="876"/>
    <cellStyle name="_Actual P&amp;L_Computing Apr &amp; May_X-BOX Console line setup budget and Buyer list" xfId="877"/>
    <cellStyle name="_2006_0410 Ernestine_Cooper tooling and plastic price to MS_Quotebook_07SEP10_Stream RFQ Unibom--0626-1756_Stream Quotebook(Submittal)_POC1_20080903" xfId="878"/>
    <cellStyle name="好_River EE BOM_Creak Pearl Reliability Fixture RFQ_2009 04 24_Xl0000002_Leopard RFQ ME BOM Costs-0618-2_Bolt RFQ Proposal_Foxlink_ (Pricing Summary) 2 25 2011 4 2" xfId="879"/>
    <cellStyle name="_04Xbox console Metrics - 7_11_Book5" xfId="880"/>
    <cellStyle name="_BOM_BlueVox (Wiima) &amp; BCM2044 v03022007_Internal RFQ River Standalone  Bundle Unibom_v1 2_20080603_EJ 2" xfId="881"/>
    <cellStyle name="_8D_1_0538周周管審--FINl" xfId="882"/>
    <cellStyle name="_0522週品質管理週報_0531周設備妥善_Book1_0607 M1 Manpower (含大本編制)" xfId="883"/>
    <cellStyle name="5_Dell ASUS NV28GL NPI 11-13-02" xfId="884"/>
    <cellStyle name="_0522週品質管理週報_0507月設備妥善率8D1_0536周周管審_離職原因分析" xfId="885"/>
    <cellStyle name="差_Xl0000000_Leopard_UniBOM_ME_0603-2 3" xfId="886"/>
    <cellStyle name="好_River EE BOM_Creak Pearl Reliability Fixture RFQ_2009 04 24_Pearl RFQ(Submittal)ver2_05_12_2009 _Squirrel RFQ ME BOM Costs-0623_Bolt RFQ_Foxlink_03.1 2011" xfId="887"/>
    <cellStyle name="_August-05_plforecastsample_X-BOX BB" xfId="888"/>
    <cellStyle name="_Project A Pick List 20100312_Repair 106K Agra TQCI" xfId="889"/>
    <cellStyle name="_2006_0319 Ernestine_Cooper Cost Feedback_Quotebook_V3_07SEP11_RFQ_River_BAFO_2008 0606_M1 2" xfId="890"/>
    <cellStyle name="_04Xbox console Metrics - 7_11_FY06 P5 XBox 360 Mfg Var - Close Pack" xfId="891"/>
    <cellStyle name="_0522週品質管理週報_0530周設備妥善_0541周SMT周管審_0751-1219M1 Manpower" xfId="892"/>
    <cellStyle name="_0526週品質管理週報_0507月設備妥善率8D1_Book1_編制表" xfId="893"/>
    <cellStyle name="好_River EE BOM_Creak Pearl Reliability Fixture RFQ_2009 04 24_Leopard_UniBOM_ME_0531_Bolt RFQ_Foxlink_03.1 2011" xfId="894"/>
    <cellStyle name="_04Xbox console Metrics - 7_11_FY06 P7 CM Consigned RM" xfId="895"/>
    <cellStyle name="壞_Erie Assembly Fixture  Test Equip Cost_20090716_Bolt RFQ_Foxlink_03.1 2011_nego meeting@MACH" xfId="896"/>
    <cellStyle name="_04Xbox console Metrics - 7_11_FY06 P7 XBox Mfg Var - Close Pack" xfId="897"/>
    <cellStyle name="_0522週品質管理週報_0507月設備妥善率8D1_0536周周管審_0537周直通率8d1_0541周直通率8D" xfId="898"/>
    <cellStyle name="差_Flow chart and Fixture(1-4)" xfId="899"/>
    <cellStyle name="_04Xbox console Metrics - 7_11_FY06 P8 CM Consigned RM" xfId="900"/>
    <cellStyle name="_2005 04 DELL SMT Data2 -Process_2006日常管理目標.DIP _DELL廠級目標dip(2月) EXC _DELL MB廠級目標 _DELL MB廠級目標.xls 圖表 1_DELL制程課管理目標 (4)" xfId="901"/>
    <cellStyle name="_04Xbox console Metrics - 7_11_P2 Waynea review" xfId="902"/>
    <cellStyle name="_0522週品質管理週報_0507月設備妥善率8D1_0540周直通率8D1_複本 0541周周管審_編制表" xfId="903"/>
    <cellStyle name="好_Creek EE BOM cost_20090425_Leopard Lemur Squirrel UniBom-06.22.2010_EE cost _update_internal_Bolt RFQ Proposal_Foxlink_ (Pricing Summary) 2 25 2011 4" xfId="904"/>
    <cellStyle name="Percent 21 2 2" xfId="905"/>
    <cellStyle name="_04Xbox console Metrics - 7_11_P6 Si Ops review" xfId="906"/>
    <cellStyle name="好_River EE BOM_Xl0000000_Leopard UniBom_Foxlink_6 21 2010-ME_nego_Bolt RFQ_Foxlink_03.1 2011" xfId="907"/>
    <cellStyle name="_2006_0410 Ernestine_Cooper tooling and plastic price to MS_Internal RFQ River Standalone  Bundle Unibom_v1 2_20080603_EJ_Stream Quotebook(Submittal)_POC1_20080903" xfId="908"/>
    <cellStyle name="_Scenario 1 analysis 0616 Update (2)" xfId="909"/>
    <cellStyle name="_2005 04 DELL SMT Data2 -Process_DELL廠級目標dip(1月) EXC _DELL MB廠級目標_DELL MB廠級目標" xfId="910"/>
    <cellStyle name="_04Xbox console Metrics - 7_11_P6 Si Ops review (2)" xfId="911"/>
    <cellStyle name="_Flex Mechanicals Doumen Sales forecast - Dec'05 (updated links)_PL Forecast by segment-most final 0806_Tom OS ( Oct)_Forecast Template v4" xfId="912"/>
    <cellStyle name="_04Xbox console Metrics - 7_11_P6 Waynea review" xfId="913"/>
    <cellStyle name="_2006_0410b Ernestine_Cooper tooling and plastic price to MS_Quotebook_07SEP10_BlueAnt_Quotebook_V3_07SEP11_Stream RFQ Unibom--0626-1756_Stream Package Quotation_20090311" xfId="914"/>
    <cellStyle name="好_River EE BOM_Creak Pearl Reliability Fixture RFQ_2009 04 24_Pearl RFQ(Submittal)ver2_05_12_2009 _Leopard_UniBOM_ME_0602-1 2 2 2" xfId="915"/>
    <cellStyle name="好_Creek EE BOM cost_20090425_Leopard_UniBOM_ME_0603-2" xfId="916"/>
    <cellStyle name="_2006_0409 Ernestine_Cooper tooling_Quotebook_07SEP10_BlueAnt_Quotebook_V3_07SEP11_Stream RFQ Unibom--0626-1756_Stream Quotebook(Submittal)_POC1_20080903" xfId="917"/>
    <cellStyle name="好_River EE BOM_Xl0000002_Foxlink_Shadow RFQ NREUni BOM_12032009" xfId="918"/>
    <cellStyle name="_04Xbox console Metrics - 7_11_Sheet1" xfId="919"/>
    <cellStyle name="好_Creek EE BOM cost_20090425_Creek RFQ feedback 04_28_2009_FD Update_Foxlink_Shadow RFQ NREUni BOM_12032009_Bolt RFQ_Foxlink_03.1 2011 5" xfId="920"/>
    <cellStyle name="ÅëÈ­ [0]_±âÅ¸" xfId="921"/>
    <cellStyle name="_386896SOP1" xfId="922"/>
    <cellStyle name="_Sales Forecast (plastic XX)0703_Volume Fcst 1006 updated_Tom OS ( Oct)" xfId="923"/>
    <cellStyle name="_Sales Forecast (plastic XX)1203_Volume Fcst 1006 updated_Tom OS ( Oct)" xfId="924"/>
    <cellStyle name="_Fcst March_06(Revised 2.)_Volume Fcst 1006 updated_Copy of Tom OS ( Oct) new for LOG" xfId="925"/>
    <cellStyle name="_050205 MS Insight Open PO" xfId="926"/>
    <cellStyle name="_0522週品質管理週報_0536周周管審_0537周直通率8d1_0541周直通率8D" xfId="927"/>
    <cellStyle name="_0522週品質管理週報_0507月設備妥善率8D1_0536周周管審_0536周直通率8d_複本 0541周周管審_編制表" xfId="928"/>
    <cellStyle name="_0526週品質管理週報_0530周設備妥善_八月份周直通率8d1_Book1_複本 0541周周管審_0733-0815M1 Manpower-3" xfId="929"/>
    <cellStyle name="_050205 MS Insight Open PO_FY06 P4 CM Consigned RM" xfId="930"/>
    <cellStyle name="_2005 04 DELL SMT Data2 -Process_DELL廠級目標dip EXC _DELL廠級目標dip(2月) EXC _DELL MB廠級目標  (2)_DELL MB廠級目標.xls 圖表 1_DELL制程課管理目標 (4)" xfId="931"/>
    <cellStyle name="差_MS Bolt wireless mouse FixtureEquipment Cost_A5_2010_02_21 2 4" xfId="932"/>
    <cellStyle name="差_Creek RFQ feedback 04_28_2009_FD Update_Leopard UniBom_Foxlink_6 21 2010-ME_nego_Bolt RFQ Proposal_Foxlink_ (Pricing Summary) 2 25 2011 3" xfId="933"/>
    <cellStyle name="_0522週品質管理週報_0507月設備妥善率8D1_0536周周管審_0537周直通率8d_複本 0541周周管審_0733-0815M1 Manpower-3" xfId="934"/>
    <cellStyle name="_Mechanical Contribution Margins (Q1'06, applied to Apr'04 Fcst)" xfId="935"/>
    <cellStyle name="_06FY01_Inventory Trend Summary_FY06 P7 CM Consigned RM" xfId="936"/>
    <cellStyle name="差_MB9月管審誤判超標 8D 5 3" xfId="937"/>
    <cellStyle name="_050205 MS Insight Open PO_FY06 P6 CM Consigned RM" xfId="938"/>
    <cellStyle name="=C:\WINNT\SYSTEM32\COMMAND.COM 10" xfId="939"/>
    <cellStyle name="_050205 MS Insight Open PO_FY06 P7 CM Consigned RM" xfId="940"/>
    <cellStyle name="_Foxlink Xenon Forecast 7-18-2005_RIM Meteor charging pod_ME and packaging parts &amp; tools cost for river with Rev A-20080521_Internal RFQ River Standalone  Bundle Unibom_v1 2_20080603_EJ_Stream Package Quotation_20090311" xfId="941"/>
    <cellStyle name="_0526週品質管理週報_0530周設備妥善_八月份周直通率8d1_0538周周管審--FINl_複本 0541周周管審" xfId="942"/>
    <cellStyle name="差_jupite r設備&amp;治工具LIST (總)_pq_效益分析(總 12-28 Update)_squirrel效益分析08-17" xfId="943"/>
    <cellStyle name="_05-0318 Q4FY05 CostBOM Ver 1_MS" xfId="944"/>
    <cellStyle name="_05-0324 Q4FY05 CostBOM Ver 2_MS" xfId="945"/>
    <cellStyle name="_050909散熱片腳缺彈簧2" xfId="946"/>
    <cellStyle name="差_Xl0000000_Leopard UniBom_Foxlink_6 21 2010-ME_nego" xfId="947"/>
    <cellStyle name="_0526週品質管理週報_0507月設備妥善率8D1_0536周周管審_0537周直通率8d1_複本 0541周周管審_外包部人力編制" xfId="948"/>
    <cellStyle name="差_Xl0000002_Squirrel UniBom-06.23.2010_update_internal 2 3" xfId="949"/>
    <cellStyle name="_BOM_BlueVox (Wiima) &amp; BCM2044 v03022007_RFQ_River_BAFO_2008 0606_M1_Stream Quotebook (Submittal)_POC2_20081117-1" xfId="950"/>
    <cellStyle name="_0522週品質管理週報_0507月設備妥善率8D1_0536周周管審_0538周周管審--FINl_複本 0541周周管審_0751-1219M1 Manpower" xfId="951"/>
    <cellStyle name="_PPV ALLOCATION-Nov04_FM Transmitter_Dev Labor NRE_Mar26-07_RFQ_River_BAFO_2008 0606_M1_Stream Quotebook(Submittal)_POC1_20080903" xfId="952"/>
    <cellStyle name="_0522週品質管理週報" xfId="953"/>
    <cellStyle name="_Avaya Spice demand  forecast on May-22-06 (based on ramp-up plan)_Line transition plan to B17 rev 5" xfId="954"/>
    <cellStyle name="_0522週品質管理週報_0507月設備妥善率8D1_0536周周管審_0538周周管審--FINl_外包部人力編制" xfId="955"/>
    <cellStyle name="差_Creak Pearl Reliability Fixture RFQ_2009 04 24_Creek RFQ feedback 04_28_2009_FD Update_Foxlink_Shadow RFQ NREUni BOM_12032009_Bolt RFQ_Foxlink_03.1 2011 3 2" xfId="956"/>
    <cellStyle name="_0522週品質管理週報_0507月設備妥善率8D1_0534周SMT周管審_0744-1031M1 Manpower" xfId="957"/>
    <cellStyle name="_Template for DV PV MP Yield Reports_Updated_yield report for DEV0xxxx(Jasper DV2) " xfId="958"/>
    <cellStyle name="_0522週品質管理週報_0507月設備妥善率8D1_0536周周管審_Book1" xfId="959"/>
    <cellStyle name="_2005 04 DELL SMT Data2 -Process_DELL廠級目標dip EXC _DELL廠級目標dip(2月) EXC _DELL MB廠級目標  (2)_DELL MB廠級目標_DELLTEAM入庫資料1" xfId="960"/>
    <cellStyle name="Note 6 2 3" xfId="961"/>
    <cellStyle name="好_River EE BOM_Creak Pearl Reliability Fixture RFQ_2009 04 24_Xl0000002 5" xfId="962"/>
    <cellStyle name="_0522週品質管理週報_0507月設備妥善率8D1_0534周SMT周管審_0751-1219M1 Manpower" xfId="963"/>
    <cellStyle name="Linked Cell 6" xfId="964"/>
    <cellStyle name="_2005 04 DELL SMT Data2 -Process_2006日常管理目標.DIP _DELL廠級目標dip(2月) EXC _BPI 8D-SMT-2月_DELL MB廠級目標.xls 圖表 1_DELL MB廠級目標十一月 (4)" xfId="965"/>
    <cellStyle name="_asus wlan 機種SMT線體需求計算表_1_awl線體需求計算6.6" xfId="966"/>
    <cellStyle name="_samples for Paul" xfId="967"/>
    <cellStyle name="_804_2009 xBOX ramp up budget code applicaiton" xfId="968"/>
    <cellStyle name="好_River EE BOM_Creak Pearl Reliability Fixture RFQ_2009 04 24_Creek RFQ feedback 04_28_2009_FD Update_Leopard_UniBOM_ME_0531_Bolt RFQ_Foxlink_03.1 2011" xfId="969"/>
    <cellStyle name="_OP1 DPO Forecast Final_PL Fcst Jul 06-updated G&amp;A Value_Copy of Tom OS ( Oct) new for LOG_Copy of X-BOX for line setup budget" xfId="970"/>
    <cellStyle name="_0522週品質管理週報_0507月設備妥善率8D1_0534周SMT周管審_外包部人力編制" xfId="971"/>
    <cellStyle name="差_F3   SMT設備明細_jupite r設備&amp;治工具LIST (總)_Flow Chart&amp;設備治工具清單 _Jackson 效益分析 (2-1 B0 上系統)" xfId="972"/>
    <cellStyle name="好_River EE BOM_Creak Pearl Reliability Fixture RFQ_2009 04 24_Xl0000002 3 2" xfId="973"/>
    <cellStyle name="_Volume Fcst Jul 06-update HP _Internal Hourly Rate Q1 FY08 Version 06142007 excl. Corporate Allocation" xfId="974"/>
    <cellStyle name="_0522週品質管理週報_0507月設備妥善率8D1_0534周SMT周管審_編制表" xfId="975"/>
    <cellStyle name="好_Creek EE BOM cost_20090425_Foxlink_Shadow RFQ NREUni BOM_12032009_Bolt RFQ_Foxlink_03.1 2011 2" xfId="976"/>
    <cellStyle name="_2005 US Flex Forecast Ver2_plforecastsample_Budget GC Other Form" xfId="977"/>
    <cellStyle name="差_Xl0000002_Leopard Lemur Squirrel UniBom-06.22.2010_EE cost _update_internal_Bolt RFQ Proposal_Foxlink_ (Pricing Summary) 2 25 2011 2 2 2" xfId="978"/>
    <cellStyle name="_2005 US Flex Forecast Ver2_Budget GC Other Form" xfId="979"/>
    <cellStyle name="差_Creak Pearl Reliability Fixture RFQ_2009 04 24_Creek RFQ feedback 04_28_2009_FD Update_Leopard UniBom_Foxlink_6 21 2010-ME_nego_Bolt RFQ Proposal_Foxlink_ (Pricing Summary) 2 25 2011 4" xfId="980"/>
    <cellStyle name="差_Creak Pearl Reliability Fixture RFQ_2009 04 24_Creek  Pearl RFQ_May 12_Leopard_UniBOM_ME_0602-1" xfId="981"/>
    <cellStyle name="_0526週品質管理週報_Book1_外包部人力編制" xfId="982"/>
    <cellStyle name="_0522週品質管理週報_0507月設備妥善率8D1_0534周SMT周管審_離職原因分析" xfId="983"/>
    <cellStyle name="差_Creak Pearl Reliability Fixture RFQ_2009 04 24_Xl0000002_Leopard_UniBOM_ME_0531_Bolt RFQ Proposal_Foxlink_ (Pricing Summary) 2 25 2011 2 2 2" xfId="984"/>
    <cellStyle name="Check Cell 3_Bristol RFQ response _20101102_internal (4)" xfId="985"/>
    <cellStyle name="_2005 04 DELL SMT Data2 -Process_DELL MB廠級目標 (2)_DELL MB廠級目標_DELL MB廠級目標" xfId="986"/>
    <cellStyle name="好_River EE BOM_Foxlink_Shadow RFQ NREUni BOM_12032009_Bolt RFQ_Foxlink_03.1 2011_nego meeting@MACH 3 2" xfId="987"/>
    <cellStyle name="_0522週品質管理週報_0507月設備妥善率8D1_0536周周管審_0536周直通率8d_0540周直通率8D1" xfId="988"/>
    <cellStyle name="_0522週品質管理週報_0507月設備妥善率8D1_0536周周管審_0536周直通率8d_0540周直通率8D1_0607 M1 Manpower (含大本編制)" xfId="989"/>
    <cellStyle name="_0522週品質管理週報_0507月設備妥善率8D1_0540周直通率8D1_複本 0541周周管審_0751-1219M1 Manpower" xfId="990"/>
    <cellStyle name="_2005 04 DELL SMT Data2 -Process_DELL MB廠級目標 _DELL MB廠級目標.xls 圖表 1_DELLTEAM入庫資料1_2007DELL SMT廠級目標KPI(MT)1" xfId="991"/>
    <cellStyle name="_0522週品質管理週報_0507月設備妥善率8D1_0536周周管審_0536周直通率8d_0540周直通率8D1_0733-0815M1 Manpower-3" xfId="992"/>
    <cellStyle name="_Alvin-Development NRE_RFQ_River_BAFO_2008 0606_M1_Stream Quotebook(Submittal)_POC1_20080903 2" xfId="993"/>
    <cellStyle name="_0522週品質管理週報_0507月設備妥善率8D1_0536周周管審_0536周直通率8d_0540周直通率8D1_0744-1031M1 Manpower" xfId="994"/>
    <cellStyle name="_2006_0319 Ernestine_Cooper Cost Feedback_Quotebook_V3_07SEP11_Internal RFQ River Standalone  Bundle Unibom_v1 2_20080603_EJ 2" xfId="995"/>
    <cellStyle name="Text No Wrap1" xfId="996"/>
    <cellStyle name="_Zune RF Transmitter_RET Plan  Cost_Draft_20070327_Stream RFQ Unibom--0626-1756_Stream Quotebook(Submittal)_POC1_20080903 2" xfId="997"/>
    <cellStyle name="_0522週品質管理週報_0536周周管審_Book1_複本 0541周周管審" xfId="998"/>
    <cellStyle name="_0522週品質管理週報_0507月設備妥善率8D1_0536周周管審_0536周直通率8d_0540周直通率8D1_0751-1219M1 Manpower" xfId="999"/>
    <cellStyle name="_0522週品質管理週報_0507月設備妥善率8D1_複本 0541周周管審_0733-0815M1 Manpower-3" xfId="1000"/>
    <cellStyle name="好 2" xfId="1001"/>
    <cellStyle name="_0522週品質管理週報_0507月設備妥善率8D1_0536周周管審_0536周直通率8d_0540周直通率8D1_外包部人力編制" xfId="1002"/>
    <cellStyle name="差_Creak Pearl Reliability Fixture RFQ_2009 04 24_Creek  Pearl RFQ_May 12_Leopard_UniBOM_ME_0603-2_Bolt RFQ Proposal_Foxlink_ (Pricing Summary) 2 25 2011 2" xfId="1003"/>
    <cellStyle name="_BOM update - Supplier List (Purchase) 111102" xfId="1004"/>
    <cellStyle name="差_jupite r設備&amp;治工具LIST (總)_Dallas效益分析&amp;投資回收期 (12-2 A1)_Jackson 效益分析 (2-1 B0 上系統)_squirrel效益分析08-17" xfId="1005"/>
    <cellStyle name="_0522週品質管理週報_0507月設備妥善率8D1_0536周周管審_0536周直通率8d_複本 0541周周管審_離職原因分析" xfId="1006"/>
    <cellStyle name="好_River EE BOM_Creek RFQ feedback 04_28_2009_FD Update_Leopard_UniBOM_ME_0602-1_Bolt RFQ_Foxlink_03.1 2011" xfId="1007"/>
    <cellStyle name="Normal 26 2" xfId="1008"/>
    <cellStyle name="Normal 31 2" xfId="1009"/>
    <cellStyle name="_編碼" xfId="1010"/>
    <cellStyle name="_2006_0329 Ernestine_Cooper Cost Feedback_Quotebook_07SEP10_BlueAnt_Quotebook_V3_07SEP11_Internal RFQ River Standalone  Bundle Unibom_v1 2_20080603_EJ_Stream Package Quotation_20090311" xfId="1011"/>
    <cellStyle name="_0522週品質管理週報_0507月設備妥善率8D1_0536周周管審_0536周直通率8d_0540周直通率8D1_編制表" xfId="1012"/>
    <cellStyle name="_0522週品質管理週報_0507月設備妥善率8D1_0536周周管審_0536周直通率8d_0540周直通率8D1_複本 0541周周管審" xfId="1013"/>
    <cellStyle name="_0522週品質管理週報_0507月設備妥善率8D1_0536周周管審_Book1_複本 0541周周管審_0751-1219M1 Manpower" xfId="1014"/>
    <cellStyle name="_2005 04 DELL SMT Data2 -Process_2006日常管理目標.DIP _DELL廠級目標dip(2月) EXC _DELL MB廠級目標 (2)_DELL MB廠級目標_DELL MB廠級目標.重要不能刪" xfId="1015"/>
    <cellStyle name="_Fcst March_06(Revised 2.)_X-BOX Console line setup budget and Buyer list" xfId="1016"/>
    <cellStyle name="_0522週品質管理週報_0507月設備妥善率8D1_0536周周管審_0536周直通率8d_0540周直通率8D1_複本 0541周周管審_0607 M1 Manpower (含大本編制)" xfId="1017"/>
    <cellStyle name="_0522週品質管理週報_0507月設備妥善率8D1_0541周直通率8D_0733-0815M1 Manpower-3" xfId="1018"/>
    <cellStyle name="60% - 强调文字颜色 3 2 2 3" xfId="1019"/>
    <cellStyle name="_0522週品質管理週報_0507月設備妥善率8D1_0536周周管審_0536周直通率8d_0540周直通率8D1_複本 0541周周管審_0744-1031M1 Manpower" xfId="1020"/>
    <cellStyle name="_0522週品質管理週報_0507月設備妥善率8D1_0536周周管審_0536周直通率8d_0540周直通率8D1_複本 0541周周管審_0751-1219M1 Manpower" xfId="1021"/>
    <cellStyle name="Currency 3 3" xfId="1022"/>
    <cellStyle name="_2006_0319 Ernestine_Cooper Cost Feedback_Stream RFQ Unibom--0626-1756 2" xfId="1023"/>
    <cellStyle name="_OP1 DPO Forecast Final_PL Fcst Jul 06-updated G&amp;A Value_Internal Hourly Rate Q1 FY08 Version 06052007 Draft" xfId="1024"/>
    <cellStyle name="_0522週品質管理週報_0507月設備妥善率8D1_0536周周管審_0536周直通率8d_0540周直通率8D1_複本 0541周周管審_外包部人力編制" xfId="1025"/>
    <cellStyle name="差_Creak Pearl Reliability Fixture RFQ_2009 04 24_Pearl RFQ(Submittal)ver2_05_12_2009 _Leopard UniBom_Foxlink_12092010 RevD-jen" xfId="1026"/>
    <cellStyle name="_0522週品質管理週報_0536周周管審_0537周直通率8d1_外包部人力編制" xfId="1027"/>
    <cellStyle name="_7月ict f.t_0536周周管審_0536周直通率8d_0540周直通率8D1" xfId="1028"/>
    <cellStyle name="_0522週品質管理週報_0507月設備妥善率8D1_0536周周管審_0536周直通率8d_0540周直通率8D1_複本 0541周周管審_離職原因分析" xfId="1029"/>
    <cellStyle name="好_Creek EE BOM cost_20090425_Creek RFQ feedback 04_28_2009_FD Update_Leopard_UniBOM_ME_0603-2_Bolt RFQ_Foxlink_03.1 2011 4" xfId="1030"/>
    <cellStyle name="壞_Creek Assembly Fixture  Test Equipment RFQ_20090427_Leopard Lemur Squirrel UniBom-06.22.2010_EE cost _update_internal_Bolt RFQ_Foxlink_03.1 2011_nego meeting@MACH 4" xfId="1031"/>
    <cellStyle name="_HP MP EE-Bug(R2 0) 10 13-10 14" xfId="1032"/>
    <cellStyle name="_0522週品質管理週報_0507月設備妥善率8D1_0536周周管審_0540周直通率8D1_複本 0541周周管審" xfId="1033"/>
    <cellStyle name="_0522週品質管理週報_0507月設備妥善率8D1_0536周周管審_0536周直通率8d_0541周直通率8D" xfId="1034"/>
    <cellStyle name="_Bolt RFQ ME BOM-0222-M02" xfId="1035"/>
    <cellStyle name="_06FY01_Inventory Trend Summary_FY06 P6 CM Consigned RM" xfId="1036"/>
    <cellStyle name="_0522週品質管理週報_0507月設備妥善率8D1_0536周周管審_0540周直通率8D1_複本 0541周周管審_0733-0815M1 Manpower-3" xfId="1037"/>
    <cellStyle name="差_Flow Chart&amp;設備治工具清單 _squirrel效益分析08-17" xfId="1038"/>
    <cellStyle name="_2005 04 DELL SMT Data2 -Process_DELL廠級目標dip.EXC _DELL廠級目標dip(2月) EXC _BPI 8D-SMT-2月 (3)_DELL MB廠級目標_DELL MB廠級目標_DELL MB廠級目標十一月 (4)" xfId="1039"/>
    <cellStyle name="差_Creak Pearl Reliability Fixture RFQ_2009 04 24_Creek RFQ feedback 04_28_2009_FD Update_Leopard RFQ ME BOM Costs-0618_Bolt RFQ Proposal_Foxlink_ (Pricing Summary) 2 25 2011 5 3" xfId="1040"/>
    <cellStyle name="_2005 04 DELL SMT Data2 -Process_DELL廠級目標dip EXC _DELL廠級目標dip(2月) EXC _BPI 8D-SMT-2月" xfId="1041"/>
    <cellStyle name="好_River EE BOM_Xl0000002_Leopard Lemur Squirrel UniBom-06.22.2010_EE cost _update_internal_Bolt RFQ Proposal_Foxlink_ (Pricing Summary) 2 25 2011 2 2 3" xfId="1042"/>
    <cellStyle name="_0522週品質管理週報_0507月設備妥善率8D1_0536周周管審_0536周直通率8d_0541周直通率8D_0733-0815M1 Manpower-3" xfId="1043"/>
    <cellStyle name="_2006_0409 Ernestine_Cooper tooling_Quotebook_V3_07SEP11" xfId="1044"/>
    <cellStyle name="_CTB to BMC 0601 (2)_Copy of MOST Std - S1300 F2lines" xfId="1045"/>
    <cellStyle name="_2005 04 DELL SMT Data2 -Process_DELL MB廠級目標  (2)_DELL MB廠級目標_MT 2007 KPI" xfId="1046"/>
    <cellStyle name="_0522週品質管理週報_0507月設備妥善率8D1_0536周周管審_0540周直通率8D1_複本 0541周周管審_外包部人力編制" xfId="1047"/>
    <cellStyle name="差_HP Mouse 產能評估(Forecast更改後)_Bolt RFQ_Foxlink_03.1 2011" xfId="1048"/>
    <cellStyle name="差_Creak Pearl Reliability Fixture RFQ_2009 04 24_Pearl RFQ(Submittal)ver2_05_12_2009 _Leopard RFQ ME BOM Costs-0618-2_Bolt RFQ Proposal_Foxlink_ (Pricing Summary) 2 25 2011 3 2" xfId="1049"/>
    <cellStyle name="好_River EE BOM_Jackson NRE Uni BOM_update _05072010 rev K" xfId="1050"/>
    <cellStyle name="_0522週品質管理週報_0507月設備妥善率8D1_0536周周管審_0536周直通率8d_0541周直通率8D_外包部人力編制" xfId="1051"/>
    <cellStyle name="_Book2_Copy of Tom OS ( Oct) new for LOG_Copy of X-BOX for line setup budget" xfId="1052"/>
    <cellStyle name="好_River EE BOM_Creak Pearl Reliability Fixture RFQ_2009 04 24_Creek RFQ feedback 04_28_2009_FD Update_Leopard_UniBOM_ME_0531_Bolt RFQ_Foxlink_03.1 2011_nego meeting@MACH 4" xfId="1053"/>
    <cellStyle name="_Mechanical Contribution Margins forecast 0506 FP_Volume Fcst 1006 updated_X-BOX BB" xfId="1054"/>
    <cellStyle name="_0522週品質管理週報_0507月設備妥善率8D1_0536周周管審_0540周直通率8D1_複本 0541周周管審_編制表" xfId="1055"/>
    <cellStyle name="_2005 04 DELL SMT Data2 -Process_2006日常管理目標.DIP _DELL廠級目標dip(2月) EXC _DELL MB廠級目標 _DELL MB廠級目標.xls 圖表 1_DELL MB廠級目標_DELL MB廠級目標十一月 (4)" xfId="1056"/>
    <cellStyle name="_0526週品質管理週報_0531周設備妥善_八月份周直通率8d1_0538周周管審--FINl_複本 0541周周管審" xfId="1057"/>
    <cellStyle name="好_Creek EE BOM cost_20090425_Leopard_UniBOM_ME_0531_Bolt RFQ Proposal_Foxlink_ (Pricing Summary) 2 25 2011 5" xfId="1058"/>
    <cellStyle name="_2005 04 DELL SMT Data2 -Process_DELL廠級目標dip(1月) EXC _DELL MB廠級目標.xls 圖表 1_DELLTEAM入庫資料1" xfId="1059"/>
    <cellStyle name="_0522週品質管理週報_0507月設備妥善率8D1_0536周周管審_0536周直通率8d_0541周直通率8D_編制表" xfId="1060"/>
    <cellStyle name="_0522週品質管理週報_0536周周管審_Book1_外包部人力編制" xfId="1061"/>
    <cellStyle name="20% - Accent5 3 3 3" xfId="1062"/>
    <cellStyle name="_0522週品質管理週報_0507月設備妥善率8D1_0536周周管審_0536周直通率8d_0607 M1 Manpower (含大本編制)" xfId="1063"/>
    <cellStyle name="_0522週品質管理週報_0507月設備妥善率8D1_0536周周管審_0541周直通率8D_0607 M1 Manpower (含大本編制)" xfId="1064"/>
    <cellStyle name="_184071 - Xbox Prepaid Inventory (5)_P6 Si Ops review (2)" xfId="1065"/>
    <cellStyle name="_0534周周報1_0540周直通率8D1" xfId="1066"/>
    <cellStyle name="_0522週品質管理週報_0507月設備妥善率8D1_0536周周管審_0536周直通率8d_0744-1031M1 Manpower" xfId="1067"/>
    <cellStyle name="_0522週品質管理週報_0507月設備妥善率8D1_0536周周管審_0541周直通率8D_0744-1031M1 Manpower" xfId="1068"/>
    <cellStyle name="Style 2" xfId="1069"/>
    <cellStyle name="好_Creek EE BOM cost_20090425_Squirrel RFQ ME BOM Costs-0623_Bolt RFQ Proposal_Foxlink_ (Pricing Summary) 2 25 2011 2 2" xfId="1070"/>
    <cellStyle name="_0522週品質管理週報_0507月設備妥善率8D1_0536周周管審_0536周直通率8d_0751-1219M1 Manpower" xfId="1071"/>
    <cellStyle name="_0522週品質管理週報_0507月設備妥善率8D1_0536周周管審_0541周直通率8D_0751-1219M1 Manpower" xfId="1072"/>
    <cellStyle name="_0537周周報" xfId="1073"/>
    <cellStyle name="差_dallas產能評估_Dallas效益分析&amp;投資回收期 (12-2 A1)_Flow chart and Fixture(Jackson)_A1_Jackson 效益分析 (2-1 B0 上系統)" xfId="1074"/>
    <cellStyle name="_Book2_Mechanical Contribution Margins forecast 0506 FP_Volume Fcst 1006 updated_Copy of Tom OS ( Oct) new for LOG_Budget GC Other Form" xfId="1075"/>
    <cellStyle name="好_River EE BOM_Creak Pearl Reliability Fixture RFQ_2009 04 24_Xl0000002_Leopard UniBom_Foxlink_6 21 2010-ME_nego_Bolt RFQ Proposal_Foxlink_ (Pricing Summary) 2 25 2011 5" xfId="1076"/>
    <cellStyle name="_0526週品質管理週報_0507月設備妥善率8D1_0536周周管審_0538周直通率8d1_複本 0541周周管審_0733-0815M1 Manpower-3" xfId="1077"/>
    <cellStyle name="Normal 48 2 2 2" xfId="1078"/>
    <cellStyle name="Normal 53 2 2 2" xfId="1079"/>
    <cellStyle name="_0522週品質管理週報_0507月設備妥善率8D1_0540周直通率8D1_複本 0541周周管審_0607 M1 Manpower (含大本編制)" xfId="1080"/>
    <cellStyle name="_0522週品質管理週報_0507月設備妥善率8D1_0536周周管審_0536周直通率8d_Book1" xfId="1081"/>
    <cellStyle name="差_Xl0000000_Leopard_UniBOM_ME_0602_Bolt RFQ Proposal_Foxlink_ (Pricing Summary) 2 25 2011 2 3" xfId="1082"/>
    <cellStyle name="_0522週品質管理週報_0507月設備妥善率8D1_0536周周管審_0536周直通率8d_Book1_0607 M1 Manpower (含大本編制)" xfId="1083"/>
    <cellStyle name="_Sales Forecast (plastic XX)0703_Volume Fcst 1006 updated_Tom OS ( Oct)_2009 xBOX ramp up budget code applicaiton 300K --New May26 (3)" xfId="1084"/>
    <cellStyle name="_Sales Forecast (plastic XX)1203_Volume Fcst 1006 updated_Tom OS ( Oct)_2009 xBOX ramp up budget code applicaiton 300K --New May26 (3)" xfId="1085"/>
    <cellStyle name="_0522週品質管理週報_0507月設備妥善率8D1_0536周周管審_0537周直通率8d1_複本 0541周周管審_外包部人力編制" xfId="1086"/>
    <cellStyle name="_Fcst March_06(Revised 2.)_Volume Fcst 1006 updated_Copy of Tom OS ( Oct) new for LOG_2009 xBOX ramp up budget code applicaiton 300K --New May26 (3)" xfId="1087"/>
    <cellStyle name="_220076-78(Sep 2006)_2009 xBOX ramp up budget code applicaiton 300K --New May27" xfId="1088"/>
    <cellStyle name="好_River EE BOM_Creak Pearl Reliability Fixture RFQ_2009 04 24_Creek RFQ feedback 04_28_2009_FD Update_Foxlink_Shadow RFQ NREUni BOM_12032009_Bolt RFQ_Foxlink_03.1 2011_nego meeting@MACH 3" xfId="1089"/>
    <cellStyle name="_184071 - FY05 Xbox Prepaid Inventory_FY06 P5 XBox 360 Mfg Var - Close Pack" xfId="1090"/>
    <cellStyle name="_0522週品質管理週報_0507月設備妥善率8D1_0536周周管審_0536周直通率8d_Book1_0733-0815M1 Manpower-3" xfId="1091"/>
    <cellStyle name="_Flex Mechanicals Doumen Sales forecast - Jan.06_Tom OS ( Oct)_X-BOX Console line setup budget 20080414" xfId="1092"/>
    <cellStyle name="_2006_0409 Ernestine_Cooper tooling_Quotebook_07SEP10_Internal RFQ River Standalone  Bundle Unibom_v1 2_20080603_EJ 2" xfId="1093"/>
    <cellStyle name="_0535週管審_Book1" xfId="1094"/>
    <cellStyle name="_0522週品質管理週報_0536周周管審_0538周直通率8d1_外包部人力編制" xfId="1095"/>
    <cellStyle name="_0522週品質管理週報_0507月設備妥善率8D1_0541周直通率8D_編制表" xfId="1096"/>
    <cellStyle name="好_River EE BOM_Xl0000002_Leopard_UniBOM_ME_0602-1 2 2" xfId="1097"/>
    <cellStyle name="_Flex Mechanicals Doumen Sales forecast - Jan 06 updated._Volume Fcst 1006 updated_Tom OS ( Oct)_X-BOX Console line setup budget 20080414" xfId="1098"/>
    <cellStyle name="_PL Fcst Jul 06-updated G&amp;A Value_Tom OS ( Oct)_2009 xBOX ramp up budget code applicaiton 300K --New May26 (3)" xfId="1099"/>
    <cellStyle name="_Mechanical Contribution Margins (Q2'06) 0705_Mechanical Contribution Margins forecast 0506 FP_PL Fcst Jul 06-updated G&amp;A Value" xfId="1100"/>
    <cellStyle name="_7月ict f.t" xfId="1101"/>
    <cellStyle name="好_River EE BOM_Creak Pearl Reliability Fixture RFQ_2009 04 24_Squirrel RFQ ME BOM Costs-0623_Bolt RFQ_Foxlink_03.1 2011_nego meeting@MACH 3 3" xfId="1102"/>
    <cellStyle name="_0526週品質管理週報_編制表" xfId="1103"/>
    <cellStyle name="差_0842周 顯卡報廢超標8D 5 2 3" xfId="1104"/>
    <cellStyle name="_0522週品質管理週報_0507月設備妥善率8D1_0536周周管審_0536周直通率8d_Book1_0744-1031M1 Manpower" xfId="1105"/>
    <cellStyle name="_0522週品質管理週報_0536周周管審_0537周直通率8d1_複本 0541周周管審_0733-0815M1 Manpower-3" xfId="1106"/>
    <cellStyle name="_0522週品質管理週報_0507月設備妥善率8D1_0536周周管審_0536周直通率8d_Book1_0751-1219M1 Manpower" xfId="1107"/>
    <cellStyle name="_2006_0409 Ernestine_Cooper tooling and plastic price to MS_Quotebook_V3_07SEP11_Internal RFQ River Standalone  Bundle Unibom_v1 2_20080603_EJ_Stream Package Quotation_20090311" xfId="1108"/>
    <cellStyle name="好_River EE BOM_Creak Pearl Reliability Fixture RFQ_2009 04 24_Leopard Lemur Squirrel UniBom-06.22.2010_EE cost _update_internal_Bolt RFQ_Foxlink_03.1 2011_nego meeting@MACH 5" xfId="1109"/>
    <cellStyle name="_0533周周報_0534周SMT周管審" xfId="1110"/>
    <cellStyle name="Accent6 - 20%" xfId="1111"/>
    <cellStyle name="_0522週品質管理週報_0507月設備妥善率8D1_0536周周管審_0537周直通率8d_複本 0541周周管審_0751-1219M1 Manpower" xfId="1112"/>
    <cellStyle name="Normal 5 4 3 3 2 2" xfId="1113"/>
    <cellStyle name="好_River EE BOM_Creak Pearl Reliability Fixture RFQ_2009 04 24_Pearl RFQ(Submittal)ver2_05_12_2009 _Leopard_UniBOM_ME_0602-1_Bolt RFQ_Foxlink_03.1 2011_nego meeting@MACH 5" xfId="1114"/>
    <cellStyle name="_0522週品質管理週報_0536周周管審_0536周直通率8d_0540周直通率8D1_複本 0541周周管審_0733-0815M1 Manpower-3" xfId="1115"/>
    <cellStyle name="_0522週品質管理週報_0507月設備妥善率8D1_0536周周管審_0536周直通率8d_Book1_外包部人力編制" xfId="1116"/>
    <cellStyle name="差_Xl0000002_Squirrel UniBom-06.23.2010_update_internal_Bolt RFQ Proposal_Foxlink_ (Pricing Summary) 2 25 2011 6" xfId="1117"/>
    <cellStyle name="好_River EE BOM_Creak Pearl Reliability Fixture RFQ_2009 04 24_Leopard_UniBOM_ME_0602_Bolt RFQ Proposal_Foxlink_ (Pricing Summary) 2 25 2011" xfId="1118"/>
    <cellStyle name="_Antenna Headcount &amp;  Product Process Time 2006_MOST Std - S1300 F2lines" xfId="1119"/>
    <cellStyle name="好_River EE BOM_Xl0000000_Leopard_UniBOM_ME_0602_Bolt RFQ Proposal_Foxlink_ (Pricing Summary) 2 25 2011 2 2" xfId="1120"/>
    <cellStyle name="_0522週品質管理週報_0507月設備妥善率8D1_0536周周管審_0536周直通率8d_Book1_編制表" xfId="1121"/>
    <cellStyle name="_Inventory Schedule JIT_CopyOfP6 Waynea review" xfId="1122"/>
    <cellStyle name="_BOM Cost for Dell Carrier 20070103_LowProfile" xfId="1123"/>
    <cellStyle name="差_Creak Pearl Reliability Fixture RFQ_2009 04 24_Xl0000002_Bolt RFQ Proposal_Foxlink_ (Pricing Summary) 2 25 2011 3 2" xfId="1124"/>
    <cellStyle name="_2006_0410 Ernestine_Cooper tooling and plastic price to MS_Quotebook_07SEP10_BlueAnt_Quotebook_V3_07SEP11" xfId="1125"/>
    <cellStyle name="差_Creak Pearl Reliability Fixture RFQ_2009 04 24_Creek  Pearl RFQ_May 12_Leopard RFQ ME BOM Costs-0618-2 3" xfId="1126"/>
    <cellStyle name="_0522週品質管理週報_0507月設備妥善率8D1_0536周周管審_0537周直通率8d1_0744-1031M1 Manpower" xfId="1127"/>
    <cellStyle name="_0522週品質管理週報_0507月設備妥善率8D1_0536周周管審_0536周直通率8d_Book1_複本 0541周周管審" xfId="1128"/>
    <cellStyle name="_0526週品質管理週報_0530周設備妥善_八月份周直通率8d1_0540周直通率8D1_複本 0541周周管審_編制表" xfId="1129"/>
    <cellStyle name="_2006_0329 Ernestine_Cooper Cost Feedback_Quotebook_07SEP10_Stream RFQ Unibom--0626-1756 2" xfId="1130"/>
    <cellStyle name="差_效益分析&amp;產能評估_MS Bolt wireless mouse FixtureEquipment Cost_A5_2010_02_21_Bolt RFQ_Foxlink_03.1 2011 2 3" xfId="1131"/>
    <cellStyle name="差_Creak Pearl Reliability Fixture RFQ_2009 04 24_Creek  Pearl RFQ_May 12_Leopard_UniBOM_ME_0603-2 2 2 2" xfId="1132"/>
    <cellStyle name="好_River EE BOM_Creak Pearl Reliability Fixture RFQ_2009 04 24_Bolt RFQ_Foxlink_03.1 2011 2" xfId="1133"/>
    <cellStyle name="好_Creek Assembly Fixture  Test Equipment RFQ_20090427_Leopard_UniBOM_ME_0531_Bolt RFQ_Foxlink_03.1 2011 4" xfId="1134"/>
    <cellStyle name="_0522週品質管理週報_0507月設備妥善率8D1_0536周周管審_0536周直通率8d_Book1_複本 0541周周管審_0607 M1 Manpower (含大本編制)" xfId="1135"/>
    <cellStyle name="_0526週品質管理週報_0530周設備妥善_八月份周直通率8d1_Book1" xfId="1136"/>
    <cellStyle name="差_Creak Pearl Reliability Fixture RFQ_2009 04 24_Leopard_UniBOM_ME_0602_Bolt RFQ_Foxlink_03.1 2011 3" xfId="1137"/>
    <cellStyle name="_0522週品質管理週報_0507月設備妥善率8D1_0536周周管審_0536周直通率8d_Book1_複本 0541周周管審_0733-0815M1 Manpower-3" xfId="1138"/>
    <cellStyle name="_0522週品質管理週報_0531周設備妥善_八月份周直通率8d1_0538周周管審--FINl_複本 0541周周管審" xfId="1139"/>
    <cellStyle name="_7月月管審附件.xls 圖表 1_0541周直通率8D" xfId="1140"/>
    <cellStyle name="差_Creak Pearl Reliability Fixture RFQ_2009 04 24_Pearl RFQ(Submittal)ver2_05_12_2009 _Foxlink_Shadow RFQ NREUni BOM_12032009_Bolt RFQ_Foxlink_03.1 2011_nego meeting@MACH 2 3" xfId="1141"/>
    <cellStyle name="_0522週品質管理週報_0507月設備妥善率8D1_0536周周管審_0536周直通率8d_Book1_複本 0541周周管審_0744-1031M1 Manpower" xfId="1142"/>
    <cellStyle name="差_Xl0000000_Leopard RFQ ME BOM Costs-0618-2 2 2 3" xfId="1143"/>
    <cellStyle name="_2006_0410b Ernestine_Cooper tooling and plastic price to MS_Quotebook_07SEP10_Stream RFQ Unibom--0626-1756_Stream Quotebook(Submittal)_POC1_20080903 2" xfId="1144"/>
    <cellStyle name="_2005 04 DELL SMT Data2 -Process_DELL廠級目標dip EXC _DELL廠級目標dip(2月) EXC _BPI 8D-SMT-2月_DELL MB廠級目標.xls 圖表 1_DELL MB廠級目標_DELL MB廠級目標十一月 (4)" xfId="1145"/>
    <cellStyle name="好_Creek EE BOM cost_20090425_Creek RFQ feedback 04_28_2009_FD Update_Leopard_UniBOM_ME_0602-1 2 2 3" xfId="1146"/>
    <cellStyle name="_Flex Mechanicals Doumen Sales forecast - Jan.06_PL Forecast by segment-most final 0806_Tom OS ( Oct)_2009 xBOX ramp up budget code applicaiton 300K --New May26 (3)" xfId="1147"/>
    <cellStyle name="_0522週品質管理週報_0507月設備妥善率8D1_0536周周管審_0536周直通率8d_Book1_複本 0541周周管審_0751-1219M1 Manpower" xfId="1148"/>
    <cellStyle name="好_Bristol  cost 20100914Rev.A 2_Bristol RFQ response _20101102_internal (4)_Bristol TC Estimate Update 07292011" xfId="1149"/>
    <cellStyle name="_LCM 9月份費用分析" xfId="1150"/>
    <cellStyle name="差_效益分析&amp;產能評估_M1 Bolt wireless mouse FixtureEquipment Cost_A2_2010_12_07_Bolt RFQ Proposal_Foxlink_ (Pricing Summary) 2 25 2011 7" xfId="1151"/>
    <cellStyle name="差_Creek RFQ feedback 04_28_2009_FD Update_Leopard_UniBOM_ME_0602 3 3" xfId="1152"/>
    <cellStyle name="好_Creek EE BOM cost_20090425_Creek RFQ feedback 04_28_2009_FD Update_Leopard Lemur Squirrel UniBom-06.22.2010_EE cost _update_internal_Bolt RFQ Proposal_Foxlink_ (Pricing Summary) 2 25 2011 5 2" xfId="1153"/>
    <cellStyle name="_220071-78(Aug 103&amp;105)_Forecast Template v4" xfId="1154"/>
    <cellStyle name="Heading 2 3" xfId="1155"/>
    <cellStyle name="_Dell MB to AMF Frt Pricing - 20040309" xfId="1156"/>
    <cellStyle name="_0522週品質管理週報_0507月設備妥善率8D1_0536周周管審_0536周直通率8d_外包部人力編制" xfId="1157"/>
    <cellStyle name="_0522週品質管理週報_0507月設備妥善率8D1_0536周周管審_0541周直通率8D_外包部人力編制" xfId="1158"/>
    <cellStyle name="计算 2 3 4" xfId="1159"/>
    <cellStyle name="_2006_0317 Ernestine_Cooper Cost Feedback_Quotebook_V3_07SEP11_RFQ_River_BAFO_2008 0606_M1_Stream Package Quotation_20090311" xfId="1160"/>
    <cellStyle name="_0522週品質管理週報_0507月設備妥善率8D1_0536周周管審_0536周直通率8d_編制表" xfId="1161"/>
    <cellStyle name="_0522週品質管理週報_0507月設備妥善率8D1_0536周周管審_0541周直通率8D_編制表" xfId="1162"/>
    <cellStyle name="差_dallas產能評估_Dallas flow chart&amp;設備&amp;治工具清單(12-8 A0)_Flow Chart&amp;設備治工具清單 _Jackson 效益分析 (2-1 B0 上系統)_squirrel效益分析08-17" xfId="1163"/>
    <cellStyle name="好_River EE BOM_Xl0000000_Squirrel RFQ ME BOM Costs-0623_Bolt RFQ Proposal_Foxlink_ (Pricing Summary) 2 25 2011 3 2" xfId="1164"/>
    <cellStyle name="好_River EE BOM_Creek RFQ feedback 04_28_2009_FD Update_Bolt RFQ_Foxlink_03.1 2011_nego meeting@MACH 5" xfId="1165"/>
    <cellStyle name="_Mar Freight analysis value_P2 Waynea review" xfId="1166"/>
    <cellStyle name="_2005 04 DELL SMT Data2 -Process_DELL廠級目標dip EXC _DELL廠級目標dip(2月) EXC _DELL MB廠級目標 _DELL MB廠級目標.xls 圖表 1_DELL MB廠級目標四月 " xfId="1167"/>
    <cellStyle name="_0522週品質管理週報_0507月設備妥善率8D1_0536周周管審_0537周直通率8d_0541周直通率8D_0733-0815M1 Manpower-3" xfId="1168"/>
    <cellStyle name="_Flex forecast Depot 2005 rev4A_Copy of X-BOX for line setup budget" xfId="1169"/>
    <cellStyle name="_2005 04 DELL SMT Data2 -Process_DELL廠級目標dip EXC _DELL MB廠級目標_DELL制程課管理目標" xfId="1170"/>
    <cellStyle name="_0522週品質管理週報_0507月設備妥善率8D1_0536周周管審_0536周直通率8d_複本 0541周周管審" xfId="1171"/>
    <cellStyle name="_0522週品質管理週報_0507月設備妥善率8D1_Book1" xfId="1172"/>
    <cellStyle name="_0522週品質管理週報_0507月設備妥善率8D1_0536周周管審_0536周直通率8d_複本 0541周周管審_0607 M1 Manpower (含大本編制)" xfId="1173"/>
    <cellStyle name="_0522週品質管理週報_0507月設備妥善率8D1_0536周周管審_0536周直通率8d_複本 0541周周管審_0744-1031M1 Manpower" xfId="1174"/>
    <cellStyle name="_White 3" xfId="1175"/>
    <cellStyle name="_0522週品質管理週報_0507月設備妥善率8D1_0536周周管審_0536周直通率8d_複本 0541周周管審_外包部人力編制" xfId="1176"/>
    <cellStyle name="20% - 輔色1 2" xfId="1177"/>
    <cellStyle name="_2005 04 DELL SMT Data2 -Process_DELL廠級目標dip EXC _DELL廠級目標dip(2月) EXC _BPI 8D-SMT-2月 (3)_DELL MB廠級目標.xls 圖表 1_DELL MB廠級目標四月 _DELL MB廠級目標十一月 (4)" xfId="1178"/>
    <cellStyle name="差_Creak Pearl Reliability Fixture RFQ_2009 04 24_Xl0000002_Squirrel UniBom-06.23.2010_update_internal 2" xfId="1179"/>
    <cellStyle name="_0522週品質管理週報_0507月設備妥善率8D1_0536周周管審_0537周直通率8d" xfId="1180"/>
    <cellStyle name="_IBM Ocean Freight quoting - 20040714" xfId="1181"/>
    <cellStyle name="_0522週品質管理週報_0507月設備妥善率8D1_0536周周管審_0537周直通率8d_0541周直通率8D_編制表" xfId="1182"/>
    <cellStyle name="差_Jackson 效益分析 testing update_16th Jan1_Jackson 效益分析 (2-1 B0 上系統)" xfId="1183"/>
    <cellStyle name="_0534周周報1_0541周SMT周管審" xfId="1184"/>
    <cellStyle name="_0534周周報1_0536周SMT周管審" xfId="1185"/>
    <cellStyle name="_0522週品質管理週報_0507月設備妥善率8D1_0536周周管審_0537周直通率8d_0541周直通率8D_離職原因分析" xfId="1186"/>
    <cellStyle name="好_Erie Assembly Fixture  Test Equip Cost_20090716_Bolt RFQ_Foxlink_03.1 2011 3" xfId="1187"/>
    <cellStyle name="_0522週品質管理週報_0507月設備妥善率8D1_0536周周管審_0537周直通率8d1_0541周直通率8D_編制表" xfId="1188"/>
    <cellStyle name="_0522週品質管理週報_0507月設備妥善率8D1_0536周周管審_0537周直通率8d_0607 M1 Manpower (含大本編制)" xfId="1189"/>
    <cellStyle name="_0522週品質管理週報_0507月設備妥善率8D1_0536周周管審_0537周直通率8d_0744-1031M1 Manpower" xfId="1190"/>
    <cellStyle name="差_Creak Pearl Reliability Fixture RFQ_2009 04 24_Foxlink_Shadow RFQ NREUni BOM_12032009_Bolt RFQ_Foxlink_03.1 2011 2" xfId="1191"/>
    <cellStyle name="_0522週品質管理週報_0507月設備妥善率8D1_0536周周管審_0537周直通率8d_外包部人力編制" xfId="1192"/>
    <cellStyle name="_2005 04 DELL SMT Data2 -Process_DELL廠級目標dip.EXC _DELL MB廠級目標_DELL MB廠級目標" xfId="1193"/>
    <cellStyle name="Normal 4 3 7" xfId="1194"/>
    <cellStyle name="_0522週品質管理週報_0507月設備妥善率8D1_0536周周管審_0537周直通率8d_複本 0541周周管審" xfId="1195"/>
    <cellStyle name="_2006_0406 Ernestine_Cooper tooling_Quotebook_07SEP10_RFQ_River_BAFO_2008 0606_M1_Stream Quotebook(Submittal)_POC1_20080903 2" xfId="1196"/>
    <cellStyle name="好_Creek EE BOM cost_20090425_Creek RFQ feedback 04_28_2009_FD Update_Leopard_UniBOM_ME_0603-2 2 3" xfId="1197"/>
    <cellStyle name="好_River EE BOM_Creek RFQ feedback 04_28_2009_FD Update_Squirrel UniBom-06.23.2010_update_internal_Bolt RFQ Proposal_Foxlink_ (Pricing Summary) 2 25 2011 2 3" xfId="1198"/>
    <cellStyle name="_0522週品質管理週報_0507月設備妥善率8D1_0536周周管審_0537周直通率8d_複本 0541周周管審_0744-1031M1 Manpower" xfId="1199"/>
    <cellStyle name="差_Creak Pearl Reliability Fixture RFQ_2009 04 24_Xl0000002_Leopard_UniBOM_ME_0602_Bolt RFQ Proposal_Foxlink_ (Pricing Summary) 2 25 2011 5" xfId="1200"/>
    <cellStyle name="_2006_0406 Ernestine_Cooper tooling_Quotebook_07SEP10_BlueAnt_Quotebook_V3_07SEP11_RFQ_River_BAFO_2008 0606_M1_Stream Quotebook(Submittal)_POC1_20080903 2" xfId="1201"/>
    <cellStyle name="_0522週品質管理週報_0507月設備妥善率8D1_0536周周管審_0537周直通率8d_複本 0541周周管審_外包部人力編制" xfId="1202"/>
    <cellStyle name="_0522週品質管理週報_0507月設備妥善率8D1_0536周周管審_0537周直通率8d_離職原因分析" xfId="1203"/>
    <cellStyle name="Calculation 11 2 3" xfId="1204"/>
    <cellStyle name="_8D_1_八月月報2_複本 0541周周管審" xfId="1205"/>
    <cellStyle name="差_Creak Pearl Reliability Fixture RFQ_2009 04 24_Xl0000002_Leopard_UniBOM_ME_0531" xfId="1206"/>
    <cellStyle name="_2005 04 DELL SMT Data2 -Process_DELL廠級目標dip EXC _DELL廠級目標dip(2月) EXC _BPI 8D-SMT-2月 (3)_DELL MB廠級目標_DELL MB廠級目標十一月 (4)" xfId="1207"/>
    <cellStyle name="_0522週品質管理週報_0507月設備妥善率8D1_0536周周管審_0537周直通率8d1" xfId="1208"/>
    <cellStyle name="_0522週品質管理週報_0530周設備妥善_八月份周直通率8d1_Book1_複本 0541周周管審_0744-1031M1 Manpower" xfId="1209"/>
    <cellStyle name="差_jupite r設備&amp;治工具LIST (總)_flow chart 2009.12.12_Jackson 效益分析 testing update_16th Jan1" xfId="1210"/>
    <cellStyle name="_0522週品質管理週報_0530周設備妥善_0538周周管審--FINl_外包部人力編制" xfId="1211"/>
    <cellStyle name="_0526週品質管理週報_0536周周管審_0536周直通率8d_0733-0815M1 Manpower-3" xfId="1212"/>
    <cellStyle name="_0522週品質管理週報_0507月設備妥善率8D1_0536周周管審_0537周直通率8d1_0541周直通率8D_0607 M1 Manpower (含大本編制)" xfId="1213"/>
    <cellStyle name="好_River EE BOM_Creak Pearl Reliability Fixture RFQ_2009 04 24_Pearl RFQ(Submittal)ver2_05_12_2009 _Squirrel UniBom-06.23.2010_update_internal 3" xfId="1214"/>
    <cellStyle name="_0522週品質管理週報_0507月設備妥善率8D1_0536周周管審_0538周直通率8d1_複本 0541周周管審_0744-1031M1 Manpower" xfId="1215"/>
    <cellStyle name="_0522週品質管理週報_0507月設備妥善率8D1_0536周周管審_0537周直通率8d1_0541周直通率8D_0733-0815M1 Manpower-3" xfId="1216"/>
    <cellStyle name="_0526週品質管理週報_0531周設備妥善_複本 0541周周管審_外包部人力編制" xfId="1217"/>
    <cellStyle name="差_Creak Pearl Reliability Fixture RFQ_2009 04 24_Foxlink_Shadow RFQ NREUni BOM_12032009_Bolt RFQ_Foxlink_03.1 2011_nego meeting@MACH 5" xfId="1218"/>
    <cellStyle name="_0522週品質管理週報_0507月設備妥善率8D1_0536周周管審_0537周直通率8d1_0541周直通率8D_0744-1031M1 Manpower" xfId="1219"/>
    <cellStyle name="_0522週品質管理週報_0531周設備妥善_八月份周直通率8d1_0733-0815M1 Manpower-3" xfId="1220"/>
    <cellStyle name="好_River EE BOM_Xl0000002_Leopard RFQ ME BOM Costs-0618-2_Bolt RFQ Proposal_Foxlink_ (Pricing Summary) 2 25 2011 4" xfId="1221"/>
    <cellStyle name="好_Creek EE BOM cost_20090425_Creek RFQ feedback 04_28_2009_FD Update_Leopard_UniBOM_ME_0602" xfId="1222"/>
    <cellStyle name="_0530周周管審_八月份周直通率8d1_0540周直通率8D1_外包部人力編制" xfId="1223"/>
    <cellStyle name="_Flex Depot 2005 rev3_plforecastsample_Copy of X-BOX for line setup budget" xfId="1224"/>
    <cellStyle name="_0522週品質管理週報_0507月設備妥善率8D1_0536周周管審_0537周直通率8d1_0541周直通率8D_0751-1219M1 Manpower" xfId="1225"/>
    <cellStyle name="_0526週品質管理週報_0530周設備妥善_0538周周管審--FINl_0733-0815M1 Manpower-3" xfId="1226"/>
    <cellStyle name="一般 2 2 5 4" xfId="1227"/>
    <cellStyle name="_Sales Breakdown Analysis 3_PL Fcst Jul 06-updated G&amp;A Value_Copy of Tom OS ( Oct) new for LOG" xfId="1228"/>
    <cellStyle name="_0522週品質管理週報_0507月設備妥善率8D1_0536周周管審_Book1_0607 M1 Manpower (含大本編制)" xfId="1229"/>
    <cellStyle name="差_F3   SMT設備明細_jupite r設備&amp;治工具LIST (總)_Flow Chart&amp;PQ分析(12-1)_Jackson 效益分析 testing update_16th Jan1_Jackson 效益分析 (2-1 B0 上系統)_Leopard Flowchart &amp; 產能評估" xfId="1230"/>
    <cellStyle name="_0522週品質管理週報_0507月設備妥善率8D1_0536周周管審_0537周直通率8d1_0541周直通率8D_外包部人力編制" xfId="1231"/>
    <cellStyle name="差_Creak Pearl Reliability Fixture RFQ_2009 04 24_Creek RFQ feedback 04_28_2009_FD Update_Leopard Lemur Squirrel UniBom-06.22.2010_EE cost _update_internal_Bolt RFQ Proposal_Foxlink_ (Pricing Summary) 2 25 2011 2 2 2" xfId="1232"/>
    <cellStyle name="_05FY01_Inventory Trend Summary_FY06 P6 XBox 360 Mfg Var - Close Pack" xfId="1233"/>
    <cellStyle name="_0522週品質管理週報_0530周設備妥善_0537周SMT周管審1_編制表" xfId="1234"/>
    <cellStyle name="_Sales Breakdown Analysis 3_Volume Fcst Jul 06-update HP _Copy of Tom OS ( Oct) new for LOG_X-BOX Console line setup budget 20080414" xfId="1235"/>
    <cellStyle name="好_RIO_Reliability Test Plan&amp;Cost_Draft_20080924" xfId="1236"/>
    <cellStyle name="_0522週品質管理週報_0507月設備妥善率8D1_Book1_複本 0541周周管審_編制表" xfId="1237"/>
    <cellStyle name="壞_Creek EE BOM cost_20090425_Creek RFQ feedback 04_28_2009_FD Update_Leopard UniBom_Foxlink_6 21 2010-ME_nego_Bolt RFQ Proposal_Foxlink_ (Pricing Summary) 2 25 2011 4" xfId="1238"/>
    <cellStyle name="_2006_0412 Ernestine_Cooper tooling and plastic price to MS_JC_Internal RFQ River Standalone  Bundle Unibom_v1 2_20080603_EJ_Stream Quotebook(Submittal)_POC1_20080903" xfId="1239"/>
    <cellStyle name="_2005 04 DELL SMT Data2 -Process_DELL廠級目標dip EXC _DELL MB廠級目標.xls 圖表 1" xfId="1240"/>
    <cellStyle name="_Mechanical Contribution Margins (Q2'06) 0705_PL Fcst Jul 06-updated G&amp;A Value_Tom OS ( Oct)_Copy of X-BOX for line setup budget" xfId="1241"/>
    <cellStyle name="_0530周周管審_八月份周直通率8d1_複本 0541周周管審_外包部人力編制" xfId="1242"/>
    <cellStyle name="差_HP Mouse 產能評估(Forecast更改後)_Erie 效益分析 (Update)_Flow chart and Fixture(Jackson)_A1_Jackson 效益分析 (2-1 B0 上系統)_squirrel效益分析08-17" xfId="1243"/>
    <cellStyle name="_0522週品質管理週報_0507月設備妥善率8D1_0536周周管審_0537周直通率8d1_0541周直通率8D_離職原因分析" xfId="1244"/>
    <cellStyle name="差_Xl0000002 2 2 3" xfId="1245"/>
    <cellStyle name="_0522週品質管理週報_0507月設備妥善率8D1_0536周周管審_0537周直通率8d1_0607 M1 Manpower (含大本編制)" xfId="1246"/>
    <cellStyle name="好_River EE BOM_Creak Pearl Reliability Fixture RFQ_2009 04 24_Creek RFQ feedback 04_28_2009_FD Update_Leopard_UniBOM_ME_0602-1_Bolt RFQ_Foxlink_03.1 2011_nego meeting@MACH 2 2" xfId="1247"/>
    <cellStyle name="_2005 04 DELL SMT Data2 -Process_DELL廠級目標dip(1月) EXC _DELL MB廠級目標_DELLTEAM入庫資料1_2007DELL SMT廠級目標KPI(MT)1" xfId="1248"/>
    <cellStyle name="差_dallas產能評估_flow chart 2009.12.12_Jackson 效益分析 testing update_16th Jan1_Jackson 效益分析 (2-1 B0 上系統)_Leopard Flowchart &amp; 產能評估" xfId="1249"/>
    <cellStyle name="_0526週品質管理週報_0531周設備妥善_0541周SMT周管審_外包部人力編制" xfId="1250"/>
    <cellStyle name="_Fcst March_06(Revised 2.)_PL Fcst Jul 06-updated G&amp;A Value_Tom OS ( Oct)_X-BOX Console line setup budget 20080414" xfId="1251"/>
    <cellStyle name="_0522週品質管理週報_0507月設備妥善率8D1_0536周周管審_0537周直通率8d1_0733-0815M1 Manpower-3" xfId="1252"/>
    <cellStyle name="_0522週品質管理週報_0507月設備妥善率8D1_0536周周管審_0537周直通率8d1_0751-1219M1 Manpower" xfId="1253"/>
    <cellStyle name="好_Creek EE BOM cost_20090425_Creek RFQ feedback 04_28_2009_FD Update_Leopard RFQ ME BOM Costs-0618_Bolt RFQ_Foxlink_03.1 2011 2" xfId="1254"/>
    <cellStyle name="_184071 - RMA Review (2)_FY06 P4 CM Consigned RM" xfId="1255"/>
    <cellStyle name="差_F3   SMT設備明細_jupite r設備&amp;治工具LIST (總)_pq_Flow chart and Fixture(1-4)" xfId="1256"/>
    <cellStyle name="_Flex Mechanicals Doumen Sales forecast - Dec'05 R1_Copy of Tom OS ( Oct) new for LOG_2009 xBOX ramp up budget code applicaiton 300K --New May26 (3)" xfId="1257"/>
    <cellStyle name="_0522週品質管理週報_0507月設備妥善率8D1_0536周周管審_Book1_複本 0541周周管審_0607 M1 Manpower (含大本編制)" xfId="1258"/>
    <cellStyle name="差_Creek RFQ feedback 04_28_2009_FD Update_Leopard UniBom_Foxlink_6 21 2010-ME_nego_Bolt RFQ Proposal_Foxlink_ (Pricing Summary) 2 25 2011 3 2" xfId="1259"/>
    <cellStyle name="_Seagate FLAGSHIP DESKTOP ME bom cost_Rev.A2 39" xfId="1260"/>
    <cellStyle name="_Seagate FLAGSHIP DESKTOP ME bom cost_Rev.A2 44" xfId="1261"/>
    <cellStyle name="_0522週品質管理週報_0507月設備妥善率8D1_0536周周管審_0537周直通率8d1_外包部人力編制" xfId="1262"/>
    <cellStyle name="_0522週品質管理週報_0531周設備妥善_0537周SMT周管審_0744-1031M1 Manpower" xfId="1263"/>
    <cellStyle name="_0522週品質管理週報_0507月設備妥善率8D1_0536周周管審_0537周直通率8d1_編制表" xfId="1264"/>
    <cellStyle name="_2006_0410 Ernestine_Cooper tooling and plastic price to MS_Quotebook_07SEP10_Internal RFQ River Standalone  Bundle Unibom_v1 2_20080603_EJ_Stream Package Quotation_20090311" xfId="1265"/>
    <cellStyle name="_0522週品質管理週報_0507月設備妥善率8D1_0536周周管審_0537周直通率8d1_複本 0541周周管審" xfId="1266"/>
    <cellStyle name="差_Xl0000002_Leopard RFQ ME BOM Costs-0618-2_Bolt RFQ_Foxlink_03.1 2011_nego meeting@MACH 3 2" xfId="1267"/>
    <cellStyle name="_0522週品質管理週報_0530周設備妥善_0538周周管審--FINl_0751-1219M1 Manpower" xfId="1268"/>
    <cellStyle name="_0526週品質管理週報_0507月設備妥善率8D1_0536周周管審_0540周直通率8D1" xfId="1269"/>
    <cellStyle name="_0522週品質管理週報_0507月設備妥善率8D1_0536周周管審_0537周直通率8d1_複本 0541周周管審_0607 M1 Manpower (含大本編制)" xfId="1270"/>
    <cellStyle name="差_HP Mouse 產能評估(上系統)_MS Bolt wireless mouse FixtureEquipment Cost_A5_2010_02_21 2 2 2" xfId="1271"/>
    <cellStyle name="_2005 04 DELL SMT Data2 -Process_DELL廠級目標dip(1月) EXC _DELL MB廠級目標_DELL MB廠級目標四月 " xfId="1272"/>
    <cellStyle name="好_River EE BOM_Creek RFQ feedback 04_28_2009_FD Update_Leopard_UniBOM_ME_0602-1_Bolt RFQ_Foxlink_03.1 2011_nego meeting@MACH 2 3" xfId="1273"/>
    <cellStyle name="_2005 04 DELL SMT Data2 -Process_2006日常管理目標.DIP _DELL廠級目標dip(2月) EXC _DELL MB廠級目標.重要不能刪_2007DELL SMT廠級目標KPI(MT)1" xfId="1274"/>
    <cellStyle name="_Flex Mechanicals Doumen Sales forecast - Jan 06 updated._Volume Fcst 1006 updated_2009 xBOX ramp up budget code applicaiton 300K --New May26 (3)" xfId="1275"/>
    <cellStyle name="好_River EE BOM_Creak Pearl Reliability Fixture RFQ_2009 04 24_Creek RFQ feedback 04_28_2009_FD Update_Leopard_UniBOM_ME_0602_Bolt RFQ Proposal_Foxlink_ (Pricing Summary) 2 25 2011 5 3" xfId="1276"/>
    <cellStyle name="Normal 36 3 2 3" xfId="1277"/>
    <cellStyle name="Normal 41 3 2 3" xfId="1278"/>
    <cellStyle name="_0522週品質管理週報_0507月設備妥善率8D1_0536周周管審_0538周直通率8d1_0541周直通率8D_編制表" xfId="1279"/>
    <cellStyle name="_0522週品質管理週報_0507月設備妥善率8D1_0536周周管審_0537周直通率8d1_複本 0541周周管審_0733-0815M1 Manpower-3" xfId="1280"/>
    <cellStyle name="好_Creek Assembly Fixture  Test Equipment RFQ_20090427_Xl0000002_Leopard_UniBOM_ME_0602-1_Bolt RFQ Proposal_Foxlink_ (Pricing Summary) 2 25 2011 2 4" xfId="1281"/>
    <cellStyle name="_2006_0317 Ernestine_Cooper Cost Feedback_Quotebook_07SEP10_RFQ_River_BAFO_2008 0606_M1_Stream Quotebook(Submittal)_POC1_20080903" xfId="1282"/>
    <cellStyle name="_Book2_Mechanical Contribution Margins forecast 0506 FP_Volume Fcst 1006 updated_Copy of Tom OS ( Oct) new for LOG_X-BOX Console line setup budget and Buyer list" xfId="1283"/>
    <cellStyle name="_0526週品質管理週報_0507月設備妥善率8D1_0536周周管審_0536周直通率8d_Book1_複本 0541周周管審_0733-0815M1 Manpower-3" xfId="1284"/>
    <cellStyle name="Neutral 13" xfId="1285"/>
    <cellStyle name="_0522週品質管理週報_0507月設備妥善率8D1_0607 M1 Manpower (含大本編制)" xfId="1286"/>
    <cellStyle name="_0522週品質管理週報_0507月設備妥善率8D1_0536周周管審_0537周直通率8d1_複本 0541周周管審_0744-1031M1 Manpower" xfId="1287"/>
    <cellStyle name="_2005 04 DELL SMT Data2 -Process_2006日常管理目標.DIP _DELL廠級目標dip(2月) EXC _BPI 8D-SMT-2月 (3)_DELL MB廠級目標.xls 圖表 1_DELL MB廠級目標十一月 (4)" xfId="1288"/>
    <cellStyle name="_0522週品質管理週報_0507月設備妥善率8D1_0536周周管審_0538周直通率8d1_0733-0815M1 Manpower-3" xfId="1289"/>
    <cellStyle name="好_Creek Assembly Fixture  Test Equipment RFQ_20090427_Leopard RFQ ME BOM Costs-0618-2_Bolt RFQ_Foxlink_03.1 2011_nego meeting@MACH_Bolt_Cliff 5" xfId="1290"/>
    <cellStyle name="_0522週品質管理週報_0507月設備妥善率8D1_0536周周管審_0537周直通率8d1_複本 0541周周管審_0751-1219M1 Manpower" xfId="1291"/>
    <cellStyle name="_Mfg Variances FY04 12604" xfId="1292"/>
    <cellStyle name="_0522週品質管理週報_0507月設備妥善率8D1_0538周周管審--FINl_複本 0541周周管審" xfId="1293"/>
    <cellStyle name="_0540周周報" xfId="1294"/>
    <cellStyle name="_0522週品質管理週報_0507月設備妥善率8D1_0536周周管審_0537周直通率8d1_複本 0541周周管審_離職原因分析" xfId="1295"/>
    <cellStyle name="_0522週品質管理週報_0507月設備妥善率8D1_0536周周管審_0537周直通率8d1_離職原因分析" xfId="1296"/>
    <cellStyle name="_Fcst March_06(Revised 2.)" xfId="1297"/>
    <cellStyle name="_2005 04 DELL SMT Data2 -Process_DELL廠級目標dip EXC _2007DELL SMT廠級目標KPI(MT)1" xfId="1298"/>
    <cellStyle name="_0522週品質管理週報_0507月設備妥善率8D1_0536周周管審_0538周周管審--FINl" xfId="1299"/>
    <cellStyle name="_Tom OnLine Forecast Template PCBA_Computing Dec 2006 V4 ( update on OS allocation)_X-BOX BB" xfId="1300"/>
    <cellStyle name="_Book2_Mechanical Contribution Margins forecast 0506 FP_Copy of Tom OS ( Oct) new for LOG_Budget GC Other Form" xfId="1301"/>
    <cellStyle name="_Balvenie Package shipment info.2" xfId="1302"/>
    <cellStyle name="_Fcst March_06(Revised 2.)_X-BOX Console line setup budget 20080414" xfId="1303"/>
    <cellStyle name="_2005 04 DELL SMT Data2 -Process_DELL廠級目標dip EXC _DELL廠級目標dip(2月) EXC _BPI 8D-SMT-2月_DELL MB廠級目標.xls 圖表 1_MT 2007 KPI" xfId="1304"/>
    <cellStyle name="_0522週品質管理週報_0507月設備妥善率8D1_0536周周管審_0538周周管審--FINl_複本 0541周周管審_編制表" xfId="1305"/>
    <cellStyle name="好_River EE BOM_Creek RFQ feedback 04_28_2009_FD Update_Foxlink_Shadow RFQ NREUni BOM_12032009_Bolt RFQ Proposal_Foxlink_ (Pricing Summary) 2 25 2011 4 2" xfId="1306"/>
    <cellStyle name="_2005 04 DELL SMT Data2 -Process_DELL廠級目標dip.EXC _DELL MB廠級目標.xls 圖表 1_DELLTEAM入庫資料1_DELL MB廠級目標十一月 (4)" xfId="1307"/>
    <cellStyle name="_0522週品質管理週報_0507月設備妥善率8D1_0536周周管審_0538周周管審--FINl_0744-1031M1 Manpower" xfId="1308"/>
    <cellStyle name="好_River EE BOM_Creak Pearl Reliability Fixture RFQ_2009 04 24_Creek  Pearl RFQ_May 12_Squirrel UniBom-06.23.2010_update_internal_Bolt RFQ Proposal_Foxlink_ (Pricing Summary) 2 25 2011 2 2 2" xfId="1309"/>
    <cellStyle name="差_F3   SMT設備明細_效益分析_Dallas效益分析&amp;投資回收期 (12-2 A1)_Jackson 效益分析 (2-1 B0 上系統)_squirrel效益分析08-17" xfId="1310"/>
    <cellStyle name="_0522週品質管理週報_0507月設備妥善率8D1_0536周周管審_0538周周管審--FINl_編制表" xfId="1311"/>
    <cellStyle name="_0522週品質管理週報_0507月設備妥善率8D1_0536周周管審_0538周周管審--FINl_複本 0541周周管審" xfId="1312"/>
    <cellStyle name="_Mulan Edge Procurement Plan May 30 P1A_Copy of MOST Std - S1300 F2lines" xfId="1313"/>
    <cellStyle name="_0522週品質管理週報_0507月設備妥善率8D1_0751-1219M1 Manpower" xfId="1314"/>
    <cellStyle name="_0522週品質管理週報_0507月設備妥善率8D1_0536周周管審_0538周周管審--FINl_複本 0541周周管審_0607 M1 Manpower (含大本編制)" xfId="1315"/>
    <cellStyle name="_0522週品質管理週報_0536周周管審_0538周直通率8d1_0541周直通率8D_外包部人力編制" xfId="1316"/>
    <cellStyle name="_0522週品質管理週報_0507月設備妥善率8D1_0536周周管審_0538周周管審--FINl_複本 0541周周管審_離職原因分析" xfId="1317"/>
    <cellStyle name="差_jupite r設備&amp;治工具LIST (總)_Flow Chart&amp;PQ分析(12-1)_Flow Chart&amp;設備治工具清單 _squirrel效益分析08-17" xfId="1318"/>
    <cellStyle name="好_River EE BOM_Creak Pearl Reliability Fixture RFQ_2009 04 24_Creek  Pearl RFQ_May 12_Leopard RFQ ME BOM Costs-0618-2 2 2 3" xfId="1319"/>
    <cellStyle name="好_Erie Assembly Fixture  Test Equip Cost_20090716 2 4" xfId="1320"/>
    <cellStyle name="_0522週品質管理週報_0507月設備妥善率8D1_0536周周管審_0538周直通率8d1" xfId="1321"/>
    <cellStyle name="_8月月管審附件.xls 圖表 1_八月份周直通率8d1_Book1" xfId="1322"/>
    <cellStyle name="好_River EE BOM_Xl0000002_Leopard_UniBOM_ME_0603-2_Bolt RFQ_Foxlink_03.1 2011_nego meeting@MACH 5" xfId="1323"/>
    <cellStyle name="好_River EE BOM_Xl0000000_Leopard RFQ ME BOM Costs-0618-2_Bolt RFQ Proposal_Foxlink_ (Pricing Summary) 2 25 2011" xfId="1324"/>
    <cellStyle name="_2005 04 DELL SMT Data2 -Process_DELL MB廠級目標 _DELL MB廠級目標.xls 圖表 1_DELL MB廠級目標四月 _2007DELL SMT廠級目標KPI(MT)1" xfId="1325"/>
    <cellStyle name="_FBU goal " xfId="1326"/>
    <cellStyle name="差_Creak Pearl Reliability Fixture RFQ_2009 04 24_Creek RFQ feedback 04_28_2009_FD Update_Leopard RFQ ME BOM Costs-0618-2_Bolt RFQ Proposal_Foxlink_ (Pricing Summary) 2 25 2011 2" xfId="1327"/>
    <cellStyle name="好_Creek Assembly Fixture  Test Equipment RFQ_20090427_Xl0000002_Squirrel UniBom-06.23.2010_update_internal 3 3" xfId="1328"/>
    <cellStyle name="_2006_0406 Ernestine_Cooper tooling_Quotebook_07SEP10_RFQ_River_BAFO_2008 0606_M1_Stream Quotebook (Submittal)_POC2_20081117-1" xfId="1329"/>
    <cellStyle name="好_River EE BOM_Creak Pearl Reliability Fixture RFQ_2009 04 24_Creek  Pearl RFQ_May 12_Leopard_UniBOM_ME_0531_Bolt RFQ Proposal_Foxlink_ (Pricing Summary) 2 25 2011 5" xfId="1330"/>
    <cellStyle name="_2006_0317 Ernestine_Cooper Cost Feedback_Quotebook_07SEP10_BlueAnt_Quotebook_V3_07SEP11_Stream RFQ Unibom--0626-1756_Stream Quotebook(Submittal)_POC1_20080903 2" xfId="1331"/>
    <cellStyle name="一般 3 2 2 2" xfId="1332"/>
    <cellStyle name="Comma 8" xfId="1333"/>
    <cellStyle name="_June Freight analysis v_Final" xfId="1334"/>
    <cellStyle name="_0522週品質管理週報_0507月設備妥善率8D1_0536周周管審_0538周直通率8d1_0541周直通率8D" xfId="1335"/>
    <cellStyle name="_0522週品質管理週報_0507月設備妥善率8D1_0536周周管審_0538周直通率8d1_0541周直通率8D_0607 M1 Manpower (含大本編制)" xfId="1336"/>
    <cellStyle name="_2005 04 DELL SMT Data2 -Process_DELL廠級目標dip EXC _DELL廠級目標dip(2月) EXC _DELL MB廠級目標 _DELL MB廠級目標.xls 圖表 1_2007DELL SMT廠級目標KPI(MT)1" xfId="1337"/>
    <cellStyle name="好_River EE BOM_Creak Pearl Reliability Fixture RFQ_2009 04 24_Xl0000002_Leopard_UniBOM_ME_0602_Bolt RFQ_Foxlink_03.1 2011 4" xfId="1338"/>
    <cellStyle name="一般 88 3" xfId="1339"/>
    <cellStyle name="_184071 - P8 Non-DW PPV_FY06 P4 CM Consigned RM" xfId="1340"/>
    <cellStyle name="_0522週品質管理週報_0507月設備妥善率8D1_0536周周管審_0538周直通率8d1_0541周直通率8D_0733-0815M1 Manpower-3" xfId="1341"/>
    <cellStyle name="_Mulan Edge EP0 KRH material drive_MOST Std - S1300 F2lines_Nazca copy exact flow chart 20120409" xfId="1342"/>
    <cellStyle name="_2006_0409 Ernestine_Cooper tooling_Internal RFQ River Standalone  Bundle Unibom_v1 2_20080603_EJ_Stream Quotebook(Submittal)_POC1_20080903 2" xfId="1343"/>
    <cellStyle name="好_River EE BOM_Creak Pearl Reliability Fixture RFQ_2009 04 24_Creek RFQ feedback 04_28_2009_FD Update_Squirrel UniBom-06.23.2010_update_internal 2 2 2" xfId="1344"/>
    <cellStyle name="_0522週品質管理週報_0507月設備妥善率8D1_0536周周管審_0538周直通率8d1_0541周直通率8D_0744-1031M1 Manpower" xfId="1345"/>
    <cellStyle name="_0522週品質管理週報_0507月設備妥善率8D1_0536周周管審_0538周直通率8d1_0541周直通率8D_0751-1219M1 Manpower" xfId="1346"/>
    <cellStyle name="差_Xl0000002_Foxlink_Shadow RFQ NREUni BOM_12032009_Bolt RFQ Proposal_Foxlink_ (Pricing Summary) 2 25 2011 5 2" xfId="1347"/>
    <cellStyle name="Normal 4 8 3 3" xfId="1348"/>
    <cellStyle name="_0522週品質管理週報_0507月設備妥善率8D1_0536周周管審_0538周直通率8d1_0607 M1 Manpower (含大本編制)" xfId="1349"/>
    <cellStyle name="_2006_0410 Ernestine_Cooper tooling and plastic price to MS_Quotebook_07SEP10" xfId="1350"/>
    <cellStyle name="_0522週品質管理週報_0507月設備妥善率8D1_0536周周管審_0538周直通率8d1_0744-1031M1 Manpower" xfId="1351"/>
    <cellStyle name="_Flex Mechanicals Doumen Sales forecast - Dec'05 R1_Volume Fcst Jul 06-update HP _Tom OS ( Oct)_2009 xBOX ramp up budget code applicaiton 300K --New May26 (3)" xfId="1352"/>
    <cellStyle name="_2005 04 DELL SMT Data2 -Process_DELL廠級目標dip EXC _DELL廠級目標dip(2月) EXC _DELL制程課管理目標 (4)" xfId="1353"/>
    <cellStyle name="_0522週品質管理週報_複本 0541周周管審_外包部人力編制" xfId="1354"/>
    <cellStyle name="_2005 04 DELL SMT Data2 -Process_2006日常管理目標.DIP _DELL MB廠級目標_DELLTEAM入庫資料1" xfId="1355"/>
    <cellStyle name="_0522週品質管理週報_0530周設備妥善_0538周周管審--FINl_編制表" xfId="1356"/>
    <cellStyle name="好_HP all model 標準工時(W1130) 3 2 2" xfId="1357"/>
    <cellStyle name="_0522週品質管理週報_0507月設備妥善率8D1_0536周周管審_0538周直通率8d1_外包部人力編制" xfId="1358"/>
    <cellStyle name="_0530周周管審_0540周周管審_外包部人力編制" xfId="1359"/>
    <cellStyle name="_0522週品質管理週報_0507月設備妥善率8D1_0536周周管審_0538周直通率8d1_編制表" xfId="1360"/>
    <cellStyle name="好_Creek EE BOM cost_20090425_Leopard_UniBOM_ME_0603-2_Bolt RFQ_Foxlink_03.1 2011 2 2" xfId="1361"/>
    <cellStyle name="_2005 04 DELL SMT Data2 -Process_DELL廠級目標dip EXC _DELL廠級目標dip(2月) EXC _DELL MB廠級目標 _DELL MB廠級目標_DELLTEAM入庫資料1_2007DELL SMT廠級目標KPI(MT)1" xfId="1362"/>
    <cellStyle name="_0522週品質管理週報_0507月設備妥善率8D1_0536周周管審_0538周直通率8d1_複本 0541周周管審_0733-0815M1 Manpower-3" xfId="1363"/>
    <cellStyle name="差_Creak Pearl Reliability Fixture RFQ_2009 04 24_Creek RFQ feedback 04_28_2009_FD Update_Leopard Lemur Squirrel UniBom-06.22.2010_EE cost _update_internal_Bolt RFQ_Foxlink_03.1 2011 3 2" xfId="1364"/>
    <cellStyle name="差_Creak Pearl Reliability Fixture RFQ_2009 04 24_Creek  Pearl RFQ_May 12_Leopard_UniBOM_ME_0531_Bolt RFQ_Foxlink_03.1 2011 3 3" xfId="1365"/>
    <cellStyle name="_0526週品質管理週報_0531周設備妥善_0541周直通率8D" xfId="1366"/>
    <cellStyle name="_0522週品質管理週報_0507月設備妥善率8D1_0536周周管審_0538周直通率8d1_複本 0541周周管審_0751-1219M1 Manpower" xfId="1367"/>
    <cellStyle name="_0535周周報1_八月份周直通率8d1_Book1" xfId="1368"/>
    <cellStyle name="_0522週品質管理週報_0507月設備妥善率8D1_0536周周管審_Book1_編制表" xfId="1369"/>
    <cellStyle name="_2005 04 DELL SMT Data2 -Process_DELL廠級目標dip EXC _DELL廠級目標dip(2月) EXC _BPI 8D-SMT-2月_DELL MB廠級目標_DELLTEAM入庫資料1_DELL MB廠級目標十一月 (4)" xfId="1370"/>
    <cellStyle name="Neutral 7" xfId="1371"/>
    <cellStyle name="_0522週品質管理週報_0507月設備妥善率8D1_0536周周管審_0538周直通率8d1_複本 0541周周管審_外包部人力編制" xfId="1372"/>
    <cellStyle name="_2005 04 DELL SMT Data2 -Process_2006日常管理目標.DIP _DELL廠級目標dip(2月) EXC _DELL MB廠級目標 (2)_DELL MB廠級目標十一月 (4)" xfId="1373"/>
    <cellStyle name="_0522週品質管理週報_0507月設備妥善率8D1_0536周周管審_0538周直通率8d1_複本 0541周周管審_編制表" xfId="1374"/>
    <cellStyle name="好_效益分析&amp;產能評估_M1 Bolt wireless mouse FixtureEquipment Cost_A2_2010_12_07_Bolt RFQ Proposal_Foxlink_ (Pricing Summary) 2 25 2011 2 3" xfId="1375"/>
    <cellStyle name="_Fcst March_06(Revised 2.)_Volume Fcst Jul 06-update HP _Tom OS ( Oct)" xfId="1376"/>
    <cellStyle name="差_Creak Pearl Reliability Fixture RFQ_2009 04 24_Pearl RFQ(Submittal)ver2_05_12_2009 _Squirrel RFQ ME BOM Costs-0623_Bolt RFQ_Foxlink_03.1 2011_nego meeting@MACH 3" xfId="1377"/>
    <cellStyle name="_Alvin-Development NRE_Internal RFQ River Standalone  Bundle Unibom_v1 2_20080603_EJ 2" xfId="1378"/>
    <cellStyle name="差_jupite r設備&amp;治工具LIST (總)_Flow Chart(shadow)-b (1-4 Update)_Jackson 效益分析 (2-1 B0 上系統)_squirrel效益分析08-17" xfId="1379"/>
    <cellStyle name="_0522週品質管理週報_0507月設備妥善率8D1_0744-1031M1 Manpower" xfId="1380"/>
    <cellStyle name="_2005 04 DELL SMT Data2 -Process_DELL廠級目標dip.EXC _DELL廠級目標dip(2月) EXC _BPI 8D-SMT-2月_DELL MB廠級目標.xls 圖表 1_DELL MB廠級目標.重要不能刪" xfId="1381"/>
    <cellStyle name="差_Xl0000002_Leopard_UniBOM_ME_0603-2_Bolt RFQ Proposal_Foxlink_ (Pricing Summary) 2 25 2011 2 4" xfId="1382"/>
    <cellStyle name="_2005 04 DELL SMT Data2 -Process_2006日常管理目標.DIP _DELL MB廠級目標_HP制程課2007管理指標匯總-八月匯總" xfId="1383"/>
    <cellStyle name="20% - Accent2 3 3" xfId="1384"/>
    <cellStyle name="好_River EE BOM_Creak Pearl Reliability Fixture RFQ_2009 04 24_Foxlink_Shadow RFQ NREUni BOM_12032009" xfId="1385"/>
    <cellStyle name="_0522週品質管理週報_0507月設備妥善率8D1_0536周周管審_0538周直通率8d1_複本 0541周周管審_離職原因分析" xfId="1386"/>
    <cellStyle name="差_Flow Char&amp;PQ分析" xfId="1387"/>
    <cellStyle name="_KYE Sample True-Up File" xfId="1388"/>
    <cellStyle name="_0522週品質管理週報_0507月設備妥善率8D1_0536周周管審_0538周直通率8d1_離職原因分析" xfId="1389"/>
    <cellStyle name="_0522週品質管理週報_0507月設備妥善率8D1_0536周周管審_0540周直通率8D1_0607 M1 Manpower (含大本編制)" xfId="1390"/>
    <cellStyle name="差_Flow Chart&amp;PQ分析(12-1)_~5631336_Jackson 效益分析 (2-1 B0 上系統)_Leopard效益分析08-17" xfId="1391"/>
    <cellStyle name="_Part_Master_FY06 P8 CM Consigned RM" xfId="1392"/>
    <cellStyle name="_0526週品質管理週報_0530周設備妥善_0540周周管審_編制表" xfId="1393"/>
    <cellStyle name="差_效益分析_Dallas效益分析&amp;投資回收期 (12-2 A1)_Flow Chart&amp;設備治工具清單 _Jackson 效益分析 (2-1 B0 上系統)_squirrel效益分析08-17" xfId="1394"/>
    <cellStyle name="Normal 3 2 2 2" xfId="1395"/>
    <cellStyle name="差_Xl0000000_Squirrel UniBom-06 23 2010_update_internal" xfId="1396"/>
    <cellStyle name="_0522週品質管理週報_0507月設備妥善率8D1_0536周周管審_0540周直通率8D1_0733-0815M1 Manpower-3" xfId="1397"/>
    <cellStyle name="_0522週品質管理週報_0507月設備妥善率8D1_0536周周管審_0540周直通率8D1_0751-1219M1 Manpower" xfId="1398"/>
    <cellStyle name="_0522週品質管理週報_0507月設備妥善率8D1_0536周周管審_0540周直通率8D1_離職原因分析" xfId="1399"/>
    <cellStyle name="差_Xl0000000_Leopard UniBom_Foxlink_6 21 2010-ME_nego_Bolt RFQ Proposal_Foxlink_ (Pricing Summary) 2 25 2011 7" xfId="1400"/>
    <cellStyle name="_0522週品質管理週報_0507月設備妥善率8D1_0536周周管審_0607 M1 Manpower (含大本編制)" xfId="1401"/>
    <cellStyle name="_0522週品質管理週報_0507月設備妥善率8D1_0536周周管審_0733-0815M1 Manpower-3" xfId="1402"/>
    <cellStyle name="_2006_0406 Ernestine_Cooper tooling_Quotebook_V3_07SEP11_Stream RFQ Unibom--0626-1756_Stream Quotebook (Submittal)_POC2_20081117-1" xfId="1403"/>
    <cellStyle name="_2006_0329 Ernestine_Cooper Cost Feedback_Quotebook_V3_07SEP11_RFQ_River_BAFO_2008 0606_M1_Stream Quotebook (Submittal)_POC2_20081117-1" xfId="1404"/>
    <cellStyle name="20% - Accent4 15" xfId="1405"/>
    <cellStyle name="_0522週品質管理週報_0536周周管審_0537周直通率8d1_0607 M1 Manpower (含大本編制)" xfId="1406"/>
    <cellStyle name="差_Xl0000002_Leopard RFQ ME BOM Costs-0618-2_Bolt RFQ_Foxlink_03.1 2011 2 2" xfId="1407"/>
    <cellStyle name="_220071-78(Aug 103&amp;105)_Copy of X-BOX for line setup budget" xfId="1408"/>
    <cellStyle name="Normal 8 4" xfId="1409"/>
    <cellStyle name="_0522週品質管理週報_0530周設備妥善_0538周周管審--FINl_複本 0541周周管審_0607 M1 Manpower (含大本編制)" xfId="1410"/>
    <cellStyle name="差_F3   SMT設備明細_jupite r設備&amp;治工具LIST (總)_Flow Chart&amp;PQ分析(12-1)_Jackson 效益分析 (1-18 A7)" xfId="1411"/>
    <cellStyle name="好_Creek EE BOM cost_20090425_Creek RFQ feedback 04_28_2009_FD Update_Squirrel UniBom-06.23.2010_update_internal_Bolt RFQ_Foxlink_03.1 2011_nego meeting@MACH 2 2" xfId="1412"/>
    <cellStyle name="_0522週品質管理週報_0507月設備妥善率8D1_0536周周管審_複本 0541周周管審_編制表" xfId="1413"/>
    <cellStyle name="好_Creek Assembly Fixture  Test Equipment RFQ_20090427_Xl0000002_Bolt RFQ_Foxlink_03.1 2011_nego meeting@MACH 2 3" xfId="1414"/>
    <cellStyle name="Link Units (1) 2" xfId="1415"/>
    <cellStyle name="_2005 04 DELL SMT Data2 -Process_2006日常管理目標.DIP _DELL廠級目標dip(2月) EXC _DELL MB廠級目標 (2)_DELL MB廠級目標.xls 圖表 1_DELL制程課管理目標" xfId="1416"/>
    <cellStyle name="_0522週品質管理週報_0531周設備妥善_八月份周直通率8d1_複本 0541周周管審_0733-0815M1 Manpower-3" xfId="1417"/>
    <cellStyle name="_0522週品質管理週報_0507月設備妥善率8D1_0536周周管審_0744-1031M1 Manpower" xfId="1418"/>
    <cellStyle name="_2006_0410b Ernestine_Cooper tooling and plastic price to MS_Quotebook_V3_07SEP11_Internal RFQ River Standalone  Bundle Unibom_v1 2_20080603_EJ_Stream Quotebook(Submittal)_POC1_20080903 2" xfId="1419"/>
    <cellStyle name="好_Creek Assembly Fixture  Test Equipment RFQ_20090427_Xl0000002_Leopard RFQ ME BOM Costs-0618-2_Bolt RFQ_Foxlink_03.1 2011_nego meeting@MACH 5" xfId="1420"/>
    <cellStyle name="_0522週品質管理週報_0507月設備妥善率8D1_0536周周管審_Book1_0733-0815M1 Manpower-3" xfId="1421"/>
    <cellStyle name="_Ernestine Equipment  Fixture List_04_11_2006_FL_Quotebook_07SEP10_BlueAnt_Quotebook_V3_07SEP11_Internal RFQ River Standalone  Bundle Unibom_v1 2_20080603_EJ_Stream Package Quotation_20090311" xfId="1422"/>
    <cellStyle name="_0522週品質管理週報_0507月設備妥善率8D1_Book1_0733-0815M1 Manpower-3" xfId="1423"/>
    <cellStyle name="20% - Accent2 3 3 2" xfId="1424"/>
    <cellStyle name="好_River EE BOM_Creak Pearl Reliability Fixture RFQ_2009 04 24_Foxlink_Shadow RFQ NREUni BOM_12032009 2" xfId="1425"/>
    <cellStyle name="壞_Dolce 成本明細_格式" xfId="1426"/>
    <cellStyle name="_0522週品質管理週報_0507月設備妥善率8D1_0536周周管審_Book1_0744-1031M1 Manpower" xfId="1427"/>
    <cellStyle name="_2005 04 DELL SMT Data2 -Process_DELL MB廠級目標 (2)_DELL MB廠級目標.xls 圖表 1_DELLTEAM入庫資料1" xfId="1428"/>
    <cellStyle name="_0522週品質管理週報_0507月設備妥善率8D1_0536周周管審_Book1_0751-1219M1 Manpower" xfId="1429"/>
    <cellStyle name="_0522週品質管理週報_0507月設備妥善率8D1_0536周周管審_Book1_複本 0541周周管審" xfId="1430"/>
    <cellStyle name="差_HP  專案(設備&amp;治工具需夠買)update_Erie 效益分析 (Update)_~5631336" xfId="1431"/>
    <cellStyle name="_2005 04 DELL SMT Data2 -Process_DELL廠級目標dip.EXC _DELL廠級目標dip(2月) EXC _BPI 8D-SMT-2月_DELL MB廠級目標_2007DELL SMT廠級目標KPI(MT)1" xfId="1432"/>
    <cellStyle name="_2006_0412 Ernestine_Cooper tooling and plastic price to MS_JC_Quotebook_07SEP10_Internal RFQ River Standalone  Bundle Unibom_v1 2_20080603_EJ_Stream Quotebook(Submittal)_POC1_20080903 2" xfId="1433"/>
    <cellStyle name="_0522週品質管理週報_0507月設備妥善率8D1_0536周周管審_Book1_複本 0541周周管審_0744-1031M1 Manpower" xfId="1434"/>
    <cellStyle name="好_River EE BOM_Creek RFQ feedback 04_28_2009_FD Update_Leopard RFQ ME BOM Costs-0618-2_Bolt RFQ Proposal_Foxlink_ (Pricing Summary) 2 25 2011 3 3" xfId="1435"/>
    <cellStyle name="_0522週品質管理週報_0507月設備妥善率8D1_0536周周管審_Book1_複本 0541周周管審_外包部人力編制" xfId="1436"/>
    <cellStyle name="_0522週品質管理週報_0507月設備妥善率8D1_0536周周管審_複本 0541周周管審_0607 M1 Manpower (含大本編制)" xfId="1437"/>
    <cellStyle name="_0522週品質管理週報_0507月設備妥善率8D1_0536周周管審_複本 0541周周管審_0733-0815M1 Manpower-3" xfId="1438"/>
    <cellStyle name="_2005 04 DELL SMT Data2 -Process_BPI 8D-SMT-2月 (3)_DELL MB廠級目標.xls 圖表 1_DELL MB廠級目標十一月 (4)" xfId="1439"/>
    <cellStyle name="_Flex Mechanicals Doumen Sales forecast - Jan 06 updated._PL Forecast by segment-most final 0806_Tom OS ( Oct)_X-BOX BB" xfId="1440"/>
    <cellStyle name="_2005 04 DELL SMT Data2 -Process_2006日常管理目標.DIP _DELL廠級目標dip(2月) EXC _BPI 8D-SMT-2月_DELL MB廠級目標.xls 圖表 1_DELL MB廠級目標" xfId="1441"/>
    <cellStyle name="_0522週品質管理週報_0507月設備妥善率8D1_0536周周管審_複本 0541周周管審_0744-1031M1 Manpower" xfId="1442"/>
    <cellStyle name="差_Xl0000002_Leopard Lemur Squirrel UniBom-06.22.2010_EE cost _update_internal_Bolt RFQ_Foxlink_03.1 2011_nego meeting@MACH" xfId="1443"/>
    <cellStyle name="差_Creek RFQ feedback 04_28_2009_FD Update_Foxlink_Shadow RFQ NREUni BOM_12032009_Bolt RFQ_Foxlink_03.1 2011 2" xfId="1444"/>
    <cellStyle name="好_Creek EE BOM cost_20090425_Leopard_UniBOM_ME_0602-1_Bolt RFQ Proposal_Foxlink_ (Pricing Summary) 2 25 2011 2 2 2" xfId="1445"/>
    <cellStyle name="好_Creek EE BOM cost_20090425_Creek RFQ feedback 04_28_2009_FD Update_Squirrel UniBom-06.23.2010_update_internal_Bolt RFQ Proposal_Foxlink_ (Pricing Summary) 2 25 2011 5 3" xfId="1446"/>
    <cellStyle name="_0522週品質管理週報_0536周周管審_0540周直通率8D1_複本 0541周周管審_編制表" xfId="1447"/>
    <cellStyle name="_0522週品質管理週報_0530周設備妥善_8月SMT月管審 _編制表" xfId="1448"/>
    <cellStyle name="_0522週品質管理週報_0507月設備妥善率8D1_0536周周管審_複本 0541周周管審_0751-1219M1 Manpower" xfId="1449"/>
    <cellStyle name="_0522週品質管理週報_0507月設備妥善率8D1_0536周周管審_複本 0541周周管審_外包部人力編制" xfId="1450"/>
    <cellStyle name="_W528 5 CTB_Mulan-EDGE_ROA1281693 FXC_MOST Std - Project A BB Line_Nazca copy exact flow chart 20120409" xfId="1451"/>
    <cellStyle name="_2005 04 DELL SMT Data2 -Process_DELL廠級目標dip EXC _DELL MB廠級目標.xls 圖表 1_DELL MB廠級目標十一月 (4)" xfId="1452"/>
    <cellStyle name="_Final Otter-UniBOM_10-25-2005_Quotebook_V3_07SEP11_Internal RFQ River Standalone  Bundle Unibom_v1 2_20080603_EJ_Stream Quotebook(Submittal)_POC1_20080903 2" xfId="1453"/>
    <cellStyle name="_0522週品質管理週報_0507月設備妥善率8D1_0538周周管審--FINl" xfId="1454"/>
    <cellStyle name="Normal 4 4 2 4 2" xfId="1455"/>
    <cellStyle name="_2005 04 DELL SMT Data2 -Process_DELL廠級目標dip(1月) EXC _DELL MB廠級目標_DELL MB廠級目標_DELL MB廠級目標十一月 (4)" xfId="1456"/>
    <cellStyle name="_0522週品質管理週報_0507月設備妥善率8D1_Book1_0744-1031M1 Manpower" xfId="1457"/>
    <cellStyle name="40% - Accent5 4" xfId="1458"/>
    <cellStyle name="_0522週品質管理週報_0507月設備妥善率8D1_0538周周管審--FINl_0733-0815M1 Manpower-3" xfId="1459"/>
    <cellStyle name="_0522週品質管理週報_0507月設備妥善率8D1_0538周周管審--FINl_0751-1219M1 Manpower" xfId="1460"/>
    <cellStyle name="差_Creak Pearl Reliability Fixture RFQ_2009 04 24_Foxlink_Shadow RFQ NREUni BOM_12032009_Bolt RFQ_Foxlink_03.1 2011 4" xfId="1461"/>
    <cellStyle name="_0522週品質管理週報_0507月設備妥善率8D1_離職原因分析" xfId="1462"/>
    <cellStyle name="好_River EE BOM_Creak Pearl Reliability Fixture RFQ_2009 04 24_Creek  Pearl RFQ_May 12_Leopard UniBom_Foxlink_6 21 2010-ME_nego_Bolt RFQ_Foxlink_03.1 2011 3 3" xfId="1463"/>
    <cellStyle name="_2006_0409 Ernestine_Cooper tooling_Quotebook_07SEP10_BlueAnt_Quotebook_V3_07SEP11_Stream RFQ Unibom--0626-1756_Stream Quotebook (Submittal)_POC2_20081117-1" xfId="1464"/>
    <cellStyle name="_0522週品質管理週報_0507月設備妥善率8D1_0538周周管審--FINl_編制表" xfId="1465"/>
    <cellStyle name="_Charlotte procurement plan Apr 26 2005 P1A_MOST Std - S1300 F2lines_FMTQCI-MIS3H064-P027(01)Nazca Copy Exact Flow chart" xfId="1466"/>
    <cellStyle name="_0522週品質管理週報_0507月設備妥善率8D1_0538周周管審--FINl_複本 0541周周管審_0607 M1 Manpower (含大本編制)" xfId="1467"/>
    <cellStyle name="_Mechanical Contribution Margins (Q2'06) 0705_PL Forecast by segment-most final 0806_Tom OS ( Oct)_X-BOX BB" xfId="1468"/>
    <cellStyle name="_0522週品質管理週報_0507月設備妥善率8D1_0538周周管審--FINl_複本 0541周周管審_0733-0815M1 Manpower-3" xfId="1469"/>
    <cellStyle name="_2005 04 DELL SMT Data2 -Process_DELL廠級目標dip.EXC _DELL廠級目標dip(2月) EXC _BPI 8D-SMT-2月 (3)_DELL MB廠級目標_DELL MB廠級目標.重要不能刪_DELL MB廠級目標十一月 (4)" xfId="1470"/>
    <cellStyle name="好_Creek Assembly Fixture  Test Equipment RFQ_20090427_Xl0000002_Leopard_UniBOM_ME_0531_Bolt RFQ_Foxlink_03.1 2011 3 3" xfId="1471"/>
    <cellStyle name="_0522週品質管理週報_0507月設備妥善率8D1_0538周周管審--FINl_複本 0541周周管審_0744-1031M1 Manpower" xfId="1472"/>
    <cellStyle name="_0522週品質管理週報_0507月設備妥善率8D1_0538周周管審--FINl_複本 0541周周管審_外包部人力編制" xfId="1473"/>
    <cellStyle name="_White 3 3" xfId="1474"/>
    <cellStyle name="_0522週品質管理週報_0507月設備妥善率8D1_0538周周管審--FINl_複本 0541周周管審_編制表" xfId="1475"/>
    <cellStyle name="好_0842周 顯卡報廢超標8D 3 3" xfId="1476"/>
    <cellStyle name="_8月月管審附件.xls 圖表 1_複本 0541周周管審" xfId="1477"/>
    <cellStyle name="_2006_0317 Ernestine_Cooper Cost Feedback_Quotebook_07SEP10_BlueAnt_Quotebook_V3_07SEP11_RFQ_River_BAFO_2008 0606_M1_Stream Quotebook(Submittal)_POC1_20080903" xfId="1478"/>
    <cellStyle name="差_Creak Pearl Reliability Fixture RFQ_2009 04 24_Creek RFQ feedback 04_28_2009_FD Update_Squirrel UniBom-06.23.2010_update_internal 2 3" xfId="1479"/>
    <cellStyle name="_0522週品質管理週報_0507月設備妥善率8D1_0540周直通率8D1" xfId="1480"/>
    <cellStyle name="差_Creak Pearl Reliability Fixture RFQ_2009 04 24_Pearl RFQ(Submittal)ver2_05_12_2009 _Squirrel UniBom-06.23.2010_update_internal_Bolt RFQ_Foxlink_03.1 2011_nego meeting@MACH" xfId="1481"/>
    <cellStyle name="标题 4 3 3" xfId="1482"/>
    <cellStyle name="_0533周周報_八月份周直通率8d1_外包部人力編制" xfId="1483"/>
    <cellStyle name="差_Creak Pearl Reliability Fixture RFQ_2009 04 24_Creek  Pearl RFQ_May 12_Bolt RFQ Proposal_Foxlink_ (Pricing Summary) 2 25 2011 7" xfId="1484"/>
    <cellStyle name="_0522週品質管理週報_0507月設備妥善率8D1_0540周直通率8D1_0607 M1 Manpower (含大本編制)" xfId="1485"/>
    <cellStyle name="_2006_0317 Ernestine_Cooper Cost Feedback_Quotebook_V3_07SEP11" xfId="1486"/>
    <cellStyle name="_2006_0317 Ernestine_Cooper Cost Feedback_Quotebook_07SEP10_Internal RFQ River Standalone  Bundle Unibom_v1 2_20080603_EJ_Stream Quotebook(Submittal)_POC1_20080903 2" xfId="1487"/>
    <cellStyle name="好_Creek Assembly Fixture  Test Equipment RFQ_20090427_Leopard RFQ ME BOM Costs-0618-2_Bolt RFQ Proposal_Foxlink_ (Pricing Summary) 2 25 2011 2" xfId="1488"/>
    <cellStyle name="_Raw Materials Analysis Report_P2 Waynea review" xfId="1489"/>
    <cellStyle name="_2005 04 DELL SMT Data2 -Process_2006日常管理目標.DIP _DELL廠級目標dip(2月) EXC _BPI 8D-SMT-2月 (3)_DELL MB廠級目標.xls 圖表 1_DELL MB廠級目標" xfId="1490"/>
    <cellStyle name="_OP1 DPO Forecast Final_PL Forecast by segment-most final 0806_Tom OS ( Oct)" xfId="1491"/>
    <cellStyle name="_0522週品質管理週報_0507月設備妥善率8D1_0540周直通率8D1_0733-0815M1 Manpower-3" xfId="1492"/>
    <cellStyle name="_Project A Pick List 20100312_FMTQCI-MIS3H064-P032 Tikal material Lot code scan and tracking" xfId="1493"/>
    <cellStyle name="差_Creak Pearl Reliability Fixture RFQ_2009 04 24_Creek  Pearl RFQ_May 12_Bolt RFQ Proposal_Foxlink_ (Pricing Summary) 2 25 2011 2" xfId="1494"/>
    <cellStyle name="_0522週品質管理週報_0507月設備妥善率8D1_0540周直通率8D1_0744-1031M1 Manpower" xfId="1495"/>
    <cellStyle name="_0522週品質管理週報_0507月設備妥善率8D1_0540周直通率8D1_0751-1219M1 Manpower" xfId="1496"/>
    <cellStyle name="_0522週品質管理週報_0507月設備妥善率8D1_複本 0541周周管審_0751-1219M1 Manpower" xfId="1497"/>
    <cellStyle name="_2006_0329 Ernestine_Cooper Cost Feedback_Quotebook_07SEP10_BlueAnt_Quotebook_V3_07SEP11_Internal RFQ River Standalone  Bundle Unibom_v1 2_20080603_EJ_Stream Quotebook(Submittal)_POC1_20080903" xfId="1498"/>
    <cellStyle name="_0522週品質管理週報_0507月設備妥善率8D1_0540周直通率8D1_外包部人力編制" xfId="1499"/>
    <cellStyle name="_2006_0409 Ernestine_Cooper tooling_RFQ_River_BAFO_2008 0606_M1 2" xfId="1500"/>
    <cellStyle name="_0522週品質管理週報_0507月設備妥善率8D1_0540周直通率8D1_複本 0541周周管審_0733-0815M1 Manpower-3" xfId="1501"/>
    <cellStyle name="_0522週品質管理週報_0507月設備妥善率8D1_0540周直通率8D1_複本 0541周周管審_0744-1031M1 Manpower" xfId="1502"/>
    <cellStyle name="_0522週品質管理週報_0507月設備妥善率8D1_0540周直通率8D1_複本 0541周周管審_外包部人力編制" xfId="1503"/>
    <cellStyle name="_2005 04 DELL SMT Data2 -Process_2006日常管理目標.DIP _DELL廠級目標dip(2月) EXC _BPI 8D-SMT-2月_DELL MB廠級目標_DELL制程課管理目標" xfId="1504"/>
    <cellStyle name="だ[0]_larouxoux" xfId="1505"/>
    <cellStyle name="差_Creak Pearl Reliability Fixture RFQ_2009 04 24_Creek RFQ feedback 04_28_2009_FD Update 5" xfId="1506"/>
    <cellStyle name="_2005 04 DELL SMT Data2 -Process_2006日常管理目標.DIP _DELL廠級目標dip(2月) EXC _BPI 8D-SMT-2月_DELL MB廠級目標_DELL MB廠級目標.重要不能刪_2007DELL SMT廠級目標KPI(MT)1" xfId="1507"/>
    <cellStyle name="_Forecast Template v4" xfId="1508"/>
    <cellStyle name="_0522週品質管理週報_0507月設備妥善率8D1_0541周直通率8D_0744-1031M1 Manpower" xfId="1509"/>
    <cellStyle name="好_River EE BOM_Creak Pearl Reliability Fixture RFQ_2009 04 24_Leopard RFQ ME BOM Costs-0618_Bolt RFQ_Foxlink_03.1 2011" xfId="1510"/>
    <cellStyle name="_2005 04 DELL SMT Data2 -Process_DELL MB廠級目標 (2)_DELL MB廠級目標.xls 圖表 1_DELL MB廠級目標.重要不能刪" xfId="1511"/>
    <cellStyle name="_0522週品質管理週報_0531周設備妥善_八月份周直通率8d1_編制表" xfId="1512"/>
    <cellStyle name="好_River EE BOM_Xl0000000_Leopard_UniBOM_ME_0603-2_Bolt RFQ Proposal_Foxlink_ (Pricing Summary) 2 25 2011 4 2" xfId="1513"/>
    <cellStyle name="好_Creek Assembly Fixture  Test Equipment RFQ_20090427_Leopard_UniBOM_ME_0602-1_Bolt RFQ_Foxlink_03.1 2011_nego meeting@MACH 3 3" xfId="1514"/>
    <cellStyle name="_0522週品質管理週報_0507月設備妥善率8D1_0541周直通率8D_0751-1219M1 Manpower" xfId="1515"/>
    <cellStyle name="_2006_0409 Ernestine_Cooper tooling and plastic price to MS_Quotebook_07SEP10_BlueAnt_Quotebook_V3_07SEP11_Stream RFQ Unibom--0626-1756" xfId="1516"/>
    <cellStyle name="_2006_0412 Ernestine_Cooper tooling and plastic price to MS_JC_Quotebook_07SEP10_BlueAnt_Quotebook_V3_07SEP11_Stream RFQ Unibom--0626-1756_Stream Package Quotation_20090311" xfId="1517"/>
    <cellStyle name="_accessories spc 1 0 slide" xfId="1518"/>
    <cellStyle name="Normal 5 10" xfId="1519"/>
    <cellStyle name="_0522週品質管理週報_0507月設備妥善率8D1_Book1_0751-1219M1 Manpower" xfId="1520"/>
    <cellStyle name="差_Creak Pearl Reliability Fixture RFQ_2009 04 24_Xl0000002_Foxlink_Shadow RFQ NREUni BOM_12032009 2 2 2" xfId="1521"/>
    <cellStyle name="_2006_0317 Ernestine_Cooper Cost Feedback_Quotebook_V3_07SEP11_Stream RFQ Unibom--0626-1756 2" xfId="1522"/>
    <cellStyle name="Ç¥ÁØ_¿ù°£¿ä¾àº¸°í" xfId="1523"/>
    <cellStyle name="_0526週品質管理週報_0531周設備妥善_八月份周直通率8d1_複本 0541周周管審" xfId="1524"/>
    <cellStyle name="差_效益分析_Flow chart and Fixture(1-4)" xfId="1525"/>
    <cellStyle name="Comma 2 26" xfId="1526"/>
    <cellStyle name="Comma 2 31" xfId="1527"/>
    <cellStyle name="_0522週品質管理週報_0507月設備妥善率8D1_Book1_外包部人力編制" xfId="1528"/>
    <cellStyle name="_0522週品質管理週報_0507月設備妥善率8D1_Book1_編制表" xfId="1529"/>
    <cellStyle name="差_Creak Pearl Reliability Fixture RFQ_2009 04 24_Squirrel RFQ ME BOM Costs-0623_Bolt RFQ Proposal_Foxlink_ (Pricing Summary) 2 25 2011 2" xfId="1530"/>
    <cellStyle name="差_Flow Chart&amp;PQ分析(12-1)_Flow Chart&amp;設備治工具清單 _~1159284" xfId="1531"/>
    <cellStyle name="_Book2_Mechanical Contribution Margins forecast 0506 FP_PL Forecast by segment-most final 0806_2009 xBOX ramp up budget code applicaiton 300K --New May26 (3)" xfId="1532"/>
    <cellStyle name="差_Creak Pearl Reliability Fixture RFQ_2009 04 24_Creek  Pearl RFQ_May 12_Jackson EE BOM " xfId="1533"/>
    <cellStyle name="_0522週品質管理週報_0530周設備妥善_0537周SMT周管審1" xfId="1534"/>
    <cellStyle name="差_Foxlink_Shadow RFQ NREUni BOM_12032009_Bolt RFQ Proposal_Foxlink_ (Pricing Summary) 2 25 2011 2 3" xfId="1535"/>
    <cellStyle name="_2005 04 DELL SMT Data2 -Process_DELL廠級目標dip.EXC _DELL MB廠級目標.xls 圖表 1_MT 2007 KPI" xfId="1536"/>
    <cellStyle name="_0522週品質管理週報_0507月設備妥善率8D1_Book1_複本 0541周周管審" xfId="1537"/>
    <cellStyle name="_0526週品質管理週報_0531周設備妥善_八月份周直通率8d1_0541周直通率8D_外包部人力編制" xfId="1538"/>
    <cellStyle name="_0522週品質管理週報_0530周設備妥善_0537周SMT周管審1_0607 M1 Manpower (含大本編制)" xfId="1539"/>
    <cellStyle name="_0522週品質管理週報_0507月設備妥善率8D1_Book1_複本 0541周周管審_0607 M1 Manpower (含大本編制)" xfId="1540"/>
    <cellStyle name="_0526週品質管理週報_0507月設備妥善率8D1_0538周周管審--FINl_複本 0541周周管審_外包部人力編制" xfId="1541"/>
    <cellStyle name="好_River EE BOM_Bolt RFQ Proposal_Foxlink_ (Pricing Summary) 2 25 2011 5 3" xfId="1542"/>
    <cellStyle name="_0522週品質管理週報_0530周設備妥善_0537周SMT周管審1_0733-0815M1 Manpower-3" xfId="1543"/>
    <cellStyle name="好_River EE BOM_Xl0000002_Leopard_UniBOM_ME_0603-2 3 3" xfId="1544"/>
    <cellStyle name="差_Creak Pearl Reliability Fixture RFQ_2009 04 24_Creek RFQ feedback 04_28_2009_FD Update_Leopard RFQ ME BOM Costs-0618-2_Bolt RFQ Proposal_Foxlink_ (Pricing Summary) 2 25 2011 2 2 3" xfId="1545"/>
    <cellStyle name="_2005 04 DELL SMT Data2 -Process_2006日常管理目標.DIP _DELL MB廠級目標.xls 圖表 1_HP制程課2007管理指標匯總-八月匯總" xfId="1546"/>
    <cellStyle name="好_River EE BOM_Creak Pearl Reliability Fixture RFQ_2009 04 24_Pearl RFQ(Submittal)ver2_05_12_2009 _Leopard RFQ ME BOM Costs-0618-2_Bolt RFQ_Foxlink_03.1 2011 4" xfId="1547"/>
    <cellStyle name="_0522週品質管理週報_0507月設備妥善率8D1_Book1_複本 0541周周管審_0733-0815M1 Manpower-3" xfId="1548"/>
    <cellStyle name="40% - Accent4 9" xfId="1549"/>
    <cellStyle name="_Mechanical Contribution Margins (Q1'06, applied to Apr'04 Fcst)_Volume Fcst 1006 updated_Copy of Tom OS ( Oct) new for LOG_Copy of X-BOX for line setup budget" xfId="1550"/>
    <cellStyle name="_Biz Ops By Stream" xfId="1551"/>
    <cellStyle name="差_dallas產能評估_Dallas效益分析&amp;投資回收期 (12-2 A1)_效益分析(總 12-28 Update)_Leopard效益分析08-17" xfId="1552"/>
    <cellStyle name="_asus wlan smt c.t 1006" xfId="1553"/>
    <cellStyle name="_0522週品質管理週報_0530周設備妥善_0537周SMT周管審1_外包部人力編制" xfId="1554"/>
    <cellStyle name="_2006_0412 Ernestine_Cooper tooling and plastic price to MS_JC_Quotebook_07SEP10_BlueAnt_Quotebook_V3_07SEP11_Stream RFQ Unibom--0626-1756" xfId="1555"/>
    <cellStyle name="_asus wlan 機種SMT線體需求計算表_1_MBO 周加班估算20060403" xfId="1556"/>
    <cellStyle name="_0522週品質管理週報_0507月設備妥善率8D1_Book1_複本 0541周周管審_外包部人力編制" xfId="1557"/>
    <cellStyle name="好_River EE BOM_Creak Pearl Reliability Fixture RFQ_2009 04 24_Pearl RFQ(Submittal)ver2_05_12_2009 _Leopard UniBom-06 22 2010_update_internal" xfId="1558"/>
    <cellStyle name="_0522週品質管理週報_0507月設備妥善率8D1_編制表" xfId="1559"/>
    <cellStyle name="Normal 4 8 2 2" xfId="1560"/>
    <cellStyle name="_0522週品質管理週報_0507月設備妥善率8D1_複本 0541周周管審" xfId="1561"/>
    <cellStyle name="_FCT Pareto By Line-July 13th X807681-001-DEV01282-6_Test Time" xfId="1562"/>
    <cellStyle name="差_Creek RFQ feedback 04_28_2009_FD Update_Leopard_UniBOM_ME_0603-2_Bolt RFQ Proposal_Foxlink_ (Pricing Summary) 2 25 2011" xfId="1563"/>
    <cellStyle name="_0522週品質管理週報_0507月設備妥善率8D1_複本 0541周周管審_0607 M1 Manpower (含大本編制)" xfId="1564"/>
    <cellStyle name="_0522週品質管理週報_0507月設備妥善率8D1_複本 0541周周管審_0744-1031M1 Manpower" xfId="1565"/>
    <cellStyle name="_2005 04 DELL SMT Data2 -Process_DELL廠級目標dip(2月) EXC _DELL MB廠級目標_DELL MB廠級目標_DELL MB廠級目標十一月 (4)" xfId="1566"/>
    <cellStyle name="一般 2 2 6" xfId="1567"/>
    <cellStyle name="好_MB9月管審換線超時8d 3 2 3" xfId="1568"/>
    <cellStyle name="_0522週品質管理週報_0530周設備妥善_0537周直通率8d" xfId="1569"/>
    <cellStyle name="好_River EE BOM_Creak Pearl Reliability Fixture RFQ_2009 04 24_Creek  Pearl RFQ_May 12_Leopard_UniBOM_ME_0603-2_Bolt RFQ_Foxlink_03.1 2011 2 3" xfId="1570"/>
    <cellStyle name="差_HP  專案(設備&amp;治工具需夠買)update_MS Bolt wireless mouse FixtureEquipment Cost_A5_2010_02_21_Bolt RFQ_Foxlink_03.1 2011_nego meeting@MACH 4" xfId="1571"/>
    <cellStyle name="_0522週品質管理週報_0507月設備妥善率8D1_複本 0541周周管審_編制表" xfId="1572"/>
    <cellStyle name="好_River EE BOM_Xl0000000_Leopard_UniBOM_ME_0602_Bolt RFQ Proposal_Foxlink_ (Pricing Summary) 2 25 2011 2 2 3" xfId="1573"/>
    <cellStyle name="_0522週品質管理週報_0536周周管審_0538周直通率8d1_複本 0541周周管審" xfId="1574"/>
    <cellStyle name="_0522週品質管理週報_0530周設備妥善_0540周周管審_0541周直通率8D" xfId="1575"/>
    <cellStyle name="差_Creak Pearl Reliability Fixture RFQ_2009 04 24_Xl0000002_Leopard_UniBOM_ME_0602-1" xfId="1576"/>
    <cellStyle name="_2005 04 DELL SMT Data2 -Process_DELL MB廠級目標 (2)_DELL MB廠級目標.xls 圖表 1_2007DELL SMT廠級目標KPI(MT)1" xfId="1577"/>
    <cellStyle name="_0522週品質管理週報_0530周設備妥善_0537周SMT周管審" xfId="1578"/>
    <cellStyle name="好_Creek Assembly Fixture  Test Equipment RFQ_20090427_Bolt RFQ_Foxlink_03.1 2011_nego meeting@MACH" xfId="1579"/>
    <cellStyle name="_0522週品質管理週報_0536周周管審_0537周直通率8d_0607 M1 Manpower (含大本編制)" xfId="1580"/>
    <cellStyle name="_0522週品質管理週報_0536周周管審_0538周直通率8d1_複本 0541周周管審_0607 M1 Manpower (含大本編制)" xfId="1581"/>
    <cellStyle name="_0522週品質管理週報_0530周設備妥善_0540周周管審_0541周直通率8D_0607 M1 Manpower (含大本編制)" xfId="1582"/>
    <cellStyle name="差_Creak Pearl Reliability Fixture RFQ_2009 04 24_Xl0000002_Squirrel UniBom-06 23 2010_update_internal" xfId="1583"/>
    <cellStyle name="_Flex Mechanicals Doumen Sales forecast - Jan.06-updated_Volume Fcst Jul 06-update HP " xfId="1584"/>
    <cellStyle name="_0522週品質管理週報_0530周設備妥善_0537周SMT周管審_0607 M1 Manpower (含大本編制)" xfId="1585"/>
    <cellStyle name="差_Creak Pearl Reliability Fixture RFQ_2009 04 24_Leopard_UniBOM_ME_0603-2 2 2 2" xfId="1586"/>
    <cellStyle name="壞_Creek EE BOM cost_20090425_Leopard Lemur Squirrel UniBom-06.22.2010_EE cost _update_internal 4 3" xfId="1587"/>
    <cellStyle name="_0522週品質管理週報_0530周設備妥善_0540周周管審_0541周直通率8D_0744-1031M1 Manpower" xfId="1588"/>
    <cellStyle name="_5wk呆滯庫存" xfId="1589"/>
    <cellStyle name="_2005 04 DELL SMT Data2 -Process_DELL廠級目標dip EXC _DELL廠級目標dip(2月) EXC _DELL MB廠級目標 (2)_DELL MB廠級目標_DELL制程課管理目標" xfId="1590"/>
    <cellStyle name="20% - 强调文字颜色 4 3 2" xfId="1591"/>
    <cellStyle name="20% - Accent4 2 2" xfId="1592"/>
    <cellStyle name="_0522週品質管理週報_0530周設備妥善_0537周SMT周管審_0744-1031M1 Manpower" xfId="1593"/>
    <cellStyle name="好_Creek EE BOM cost_20090425_Squirrel RFQ ME BOM Costs-0623_Bolt RFQ_Foxlink_03.1 2011 5" xfId="1594"/>
    <cellStyle name="_2006_0412 Ernestine_Cooper tooling and plastic price to MS_JC_Quotebook_07SEP10_BlueAnt_Quotebook_V3_07SEP11_Internal RFQ River Standalone  Bundle Unibom_v1 2_20080603_EJ_Stream Quotebook(Submittal)_POC1_20080903 2" xfId="1595"/>
    <cellStyle name="好_Creek EE BOM cost_20090425_Leopard RFQ ME BOM Costs-0618-2_Bolt RFQ_Foxlink_03.1 2011 2" xfId="1596"/>
    <cellStyle name="_0522週品質管理週報_0530周設備妥善_0540周周管審_0541周直通率8D_0751-1219M1 Manpower" xfId="1597"/>
    <cellStyle name="チェック セル" xfId="1598"/>
    <cellStyle name="_200812_BU體檢_final版_budget used" xfId="1599"/>
    <cellStyle name="_0522週品質管理週報_0530周設備妥善_0537周SMT周管審_0751-1219M1 Manpower" xfId="1600"/>
    <cellStyle name="_Ellen Procurement Plan 20050530_MOST Std - Project A BB Line_FMTQCI-MIS3H064-P027(01)Nazca Copy Exact Flow chart" xfId="1601"/>
    <cellStyle name="_2006_0412 Ernestine_Cooper tooling and plastic price to MS_JC_RFQ_River_BAFO_2008 0606_M1_Stream Quotebook (Submittal)_POC2_20081117-1" xfId="1602"/>
    <cellStyle name="好_Creek EE BOM cost_20090425_Creek RFQ feedback 04_28_2009_FD Update_Squirrel UniBom-06.23.2010_update_internal_Bolt RFQ_Foxlink_03.1 2011 3 2" xfId="1603"/>
    <cellStyle name="_0522週品質管理週報_0536周周管審_0538周直通率8d1_複本 0541周周管審_外包部人力編制" xfId="1604"/>
    <cellStyle name="_0522週品質管理週報_0530周設備妥善_0540周周管審_0541周直通率8D_外包部人力編制" xfId="1605"/>
    <cellStyle name="Normal 5 4 6" xfId="1606"/>
    <cellStyle name="_Opex_P6 Si Ops review" xfId="1607"/>
    <cellStyle name="_0522週品質管理週報_0530周設備妥善_0537周SMT周管審_外包部人力編制" xfId="1608"/>
    <cellStyle name="_0522週品質管理週報_0530周設備妥善_0538周周管審--FINl" xfId="1609"/>
    <cellStyle name="好_MB9月管審換線超時8d_HP 2 2 2" xfId="1610"/>
    <cellStyle name="_Quotebook_07SEP10_Internal RFQ River Standalone  Bundle Unibom_v1 2_20080603_EJ 2" xfId="1611"/>
    <cellStyle name="好_Creek Assembly Fixture  Test Equipment RFQ_20090427_Leopard RFQ ME BOM Costs-0618_Bolt RFQ Proposal_Foxlink_ (Pricing Summary) 2 25 2011 5" xfId="1612"/>
    <cellStyle name="_184071 - RMA Review (3)_P6 Si Ops review (2)" xfId="1613"/>
    <cellStyle name="_FCT Pareto By Line-July 12th X808665-001-DEV01282-2_Yield report for Dev01975 (3)" xfId="1614"/>
    <cellStyle name="_0522週品質管理週報_0530周設備妥善_0538周周管審--FINl_0607 M1 Manpower (含大本編制)" xfId="1615"/>
    <cellStyle name="_2005 04 DELL SMT Data2 -Process_DELL廠級目標dip(2月) EXC _DELL MB廠級目標_DELL MB廠級目標.重要不能刪_2007DELL SMT廠級目標KPI(MT)1" xfId="1616"/>
    <cellStyle name="差_Squirrel UniBom-06.23.2010_update_internal_Bolt RFQ Proposal_Foxlink_ (Pricing Summary) 2 25 2011 5 3" xfId="1617"/>
    <cellStyle name="_0522週品質管理週報_0530周設備妥善_0538周周管審--FINl_0733-0815M1 Manpower-3" xfId="1618"/>
    <cellStyle name="_Mechanical Contribution Margins (Q1'06, applied to Apr'04 Fcst)_Mechanical Contribution Margins forecast 0506 FP_Volume Fcst 1006 updated_Copy of Tom OS ( Oct) new for LOG_2009 xBOX ramp up budget code applicaiton 300K --New May27" xfId="1619"/>
    <cellStyle name="好_Creek Assembly Fixture  Test Equipment RFQ_20090427_Leopard Lemur Squirrel UniBom-06.22.2010_EE cost _update_internal_Bolt RFQ_Foxlink_03.1 2011_Bolt_Cliff 2 2" xfId="1620"/>
    <cellStyle name="_2005 04 DELL SMT Data2 -Process_DELL廠級目標dip.EXC _DELL廠級目標dip(2月) EXC _BPI 8D-SMT-2月 (3)_DELL MB廠級目標.xls 圖表 1" xfId="1621"/>
    <cellStyle name="_0526週品質管理週報_0507月設備妥善率8D1_複本 0541周周管審_外包部人力編制" xfId="1622"/>
    <cellStyle name="_0522週品質管理週報_0530周設備妥善_0538周周管審--FINl_0744-1031M1 Manpower" xfId="1623"/>
    <cellStyle name="_2005 04 DELL SMT Data2 -Process_2006日常管理目標.DIP _DELL廠級目標dip(2月) EXC _DELL MB廠級目標  (2)_DELL MB廠級目標.xls 圖表 1_DELL MB廠級目標.重要不能刪_2007DELL SMT廠級目標KPI(MT)1" xfId="1624"/>
    <cellStyle name="_0522週品質管理週報_0530周設備妥善_0538周周管審--FINl_複本 0541周周管審" xfId="1625"/>
    <cellStyle name="_2006 Capacity 0512091" xfId="1626"/>
    <cellStyle name="好_River EE BOM_Creak Pearl Reliability Fixture RFQ_2009 04 24_Creek RFQ feedback 04_28_2009_FD Update_Leopard UniBom_Foxlink_6 21 2010-ME_nego_Bolt RFQ Proposal_Foxlink_ (Pricing Summary) 2 25 2011 2 2" xfId="1627"/>
    <cellStyle name="_0522週品質管理週報_0530周設備妥善_0538周周管審--FINl_複本 0541周周管審_0733-0815M1 Manpower-3" xfId="1628"/>
    <cellStyle name="_0522週品質管理週報_0530周設備妥善_0538周周管審--FINl_複本 0541周周管審_外包部人力編制" xfId="1629"/>
    <cellStyle name="差_HP Mouse 產能評估(Forecast更改後)_Erie 效益分析 (Update)_效益分析(總 12-28 Update)_Jackson 效益分析 (2-1 B0 上系統)" xfId="1630"/>
    <cellStyle name="好_River EE BOM_Creak Pearl Reliability Fixture RFQ_2009 04 24_Creek  Pearl RFQ_May 12_Leopard_UniBOM_ME_0531_Bolt RFQ_Foxlink_03.1 2011 4" xfId="1631"/>
    <cellStyle name="_Actual P&amp;L_Computing Apr ~ May.2006" xfId="1632"/>
    <cellStyle name="Normal 18 4" xfId="1633"/>
    <cellStyle name="Normal 23 4" xfId="1634"/>
    <cellStyle name="差_F3   SMT設備明細_Bolt RFQ_Foxlink_03.1 2011 2 2" xfId="1635"/>
    <cellStyle name="Normal 35 3 2" xfId="1636"/>
    <cellStyle name="Normal 40 3 2" xfId="1637"/>
    <cellStyle name="_0522週品質管理週報_0530周設備妥善_0538周周管審--FINl_複本 0541周周管審_編制表" xfId="1638"/>
    <cellStyle name="好_River EE BOM_Creak Pearl Reliability Fixture RFQ_2009 04 24_Creek  Pearl RFQ_May 12_Leopard Lemur Squirrel UniBom-06.22.2010_EE cost _update_internal 3 2" xfId="1639"/>
    <cellStyle name="_0522週品質管理週報_0530周設備妥善_0540周周管審" xfId="1640"/>
    <cellStyle name="_bom updated on 2002-11-10-1_Purchase items tracker ODM" xfId="1641"/>
    <cellStyle name="_0522週品質管理週報_0536周周管審_0538周直通率8d1_複本 0541周周管審_編制表" xfId="1642"/>
    <cellStyle name="_Forecast - Segment-HP-June06(1)_plforecastsample_X-BOX Console line setup budget and Buyer list" xfId="1643"/>
    <cellStyle name="_0522週品質管理週報_0530周設備妥善_0540周周管審_0541周直通率8D_編制表" xfId="1644"/>
    <cellStyle name="_Alvin Plastics RFQ Worksheets - Nypro 062807_RFQ_River_BAFO_2008 0606_M1_Stream Quotebook(Submittal)_POC1_20080903" xfId="1645"/>
    <cellStyle name="好_River EE BOM_Xl0000002_Leopard_UniBOM_ME_0531_Bolt RFQ Proposal_Foxlink_ (Pricing Summary) 2 25 2011 4 2" xfId="1646"/>
    <cellStyle name="_0522週品質管理週報_0530周設備妥善_0540周周管審_0607 M1 Manpower (含大本編制)" xfId="1647"/>
    <cellStyle name="_2006_0409 Ernestine_Cooper tooling_Quotebook_07SEP10_Stream RFQ Unibom--0626-1756_Stream Quotebook(Submittal)_POC1_20080903 2" xfId="1648"/>
    <cellStyle name="_0522週品質管理週報_0530周設備妥善_0540周周管審_0733-0815M1 Manpower-3" xfId="1649"/>
    <cellStyle name="_BOM update - Supplier List (Purchase) 111102_Microsoft Xenon Zero Cost_111405" xfId="1650"/>
    <cellStyle name="好_River EE BOM_Creak Pearl Reliability Fixture RFQ_2009 04 24_Xl0000002_Squirrel UniBom-06.23.2010_update_internal_Bolt RFQ_Foxlink_03.1 2011 3" xfId="1651"/>
    <cellStyle name="_0534周周報1_八月份周直通率8d1_0540周直通率8D1" xfId="1652"/>
    <cellStyle name="好_River EE BOM_Creak Pearl Reliability Fixture RFQ_2009 04 24_Pearl RFQ(Submittal)ver2_05_12_2009 _Foxlink_Shadow RFQ NREUni BOM_12032009_Bolt RFQ_Foxlink_03.1 2011_nego meeting@MACH 3" xfId="1653"/>
    <cellStyle name="_0522週品質管理週報_0530周設備妥善_0540周周管審_0744-1031M1 Manpower" xfId="1654"/>
    <cellStyle name="_2008年8月工令結案" xfId="1655"/>
    <cellStyle name="差_Creak Pearl Reliability Fixture RFQ_2009 04 24_Creek  Pearl RFQ_May 12_Leopard_UniBOM_ME_0602_Bolt RFQ_Foxlink_03.1 2011_nego meeting@MACH 3 2" xfId="1656"/>
    <cellStyle name="_0522週品質管理週報_0530周設備妥善_0540周周管審_0751-1219M1 Manpower" xfId="1657"/>
    <cellStyle name="差_Creek RFQ feedback 04_28_2009_FD Update_Leopard Lemur Squirrel UniBom-06.22.2010_EE cost _update_internal_Bolt RFQ_Foxlink_03.1 2011" xfId="1658"/>
    <cellStyle name="_0522週品質管理週報_0530周設備妥善_0540周周管審_外包部人力編制" xfId="1659"/>
    <cellStyle name="_Mechanical Contribution Margins (Q1'06, applied to Apr'04 Fcst)_Mechanical Contribution Margins forecast 0506 FP_Tom OS ( Oct)_2009 xBOX ramp up budget code applicaiton 300K --New May27" xfId="1660"/>
    <cellStyle name="_4312 bg" xfId="1661"/>
    <cellStyle name="差_Creak Pearl Reliability Fixture RFQ_2009 04 24_Pearl RFQ(Submittal)ver2_05_12_2009 _Leopard Lemur Squirrel UniBom-06.22.2010_EE cost _update_internal_Bolt RFQ Proposal_Foxlink_ (Pricing Summary) 2 25 2011" xfId="1662"/>
    <cellStyle name="_0522週品質管理週報_0530周設備妥善_0540周周管審_編制表" xfId="1663"/>
    <cellStyle name="好_River EE BOM_Bolt RFQ Proposal_Foxlink_ (Pricing Summary) 2 25 2011 3 2" xfId="1664"/>
    <cellStyle name="_0522週品質管理週報_0530周設備妥善_0540周周管審_複本 0541周周管審" xfId="1665"/>
    <cellStyle name="差_Creak Pearl Reliability Fixture RFQ_2009 04 24_Creek RFQ feedback 04_28_2009_FD Update_Leopard RFQ ME BOM Costs-0618 2 3" xfId="1666"/>
    <cellStyle name="_0522週品質管理週報_0530周設備妥善_0540周周管審_複本 0541周周管審_0607 M1 Manpower (含大本編制)" xfId="1667"/>
    <cellStyle name="差_HP  專案(設備&amp;治工具需夠買)update_M1 SuedeFixtureEquipment Cost_A0_2010_10_15_Bolt RFQ Proposal_Foxlink_ (Pricing Summary) 2 25 2011 2 4" xfId="1668"/>
    <cellStyle name="_2006_0317 Ernestine_Cooper Cost Feedback_RFQ_River_BAFO_2008 0606_M1 2" xfId="1669"/>
    <cellStyle name="_2006_0319 Ernestine_Cooper Cost Feedback_RFQ_River_BAFO_2008 0606_M1" xfId="1670"/>
    <cellStyle name="_0522週品質管理週報_0530周設備妥善_0540周周管審_複本 0541周周管審_0733-0815M1 Manpower-3" xfId="1671"/>
    <cellStyle name="好_River EE BOM_Xl0000000_Leopard RFQ ME BOM Costs-0618-2_Bolt RFQ Proposal_Foxlink_ (Pricing Summary) 2 25 2011 3" xfId="1672"/>
    <cellStyle name="_0522週品質管理週報_0530周設備妥善_0540周周管審_複本 0541周周管審_0744-1031M1 Manpower" xfId="1673"/>
    <cellStyle name="_0522週品質管理週報_0530周設備妥善_0540周周管審_複本 0541周周管審_0751-1219M1 Manpower" xfId="1674"/>
    <cellStyle name="好_River EE BOM_Xl0000000_Leopard_UniBOM_ME_0603-2_Bolt RFQ Proposal_Foxlink_ (Pricing Summary) 2 25 2011" xfId="1675"/>
    <cellStyle name="好_River EE BOM_Xl0000000_Leopard_UniBOM_ME_0602_Bolt RFQ Proposal_Foxlink_ (Pricing Summary) 2 25 2011 4" xfId="1676"/>
    <cellStyle name="_Volume Fcst Jul 06-update HP _Forecast Template v4" xfId="1677"/>
    <cellStyle name="_2005 04 DELL SMT Data2 -Process_DELL廠級目標dip(2月) EXC _DELL MB廠級目標_DELL MB廠級目標.重要不能刪" xfId="1678"/>
    <cellStyle name="_0522週品質管理週報_0530周設備妥善_0540周周管審_複本 0541周周管審_外包部人力編制" xfId="1679"/>
    <cellStyle name="_Accessories manpower demand" xfId="1680"/>
    <cellStyle name="_0522週品質管理週報_0530周設備妥善_0540周直通率8D1" xfId="1681"/>
    <cellStyle name="_0522週品質管理週報_0530周設備妥善_0541周SMT周管審_0607 M1 Manpower (含大本編制)" xfId="1682"/>
    <cellStyle name="_0522週品質管理週報_0530周設備妥善_0541周SMT周管審_0733-0815M1 Manpower-3" xfId="1683"/>
    <cellStyle name="_May Freight analysis value_FY06 P7 CM Consigned RM" xfId="1684"/>
    <cellStyle name="差_F3   SMT設備明細_M1 Bolt wireless mouse FixtureEquipment Cost_A2_2010_12_07_Bolt RFQ Proposal_Foxlink_ (Pricing Summary) 2 25 2011" xfId="1685"/>
    <cellStyle name="_Foxlink Xenon Forecast 7-18-2005_RIM Meteor charging pod_ME and packaging parts &amp; tools cost for river with Rev A-20080521_Stream RFQ Unibom--0626-1756_Stream Quotebook(Submittal)_POC1_20080903" xfId="1686"/>
    <cellStyle name="_2005 04 DELL SMT Data2 -Process_DELL廠級目標dip(2月) EXC _DELL MB廠級目標_MT 2007 KPI" xfId="1687"/>
    <cellStyle name="好_River EE BOM_Xl0000002_Squirrel UniBom-06.23.2010_update_internal 3" xfId="1688"/>
    <cellStyle name="_0522週品質管理週報_0530周設備妥善_0541周SMT周管審_0744-1031M1 Manpower" xfId="1689"/>
    <cellStyle name="差_HP Mouse 產能評估(上系統)_M1 SuedeFixtureEquipment Cost_A0_2010_10_15_Bolt RFQ_Foxlink_03.1 2011_nego meeting@MACH 3 3" xfId="1690"/>
    <cellStyle name="差_Creak Pearl Reliability Fixture RFQ_2009 04 24_Creek  Pearl RFQ_May 12_Leopard_UniBOM_ME_0603-2_Bolt RFQ_Foxlink_03.1 2011_nego meeting@MACH 2" xfId="1691"/>
    <cellStyle name="_0522週品質管理週報_0530周設備妥善_0541周SMT周管審_外包部人力編制" xfId="1692"/>
    <cellStyle name="好_Erie Assembly Fixture  Test Equip Cost_20090716 3 3" xfId="1693"/>
    <cellStyle name="_Quotebook_07SEP10_Stream RFQ Unibom--0626-1756_Stream Package Quotation_20090311" xfId="1694"/>
    <cellStyle name="_0535週管審_0538周周管審--FINl" xfId="1695"/>
    <cellStyle name="_Mechanical Contribution Margins (Q2'06) 0705_Volume Fcst 1006 updated_Forecast Template v4" xfId="1696"/>
    <cellStyle name="_0522週品質管理週報_0530周設備妥善_0541周SMT周管審_編制表" xfId="1697"/>
    <cellStyle name="_2006_0410b Ernestine_Cooper tooling and plastic price to MS_Quotebook_V3_07SEP11_RFQ_River_BAFO_2008 0606_M1 2" xfId="1698"/>
    <cellStyle name="9_Revised AP DPO Oct 04 v2_PL Fcst Jul 06-updated G&amp;A Value_Copy of Tom OS ( Oct) new for LOG_X-BOX Console line setup budget and Buyer list" xfId="1699"/>
    <cellStyle name="_2005 04 DELL SMT Data2 -Process_DELL廠級目標dip EXC _DELL MB廠級目標.xls 圖表 1_DELL MB廠級目標四月 " xfId="1700"/>
    <cellStyle name="差_F3   SMT設備明細_M1 SuedeFixtureEquipment Cost_A0_2010_10_15_Bolt RFQ Proposal_Foxlink_ (Pricing Summary) 2 25 2011 2" xfId="1701"/>
    <cellStyle name="_0522週品質管理週報_0536周周管審_0540周直通率8D1_複本 0541周周管審" xfId="1702"/>
    <cellStyle name="_0522週品質管理週報_0530周設備妥善_8月SMT月管審 " xfId="1703"/>
    <cellStyle name="Currency 17 5" xfId="1704"/>
    <cellStyle name="_Fcst March_06(Revised 2.)_Tom OS ( Oct)_X-BOX Console line setup budget and Buyer list" xfId="1705"/>
    <cellStyle name="_2006_0410b Ernestine_Cooper tooling and plastic price to MS_RFQ_River_BAFO_2008 0606_M1 2" xfId="1706"/>
    <cellStyle name="_0522週品質管理週報_0536周周管審_0540周直通率8D1_複本 0541周周管審_0607 M1 Manpower (含大本編制)" xfId="1707"/>
    <cellStyle name="_0522週品質管理週報_0530周設備妥善_8月SMT月管審 _0607 M1 Manpower (含大本編制)" xfId="1708"/>
    <cellStyle name="_0522週品質管理週報_0536周周管審_0540周直通率8D1_複本 0541周周管審_0733-0815M1 Manpower-3" xfId="1709"/>
    <cellStyle name="好_River EE BOM_Creak Pearl Reliability Fixture RFQ_2009 04 24_Creek RFQ feedback 04_28_2009_FD Update_Leopard_UniBOM_ME_0602_Bolt RFQ Proposal_Foxlink_ (Pricing Summary) 2 25 2011" xfId="1710"/>
    <cellStyle name="_Flex Mechanicals Doumen Sales forecast - Dec'05 (updated links)_Tom OS ( Oct)_2009 xBOX ramp up budget code applicaiton 300K --New May26 (3)" xfId="1711"/>
    <cellStyle name="_0522週品質管理週報_0530周設備妥善_8月SMT月管審 _0733-0815M1 Manpower-3" xfId="1712"/>
    <cellStyle name="_Ernestine Requipment  Fixture List_04_06_2006_Quotebook_07SEP10_Stream RFQ Unibom--0626-1756 2" xfId="1713"/>
    <cellStyle name="_2006_0409 Ernestine_Cooper tooling_Erie  Mouse RFQ Pricing IE" xfId="1714"/>
    <cellStyle name="_0526週品質管理週報_0507月設備妥善率8D1_Book1_外包部人力編制" xfId="1715"/>
    <cellStyle name="差_HP Mouse 產能評估(上系統)_M1 Bolt wireless mouse FixtureEquipment Cost_A2_2010_12_07 3 2" xfId="1716"/>
    <cellStyle name="好_River EE BOM_Creak Pearl Reliability Fixture RFQ_2009 04 24_Xl0000002_Squirrel RFQ ME BOM Costs-0623_Bolt RFQ_Foxlink_03.1 2011 2 2" xfId="1717"/>
    <cellStyle name="_0522週品質管理週報_0531周設備妥善_八月份周直通率8d1_0540周直通率8D1_0607 M1 Manpower (含大本編制)" xfId="1718"/>
    <cellStyle name="差_Xl0000002_Bolt RFQ_Foxlink_03.1 2011 2 2" xfId="1719"/>
    <cellStyle name="_0522週品質管理週報_0530周設備妥善_8月SMT月管審 _0744-1031M1 Manpower" xfId="1720"/>
    <cellStyle name="差_Creak Pearl Reliability Fixture RFQ_2009 04 24_Creek  Pearl RFQ_May 12_Leopard_UniBOM_ME_0603-2_Bolt RFQ_Foxlink_03.1 2011_nego meeting@MACH" xfId="1721"/>
    <cellStyle name="好_River EE BOM_Creak Pearl Reliability Fixture RFQ_2009 04 24_Creek  Pearl RFQ_May 12_Leopard RFQ ME BOM Costs-0618-2 2 3" xfId="1722"/>
    <cellStyle name="_0522週品質管理週報_0536周周管審_0540周直通率8D1_複本 0541周周管審_外包部人力編制" xfId="1723"/>
    <cellStyle name="_0522週品質管理週報_0530周設備妥善_8月SMT月管審 _外包部人力編制" xfId="1724"/>
    <cellStyle name="_0522週品質管理週報_0530周設備妥善_Book1" xfId="1725"/>
    <cellStyle name="Normal - Style1 2" xfId="1726"/>
    <cellStyle name="_184071 - P8 Non-DW PPV_FY06 P7 CM Consigned RM" xfId="1727"/>
    <cellStyle name="差_Xl0000000_Squirrel UniBom-06.23.2010_update_internal_Bolt RFQ_Foxlink_03.1 2011_nego meeting@MACH 2" xfId="1728"/>
    <cellStyle name="_Forecast - Segment-HP-June06(1)_2009 xBOX ramp up budget code applicaiton 300K --New May27" xfId="1729"/>
    <cellStyle name="差_Xl0000000_Leopard UniBom_Foxlink_6 21 2010-ME_nego_Bolt RFQ_Foxlink_03.1 2011 2 3" xfId="1730"/>
    <cellStyle name="_0522週品質管理週報_0530周設備妥善_Book1_0607 M1 Manpower (含大本編制)" xfId="1731"/>
    <cellStyle name="40% - Accent4 2" xfId="1732"/>
    <cellStyle name="_2007 KPI (3)" xfId="1733"/>
    <cellStyle name="_0522週品質管理週報_0530周設備妥善_Book1_0733-0815M1 Manpower-3" xfId="1734"/>
    <cellStyle name="_internal- uPad-D Quotebook_20080521_v1.2_RFQ_River_BAFO_2008 0606_M1_Stream Quotebook(Submittal)_POC1_20080903" xfId="1735"/>
    <cellStyle name="_2005 04 DELL SMT Data2 -Process_DELL廠級目標dip(1月) EXC _DELL MB廠級目標.xls 圖表 1_DELLTEAM入庫資料1_DELL MB廠級目標十一月 (4)" xfId="1736"/>
    <cellStyle name="_Mechanical Contribution Margins forecast 0506 FP_Copy of Tom OS ( Oct) new for LOG_X-BOX BB" xfId="1737"/>
    <cellStyle name="_2005 04 DELL SMT Data2 -Process_DELL廠級目標dip EXC _DELL廠級目標dip(2月) EXC _DELL MB廠級目標  (2)_DELL MB廠級目標_DELL MB廠級目標四月 _2007DELL SMT廠級目標KPI(MT)1" xfId="1738"/>
    <cellStyle name="好_River EE BOM_Creek RFQ feedback 04_28_2009_FD Update_Leopard_UniBOM_ME_0602-1 3 3" xfId="1739"/>
    <cellStyle name="好_River EE BOM_Creak Pearl Reliability Fixture RFQ_2009 04 24_Leopard_UniBOM_ME_0602-1_Bolt RFQ Proposal_Foxlink_ (Pricing Summary) 2 25 2011 7" xfId="1740"/>
    <cellStyle name="_0522週品質管理週報_0531周設備妥善_八月份周直通率8d1_0538周周管審--FINl_0607 M1 Manpower (含大本編制)" xfId="1741"/>
    <cellStyle name="_0522週品質管理週報_0530周設備妥善_Book1_0744-1031M1 Manpower" xfId="1742"/>
    <cellStyle name="_0522週品質管理週報_0530周設備妥善_Book1_外包部人力編制" xfId="1743"/>
    <cellStyle name="差_Creak Pearl Reliability Fixture RFQ_2009 04 24_Creek  Pearl RFQ_May 12_Leopard_UniBOM_ME_0602_Bolt RFQ_Foxlink_03.1 2011_nego meeting@MACH 3 3" xfId="1744"/>
    <cellStyle name="好_Creek EE BOM cost_20090425_Leopard_UniBOM_ME_0602-1_Bolt RFQ_Foxlink_03.1 2011_nego meeting@MACH" xfId="1745"/>
    <cellStyle name="_0522週品質管理週報_0530周設備妥善_Book1_編制表" xfId="1746"/>
    <cellStyle name="_2006_0329 Ernestine_Cooper Cost Feedback_Quotebook_07SEP10_RFQ_River_BAFO_2008 0606_M1_Stream Quotebook(Submittal)_POC1_20080903 2" xfId="1747"/>
    <cellStyle name="好_River EE BOM_Creak Pearl Reliability Fixture RFQ_2009 04 24_Pearl RFQ(Submittal)ver2_05_12_2009 _Leopard_UniBOM_ME_0531_Bolt RFQ Proposal_Foxlink_ (Pricing Summary) 2 25 2011 2 4" xfId="1748"/>
    <cellStyle name="好_Creek Assembly Fixture  Test Equipment RFQ_20090427_Leopard RFQ ME BOM Costs-0618-2_Bolt RFQ Proposal_Foxlink_ (Pricing Summary) 2 25 2011 5 2" xfId="1749"/>
    <cellStyle name="_0522週品質管理週報_0530周設備妥善_Book1_複本 0541周周管審" xfId="1750"/>
    <cellStyle name="_0522週品質管理週報_0536周周管審_0536周直通率8d_0541周直通率8D" xfId="1751"/>
    <cellStyle name="好_ME BOM Costs" xfId="1752"/>
    <cellStyle name="差_HP Mouse 產能評估(上系統)_M1 SuedeFixtureEquipment Cost_A0_2010_10_15_Bolt RFQ Proposal_Foxlink_ (Pricing Summary) 2 25 2011 3" xfId="1753"/>
    <cellStyle name="_工作理念與原則調查表215" xfId="1754"/>
    <cellStyle name="_0522週品質管理週報_0530周設備妥善_Book1_複本 0541周周管審_0607 M1 Manpower (含大本編制)" xfId="1755"/>
    <cellStyle name="_0522週品質管理週報_0530周設備妥善_Book1_複本 0541周周管審_0733-0815M1 Manpower-3" xfId="1756"/>
    <cellStyle name="_0522週品質管理週報_0530周設備妥善_Book1_複本 0541周周管審_0744-1031M1 Manpower" xfId="1757"/>
    <cellStyle name="差_Erie mouse 效益分析( 11-19 A1)_效益分析(總 12-28 Update)" xfId="1758"/>
    <cellStyle name="好_Creek EE BOM cost_20090425_Leopard_UniBOM_ME_0602 2 4" xfId="1759"/>
    <cellStyle name="_8D_1_八月月報2_Book1_複本 0541周周管審" xfId="1760"/>
    <cellStyle name="好_River EE BOM_Creak Pearl Reliability Fixture RFQ_2009 04 24_Creek  Pearl RFQ_May 12_Foxlink_Shadow RFQ NREUni BOM_12032009_Bolt RFQ Proposal_Foxlink_ (Pricing Summary) 2 25 2011 2" xfId="1761"/>
    <cellStyle name="_7月ict f.t_0536周周管審_0538周周管審--FINl" xfId="1762"/>
    <cellStyle name="_11-May 2001_Sheet1" xfId="1763"/>
    <cellStyle name="_0522週品質管理週報_0530周設備妥善_Book1_複本 0541周周管審_外包部人力編制" xfId="1764"/>
    <cellStyle name="_asus wlan 機種SMT線體需求計算表_1_awl線體需求計算5.25" xfId="1765"/>
    <cellStyle name="好_效益分析&amp;產能評估_MS Bolt wireless mouse FixtureEquipment Cost_A5_2010_02_21_Bolt RFQ_Foxlink_03.1 2011_nego meeting@MACH 4" xfId="1766"/>
    <cellStyle name="_0522週品質管理週報_0530周設備妥善_Book1_複本 0541周周管審_編制表" xfId="1767"/>
    <cellStyle name="好_Creek Assembly Fixture  Test Equipment RFQ_20090427_Xl0000002 2 2" xfId="1768"/>
    <cellStyle name="_7月ict f.t_0536周周管審_0536周直通率8d_Book1" xfId="1769"/>
    <cellStyle name="_0522週品質管理週報_0530周設備妥善_九月份直通率8D1" xfId="1770"/>
    <cellStyle name="寥碟徽_95" xfId="1771"/>
    <cellStyle name="_2005 04 DELL SMT Data2 -Process_DELL廠級目標dip EXC _DELL廠級目標dip(2月) EXC _BPI 8D-SMT-2月_DELL MB廠級目標.xls 圖表 1_DELLTEAM入庫資料1_DELL MB廠級目標十一月 (4)" xfId="1772"/>
    <cellStyle name="_0522週品質管理週報_0530周設備妥善_八月份周直通率8d1" xfId="1773"/>
    <cellStyle name="_0522週品質管理週報_0530周設備妥善_八月份周直通率8d1_0538周周管審--FINl" xfId="1774"/>
    <cellStyle name="_0526週品質管理週報_0531周設備妥善_八月份周直通率8d1_0538周周管審--FINl_複本 0541周周管審_外包部人力編制" xfId="1775"/>
    <cellStyle name="_0522週品質管理週報_0530周設備妥善_八月份周直通率8d1_0538周周管審--FINl_0607 M1 Manpower (含大本編制)" xfId="1776"/>
    <cellStyle name="_PL Fcst_akl(Friday)_Volume Fcst 1006 updated_Tom OS ( Oct)_X-BOX BB" xfId="1777"/>
    <cellStyle name="差_Xl0000000_Leopard_UniBOM_ME_0602_Bolt RFQ Proposal_Foxlink_ (Pricing Summary) 2 25 2011 4 2" xfId="1778"/>
    <cellStyle name="好_Creek EE BOM cost_20090425_Leopard UniBom_Foxlink_6 21 2010-ME_nego_Bolt RFQ_Foxlink_03.1 2011_nego meeting@MACH 3 3" xfId="1779"/>
    <cellStyle name="差_Creak Pearl Reliability Fixture RFQ_2009 04 24_Leopard UniBom_Foxlink_6 21 2010-ME_nego_Bolt RFQ_Foxlink_03.1 2011 3 2" xfId="1780"/>
    <cellStyle name="好_River EE BOM_Creak Pearl Reliability Fixture RFQ_2009 04 24_Foxlink_Shadow RFQ NREUni BOM_12032009_Bolt RFQ Proposal_Foxlink_ (Pricing Summary) 2 25 2011 2" xfId="1781"/>
    <cellStyle name="_0522週品質管理週報_0530周設備妥善_八月份周直通率8d1_0538周周管審--FINl_0733-0815M1 Manpower-3" xfId="1782"/>
    <cellStyle name="差_HP Mouse 產能評估(上系統)_Erie 效益分析 (Update)_Flow chart and Fixture(1-4)_Jackson 效益分析 (2-1 B0 上系統)_squirrel效益分析08-17" xfId="1783"/>
    <cellStyle name="_0522週品質管理週報_0530周設備妥善_八月份周直通率8d1_0538周周管審--FINl_0744-1031M1 Manpower" xfId="1784"/>
    <cellStyle name="好_Creek Assembly Fixture  Test Equipment RFQ_20090427_Leopard RFQ ME BOM Costs-0618-2_Bolt RFQ_Foxlink_03.1 2011_Bolt_Cliff 7" xfId="1785"/>
    <cellStyle name="_0522週品質管理週報_0530周設備妥善_八月份周直通率8d1_0538周周管審--FINl_外包部人力編制" xfId="1786"/>
    <cellStyle name="_Flex Mechanicals Doumen Sales forecast - Jan.06_X-BOX Console line setup budget and Buyer list" xfId="1787"/>
    <cellStyle name="_386896SOP" xfId="1788"/>
    <cellStyle name="_Mechanical Contribution Margins (Q1'06, applied to Apr'04 Fcst)_PL Forecast by segment-most final 0806_Tom OS ( Oct)_Copy of X-BOX for line setup budget" xfId="1789"/>
    <cellStyle name="_2006_0406 Ernestine_Cooper tooling_Internal RFQ River Standalone  Bundle Unibom_v1 2_20080603_EJ_Stream Quotebook(Submittal)_POC1_20080903 2" xfId="1790"/>
    <cellStyle name="好_River EE BOM_Creak Pearl Reliability Fixture RFQ_2009 04 24_Creek RFQ feedback 04_28_2009_FD Update_Leopard Lemur Squirrel UniBom-06.22.2010_EE cost _update_internal_Bolt RFQ Proposal_Foxlink_ (Pricing Summary) 2 25 2011" xfId="1791"/>
    <cellStyle name="_Flextronics Radon  Build Plan 4-27-2005_DL hiring plan 5-30" xfId="1792"/>
    <cellStyle name="_2005 04 DELL SMT Data2 -Process_DELL廠級目標dip(2月) EXC _DELL MB廠級目標_DELL制程課管理目標" xfId="1793"/>
    <cellStyle name="_0522週品質管理週報_0530周設備妥善_八月份周直通率8d1_0538周周管審--FINl_編制表" xfId="1794"/>
    <cellStyle name="Header1" xfId="1795"/>
    <cellStyle name="_2005 04 DELL SMT Data2 -Process_DELL廠級目標dip EXC _DELL MB廠級目標.xls 圖表 1_DELL MB廠級目標.重要不能刪_2007DELL SMT廠級目標KPI(MT)1" xfId="1796"/>
    <cellStyle name="差_F3   SMT設備明細_效益分析_Jackson 效益分析 testing update_16th Jan1" xfId="1797"/>
    <cellStyle name="_0522週品質管理週報_0530周設備妥善_八月份周直通率8d1_0538周周管審--FINl_複本 0541周周管審" xfId="1798"/>
    <cellStyle name="好_Creek Assembly Fixture  Test Equipment RFQ_20090427_Leopard Lemur Squirrel UniBom-06.22.2010_EE cost _update_internal_Bolt RFQ_Foxlink_03.1 2011 5" xfId="1799"/>
    <cellStyle name="差_Creak Pearl Reliability Fixture RFQ_2009 04 24_Creek RFQ feedback 04_28_2009_FD Update_Leopard_UniBOM_ME_0531 3 2" xfId="1800"/>
    <cellStyle name="_0522週品質管理週報_0530周設備妥善_八月份周直通率8d1_0538周周管審--FINl_複本 0541周周管審_0733-0815M1 Manpower-3" xfId="1801"/>
    <cellStyle name="_Alvin-Development NRE_RFQ_River_BAFO_2008 0606_M1 2" xfId="1802"/>
    <cellStyle name="_2006_0409 Ernestine_Cooper tooling and plastic price to MS_Quotebook_V3_07SEP11" xfId="1803"/>
    <cellStyle name="_Alvin Plastics RFQ Worksheets - Nypro 062807_Internal RFQ River Standalone  Bundle Unibom_v1 2_20080603_EJ_Stream Quotebook (Submittal)_POC2_20081117-1" xfId="1804"/>
    <cellStyle name="好_River EE BOM_Creek RFQ feedback 04_28_2009_FD Update_Squirrel RFQ ME BOM Costs-0623_Bolt RFQ_Foxlink_03.1 2011 3" xfId="1805"/>
    <cellStyle name="_2005 04 DELL SMT Data2 -Process_DELL廠級目標dip.EXC _DELL廠級目標dip(2月) EXC _BPI 8D-SMT-2月 (3)_DELL MB廠級目標.xls 圖表 1_HP制程課2007管理指標匯總-八月匯總" xfId="1806"/>
    <cellStyle name="_Flex Mechanicals Doumen Sales forecast - Dec'05 (updated links)_Volume Fcst Jul 06-update HP _X-BOX BB" xfId="1807"/>
    <cellStyle name="好_River EE BOM_Creak Pearl Reliability Fixture RFQ_2009 04 24_Leopard_UniBOM_ME_0531_Bolt RFQ Proposal_Foxlink_ (Pricing Summary) 2 25 2011 2 2 3" xfId="1808"/>
    <cellStyle name="_New Stuff for Part Master_FY06 P4 CM Consigned RM" xfId="1809"/>
    <cellStyle name="_Xbox Build Plan_102705 - Mfg Cap" xfId="1810"/>
    <cellStyle name="_2005 04 DELL SMT Data2 -Process_DELL廠級目標dip.EXC _DELL MB廠級目標.xls 圖表 1_DELL MB廠級目標.重要不能刪_2007DELL SMT廠級目標KPI(MT)1" xfId="1811"/>
    <cellStyle name="_0522週品質管理週報_0530周設備妥善_八月份周直通率8d1_0538周周管審--FINl_複本 0541周周管審_0744-1031M1 Manpower" xfId="1812"/>
    <cellStyle name="_Forecast - Segment WVJune06_plforecastsample_Forecast Template v4" xfId="1813"/>
    <cellStyle name="_0526週品質管理週報_0507月設備妥善率8D1_0536周周管審_0538周直通率8d1" xfId="1814"/>
    <cellStyle name="_0522週品質管理週報_0530周設備妥善_八月份周直通率8d1_0538周周管審--FINl_複本 0541周周管審_外包部人力編制" xfId="1815"/>
    <cellStyle name="差_Xl0000002_Squirrel UniBom_Foxlink_7.27.2010" xfId="1816"/>
    <cellStyle name="好_River EE BOM_Creak Pearl Reliability Fixture RFQ_2009 04 24_Creek RFQ feedback 04_28_2009_FD Update_Foxlink_Shadow RFQ NREUni BOM_12032009_Bolt RFQ Proposal_Foxlink_ (Pricing Summary) 2 25 2011 5" xfId="1817"/>
    <cellStyle name="_0522週品質管理週報_0530周設備妥善_八月份周直通率8d1_0538周周管審--FINl_複本 0541周周管審_編制表" xfId="1818"/>
    <cellStyle name="_Sales Breakdown Analysis 3_PL Fcst Jul 06-updated G&amp;A Value" xfId="1819"/>
    <cellStyle name="_2006_0410b Ernestine_Cooper tooling and plastic price to MS_Stream RFQ Unibom--0626-1756_Stream Package Quotation_20090311" xfId="1820"/>
    <cellStyle name="好_Creek Assembly Fixture  Test Equipment RFQ_20090427_Leopard_UniBOM_ME_0531_Bolt RFQ Proposal_Foxlink_ (Pricing Summary) 2 25 2011 7" xfId="1821"/>
    <cellStyle name="_0522週品質管理週報_0530周設備妥善_八月份周直通率8d1_0540周直通率8D1" xfId="1822"/>
    <cellStyle name="壞_Creek Assembly Fixture  Test Equipment RFQ_20090427_Xl0000002_Leopard_UniBOM_ME_0603-2_Bolt RFQ Proposal_Foxlink_ (Pricing Summary) 2 25 2011 6" xfId="1823"/>
    <cellStyle name="_2006_0412 Ernestine_Cooper tooling and plastic price to MS_JC_Internal RFQ River Standalone  Bundle Unibom_v1 2_20080603_EJ 2" xfId="1824"/>
    <cellStyle name="好_Erie Assembly Fixture  Test Equip Cost_20090716_Jackson and Shadow test cost update _7th Feb 2010 (2)_Bristol TC Estimate Update 08042011_MS" xfId="1825"/>
    <cellStyle name="差_Xl0000002_Leopard_UniBOM_ME_0603-2_Bolt RFQ Proposal_Foxlink_ (Pricing Summary) 2 25 2011 4 2" xfId="1826"/>
    <cellStyle name="_2006_0406 Ernestine_Cooper tooling_Quotebook_V3_07SEP11_RFQ_River_BAFO_2008 0606_M1_Stream Quotebook (Submittal)_POC2_20081117-1" xfId="1827"/>
    <cellStyle name="_0522週品質管理週報_0530周設備妥善_八月份周直通率8d1_0540周直通率8D1_0607 M1 Manpower (含大本編制)" xfId="1828"/>
    <cellStyle name="_2005 04 DELL SMT Data2 -Process_DELL廠級目標dip EXC _DELL廠級目標dip(2月) EXC _DELL MB廠級目標 (2)_DELL MB廠級目標.xls 圖表 1" xfId="1829"/>
    <cellStyle name="_YellowLight 2" xfId="1830"/>
    <cellStyle name="_FCT Pareto By Line-Sep 16th(X808667-001_DEV01288-5)_Update yield report for DEV02342(7.6) " xfId="1831"/>
    <cellStyle name="_0522週品質管理週報_0530周設備妥善_八月份周直通率8d1_0540周直通率8D1_0744-1031M1 Manpower" xfId="1832"/>
    <cellStyle name="_0526週品質管理週報_0536周周管審_0538周直通率8d1_0541周直通率8D" xfId="1833"/>
    <cellStyle name="_0522週品質管理週報_0530周設備妥善_八月份周直通率8d1_0540周直通率8D1_外包部人力編制" xfId="1834"/>
    <cellStyle name="_2006_0409 Ernestine_Cooper tooling_Stream RFQ Unibom--0626-1756 2" xfId="1835"/>
    <cellStyle name="_Ernestine Parts Budgetary Quote - LA (20060319)_Quotebook_V3_07SEP11_Stream RFQ Unibom--0626-1756_Stream Package Quotation_20090311" xfId="1836"/>
    <cellStyle name="_0522週品質管理週報_0530周設備妥善_八月份周直通率8d1_0540周直通率8D1_編制表" xfId="1837"/>
    <cellStyle name="_0522週品質管理週報_0530周設備妥善_八月份周直通率8d1_0540周直通率8D1_複本 0541周周管審" xfId="1838"/>
    <cellStyle name="_0522週品質管理週報_0530周設備妥善_八月份周直通率8d1_0540周直通率8D1_複本 0541周周管審_0607 M1 Manpower (含大本編制)" xfId="1839"/>
    <cellStyle name="好_Creek EE BOM cost_20090425_Bolt RFQ Proposal_Foxlink_ (Pricing Summary) 2 25 2011 5 3" xfId="1840"/>
    <cellStyle name="_0526週品質管理週報_0531周設備妥善_八月份周直通率8d1_外包部人力編制" xfId="1841"/>
    <cellStyle name="Normal 46 3 2 2" xfId="1842"/>
    <cellStyle name="Normal 51 3 2 2" xfId="1843"/>
    <cellStyle name="_0522週品質管理週報_0530周設備妥善_八月份周直通率8d1_0540周直通率8D1_複本 0541周周管審_0733-0815M1 Manpower-3" xfId="1844"/>
    <cellStyle name="_0522週品質管理週報_0530周設備妥善_八月份周直通率8d1_0540周直通率8D1_複本 0541周周管審_0744-1031M1 Manpower" xfId="1845"/>
    <cellStyle name="_2006_0317 Ernestine_Cooper Cost Feedback_Erie  Mouse RFQ Pricing IE" xfId="1846"/>
    <cellStyle name="_Fcst March_06(Revised 2.)_Volume Fcst 1006 updated_Tom OS ( Oct)" xfId="1847"/>
    <cellStyle name="_0526週品質管理週報_0530周設備妥善_八月份周直通率8d1_0540周直通率8D1_編制表" xfId="1848"/>
    <cellStyle name="差_Creak Pearl Reliability Fixture RFQ_2009 04 24_Leopard_UniBOM_ME_0531_Bolt RFQ Proposal_Foxlink_ (Pricing Summary) 2 25 2011 3 3" xfId="1849"/>
    <cellStyle name="_0522週品質管理週報_0530周設備妥善_八月份周直通率8d1_0540周直通率8D1_複本 0541周周管審_外包部人力編制" xfId="1850"/>
    <cellStyle name="差_Creak Pearl Reliability Fixture RFQ_2009 04 24_Foxlink_Shadow RFQ NREUni BOM_12032009_Bolt RFQ_Foxlink_03.1 2011 2 3" xfId="1851"/>
    <cellStyle name="Normal 56 5" xfId="1852"/>
    <cellStyle name="_0522週品質管理週報_0530周設備妥善_八月份周直通率8d1_0540周直通率8D1_複本 0541周周管審_編制表" xfId="1853"/>
    <cellStyle name="_0526週品質管理週報_0507月設備妥善率8D1_0536周周管審_0536周直通率8d_Book1_複本 0541周周管審_外包部人力編制" xfId="1854"/>
    <cellStyle name="_MS Alvin Plastics RFQ Worksheets - Nypro 030307_Stream RFQ Unibom--0626-1756_Stream Quotebook (Submittal)_POC2_20081117-1" xfId="1855"/>
    <cellStyle name="_0533周周報_九月份直通率8D1" xfId="1856"/>
    <cellStyle name="_2006_0412 Ernestine_Cooper tooling and plastic price to MS_JC_Quotebook_V3_07SEP11_Internal RFQ River Standalone  Bundle Unibom_v1 2_20080603_EJ_Stream Package Quotation_20090311" xfId="1857"/>
    <cellStyle name="好_Bristol  cost 20100914Rev.A 2_foxlink Bristol for 10063D-2010-10-11_Bristol ME parts tooling cost 20101022 updated_Bristol TC Estimate Update 07292011" xfId="1858"/>
    <cellStyle name="_MS Alvin Plastics RFQ Worksheets - Nypro 030307_RFQ_River_BAFO_2008 0606_M1" xfId="1859"/>
    <cellStyle name="_0522週品質管理週報_0530周設備妥善_八月份周直通率8d1_0541周直通率8D" xfId="1860"/>
    <cellStyle name="_0522週品質管理週報_0530周設備妥善_八月份周直通率8d1_0541周直通率8D_0607 M1 Manpower (含大本編制)" xfId="1861"/>
    <cellStyle name="差_HP  專案(設備&amp;治工具需夠買)update_M1 Lemur Capacity planFixtureEquipment Cost_A2_06192010" xfId="1862"/>
    <cellStyle name="_2005 04 DELL SMT Data2 -Process_DELL SMT 廠級目標KPI_DELL MB廠級目標_DELL MB廠級目標四月 _2007DELL SMT廠級目標KPI(MT)1" xfId="1863"/>
    <cellStyle name="好_River EE BOM_Creak Pearl Reliability Fixture RFQ_2009 04 24_Creek RFQ feedback 04_28_2009_FD Update_Leopard_UniBOM_ME_0603-2_Bolt RFQ_Foxlink_03.1 2011_nego meeting@MACH 2" xfId="1864"/>
    <cellStyle name="_0522週品質管理週報_0530周設備妥善_八月份周直通率8d1_0541周直通率8D_0733-0815M1 Manpower-3" xfId="1865"/>
    <cellStyle name="好_Creek Assembly Fixture  Test Equipment RFQ_20090427_Leopard_UniBOM_ME_0602 2 3" xfId="1866"/>
    <cellStyle name="_0522週品質管理週報_0530周設備妥善_八月份周直通率8d1_0541周直通率8D_0744-1031M1 Manpower" xfId="1867"/>
    <cellStyle name="差_F3   SMT設備明細_效益分析_Flow Chart(shadow) A3 _Leopard Flowchart &amp; 產能評估" xfId="1868"/>
    <cellStyle name="好_River EE BOM_Creak Pearl Reliability Fixture RFQ_2009 04 24_Xl0000002_Leopard RFQ ME BOM Costs-0618_Bolt RFQ_Foxlink_03.1 2011" xfId="1869"/>
    <cellStyle name="_0522週品質管理週報_0530周設備妥善_八月份周直通率8d1_0541周直通率8D_外包部人力編制" xfId="1870"/>
    <cellStyle name="40% - 强调文字颜色 1 3 4" xfId="1871"/>
    <cellStyle name="壞_Creek Assembly Fixture  Test Equipment RFQ_20090427_Xl0000002_Leopard_UniBOM_ME_0602-1_Bolt RFQ Proposal_Foxlink_ (Pricing Summary) 2 25 2011 6 3" xfId="1872"/>
    <cellStyle name="_W528 5 CTB_Mulan-EDGE_ROA1281693 FXC_MOST Std - Project A BB Line" xfId="1873"/>
    <cellStyle name="_Avaya SPICE demand on Apr-25-06 (based on ramp-up plan)_Scenario 1 of recovery until 1102" xfId="1874"/>
    <cellStyle name="_FA for Production Line in 11.2006_Forecast Template v4" xfId="1875"/>
    <cellStyle name="_0522週品質管理週報_0530周設備妥善_八月份周直通率8d1_0541周直通率8D_編制表" xfId="1876"/>
    <cellStyle name="好_River EE BOM_Creak Pearl Reliability Fixture RFQ_2009 04 24_Leopard_UniBOM_ME_0603-2 2 4" xfId="1877"/>
    <cellStyle name="_August-05_plforecastsample_X-BOX Console line setup budget and Buyer list" xfId="1878"/>
    <cellStyle name="_2006_0319 Ernestine_Cooper Cost Feedback_Quotebook_07SEP10" xfId="1879"/>
    <cellStyle name="差_Xl0000002_Leopard_UniBOM_ME_0603-2_Bolt RFQ Proposal_Foxlink_ (Pricing Summary) 2 25 2011 5 3" xfId="1880"/>
    <cellStyle name="_0522週品質管理週報_0530周設備妥善_八月份周直通率8d1_0607 M1 Manpower (含大本編制)" xfId="1881"/>
    <cellStyle name="_0522週品質管理週報_0530周設備妥善_八月份周直通率8d1_0733-0815M1 Manpower-3" xfId="1882"/>
    <cellStyle name="_0522週品質管理週報_0530周設備妥善_八月份周直通率8d1_0744-1031M1 Manpower" xfId="1883"/>
    <cellStyle name="_0522週品質管理週報_0530周設備妥善_八月份周直通率8d1_Book1" xfId="1884"/>
    <cellStyle name="差_Creak Pearl Reliability Fixture RFQ_2009 04 24_Pearl RFQ(Submittal)ver2_05_12_2009 _Leopard_UniBOM_ME_0603-2 3 3" xfId="1885"/>
    <cellStyle name="好_Bristol RFQ Cleansheet_template" xfId="1886"/>
    <cellStyle name="_PL Fcst_akl(Friday)_PL Fcst Jul 06-updated G&amp;A Value_X-BOX Console line setup budget and Buyer list" xfId="1887"/>
    <cellStyle name="_0522週品質管理週報_0530周設備妥善_八月份周直通率8d1_Book1_0607 M1 Manpower (含大本編制)" xfId="1888"/>
    <cellStyle name="_2005 04 DELL SMT Data2 -Process_DELL廠級目標dip(1月) EXC _DELL MB廠級目標_DELL制程課管理指標" xfId="1889"/>
    <cellStyle name="_Scrap 的 工作表" xfId="1890"/>
    <cellStyle name="_0522週品質管理週報_0530周設備妥善_八月份周直通率8d1_Book1_0733-0815M1 Manpower-3" xfId="1891"/>
    <cellStyle name="_0522週品質管理週報_0530周設備妥善_八月份周直通率8d1_Book1_0744-1031M1 Manpower" xfId="1892"/>
    <cellStyle name="_0522週品質管理週報_0536周周管審_0537周直通率8d1_0541周直通率8D_0607 M1 Manpower (含大本編制)" xfId="1893"/>
    <cellStyle name="_0522週品質管理週報_0530周設備妥善_八月份周直通率8d1_Book1_外包部人力編制" xfId="1894"/>
    <cellStyle name="_Flextronics Radon  Build Plan 4-27-2005_Line capacity plan to B17(2-27_Tester Demand Plan" xfId="1895"/>
    <cellStyle name="_Antenna Headcount &amp;  Product Process Time 2006_Copy of MOST Std - S1300 F2lines" xfId="1896"/>
    <cellStyle name="Normal 36 2" xfId="1897"/>
    <cellStyle name="Normal 41 2" xfId="1898"/>
    <cellStyle name="差_Creak Pearl Reliability Fixture RFQ_2009 04 24_Creek RFQ feedback 04_28_2009_FD Update_Leopard_UniBOM_ME_0531_Bolt RFQ_Foxlink_03.1 2011 3 2" xfId="1899"/>
    <cellStyle name="_Alvin Plastics RFQ Worksheets - Nypro 062807_Internal RFQ River Standalone  Bundle Unibom_v1 2_20080603_EJ_Stream Package Quotation_20090311" xfId="1900"/>
    <cellStyle name="Output 12 2 2" xfId="1901"/>
    <cellStyle name="_0526週品質管理週報_0536周周管審_0537周直通率8d_外包部人力編制" xfId="1902"/>
    <cellStyle name="_0522週品質管理週報_0530周設備妥善_八月份周直通率8d1_Book1_編制表" xfId="1903"/>
    <cellStyle name="好_River EE BOM_Xl0000000_Leopard_UniBOM_ME_0602 2 2 3" xfId="1904"/>
    <cellStyle name="_2005 04 DELL SMT Data2 -Process_DELL MB廠級目標_DELL MB廠級目標十一月 (4)" xfId="1905"/>
    <cellStyle name="好_River EE BOM_Creek RFQ feedback 04_28_2009_FD Update_Leopard UniBom_Foxlink_6 21 2010-ME_nego_Bolt RFQ_Foxlink_03.1 2011 3" xfId="1906"/>
    <cellStyle name="_0522週品質管理週報_0530周設備妥善_八月份周直通率8d1_Book1_複本 0541周周管審" xfId="1907"/>
    <cellStyle name="_0522週品質管理週報_0530周設備妥善_八月份周直通率8d1_Book1_複本 0541周周管審_0607 M1 Manpower (含大本編制)" xfId="1908"/>
    <cellStyle name="好_Creek EE BOM cost_20090425_Squirrel UniBom-06.23.2010_update_internal 3 3" xfId="1909"/>
    <cellStyle name="_0522週品質管理週報_0530周設備妥善_八月份周直通率8d1_Book1_複本 0541周周管審_0733-0815M1 Manpower-3" xfId="1910"/>
    <cellStyle name="_2005 04 DELL SMT Data2 -Process_DELL MB廠級目標 (2)_DELL MB廠級目標.xls 圖表 1_DELL MB廠級目標四月 _2007DELL SMT廠級目標KPI(MT)1" xfId="1911"/>
    <cellStyle name="好_River EE BOM_Creek RFQ feedback 04_28_2009_FD Update_Leopard RFQ ME BOM Costs-0618_Bolt RFQ_Foxlink_03.1 2011 3 2" xfId="1912"/>
    <cellStyle name="_0522週品質管理週報_0530周設備妥善_八月份周直通率8d1_Book1_複本 0541周周管審_外包部人力編制" xfId="1913"/>
    <cellStyle name="Date Short" xfId="1914"/>
    <cellStyle name="_0522週品質管理週報_0530周設備妥善_八月份周直通率8d1_Book1_複本 0541周周管審_編制表" xfId="1915"/>
    <cellStyle name="好_River EE BOM_Creak Pearl Reliability Fixture RFQ_2009 04 24_Creek RFQ feedback 04_28_2009_FD Update_Squirrel UniBom-06.23.2010_update_internal_Bolt RFQ_Foxlink_03.1 2011 3" xfId="1916"/>
    <cellStyle name="好_Creek Assembly Fixture  Test Equipment RFQ_20090427_Leopard Lemur Squirrel UniBom-06.22.2010_EE cost _update_internal_Bolt RFQ Proposal_Foxlink_ (Pricing Summary) 2 25 2011 4" xfId="1917"/>
    <cellStyle name="_2005 US Flex Forecast Ver2_X-BOX Console line setup budget and Buyer list" xfId="1918"/>
    <cellStyle name="_2005 US Flex Forecast Ver2_plforecastsample_X-BOX Console line setup budget and Buyer list" xfId="1919"/>
    <cellStyle name="差_Xl0000000_Squirrel RFQ ME BOM Costs-0623_Bolt RFQ Proposal_Foxlink_ (Pricing Summary) 2 25 2011 2 2 3" xfId="1920"/>
    <cellStyle name="差_Creak Pearl Reliability Fixture RFQ_2009 04 24_Xl0000002_Leopard_UniBOM_ME_0602-1_Bolt RFQ_Foxlink_03.1 2011 2" xfId="1921"/>
    <cellStyle name="_0522週品質管理週報_0530周設備妥善_八月份周直通率8d1_外包部人力編制" xfId="1922"/>
    <cellStyle name="_0522週品質管理週報_0530周設備妥善_八月份周直通率8d1_編制表" xfId="1923"/>
    <cellStyle name="_0522週品質管理週報_0530周設備妥善_八月份周直通率8d1_複本 0541周周管審_0607 M1 Manpower (含大本編制)" xfId="1924"/>
    <cellStyle name="好_River EE BOM_Creak Pearl Reliability Fixture RFQ_2009 04 24_Creek  Pearl RFQ_May 12_Bolt RFQ Proposal_Foxlink_ (Pricing Summary) 2 25 2011 2 2" xfId="1925"/>
    <cellStyle name="_Avaya SPICE demand on May-8-06 (based on ramp-up plan)_Line transition plan to B17 rev 5" xfId="1926"/>
    <cellStyle name="_8月月管審附件.xls 圖表 1_八月份周直通率8d1_0540周直通率8D1_複本 0541周周管審" xfId="1927"/>
    <cellStyle name="好_Creek Assembly Fixture  Test Equipment RFQ_20090427_Squirrel UniBom-06.23.2010_update_internal_Bolt RFQ Proposal_Foxlink_ (Pricing Summary) 2 25 2011" xfId="1928"/>
    <cellStyle name="Normal 4 5 6" xfId="1929"/>
    <cellStyle name="_0522週品質管理週報_0531周設備妥善_八月份周直通率8d1_複本 0541周周管審_外包部人力編制" xfId="1930"/>
    <cellStyle name="_0522週品質管理週報_0530周設備妥善_八月份周直通率8d1_複本 0541周周管審_0733-0815M1 Manpower-3" xfId="1931"/>
    <cellStyle name="Normal 9 12" xfId="1932"/>
    <cellStyle name="_2005 04 DELL SMT Data2 -Process_DELL廠級目標dip.EXC _DELL MB廠級目標_DELL制程課管理指標" xfId="1933"/>
    <cellStyle name="差_Squirrel UniBom-06.23.2010_update_internal 2 2 2" xfId="1934"/>
    <cellStyle name="差_pq_Leopard效益分析08-17" xfId="1935"/>
    <cellStyle name="好_River EE BOM_Creak Pearl Reliability Fixture RFQ_2009 04 24_Leopard Lemur Squirrel UniBom-06.22.2010_EE cost _update_internal_Bolt RFQ Proposal_Foxlink_ (Pricing Summary) 2 25 2011 3 3" xfId="1936"/>
    <cellStyle name="_0522週品質管理週報_0530周設備妥善_八月份周直通率8d1_複本 0541周周管審_0744-1031M1 Manpower" xfId="1937"/>
    <cellStyle name="_220071-78(Aug 103&amp;105)_X-BOX Console line setup budget and Buyer list" xfId="1938"/>
    <cellStyle name="_2005 04 DELL SMT Data2 -Process_DELL廠級目標dip EXC _DELL廠級目標dip(2月) EXC _DELL MB廠級目標  (2)_DELL MB廠級目標_HP制程課2007管理指標匯總-八月匯總" xfId="1939"/>
    <cellStyle name="_0522週品質管理週報_0530周設備妥善_八月份周直通率8d1_複本 0541周周管審_外包部人力編制" xfId="1940"/>
    <cellStyle name="_0522週品質管理週報_0531周設備妥善_8月SMT月管審 _0733-0815M1 Manpower-3" xfId="1941"/>
    <cellStyle name="_0522週品質管理週報_0530周設備妥善_八月份周直通率8d1_複本 0541周周管審_編制表" xfId="1942"/>
    <cellStyle name="_2006_0319 Ernestine_Cooper Cost Feedback_Quotebook_V3_07SEP11_Internal RFQ River Standalone  Bundle Unibom_v1 2_20080603_EJ_Stream Quotebook (Submittal)_POC2_20081117-1" xfId="1943"/>
    <cellStyle name="好_Creek Assembly Fixture  Test Equipment RFQ_20090427_Xl0000002_Squirrel UniBom-06.23.2010_update_internal_Bolt RFQ_Foxlink_03.1 2011 2" xfId="1944"/>
    <cellStyle name="_2005 04 DELL SMT Data2 -Process_2006日常管理目標.DIP _DELL廠級目標dip(2月) EXC _DELL MB廠級目標 _DELL MB廠級目標.xls 圖表 1_DELLTEAM入庫資料1" xfId="1945"/>
    <cellStyle name="差_Xl0000002_Leopard RFQ ME BOM Costs-0618-2_Bolt RFQ Proposal_Foxlink_ (Pricing Summary) 2 25 2011 3 3" xfId="1946"/>
    <cellStyle name="_Sales Breakdown Analysis 3_2009 xBOX ramp up budget code applicaiton" xfId="1947"/>
    <cellStyle name="_0522週品質管理週報_0530周設備妥善_複本 0541周周管審" xfId="1948"/>
    <cellStyle name="_0522週品質管理週報_0530周設備妥善_複本 0541周周管審_0607 M1 Manpower (含大本編制)" xfId="1949"/>
    <cellStyle name="好_River EE BOM_Creak Pearl Reliability Fixture RFQ_2009 04 24_Pearl RFQ(Submittal)ver2_05_12_2009 _Leopard Lemur Squirrel UniBom-06.22.2010_EE cost _update_internal 3" xfId="1950"/>
    <cellStyle name="_08FY01_Inventory Trend Summary" xfId="1951"/>
    <cellStyle name="差_Creak Pearl Reliability Fixture RFQ_2009 04 24_Creek RFQ feedback 04_28_2009_FD Update_Leopard RFQ ME BOM Costs-0618-2_Bolt RFQ_Foxlink_03.1 2011_nego meeting@MACH" xfId="1952"/>
    <cellStyle name="_0522週品質管理週報_0530周設備妥善_複本 0541周周管審_0733-0815M1 Manpower-3" xfId="1953"/>
    <cellStyle name="Normal 5 18" xfId="1954"/>
    <cellStyle name="Normal 5 23" xfId="1955"/>
    <cellStyle name="差_Creak Pearl Reliability Fixture RFQ_2009 04 24_Xl0000002_Leopard UniBom_Foxlink_6 21 2010-ME_nego_Bolt RFQ Proposal_Foxlink_ (Pricing Summary) 2 25 2011 2 2" xfId="1956"/>
    <cellStyle name="_2006_0406 Ernestine_Cooper tooling_Quotebook_V3_07SEP11" xfId="1957"/>
    <cellStyle name="差_Creak Pearl Reliability Fixture RFQ_2009 04 24_Creek  Pearl RFQ_May 12_Leopard_UniBOM_ME_0603-2_Bolt RFQ_Foxlink_03.1 2011_nego meeting@MACH 3" xfId="1958"/>
    <cellStyle name="_0522週品質管理週報_0530周設備妥善_複本 0541周周管審_0744-1031M1 Manpower" xfId="1959"/>
    <cellStyle name="_0522週品質管理週報_0530周設備妥善_複本 0541周周管審_外包部人力編制" xfId="1960"/>
    <cellStyle name="_2005 04 DELL SMT Data2 -Process_2006日常管理目標.DIP _DELL廠級目標dip(2月) EXC _BPI 8D-SMT-2月 (3)_DELL MB廠級目標.xls 圖表 1_DELL MB廠級目標四月 " xfId="1961"/>
    <cellStyle name="_0522週品質管理週報_0530周設備妥善_複本 0541周周管審_編制表" xfId="1962"/>
    <cellStyle name="_2005 US Flex Forecast Ver2_Forecast Template v2_2009 xBOX ramp up budget code applicaiton 300K --New May26 (3)" xfId="1963"/>
    <cellStyle name="差_Creak Pearl Reliability Fixture RFQ_2009 04 24_Leopard_UniBOM_ME_0602_Bolt RFQ_Foxlink_03.1 2011 4" xfId="1964"/>
    <cellStyle name="5_Vesuvius-CR NPI tracker0606-US" xfId="1965"/>
    <cellStyle name="_2005 04 DELL SMT Data2 -Process_DELL MB廠級目標 (2)_DELL MB廠級目標.xls 圖表 1_DELL MB廠級目標.重要不能刪_DELL MB廠級目標十一月 (4)" xfId="1966"/>
    <cellStyle name="_0522週品質管理週報_0531周設備妥善" xfId="1967"/>
    <cellStyle name="差_Xl0000000_Leopard Lemur Squirrel UniBom-06.22.2010_EE cost _update_internal 3 2" xfId="1968"/>
    <cellStyle name="_0522週品質管理週報_0531周設備妥善_0533周SMT周管審" xfId="1969"/>
    <cellStyle name="_0522週品質管理週報_0540周直通率8D1_複本 0541周周管審_0733-0815M1 Manpower-3" xfId="1970"/>
    <cellStyle name="_0522週品質管理週報_0531周設備妥善_0541周SMT周管審" xfId="1971"/>
    <cellStyle name="_0522週品質管理週報_0531周設備妥善_0536周SMT周管審" xfId="1972"/>
    <cellStyle name="差_Xl0000002_Foxlink_Shadow RFQ NREUni BOM_12032009 3 3" xfId="1973"/>
    <cellStyle name="好_River EE BOM_Creak Pearl Reliability Fixture RFQ_2009 04 24_Pearl RFQ(Submittal)ver2_05_12_2009 _Leopard_UniBOM_ME_0602-1_Bolt RFQ Proposal_Foxlink_ (Pricing Summary) 2 25 2011 3 2" xfId="1974"/>
    <cellStyle name="_0522週品質管理週報_0531周設備妥善_0537周SMT周管審" xfId="1975"/>
    <cellStyle name="_0522週品質管理週報_0531周設備妥善_0537周SMT周管審_0607 M1 Manpower (含大本編制)" xfId="1976"/>
    <cellStyle name="_0522週品質管理週報_0531周設備妥善_0537周SMT周管審_0733-0815M1 Manpower-3" xfId="1977"/>
    <cellStyle name="_0522週品質管理週報_0531周設備妥善_0537周SMT周管審_外包部人力編制" xfId="1978"/>
    <cellStyle name="好_Creek EE BOM cost_20090425_Leopard_UniBOM_ME_0603-2 3 3" xfId="1979"/>
    <cellStyle name="好_Creek EE BOM cost_20090425_Creek RFQ feedback 04_28_2009_FD Update_Leopard Lemur Squirrel UniBom-06.22.2010_EE cost _update_internal_Bolt RFQ_Foxlink_03.1 2011 2 3" xfId="1980"/>
    <cellStyle name="_43wk周報" xfId="1981"/>
    <cellStyle name="_38wk周報" xfId="1982"/>
    <cellStyle name="_0522週品質管理週報_0531周設備妥善_0537周SMT周管審_編制表" xfId="1983"/>
    <cellStyle name="差_Creak Pearl Reliability Fixture RFQ_2009 04 24_Xl0000002_Leopard_UniBOM_ME_0602-1_Bolt RFQ_Foxlink_03.1 2011_nego meeting@MACH 4" xfId="1984"/>
    <cellStyle name="_Sales Forecast (plastic XX)0703_Forecast Template v4" xfId="1985"/>
    <cellStyle name="_Sales Forecast (plastic XX)1203_Forecast Template v4" xfId="1986"/>
    <cellStyle name="_0522週品質管理週報_0531周設備妥善_0537周SMT周管審1" xfId="1987"/>
    <cellStyle name="_2005 04 DELL SMT Data2 -Process_DELL廠級目標dip.EXC _DELL MB廠級目標.xls 圖表 1_DELL MB廠級目標_DELL MB廠級目標十一月 (4)" xfId="1988"/>
    <cellStyle name="_overall Mulan PTK w28" xfId="1989"/>
    <cellStyle name="_0522週品質管理週報_0531周設備妥善_0537周SMT周管審1_0607 M1 Manpower (含大本編制)" xfId="1990"/>
    <cellStyle name="好_River EE BOM_Xl0000000_Foxlink_Shadow RFQ NREUni BOM_12032009_Bolt RFQ Proposal_Foxlink_ (Pricing Summary) 2 25 2011 2 2 3" xfId="1991"/>
    <cellStyle name="_0522週品質管理週報_0531周設備妥善_0537周SMT周管審1_0733-0815M1 Manpower-3" xfId="1992"/>
    <cellStyle name="好_Creek Assembly Fixture  Test Equipment RFQ_20090427_Leopard_UniBOM_ME_0602_Bolt RFQ_Foxlink_03.1 2011 2 2" xfId="1993"/>
    <cellStyle name="_0522週品質管理週報_0531周設備妥善_0537周SMT周管審1_0744-1031M1 Manpower" xfId="1994"/>
    <cellStyle name="_0522週品質管理週報_0531周設備妥善_0537周SMT周管審1_外包部人力編制" xfId="1995"/>
    <cellStyle name="_0522週品質管理週報_0531周設備妥善_0537周SMT周管審1_編制表" xfId="1996"/>
    <cellStyle name="好_River EE BOM_Creak Pearl Reliability Fixture RFQ_2009 04 24_Pearl RFQ(Submittal)ver2_05_12_2009 _Squirrel RFQ ME BOM Costs-0623_Bolt RFQ Proposal_Foxlink_ (Pricing Summary) 2 25 2011 2" xfId="1997"/>
    <cellStyle name="_0522週品質管理週報_0531周設備妥善_0537周直通率8d" xfId="1998"/>
    <cellStyle name="_0522週品質管理週報_0531周設備妥善_0538周周管審--FINl" xfId="1999"/>
    <cellStyle name="差_F3   SMT設備明細_Jackson 效益分析 testing update_16th Jan1_Jackson 效益分析 (2-1 B0 上系統)" xfId="2000"/>
    <cellStyle name="_Book4_2009 xBOX ramp up budget code applicaiton" xfId="2001"/>
    <cellStyle name="_2005 04 DELL SMT Data2 -Process_DELL廠級目標dip EXC _DELL廠級目標dip(2月) EXC _DELL MB廠級目標 _DELL MB廠級目標.xls 圖表 1_DELLTEAM入庫資料1_DELL MB廠級目標十一月 (4)" xfId="2002"/>
    <cellStyle name="_0522週品質管理週報_0531周設備妥善_0538周周管審--FINl_0607 M1 Manpower (含大本編制)" xfId="2003"/>
    <cellStyle name="_0522週品質管理週報_0531周設備妥善_0538周周管審--FINl_0733-0815M1 Manpower-3" xfId="2004"/>
    <cellStyle name="好_River EE BOM_Xl0000002_Leopard RFQ ME BOM Costs-0618_Bolt RFQ_Foxlink_03.1 2011_nego meeting@MACH 4" xfId="2005"/>
    <cellStyle name="好_Creek Assembly Fixture  Test Equipment RFQ_20090427_Squirrel UniBom-06.23.2010_update_internal_Bolt RFQ Proposal_Foxlink_ (Pricing Summary) 2 25 2011 4 2" xfId="2006"/>
    <cellStyle name="好_Creek EE BOM cost_20090425_Creek RFQ feedback 04_28_2009_FD Update_Leopard_UniBOM_ME_0602-1_Bolt RFQ Proposal_Foxlink_ (Pricing Summary) 2 25 2011 5" xfId="2007"/>
    <cellStyle name="好_Creek Assembly Fixture  Test Equipment RFQ_20090427 3 2" xfId="2008"/>
    <cellStyle name="_2005 04 DELL SMT Data2 -Process_2006日常管理目標.DIP _DELL MB廠級目標_DELL MB廠級目標.重要不能刪_DELL MB廠級目標十一月 (4)" xfId="2009"/>
    <cellStyle name="_0522週品質管理週報_0531周設備妥善_0538周周管審--FINl_0744-1031M1 Manpower" xfId="2010"/>
    <cellStyle name="_Consol Finance Slides_FY06 Xenon Console Other Mfg Costs Forecast - january v1" xfId="2011"/>
    <cellStyle name="好_Creek Assembly Fixture  Test Equipment RFQ_20090427_Xl0000002_Leopard Lemur Squirrel UniBom-06.22.2010_EE cost _update_internal_Bolt RFQ_Foxlink_03.1 2011 5" xfId="2012"/>
    <cellStyle name="_Sales Forecast (plastic XX)0703_Volume Fcst Jul 06-update HP _Tom OS ( Oct)_2009 xBOX ramp up budget code applicaiton 300K --New May27" xfId="2013"/>
    <cellStyle name="_Sales Forecast (plastic XX)1203_Volume Fcst Jul 06-update HP _Tom OS ( Oct)_2009 xBOX ramp up budget code applicaiton 300K --New May27" xfId="2014"/>
    <cellStyle name="_0522週品質管理週報_0531周設備妥善_0538周周管審--FINl_複本 0541周周管審_0744-1031M1 Manpower" xfId="2015"/>
    <cellStyle name="差_Creek RFQ feedback 04_28_2009_FD Update_Leopard UniBom_Foxlink_6 21 2010-ME_nego_Bolt RFQ Proposal_Foxlink_ (Pricing Summary) 2 25 2011 2 2 3" xfId="2016"/>
    <cellStyle name="_0522週品質管理週報_0531周設備妥善_0538周周管審--FINl_外包部人力編制" xfId="2017"/>
    <cellStyle name="_2005 04 DELL SMT Data2 -Process_DELL廠級目標dip EXC _DELL廠級目標dip(2月) EXC _BPI 8D-SMT-2月_DELL MB廠級目標.xls 圖表 1_DELL MB廠級目標四月 _DELL MB廠級目標十一月 (4)" xfId="2018"/>
    <cellStyle name="好_Creek Assembly Fixture  Test Equipment RFQ_20090427_Xl0000002_Leopard_UniBOM_ME_0602_Bolt RFQ Proposal_Foxlink_ (Pricing Summary) 2 25 2011 3 3" xfId="2019"/>
    <cellStyle name="_Final Otter-UniBOM_10-25-2005_Quotebook_07SEP10_Internal RFQ River Standalone  Bundle Unibom_v1 2_20080603_EJ 2" xfId="2020"/>
    <cellStyle name="_0522週品質管理週報_0531周設備妥善_0538周周管審--FINl_編制表" xfId="2021"/>
    <cellStyle name="_0522週品質管理週報_0531周設備妥善_0538周周管審--FINl_複本 0541周周管審" xfId="2022"/>
    <cellStyle name="好_Creek Assembly Fixture  Test Equipment RFQ_20090427_Xl0000002_Leopard RFQ ME BOM Costs-0618_Bolt RFQ_Foxlink_03.1 2011_nego meeting@MACH 3" xfId="2023"/>
    <cellStyle name="Normal - Style3" xfId="2024"/>
    <cellStyle name="_2005 04 DELL SMT Data2 -Process_DELL MB廠級目標  (2)_DELL MB廠級目標_DELL MB廠級目標" xfId="2025"/>
    <cellStyle name="40% - Accent4 6" xfId="2026"/>
    <cellStyle name="_0522週品質管理週報_0531周設備妥善_0538周周管審--FINl_複本 0541周周管審_0607 M1 Manpower (含大本編制)" xfId="2027"/>
    <cellStyle name="差_效益分析_flow chart 2009.12.12_Jackson 效益分析 (2-1 B0 上系統)" xfId="2028"/>
    <cellStyle name="一般 6 3 3" xfId="2029"/>
    <cellStyle name="_AWL SMT CT(HS60+GSM2)_awl線體需求計算5.25" xfId="2030"/>
    <cellStyle name="_0522週品質管理週報_0531周設備妥善_0538周周管審--FINl_複本 0541周周管審_0733-0815M1 Manpower-3" xfId="2031"/>
    <cellStyle name="_2006_0410 Ernestine_Cooper tooling and plastic price to MS_Quotebook_07SEP10_RFQ_River_BAFO_2008 0606_M1" xfId="2032"/>
    <cellStyle name="_Forecast - Segment-OCE-June06(1)_Forecast Template v2_2009 xBOX ramp up budget code applicaiton 300K --New May27" xfId="2033"/>
    <cellStyle name="_2005 04 DELL SMT Data2 -Process_2006日常管理目標.DIP _DELL廠級目標dip(2月) EXC _BPI 8D-SMT-2月 (3)_DELL MB廠級目標.xls 圖表 1_DELL MB廠級目標四月 _2007DELL SMT廠級目標KPI(MT)1" xfId="2034"/>
    <cellStyle name="_Mechanical Contribution Margins (Q1'06, applied to Apr'04 Fcst)_PL Forecast by segment-most final 0806_Copy of Tom OS ( Oct) new for LOG_2009 xBOX ramp up budget code applicaiton 300K --New May26 (3)" xfId="2035"/>
    <cellStyle name="_0522週品質管理週報_0531周設備妥善_0538周周管審--FINl_複本 0541周周管審_外包部人力編制" xfId="2036"/>
    <cellStyle name="_0526週品質管理週報_0507月設備妥善率8D1_0536周周管審_0536周直通率8d_複本 0541周周管審_編制表" xfId="2037"/>
    <cellStyle name="差_Creak Pearl Reliability Fixture RFQ_2009 04 24_Xl0000002_Bolt RFQ Proposal_Foxlink_ (Pricing Summary) 2 25 2011 3 3" xfId="2038"/>
    <cellStyle name="Enter Currency (0)" xfId="2039"/>
    <cellStyle name="_0522週品質管理週報_0531周設備妥善_0540周周管審" xfId="2040"/>
    <cellStyle name="_2005 04 DELL SMT Data2 -Process_DELL SMT 廠級目標KPI_DELL MB廠級目標_DELL MB廠級目標_DELL MB廠級目標十一月 (4)" xfId="2041"/>
    <cellStyle name="Normal 16 2 2 4" xfId="2042"/>
    <cellStyle name="Normal 21 2 2 4" xfId="2043"/>
    <cellStyle name="_2006_0410b Ernestine_Cooper tooling and plastic price to MS_Quotebook_V3_07SEP11_RFQ_River_BAFO_2008 0606_M1_Stream Package Quotation_20090311" xfId="2044"/>
    <cellStyle name="_BOM_BlueVox (Wiima) &amp; BCM2044 v03022007_Leopard_UniBOM_ME_0602 2" xfId="2045"/>
    <cellStyle name="_0526週品質管理週報_0507月設備妥善率8D1_0536周周管審_0538周周管審--FINl_0733-0815M1 Manpower-3" xfId="2046"/>
    <cellStyle name="差_jupite r設備&amp;治工具LIST (總)_pq_Flow Chart&amp;設備治工具清單 " xfId="2047"/>
    <cellStyle name="_Sales Forecast (plastic XX)0703_PL Forecast by segment-most final 0806_2009 xBOX ramp up budget code applicaiton 300K --New May26 (3)" xfId="2048"/>
    <cellStyle name="_Sales Forecast (plastic XX)1203_PL Forecast by segment-most final 0806_2009 xBOX ramp up budget code applicaiton 300K --New May26 (3)" xfId="2049"/>
    <cellStyle name="_0522週品質管理週報_0531周設備妥善_0540周周管審_0541周直通率8D" xfId="2050"/>
    <cellStyle name="_2005 04 DELL SMT Data2 -Process_2006日常管理目標.DIP _DELL廠級目標dip(2月) EXC _BPI 8D-SMT-2月_DELL MB廠級目標.xls 圖表 1_2007DELL SMT廠級目標KPI(MT)1" xfId="2051"/>
    <cellStyle name="Accent5 3 2" xfId="2052"/>
    <cellStyle name="_0522週品質管理週報_0531周設備妥善_0540周周管審_0541周直通率8D_0607 M1 Manpower (含大本編制)" xfId="2053"/>
    <cellStyle name="_0522週品質管理週報_0531周設備妥善_0540周周管審_0541周直通率8D_0733-0815M1 Manpower-3" xfId="2054"/>
    <cellStyle name="_0522週品質管理週報_0531周設備妥善_0540周周管審_0541周直通率8D_0744-1031M1 Manpower" xfId="2055"/>
    <cellStyle name="_0522週品質管理週報_0531周設備妥善_0540周周管審_0541周直通率8D_外包部人力編制" xfId="2056"/>
    <cellStyle name="好_River EE BOM_Creak Pearl Reliability Fixture RFQ_2009 04 24_Xl0000002_Leopard UniBom_Foxlink_6 21 2010-ME_nego_Bolt RFQ_Foxlink_03.1 2011_nego meeting@MACH 3" xfId="2057"/>
    <cellStyle name="_0522週品質管理週報_0531周設備妥善_0540周周管審_0541周直通率8D_編制表" xfId="2058"/>
    <cellStyle name="_0535週管審_複本 0541周周管審" xfId="2059"/>
    <cellStyle name="_0522週品質管理週報_0531周設備妥善_0540周周管審_0607 M1 Manpower (含大本編制)" xfId="2060"/>
    <cellStyle name="_0522週品質管理週報_0531周設備妥善_0540周周管審_0733-0815M1 Manpower-3" xfId="2061"/>
    <cellStyle name="_2005 04 DELL SMT Data2 -Process_DELL廠級目標dip(1月) EXC _DELL MB廠級目標.xls 圖表 1_MT 2007 KPI" xfId="2062"/>
    <cellStyle name="_184071 - FY05 Xbox Prepaid Inventory_Book5" xfId="2063"/>
    <cellStyle name="_Dec Freight analysis value_FY06 P7 CM Consigned RM" xfId="2064"/>
    <cellStyle name="_0522週品質管理週報_0531周設備妥善_0540周周管審_0744-1031M1 Manpower" xfId="2065"/>
    <cellStyle name="_2006_0317 Ernestine_Cooper Cost Feedback_Quotebook_V3_07SEP11_RFQ_River_BAFO_2008 0606_M1" xfId="2066"/>
    <cellStyle name="_2005 04 DELL SMT Data2 -Process_DELL MB廠級目標  (2)_2007DELL SMT廠級目標KPI(MT)1" xfId="2067"/>
    <cellStyle name="_0522週品質管理週報_0531周設備妥善_0540周周管審_外包部人力編制" xfId="2068"/>
    <cellStyle name="_0522週品質管理週報_0531周設備妥善_0540周周管審_編制表" xfId="2069"/>
    <cellStyle name="_0522週品質管理週報_0531周設備妥善_0540周周管審_複本 0541周周管審" xfId="2070"/>
    <cellStyle name="差_HP  專案(設備&amp;治工具需夠買)update_MS Bolt wireless mouse FixtureEquipment Cost_A5_2010_02_21_Bolt RFQ Proposal_Foxlink_ (Pricing Summary) 2 25 2011 3 3" xfId="2071"/>
    <cellStyle name="_0522週品質管理週報_0531周設備妥善_0540周周管審_複本 0541周周管審_0607 M1 Manpower (含大本編制)" xfId="2072"/>
    <cellStyle name="_0522週品質管理週報_0531周設備妥善_0540周周管審_複本 0541周周管審_0733-0815M1 Manpower-3" xfId="2073"/>
    <cellStyle name="_0522週品質管理週報_0531周設備妥善_0540周周管審_複本 0541周周管審_0744-1031M1 Manpower" xfId="2074"/>
    <cellStyle name="_Flex Mechanicals Doumen Sales forecast - Jan 06 updated._Volume Fcst 1006 updated_2009 xBOX ramp up budget code applicaiton 300K --New May27" xfId="2075"/>
    <cellStyle name="_0522週品質管理週報_0531周設備妥善_0540周周管審_複本 0541周周管審_外包部人力編制" xfId="2076"/>
    <cellStyle name="差_foxlink Bristol for 10063D-2010-10-11_Bristol RFQ response _20101102_internal (4)_Bristol MP quote update_08182011_MS" xfId="2077"/>
    <cellStyle name="好_Creek Assembly Fixture  Test Equipment RFQ_20090427_Leopard_UniBOM_ME_0602-1_Bolt RFQ_Foxlink_03.1 2011_nego meeting@MACH 3 2" xfId="2078"/>
    <cellStyle name="_2008年營運績效_v4_20090105_2010銷售明細實績-201006" xfId="2079"/>
    <cellStyle name="_0522週品質管理週報_0531周設備妥善_0540周周管審_複本 0541周周管審_編制表" xfId="2080"/>
    <cellStyle name="差_~5631336_Jackson 效益分析 (2-1 B0 上系統)_squirrel效益分析08-17" xfId="2081"/>
    <cellStyle name="_220071-78(Aug 103&amp;105)_X-BOX BB" xfId="2082"/>
    <cellStyle name="_FY06 Q2 FDM Costed BOM Final rev1" xfId="2083"/>
    <cellStyle name="_0522週品質管理週報_0531周設備妥善_0540周直通率8D1" xfId="2084"/>
    <cellStyle name="好_River EE BOM_Creak Pearl Reliability Fixture RFQ_2009 04 24_Creek  Pearl RFQ_May 12_Squirrel RFQ ME BOM Costs-0623_Bolt RFQ_Foxlink_03.1 2011 2" xfId="2085"/>
    <cellStyle name="差_治具工程課2009年KPI_HP 2 2 2 2" xfId="2086"/>
    <cellStyle name="好_Creek EE BOM cost_20090425_Creek RFQ feedback 04_28_2009_FD Update_Leopard_UniBOM_ME_0603-2 3 3" xfId="2087"/>
    <cellStyle name="好_River EE BOM_Creek RFQ feedback 04_28_2009_FD Update_Squirrel UniBom-06.23.2010_update_internal_Bolt RFQ Proposal_Foxlink_ (Pricing Summary) 2 25 2011 3 3" xfId="2088"/>
    <cellStyle name="_184071 - RMA Review (3)_P2 Waynea review" xfId="2089"/>
    <cellStyle name="_0522週品質管理週報_0531周設備妥善_0541周SMT周管審_0607 M1 Manpower (含大本編制)" xfId="2090"/>
    <cellStyle name="_Flex Mechanicals Doumen Sales forecast - Jan.06_Volume Fcst Jul 06-update HP _Copy of Tom OS ( Oct) new for LOG_2009 xBOX ramp up budget code applicaiton 300K --New May26 (3)" xfId="2091"/>
    <cellStyle name="_0522週品質管理週報_0531周設備妥善_0541周SMT周管審_0733-0815M1 Manpower-3" xfId="2092"/>
    <cellStyle name="_0522週品質管理週報_0531周設備妥善_0541周SMT周管審_0744-1031M1 Manpower" xfId="2093"/>
    <cellStyle name="_0522週品質管理週報_0531周設備妥善_0541周SMT周管審_外包部人力編制" xfId="2094"/>
    <cellStyle name="_2005 04 DELL SMT Data2 -Process_2006日常管理目標.DIP _DELL廠級目標dip(2月) EXC _DELL MB廠級目標 (2)_DELL MB廠級目標.xls 圖表 1_DELL MB廠級目標四月 _2007DELL SMT廠級目標KPI(MT)1" xfId="2095"/>
    <cellStyle name="_Biz Ops By Stream_Book5" xfId="2096"/>
    <cellStyle name="_Actual P&amp;L_Computing Apr &amp; May_Forecast Template v4" xfId="2097"/>
    <cellStyle name="差_Erie mouse 效益分析( 11-19 A1)_Flow Chart&amp;設備治工具清單 _Leopard Flowchart &amp; 產能評估" xfId="2098"/>
    <cellStyle name="_RM And FG Open POa_FY06 P7 CM Consigned RM" xfId="2099"/>
    <cellStyle name="_0522週品質管理週報_0531周設備妥善_0541周SMT周管審_編制表" xfId="2100"/>
    <cellStyle name="_0522週品質管理週報_0531周設備妥善_0541周直通率8D" xfId="2101"/>
    <cellStyle name="差_Xl0000000_Leopard Lemur Squirrel UniBom-06.22.2010_EE cost _update_internal 3" xfId="2102"/>
    <cellStyle name="_0522週品質管理週報_0531周設備妥善_8月SMT月管審 " xfId="2103"/>
    <cellStyle name="_BOM_BlueVox (Wiima) &amp; BCM2044 v03022007_Pearl RFQ template(assembly fixtures) (4) 2" xfId="2104"/>
    <cellStyle name="_0522週品質管理週報_0531周設備妥善_8月SMT月管審 _0607 M1 Manpower (含大本編制)" xfId="2105"/>
    <cellStyle name="好_River EE BOM_Xl0000002_Leopard_UniBOM_ME_0603-2_Bolt RFQ Proposal_Foxlink_ (Pricing Summary) 2 25 2011" xfId="2106"/>
    <cellStyle name="好_River EE BOM_Xl0000000_Squirrel UniBom-06.23.2010_update_internal_Bolt RFQ_Foxlink_03.1 2011_nego meeting@MACH 2 2" xfId="2107"/>
    <cellStyle name="好_River EE BOM_Xl0000000_Leopard_UniBOM_ME_0602-1 2 4" xfId="2108"/>
    <cellStyle name="_8月月管審附件.xls 圖表 1_八月份周直通率8d1_0540周直通率8D1" xfId="2109"/>
    <cellStyle name="Accent3 2 3" xfId="2110"/>
    <cellStyle name="_0522週品質管理週報_0531周設備妥善_8月SMT月管審 _編制表" xfId="2111"/>
    <cellStyle name="_0530周周管審_八月份周直通率8d1_0540周直通率8D1_複本 0541周周管審_外包部人力編制" xfId="2112"/>
    <cellStyle name="_0522週品質管理週報_0531周設備妥善_Book1" xfId="2113"/>
    <cellStyle name="_0522週品質管理週報_0531周設備妥善_Book1_0733-0815M1 Manpower-3" xfId="2114"/>
    <cellStyle name="好_foxlink Bristol for 10063D-2010-10-11_Bristol ME parts tooling cost 20101022 updated_Bristol TC Estimate Update 07292011_internal from Tony" xfId="2115"/>
    <cellStyle name="_2006_0317 Ernestine_Cooper Cost Feedback_Quotebook_07SEP10_BlueAnt_Quotebook_V3_07SEP11_RFQ_River_BAFO_2008 0606_M1_Stream Package Quotation_20090311" xfId="2116"/>
    <cellStyle name="_0535週管審_八月份周直通率8d1_0538周周管審--FINl_複本 0541周周管審" xfId="2117"/>
    <cellStyle name="60% - Accent6 15" xfId="2118"/>
    <cellStyle name="_0522週品質管理週報_0531周設備妥善_Book1_0744-1031M1 Manpower" xfId="2119"/>
    <cellStyle name="_2005 04 DELL SMT Data2 -Process_DELL SMT 廠級目標KPI_DELL MB廠級目標.xls 圖表 1_DELL MB廠級目標.重要不能刪" xfId="2120"/>
    <cellStyle name="差_Creak Pearl Reliability Fixture RFQ_2009 04 24_Pearl RFQ(Submittal)ver2_05_12_2009  2 2 2" xfId="2121"/>
    <cellStyle name="_0522週品質管理週報_0531周設備妥善_Book1_外包部人力編制" xfId="2122"/>
    <cellStyle name="_2005 04 DELL SMT Data2 -Process_2006日常管理目標.DIP _DELL MB廠級目標.xls 圖表 1_DELL MB廠級目標" xfId="2123"/>
    <cellStyle name="_0522週品質管理週報_0531周設備妥善_Book1_編制表" xfId="2124"/>
    <cellStyle name="好_River EE BOM_Xl0000002_Leopard_UniBOM_ME_0603-2_Bolt RFQ Proposal_Foxlink_ (Pricing Summary) 2 25 2011 6" xfId="2125"/>
    <cellStyle name="20% - 輔色5 2" xfId="2126"/>
    <cellStyle name="_0522週品質管理週報_0531周設備妥善_Book1_複本 0541周周管審" xfId="2127"/>
    <cellStyle name="差_效益分析&amp;產能評估_M1 Bolt wireless mouse FixtureEquipment Cost_A2_2010_12_07_Bolt RFQ Proposal_Foxlink_ (Pricing Summary) 2 25 2011 4 3" xfId="2128"/>
    <cellStyle name="差_Creak Pearl Reliability Fixture RFQ_2009 04 24_Xl0000002_Leopard_UniBOM_ME_0602-1_Bolt RFQ Proposal_Foxlink_ (Pricing Summary) 2 25 2011 2 2" xfId="2129"/>
    <cellStyle name="_0522週品質管理週報_0531周設備妥善_Book1_複本 0541周周管審_0607 M1 Manpower (含大本編制)" xfId="2130"/>
    <cellStyle name="_0522週品質管理週報_0531周設備妥善_Book1_複本 0541周周管審_0733-0815M1 Manpower-3" xfId="2131"/>
    <cellStyle name="_PPV ALLOCATION-Nov04_Gutenberg Development Pricing_Erie  Mouse RFQ Pricing IE" xfId="2132"/>
    <cellStyle name="_2005 04 DELL SMT Data2 -Process_DELL廠級目標dip(2月) EXC _DELL MB廠級目標_DELL MB廠級目標四月 _2007DELL SMT廠級目標KPI(MT)1" xfId="2133"/>
    <cellStyle name="_0522週品質管理週報_0531周設備妥善_Book1_複本 0541周周管審_0744-1031M1 Manpower" xfId="2134"/>
    <cellStyle name="好_River EE BOM_Xl0000002_Foxlink_Shadow RFQ NREUni BOM_12032009 2 4" xfId="2135"/>
    <cellStyle name="_x001e__Project A Riskbuy list 20100201" xfId="2136"/>
    <cellStyle name="_0522週品質管理週報_0531周設備妥善_Book1_複本 0541周周管審_外包部人力編制" xfId="2137"/>
    <cellStyle name="_0522週品質管理週報_0531周設備妥善_Book1_複本 0541周周管審_編制表" xfId="2138"/>
    <cellStyle name="差_Xl0000002_Leopard RFQ ME BOM Costs-0618_Bolt RFQ Proposal_Foxlink_ (Pricing Summary) 2 25 2011 3 3" xfId="2139"/>
    <cellStyle name="好_River EE BOM_Xl0000002_Leopard RFQ ME BOM Costs-0618_Bolt RFQ_Foxlink_03.1 2011 3 3" xfId="2140"/>
    <cellStyle name="_0522週品質管理週報_0531周設備妥善_九月份直通率8D" xfId="2141"/>
    <cellStyle name="_0522週品質管理週報_0531周設備妥善_九月份直通率8D1" xfId="2142"/>
    <cellStyle name="差_Creak Pearl Reliability Fixture RFQ_2009 04 24_Pearl RFQ(Submittal)ver2_05_12_2009  2 2 3" xfId="2143"/>
    <cellStyle name="差_0842周 顯卡報廢超標8D_2009MB KPI_MBO3F製造部hp0209-01" xfId="2144"/>
    <cellStyle name="Encabez1" xfId="2145"/>
    <cellStyle name="_0522週品質管理週報_0531周設備妥善_八月份周直通率8d1" xfId="2146"/>
    <cellStyle name="_0522週品質管理週報_0531周設備妥善_八月份周直通率8d1_0538周周管審--FINl" xfId="2147"/>
    <cellStyle name="好_Creek EE BOM cost_20090425_Leopard_UniBOM_ME_0603-2_Bolt RFQ_Foxlink_03.1 2011_nego meeting@MACH 4" xfId="2148"/>
    <cellStyle name="_0522週品質管理週報_0531周設備妥善_八月份周直通率8d1_0538周周管審--FINl_0733-0815M1 Manpower-3" xfId="2149"/>
    <cellStyle name="_2006_0412 Ernestine_Cooper tooling and plastic price to MS_JC_Quotebook_07SEP10_BlueAnt_Quotebook_V3_07SEP11_RFQ_River_BAFO_2008 0606_M1" xfId="2150"/>
    <cellStyle name="_Mechanical Contribution Margins forecast 0506 FP_Volume Fcst 1006 updated_Copy of Tom OS ( Oct) new for LOG_2009 xBOX ramp up budget code applicaiton" xfId="2151"/>
    <cellStyle name="壞_Creek EE BOM cost_20090425_Creek RFQ feedback 04_28_2009_FD Update_Leopard UniBom_Foxlink_6 21 2010-ME_nego_Bolt RFQ_Foxlink_03.1 2011_nego meeting@MACH 2" xfId="2152"/>
    <cellStyle name="_2006_0410b Ernestine_Cooper tooling and plastic price to MS_Quotebook_07SEP10_RFQ_River_BAFO_2008 0606_M1 2" xfId="2153"/>
    <cellStyle name="40% - 强调文字颜色 5 2 3 2" xfId="2154"/>
    <cellStyle name="_2005 04 DELL SMT Data2 -Process_DELL廠級目標dip EXC _DELL MB廠級目標_DELL制程課管理目標 (4)" xfId="2155"/>
    <cellStyle name="_Ernestine Parts Budgetary Quote - LA (20060319)_Internal RFQ River Standalone  Bundle Unibom_v1 2_20080603_EJ 2" xfId="2156"/>
    <cellStyle name="差_Xl0000002_Leopard RFQ ME BOM Costs-0618_Bolt RFQ_Foxlink_03.1 2011 2" xfId="2157"/>
    <cellStyle name="_0522週品質管理週報_0531周設備妥善_八月份周直通率8d1_0538周周管審--FINl_0744-1031M1 Manpower" xfId="2158"/>
    <cellStyle name="_0522週品質管理週報_0531周設備妥善_八月份周直通率8d1_0538周周管審--FINl_外包部人力編制" xfId="2159"/>
    <cellStyle name="_Book2_Volume Fcst 1006 updated_Tom OS ( Oct)_Budget GC Other Form" xfId="2160"/>
    <cellStyle name="_0522週品質管理週報_0531周設備妥善_八月份周直通率8d1_0538周周管審--FINl_複本 0541周周管審_0607 M1 Manpower (含大本編制)" xfId="2161"/>
    <cellStyle name="好_Creek EE BOM cost_20090425_Creek RFQ feedback 04_28_2009_FD Update_Leopard_UniBOM_ME_0602-1_Bolt RFQ_Foxlink_03.1 2011_nego meeting@MACH 2 2" xfId="2162"/>
    <cellStyle name="_Flex Mechanicals Doumen Sales forecast - Jan 06 updated._Volume Fcst 1006 updated_Copy of Tom OS ( Oct) new for LOG_X-BOX Console line setup budget 20080414" xfId="2163"/>
    <cellStyle name="_2006_0410b Ernestine_Cooper tooling and plastic price to MS_Internal RFQ River Standalone  Bundle Unibom_v1 2_20080603_EJ_Stream Quotebook(Submittal)_POC1_20080903" xfId="2164"/>
    <cellStyle name="_FY02 Budget Summary Select Version 25th No CDR FINAL ver2_P6 Si Ops review (2)" xfId="2165"/>
    <cellStyle name="差_效益分析" xfId="2166"/>
    <cellStyle name="_Flex Mechanicals Doumen Sales forecast - Jan.06_Copy of Tom OS ( Oct) new for LOG_X-BOX Console line setup budget 20080414" xfId="2167"/>
    <cellStyle name="_0526週品質管理週報_0530周設備妥善_八月份周直通率8d1_Book1_0733-0815M1 Manpower-3" xfId="2168"/>
    <cellStyle name="_Fcst March_06(Revised 2.)_Volume Fcst Jul 06-update HP _X-BOX Console line setup budget 20080414" xfId="2169"/>
    <cellStyle name="_0522週品質管理週報_0531周設備妥善_八月份周直通率8d1_0538周周管審--FINl_複本 0541周周管審_0733-0815M1 Manpower-3" xfId="2170"/>
    <cellStyle name="差_F3   SMT設備明細_jupite r設備&amp;治工具LIST (總)_Flow Chart&amp;PQ分析(12-1)_Jackson 效益分析 testing update_16th Jan1_Jackson 效益分析 (2-1 B0 上系統)_Leopard效益分析08-17" xfId="2171"/>
    <cellStyle name="_0522週品質管理週報_0531周設備妥善_八月份周直通率8d1_0538周周管審--FINl_複本 0541周周管審_0744-1031M1 Manpower" xfId="2172"/>
    <cellStyle name="_2006_0412 Ernestine_Cooper tooling and plastic price to MS_JC_Stream RFQ Unibom--0626-1756_Stream Package Quotation_20090311" xfId="2173"/>
    <cellStyle name="差_Xl0000002_Leopard_UniBOM_ME_0602-1_Bolt RFQ Proposal_Foxlink_ (Pricing Summary) 2 25 2011 4 2" xfId="2174"/>
    <cellStyle name="_Mechanical Contribution Margins (Q1'06, applied to Apr'04 Fcst)_Mechanical Contribution Margins forecast 0506 FP_PL Forecast by segment-most final 0806_Tom OS ( Oct)_X-BOX Console line setup budget and Buyer list" xfId="2175"/>
    <cellStyle name="_8001" xfId="2176"/>
    <cellStyle name="差_Creak Pearl Reliability Fixture RFQ_2009 04 24_Creek  Pearl RFQ_May 12_Squirrel RFQ ME BOM Costs-0623_Bolt RFQ_Foxlink_03.1 2011 5" xfId="2177"/>
    <cellStyle name="_Fcst March_06(Revised 2.)_Tom OS ( Oct)_Budget GC Other Form" xfId="2178"/>
    <cellStyle name="_2006_0317 Ernestine_Cooper Cost Feedback_Stream RFQ Unibom--0626-1756_Stream Quotebook(Submittal)_POC1_20080903 2" xfId="2179"/>
    <cellStyle name="好_River EE BOM_Creek RFQ feedback 04_28_2009_FD Update_Squirrel RFQ ME BOM Costs-0623_Bolt RFQ Proposal_Foxlink_ (Pricing Summary) 2 25 2011 3 2" xfId="2180"/>
    <cellStyle name="_0526週品質管理週報_0530周設備妥善_八月份周直通率8d1_Book1_外包部人力編制" xfId="2181"/>
    <cellStyle name="_0522週品質管理週報_0531周設備妥善_八月份周直通率8d1_0538周周管審--FINl_複本 0541周周管審_外包部人力編制" xfId="2182"/>
    <cellStyle name="_0522週品質管理週報_Book1_編制表" xfId="2183"/>
    <cellStyle name="_0522週品質管理週報_0536周周管審_0538周周管審--FINl_外包部人力編制" xfId="2184"/>
    <cellStyle name="_FCT Pareto By Line-Aug 11th(DEV01286-5)_yield report for DEV0xxxx " xfId="2185"/>
    <cellStyle name="_CEBU 2008年損益目標試算_v7_20081107" xfId="2186"/>
    <cellStyle name="_0522週品質管理週報_0531周設備妥善_八月份周直通率8d1_0540周直通率8D1_0733-0815M1 Manpower-3" xfId="2187"/>
    <cellStyle name="_11-May 2001_FY06 P7 XBox 360 Mfg Var - Close Pack" xfId="2188"/>
    <cellStyle name="_2006_0412 Ernestine_Cooper tooling and plastic price to MS_JC_Erie  Mouse RFQ Pricing IE" xfId="2189"/>
    <cellStyle name="_MCT Error Description (3.18)_yield report for DEV0xxxx(Jasper DV2) " xfId="2190"/>
    <cellStyle name="好_River EE BOM_Creek RFQ feedback 04_28_2009_FD Update_Leopard RFQ ME BOM Costs-0618_Bolt RFQ Proposal_Foxlink_ (Pricing Summary) 2 25 2011 3" xfId="2191"/>
    <cellStyle name="_0522週品質管理週報_0531周設備妥善_八月份周直通率8d1_0540周直通率8D1_0744-1031M1 Manpower" xfId="2192"/>
    <cellStyle name="好_River EE BOM_Creak Pearl Reliability Fixture RFQ_2009 04 24_Creek  Pearl RFQ_May 12_Leopard RFQ ME BOM Costs-0618_Bolt RFQ_Foxlink_03.1 2011_nego meeting@MACH 3 2" xfId="2193"/>
    <cellStyle name="_Forecast - Segment WVJune06_Forecast Template v2_X-BOX Console line setup budget 20080414" xfId="2194"/>
    <cellStyle name="_0522週品質管理週報_0531周設備妥善_八月份周直通率8d1_0540周直通率8D1_外包部人力編制" xfId="2195"/>
    <cellStyle name="差_Creak Pearl Reliability Fixture RFQ_2009 04 24_Foxlink_Shadow RFQ NREUni BOM_12032009_Bolt RFQ Proposal_Foxlink_ (Pricing Summary) 2 25 2011 3 3" xfId="2196"/>
    <cellStyle name="Normal 46 5" xfId="2197"/>
    <cellStyle name="Normal 51 5" xfId="2198"/>
    <cellStyle name="_0522週品質管理週報_0531周設備妥善_八月份周直通率8d1_0540周直通率8D1_編制表" xfId="2199"/>
    <cellStyle name="_2006_0412 Ernestine_Cooper tooling and plastic price to MS_JC_Quotebook_07SEP10_BlueAnt_Quotebook_V3_07SEP11_Internal RFQ River Standalone  Bundle Unibom_v1 2_20080603_EJ" xfId="2200"/>
    <cellStyle name="差_HP Mouse 產能評估(上系統)_Erie 效益分析(8-27)_Jackson 效益分析 (2-1 B0 上系統)" xfId="2201"/>
    <cellStyle name="差_HP Mouse 產能評估(Forecast更改後)_費用統計_Jackson 效益分析 (2-1 B0 上系統)_Leopard Flowchart &amp; 產能評估" xfId="2202"/>
    <cellStyle name="_0535週管審_九月份直通率8D" xfId="2203"/>
    <cellStyle name="_MOTO SLIC300MP FOB HK Transport Pricing Targe Vol (R2)" xfId="2204"/>
    <cellStyle name="差_jupite r設備&amp;治工具LIST (總)_Dallas flow chart&amp;設備&amp;治工具清單(12-8 A0)_Flow Chart&amp;設備治工具清單 _Jackson 效益分析 (2-1 B0 上系統)" xfId="2205"/>
    <cellStyle name="_supplier contact way (2)_MOST Std - Project A BB Line_Nazca copy exact flow chart 20120409" xfId="2206"/>
    <cellStyle name="_0522週品質管理週報_0531周設備妥善_八月份周直通率8d1_0540周直通率8D1_複本 0541周周管審_0607 M1 Manpower (含大本編制)" xfId="2207"/>
    <cellStyle name="差_Creak Pearl Reliability Fixture RFQ_2009 04 24_Creek RFQ feedback 04_28_2009_FD Update_Leopard RFQ ME BOM Costs-0618 3" xfId="2208"/>
    <cellStyle name="_Z9i_Quotebook_(Worksheet)_V4_Internal RFQ River Standalone  Bundle Unibom_v1 2_20080603_EJ_Stream Quotebook(Submittal)_POC1_20080903 2" xfId="2209"/>
    <cellStyle name="_Flextronics Radon  Build Plan 4-27-2005_Line transition plan to B17_Scenario 2 of recovery until 1116" xfId="2210"/>
    <cellStyle name="_0522週品質管理週報_0531周設備妥善_八月份周直通率8d1_0540周直通率8D1_複本 0541周周管審" xfId="2211"/>
    <cellStyle name="_0522週品質管理週報_0541周直通率8D" xfId="2212"/>
    <cellStyle name="好_River EE BOM_Creek RFQ feedback 04_28_2009_FD Update_Leopard RFQ ME BOM Costs-0618-2_Bolt RFQ_Foxlink_03.1 2011_nego meeting@MACH 3 2" xfId="2213"/>
    <cellStyle name="_0522週品質管理週報_0531周設備妥善_八月份周直通率8d1_0540周直通率8D1_複本 0541周周管審_0733-0815M1 Manpower-3" xfId="2214"/>
    <cellStyle name="_0522週品質管理週報_0531周設備妥善_八月份周直通率8d1_0540周直通率8D1_複本 0541周周管審_0744-1031M1 Manpower" xfId="2215"/>
    <cellStyle name="_2005 04 DELL SMT Data2 -Process_DELL廠級目標dip.EXC _DELL廠級目標dip(2月) EXC _BPI 8D-SMT-2月 (3)_DELL MB廠級目標_DELLTEAM入庫資料1_DELL MB廠級目標十一月 (4)" xfId="2216"/>
    <cellStyle name="差_Creak Pearl Reliability Fixture RFQ_2009 04 24_Creek RFQ feedback 04_28_2009_FD Update_Leopard_UniBOM_ME_0531_Bolt RFQ Proposal_Foxlink_ (Pricing Summary) 2 25 2011 3 2" xfId="2217"/>
    <cellStyle name="_Accessories DCRM6 Rollup v.8_32306_newvolumes" xfId="2218"/>
    <cellStyle name="20% - 强调文字颜色 2 2 2 3" xfId="2219"/>
    <cellStyle name="_Mechanical Contribution Margins forecast 0506 FP_Copy of Tom OS ( Oct) new for LOG_Budget GC Other Form" xfId="2220"/>
    <cellStyle name="_2005 04 DELL SMT Data2 -Process_DELL SMT 廠級目標KPI_DELL MB廠級目標十一月 (4)" xfId="2221"/>
    <cellStyle name="_0522週品質管理週報_0531周設備妥善_八月份周直通率8d1_0540周直通率8D1_複本 0541周周管審_外包部人力編制" xfId="2222"/>
    <cellStyle name="_Flex Mechanicals Doumen Sales forecast - Jan.06_PL Forecast by segment-most final 0806_Copy of Tom OS ( Oct) new for LOG_Forecast Template v4" xfId="2223"/>
    <cellStyle name="_0522週品質管理週報_0531周設備妥善_八月份周直通率8d1_0540周直通率8D1_複本 0541周周管審_編制表" xfId="2224"/>
    <cellStyle name="差_F3   SMT設備明細_Erie 效益分析 (Update)_~5631336_Jackson 效益分析 (2-1 B0 上系統)" xfId="2225"/>
    <cellStyle name="_apple BTHS quot C3 V1.5" xfId="2226"/>
    <cellStyle name="_Sales Forecast (plastic XX)0703_Volume Fcst Jul 06-update HP _Budget GC Other Form" xfId="2227"/>
    <cellStyle name="_Sales Forecast (plastic XX)1203_Volume Fcst Jul 06-update HP _Budget GC Other Form" xfId="2228"/>
    <cellStyle name="差_F3   SMT設備明細_jupite r設備&amp;治工具LIST (總)_Dallas flow chart&amp;設備&amp;治工具清單(12-8 A0)_Flow chart and Fixture(Jackson)_A1" xfId="2229"/>
    <cellStyle name="_2006_0319 Ernestine_Cooper Cost Feedback_Quotebook_V3_07SEP11_RFQ_River_BAFO_2008 0606_M1_Stream Quotebook (Submittal)_POC2_20081117-1" xfId="2230"/>
    <cellStyle name="好_River EE BOM_Xl0000000_Leopard_UniBOM_ME_0603-2_Bolt RFQ Proposal_Foxlink_ (Pricing Summary) 2 25 2011 3" xfId="2231"/>
    <cellStyle name="_0522週品質管理週報_0531周設備妥善_八月份周直通率8d1_0541周直通率8D" xfId="2232"/>
    <cellStyle name="差_Creak Pearl Reliability Fixture RFQ_2009 04 24_Leopard RFQ ME BOM Costs-0618-2_Bolt RFQ Proposal_Foxlink_ (Pricing Summary) 2 25 2011 2 4" xfId="2233"/>
    <cellStyle name="_0522週品質管理週報_0531周設備妥善_八月份周直通率8d1_0541周直通率8D_0607 M1 Manpower (含大本編制)" xfId="2234"/>
    <cellStyle name="差_F3   SMT設備明細_MS Bolt wireless mouse FixtureEquipment Cost_A5_2010_02_21_Bolt RFQ_Foxlink_03.1 2011_nego meeting@MACH" xfId="2235"/>
    <cellStyle name="好_River EE BOM_Creak Pearl Reliability Fixture RFQ_2009 04 24_Pearl RFQ(Submittal)ver2_05_12_2009 _Jackson and Shadow BOM cost_mainfile_2010 0324 rev.1_Leopard UniBom_Foxlink_12272010 RevF_shirley" xfId="2236"/>
    <cellStyle name="_0522週品質管理週報_0531周設備妥善_八月份周直通率8d1_0541周直通率8D_0733-0815M1 Manpower-3" xfId="2237"/>
    <cellStyle name="_FCT Pareto By Line-July 16th X808665-001-DEV01282-5-1_TS3 80 6 Yield Tracking 0502 update" xfId="2238"/>
    <cellStyle name="_2005 04 DELL SMT Data2 -Process_BPI 8D-SMT-2月 (3)_DELL MB廠級目標_2007DELL SMT廠級目標KPI(MT)1" xfId="2239"/>
    <cellStyle name="_0522週品質管理週報_0531周設備妥善_八月份周直通率8d1_0541周直通率8D_0744-1031M1 Manpower" xfId="2240"/>
    <cellStyle name="_0522週品質管理週報_0531周設備妥善_八月份周直通率8d1_0541周直通率8D_外包部人力編制" xfId="2241"/>
    <cellStyle name="Emphasis 2" xfId="2242"/>
    <cellStyle name="Calculation 12 2" xfId="2243"/>
    <cellStyle name="_0522週品質管理週報_0531周設備妥善_八月份周直通率8d1_0541周直通率8D_編制表" xfId="2244"/>
    <cellStyle name="_2006_0409 Ernestine_Cooper tooling_RFQ_River_BAFO_2008 0606_M1_Stream Package Quotation_20090311" xfId="2245"/>
    <cellStyle name="_0522週品質管理週報_0531周設備妥善_八月份周直通率8d1_0607 M1 Manpower (含大本編制)" xfId="2246"/>
    <cellStyle name="好_MB9月管審誤判超標 8D 2 3" xfId="2247"/>
    <cellStyle name="Calculation 2 2 2" xfId="2248"/>
    <cellStyle name="_0534周周報1_0538周周管審--FINl" xfId="2249"/>
    <cellStyle name="_0522週品質管理週報_0531周設備妥善_八月份周直通率8d1_0744-1031M1 Manpower" xfId="2250"/>
    <cellStyle name="差_Creak Pearl Reliability Fixture RFQ_2009 04 24_Creek RFQ feedback 04_28_2009_FD Update_Leopard UniBom_Foxlink_6 21 2010-ME_nego_Bolt RFQ_Foxlink_03.1 2011 2 3" xfId="2251"/>
    <cellStyle name="_2006_0409 Ernestine_Cooper tooling_Quotebook_07SEP10_BlueAnt_Quotebook_V3_07SEP11_Stream RFQ Unibom--0626-1756_Stream Package Quotation_20090311" xfId="2252"/>
    <cellStyle name="差_HP Mouse 產能評估(上系統)_M1 Bolt wireless mouse FixtureEquipment Cost_A2_2010_12_07_Bolt RFQ Proposal_Foxlink_ (Pricing Summary) 2 25 2011 4" xfId="2253"/>
    <cellStyle name="_2006_0317 Ernestine_Cooper Cost Feedback_Quotebook_07SEP10_BlueAnt_Quotebook_V3_07SEP11_RFQ_River_BAFO_2008 0606_M1" xfId="2254"/>
    <cellStyle name="Neutral 3 2" xfId="2255"/>
    <cellStyle name="壞_Creek EE BOM cost_20090425_Creek RFQ feedback 04_28_2009_FD Update_Leopard_UniBOM_ME_0603-2_Bolt RFQ Proposal_Foxlink_ (Pricing Summary) 2 25 2011 2 2" xfId="2256"/>
    <cellStyle name="_0522週品質管理週報_0531周設備妥善_八月份周直通率8d1_Book1" xfId="2257"/>
    <cellStyle name="_2006_0317 Ernestine_Cooper Cost Feedback_Quotebook_07SEP10_BlueAnt_Quotebook_V3_07SEP11_Internal RFQ River Standalone  Bundle Unibom_v1 2_20080603_EJ_Stream Quotebook (Submittal)_POC2_20081117-1" xfId="2258"/>
    <cellStyle name="_2005 04 DELL SMT Data2 -Process_DELL MB廠級目標 (2)_DELL MB廠級目標.xls 圖表 1_DELL制程課管理指標" xfId="2259"/>
    <cellStyle name="好_River EE BOM_Creak Pearl Reliability Fixture RFQ_2009 04 24_Creek  Pearl RFQ_May 12_Leopard UniBom_Foxlink_6 21 2010-ME_nego 2 4" xfId="2260"/>
    <cellStyle name="_0522週品質管理週報_0531周設備妥善_八月份周直通率8d1_Book1_0607 M1 Manpower (含大本編制)" xfId="2261"/>
    <cellStyle name="差_Creak Pearl Reliability Fixture RFQ_2009 04 24_Leopard RFQ ME BOM Costs-0618_Bolt RFQ Proposal_Foxlink_ (Pricing Summary) 2 25 2011 4" xfId="2262"/>
    <cellStyle name="_0526週品質管理週報_0530周設備妥善_0538周周管審--FINl_複本 0541周周管審_編制表" xfId="2263"/>
    <cellStyle name="_trentt - P4 RR Reporting_P5 Waynea Review" xfId="2264"/>
    <cellStyle name="_0522週品質管理週報_0531周設備妥善_八月份周直通率8d1_Book1_0733-0815M1 Manpower-3" xfId="2265"/>
    <cellStyle name="_0526週品質管理週報_0507月設備妥善率8D1_0538周周管審--FINl" xfId="2266"/>
    <cellStyle name="_0522週品質管理週報_0531周設備妥善_八月份周直通率8d1_Book1_0744-1031M1 Manpower" xfId="2267"/>
    <cellStyle name="_0522週品質管理週報_0536周周管審_0538周直通率8d1_0541周直通率8D_0607 M1 Manpower (含大本編制)" xfId="2268"/>
    <cellStyle name="_Flextronics Radon  Build Plan 4-27-2005_Xenon Ramp Plan form_Scenario 2 of recovery until 1116" xfId="2269"/>
    <cellStyle name="_2005 04 DELL SMT Data2 -Process_2006日常管理目標.DIP _DELL MB廠級目標.xls 圖表 1_MT 2007 KPI" xfId="2270"/>
    <cellStyle name="差_Creak Pearl Reliability Fixture RFQ_2009 04 24_Leopard_UniBOM_ME_0602_Bolt RFQ_Foxlink_03.1 2011 5" xfId="2271"/>
    <cellStyle name="_Monaco manpower comparison 8-30_Tester Demand Plan 062807" xfId="2272"/>
    <cellStyle name="_Sheet1_Line transition plan to B17 rev 5" xfId="2273"/>
    <cellStyle name="_0526週品質管理週報_0530周設備妥善_8月SMT月管審 _編制表" xfId="2274"/>
    <cellStyle name="_0522週品質管理週報_0531周設備妥善_八月份周直通率8d1_Book1_外包部人力編制" xfId="2275"/>
    <cellStyle name="差_Creek RFQ feedback 04_28_2009_FD Update_Leopard Lemur Squirrel UniBom-06.22.2010_EE cost _update_internal_Bolt RFQ_Foxlink_03.1 2011 3" xfId="2276"/>
    <cellStyle name="_0522週品質管理週報_0531周設備妥善_八月份周直通率8d1_Book1_編制表" xfId="2277"/>
    <cellStyle name="Normal 3 19" xfId="2278"/>
    <cellStyle name="Normal 3 24" xfId="2279"/>
    <cellStyle name="_0522週品質管理週報_0531周設備妥善_八月份周直通率8d1_Book1_複本 0541周周管審" xfId="2280"/>
    <cellStyle name="好_Creek Assembly Fixture  Test Equipment RFQ_20090427_Xl0000002_Squirrel RFQ ME BOM Costs-0624" xfId="2281"/>
    <cellStyle name="_0522週品質管理週報_0531周設備妥善_八月份周直通率8d1_Book1_複本 0541周周管審_0607 M1 Manpower (含大本編制)" xfId="2282"/>
    <cellStyle name="好_River EE BOM_Creak Pearl Reliability Fixture RFQ_2009 04 24_Creek RFQ feedback 04_28_2009_FD Update_Foxlink_Shadow RFQ NREUni BOM_12032009_Bolt RFQ Proposal_Foxlink_ (Pricing Summary) 2 25 2011 2 4" xfId="2283"/>
    <cellStyle name="_Mechanical Contribution Margins (Q1'06, applied to Apr'04 Fcst)_PL Fcst Jul 06-updated G&amp;A Value" xfId="2284"/>
    <cellStyle name="40% - 强调文字颜色 4 5" xfId="2285"/>
    <cellStyle name="_0522週品質管理週報_0531周設備妥善_八月份周直通率8d1_Book1_複本 0541周周管審_0733-0815M1 Manpower-3" xfId="2286"/>
    <cellStyle name="_0522週品質管理週報_0531周設備妥善_八月份周直通率8d1_Book1_複本 0541周周管審_0744-1031M1 Manpower" xfId="2287"/>
    <cellStyle name="差_jupite r設備&amp;治工具LIST (總)_Dallas flow chart&amp;設備&amp;治工具清單(12-8 A0)_Jackson 效益分析 (2-1 B0 上系統)_squirrel效益分析08-17" xfId="2288"/>
    <cellStyle name="_0522週品質管理週報_0531周設備妥善_八月份周直通率8d1_Book1_複本 0541周周管審_外包部人力編制" xfId="2289"/>
    <cellStyle name="差_治具工程課2009年KPI_KPI 1006 5 2 2" xfId="2290"/>
    <cellStyle name="_Flextronics Radon  Build Plan 4-27-2005_Console Updated Capacity Plan" xfId="2291"/>
    <cellStyle name="_0522週品質管理週報_0531周設備妥善_八月份周直通率8d1_Book1_複本 0541周周管審_編制表" xfId="2292"/>
    <cellStyle name="_2006_0410 Ernestine_Cooper tooling and plastic price to MS_Quotebook_V3_07SEP11_RFQ_River_BAFO_2008 0606_M1_Stream Package Quotation_20090311" xfId="2293"/>
    <cellStyle name="_0522週品質管理週報_0531周設備妥善_八月份周直通率8d1_外包部人力編制" xfId="2294"/>
    <cellStyle name="_0522週品質管理週報_0531周設備妥善_八月份周直通率8d1_複本 0541周周管審" xfId="2295"/>
    <cellStyle name="_Ernestine Parts Budgetary Quote - LA (20060319)_Quotebook_V3_07SEP11_Stream RFQ Unibom--0626-1756_Stream Quotebook (Submittal)_POC2_20081117-1" xfId="2296"/>
    <cellStyle name="_2006_0410 Ernestine_Cooper tooling and plastic price to MS_Quotebook_07SEP10_Internal RFQ River Standalone  Bundle Unibom_v1 2_20080603_EJ 2" xfId="2297"/>
    <cellStyle name="_PL Forecast Comparison_Mech Doumen2006_1(preliminary)_Volume Fcst 1006 updated_Tom OS ( Oct)_Copy of X-BOX for line setup budget" xfId="2298"/>
    <cellStyle name="_0522週品質管理週報_0531周設備妥善_八月份周直通率8d1_複本 0541周周管審_0607 M1 Manpower (含大本編制)" xfId="2299"/>
    <cellStyle name="_Alvin-Development NRE_Stream RFQ Unibom--0626-1756_Stream Quotebook (Submittal)_POC2_20081117-1" xfId="2300"/>
    <cellStyle name="_0522週品質管理週報_0531周設備妥善_八月份周直通率8d1_複本 0541周周管審_0744-1031M1 Manpower" xfId="2301"/>
    <cellStyle name="差_F3   SMT設備明細_jupite r設備&amp;治工具LIST (總)_Dallas flow chart&amp;設備&amp;治工具清單(12-8 A0)_Flow chart and Fixture(Jackson)_A1_Jackson 效益分析 (2-1 B0 上系統)" xfId="2302"/>
    <cellStyle name="差_Creak Pearl Reliability Fixture RFQ_2009 04 24_Creek RFQ feedback 04_28_2009_FD Update 3 2" xfId="2303"/>
    <cellStyle name="壞_Creek EE BOM cost_20090425_Leopard RFQ ME BOM Costs-0618-2_Bolt RFQ_Foxlink_03.1 2011 5" xfId="2304"/>
    <cellStyle name="_0522週品質管理週報_0531周設備妥善_八月份周直通率8d1_複本 0541周周管審_編制表" xfId="2305"/>
    <cellStyle name="_0526週品質管理週報_0540周直通率8D1_外包部人力編制" xfId="2306"/>
    <cellStyle name="40% - Accent6 2 4 2" xfId="2307"/>
    <cellStyle name="_Flex Mechanicals Doumen Sales forecast - Jan.06-updated_Volume Fcst Jul 06-update HP _Copy of Tom OS ( Oct) new for LOG" xfId="2308"/>
    <cellStyle name="_0522週品質管理週報_0531周設備妥善_複本 0541周周管審" xfId="2309"/>
    <cellStyle name="_0522週品質管理週報_0531周設備妥善_複本 0541周周管審_0607 M1 Manpower (含大本編制)" xfId="2310"/>
    <cellStyle name="_0526週品質管理週報_0531周設備妥善_0538周周管審--FINl" xfId="2311"/>
    <cellStyle name="_0522週品質管理週報_0531周設備妥善_複本 0541周周管審_0733-0815M1 Manpower-3" xfId="2312"/>
    <cellStyle name="_B2B4 Forecast-080714" xfId="2313"/>
    <cellStyle name="_0522週品質管理週報_0531周設備妥善_複本 0541周周管審_0744-1031M1 Manpower" xfId="2314"/>
    <cellStyle name="_2005 04 DELL SMT Data2 -Process_DELL MB廠級目標  (2)_DELL MB廠級目標.xls 圖表 1_DELL制程課管理目標" xfId="2315"/>
    <cellStyle name="_x001e__Project A Riskbuy list 20100125 2_Copy of Xl0000003" xfId="2316"/>
    <cellStyle name="好_River EE BOM_Xl0000002_Leopard_UniBOM_ME_0602_Bolt RFQ_Foxlink_03.1 2011_nego meeting@MACH 5" xfId="2317"/>
    <cellStyle name="_0522週品質管理週報_0531周設備妥善_複本 0541周周管審_編制表" xfId="2318"/>
    <cellStyle name="_0522週品質管理週報_0534周SMT周管審" xfId="2319"/>
    <cellStyle name="好_MB9月管審換線超時8d 5 3" xfId="2320"/>
    <cellStyle name="壞_Creek Assembly Fixture  Test Equipment RFQ_20090427_Xl0000002_Squirrel UniBom-06.23.2010_update_internal_Bolt RFQ Proposal_Foxlink_ (Pricing Summary) 2 25 2011 6 2" xfId="2321"/>
    <cellStyle name="_2006_0319 Ernestine_Cooper Cost Feedback_Quotebook_07SEP10_RFQ_River_BAFO_2008 0606_M1_Stream Quotebook (Submittal)_POC2_20081117-1" xfId="2322"/>
    <cellStyle name="_2005 04 DELL SMT Data2 -Process_2006日常管理目標.DIP _DELL廠級目標dip(2月) EXC _DELL MB廠級目標 (2)_DELL MB廠級目標_DELL制程課管理目標 (4)" xfId="2323"/>
    <cellStyle name="_0522週品質管理週報_0534周SMT周管審_0607 M1 Manpower (含大本編制)" xfId="2324"/>
    <cellStyle name="_0522週品質管理週報_0534周SMT周管審_0733-0815M1 Manpower-3" xfId="2325"/>
    <cellStyle name="_2006_0412 Ernestine_Cooper tooling and plastic price to MS_JC_Internal RFQ River Standalone  Bundle Unibom_v1 2_20080603_EJ" xfId="2326"/>
    <cellStyle name="差_Creak Pearl Reliability Fixture RFQ_2009 04 24_Creek  Pearl RFQ_May 12_Leopard_UniBOM_ME_0603-2 3 2" xfId="2327"/>
    <cellStyle name="_2006_0410 Ernestine_Cooper tooling and plastic price to MS_Internal RFQ River Standalone  Bundle Unibom_v1 2_20080603_EJ_Stream Package Quotation_20090311" xfId="2328"/>
    <cellStyle name="_Ellen Procurement Plan 20050530_Copy of MOST Std - S1300 F2lines" xfId="2329"/>
    <cellStyle name="_0522週品質管理週報_0534周SMT周管審_0744-1031M1 Manpower" xfId="2330"/>
    <cellStyle name="差_Creak Pearl Reliability Fixture RFQ_2009 04 24_Creek  Pearl RFQ_May 12_Jackson NRE Uni BOM_update _05072010 rev K" xfId="2331"/>
    <cellStyle name="_0522週品質管理週報_0534周SMT周管審_外包部人力編制" xfId="2332"/>
    <cellStyle name="好_Creek Assembly Fixture  Test Equipment RFQ_20090427 2 2 2" xfId="2333"/>
    <cellStyle name="_184071 - RMA Review_P6 Si Ops review (2)" xfId="2334"/>
    <cellStyle name="Normal 7 2 2 3" xfId="2335"/>
    <cellStyle name="_0522週品質管理週報_0534周SMT周管審_編制表" xfId="2336"/>
    <cellStyle name="_0522週品質管理週報_0536周周管審" xfId="2337"/>
    <cellStyle name="好_River EE BOM_Creak Pearl Reliability Fixture RFQ_2009 04 24_Pearl RFQ(Submittal)ver2_05_12_2009 _Leopard UniBom_Foxlink_6 21 2010-ME_nego 2" xfId="2338"/>
    <cellStyle name="_0522週品質管理週報_0536周周管審_0541周直通率8D" xfId="2339"/>
    <cellStyle name="_0522週品質管理週報_0536周周管審_0536周直通率8d" xfId="2340"/>
    <cellStyle name="_Actual P&amp;L_Computing Apr &amp; May_Actual P&amp;L_Computing Apr ~ May.2006_2009 xBOX ramp up budget code applicaiton" xfId="2341"/>
    <cellStyle name="40% - 强调文字颜色 6 3" xfId="2342"/>
    <cellStyle name="差_Creak Pearl Reliability Fixture RFQ_2009 04 24_Creek  Pearl RFQ_May 12_Leopard RFQ ME BOM Costs-0618_Bolt RFQ_Foxlink_03.1 2011 2 3" xfId="2343"/>
    <cellStyle name="_FCT Pareto By Line-July 14th X808665-001-DEV01282-5-1_yield report for DEV0xxxx " xfId="2344"/>
    <cellStyle name="好_River EE BOM_Creak Pearl Reliability Fixture RFQ_2009 04 24_Creek RFQ feedback 04_28_2009_FD Update_Foxlink_Shadow RFQ NREUni BOM_12032009_Bolt RFQ Proposal_Foxlink_ (Pricing Summary) 2 25 2011 4 2" xfId="2345"/>
    <cellStyle name="_0522週品質管理週報_0536周周管審_0536周直通率8d_0540周直通率8D1" xfId="2346"/>
    <cellStyle name="_2005 04 DELL SMT Data2 -Process_2006日常管理目標.DIP _DELL廠級目標dip(2月) EXC _BPI 8D-SMT-2月_2007DELL SMT廠級目標KPI(MT)1" xfId="2347"/>
    <cellStyle name="_0522週品質管理週報_0536周周管審_0536周直通率8d_0540周直通率8D1_0607 M1 Manpower (含大本編制)" xfId="2348"/>
    <cellStyle name="好_River EE BOM_Creak Pearl Reliability Fixture RFQ_2009 04 24_Jackson and Shadow BOM cost_mainfile_2010 0324 rev.1_Leopard UniBom_Foxlink_12272010 RevF_shirley" xfId="2349"/>
    <cellStyle name="好_Creek Assembly Fixture  Test Equipment RFQ_20090427_Leopard Lemur Squirrel UniBom-06.22.2010_EE cost _update_internal_Bolt RFQ_Foxlink_03.1 2011_nego meeting@MACH 3" xfId="2350"/>
    <cellStyle name="差_F3   SMT設備明細_效益分析_flow chart 2009.12.12_Jackson 效益分析 testing update_16th Jan111_Jackson 效益分析 (2-1 B0 上系統)_squirrel效益分析08-17" xfId="2351"/>
    <cellStyle name="好_MB9月管審誤判超標 8D_HP 3 2 2" xfId="2352"/>
    <cellStyle name="_0522週品質管理週報_0536周周管審_0536周直通率8d_0540周直通率8D1_0733-0815M1 Manpower-3" xfId="2353"/>
    <cellStyle name="_2005 04 DELL SMT Data2 -Process_2006日常管理目標.DIP _DELL MB廠級目標.xls 圖表 1_DELL MB廠級目標四月 " xfId="2354"/>
    <cellStyle name="_短路明細_複本 0541周周管審" xfId="2355"/>
    <cellStyle name="_Seagate-Twister8.14 (1) 2" xfId="2356"/>
    <cellStyle name="_0522週品質管理週報_0536周周管審_0536周直通率8d_0540周直通率8D1_0744-1031M1 Manpower" xfId="2357"/>
    <cellStyle name="_0522週品質管理週報_0536周周管審_0536周直通率8d_0540周直通率8D1_外包部人力編制" xfId="2358"/>
    <cellStyle name="_2005 04 DELL SMT Data2 -Process_DELL廠級目標dip.EXC _DELL MB廠級目標_DELL MB廠級目標十一月 (4)" xfId="2359"/>
    <cellStyle name="差_Foxlink_Shadow RFQ NREUni BOM_12032009 2 2" xfId="2360"/>
    <cellStyle name="_0522週品質管理週報_0536周周管審_0536周直通率8d_0540周直通率8D1_編制表" xfId="2361"/>
    <cellStyle name="_Final Otter-UniBOM_10-25-2005_Stream RFQ Unibom--0626-1756 2" xfId="2362"/>
    <cellStyle name="_Mulan Edge EP0 KRH CTB wk28_5_MOST Std - Project A BB Line" xfId="2363"/>
    <cellStyle name="_0522週品質管理週報_0536周周管審_0536周直通率8d_0540周直通率8D1_複本 0541周周管審" xfId="2364"/>
    <cellStyle name="_0522週品質管理週報_0536周周管審_0536周直通率8d_0540周直通率8D1_複本 0541周周管審_0744-1031M1 Manpower" xfId="2365"/>
    <cellStyle name="40% - Accent4 14" xfId="2366"/>
    <cellStyle name="_Z9 blueAnt ME BOM 0910_BlueAnt_Quotebook_V3_07SEP11_RFQ_River_BAFO_2008 0606_M1" xfId="2367"/>
    <cellStyle name="差_Creak Pearl Reliability Fixture RFQ_2009 04 24_Xl0000002_Leopard_UniBOM_ME_0603-2_Bolt RFQ_Foxlink_03.1 2011 2" xfId="2368"/>
    <cellStyle name="_0522週品質管理週報_0536周周管審_0536周直通率8d_0540周直通率8D1_複本 0541周周管審_外包部人力編制" xfId="2369"/>
    <cellStyle name="好_Creek Assembly Fixture  Test Equipment RFQ_20090427_Xl0000002_Leopard RFQ ME BOM Costs-0618_Bolt RFQ_Foxlink_03.1 2011_nego meeting@MACH 2 2" xfId="2370"/>
    <cellStyle name="差_F3   SMT設備明細_jupite r設備&amp;治工具LIST (總)_Dallas flow chart&amp;設備&amp;治工具清單(12-8 A0)_Flow Chart&amp;設備治工具清單 _Jackson 效益分析 (2-1 B0 上系統)_Leopard Flowchart &amp; 產能評估" xfId="2371"/>
    <cellStyle name="_0522週品質管理週報_0536周周管審_0536周直通率8d_0540周直通率8D1_複本 0541周周管審_編制表" xfId="2372"/>
    <cellStyle name="好_Creek Assembly Fixture  Test Equipment RFQ_20090427_Xl0000002_Foxlink_Shadow RFQ NREUni BOM_12032009 2" xfId="2373"/>
    <cellStyle name="好_Creek Assembly Fixture  Test Equipment RFQ_20090427_Xl0000002_Bolt RFQ Proposal_Foxlink_ (Pricing Summary) 2 25 2011 4" xfId="2374"/>
    <cellStyle name="_2005 04 DELL SMT Data2 -Process_DELL廠級目標dip EXC _DELL廠級目標dip(2月) EXC _BPI 8D-SMT-2月_DELL MB廠級目標_DELL MB廠級目標" xfId="2375"/>
    <cellStyle name="差_F3   SMT設備明細_jupite r設備&amp;治工具LIST (總)_pq_Flow Chart&amp;設備治工具清單 " xfId="2376"/>
    <cellStyle name="_0522週品質管理週報_0536周周管審_0536周直通率8d_0541周直通率8D_0607 M1 Manpower (含大本編制)" xfId="2377"/>
    <cellStyle name="_0522週品質管理週報_0536周周管審_0536周直通率8d_0541周直通率8D_0733-0815M1 Manpower-3" xfId="2378"/>
    <cellStyle name="好_River EE BOM_Creak Pearl Reliability Fixture RFQ_2009 04 24_Creek RFQ feedback 04_28_2009_FD Update_Bolt RFQ_Foxlink_03.1 2011 4" xfId="2379"/>
    <cellStyle name="_2005 04 DELL SMT Data2 -Process_DELL SMT 廠級目標KPI_DELL MB廠級目標.xls 圖表 1_2007DELL SMT廠級目標KPI(MT)1" xfId="2380"/>
    <cellStyle name="_Dell MB to AMF Frt Pricing - 20040309_Lenovo Park Format_July 07 05" xfId="2381"/>
    <cellStyle name="标题 3 5 2" xfId="2382"/>
    <cellStyle name="Total 4 2 3" xfId="2383"/>
    <cellStyle name="_0522週品質管理週報_0536周周管審_0536周直通率8d_0541周直通率8D_外包部人力編制" xfId="2384"/>
    <cellStyle name="_2005 04 DELL SMT Data2 -Process_DELL制程課管理指標" xfId="2385"/>
    <cellStyle name="_0522週品質管理週報_0536周周管審_0536周直通率8d_0541周直通率8D_編制表" xfId="2386"/>
    <cellStyle name="_0522週品質管理週報_0536周周管審_0541周直通率8D_0607 M1 Manpower (含大本編制)" xfId="2387"/>
    <cellStyle name="_0522週品質管理週報_0536周周管審_0536周直通率8d_0607 M1 Manpower (含大本編制)" xfId="2388"/>
    <cellStyle name="差_Creak Pearl Reliability Fixture RFQ_2009 04 24_Xl0000002_Squirrel UniBom-06.23.2010_update_internal_Bolt RFQ_Foxlink_03.1 2011 2 3" xfId="2389"/>
    <cellStyle name="_0522週品質管理週報_0536周周管審_0541周直通率8D_0733-0815M1 Manpower-3" xfId="2390"/>
    <cellStyle name="_0522週品質管理週報_0536周周管審_0536周直通率8d_0733-0815M1 Manpower-3" xfId="2391"/>
    <cellStyle name="_0522週品質管理週報_0536周周管審_0536周直通率8d_0744-1031M1 Manpower" xfId="2392"/>
    <cellStyle name="差_Creak Pearl Reliability Fixture RFQ_2009 04 24_Xl0000002_Leopard RFQ ME BOM Costs-0618_Bolt RFQ_Foxlink_03.1 2011_nego meeting@MACH 2" xfId="2393"/>
    <cellStyle name="_Actual P&amp;L_Computing Apr &amp; May_Actual P&amp;L_Computing Apr ~ May.2006_2009 xBOX ramp up budget code applicaiton 300K --New May26 (3)" xfId="2394"/>
    <cellStyle name="差_Creak Pearl Reliability Fixture RFQ_2009 04 24_Creek RFQ feedback 04_28_2009_FD Update_Squirrel RFQ ME BOM Costs-0623_Bolt RFQ_Foxlink_03.1 2011_nego meeting@MACH 2 3" xfId="2395"/>
    <cellStyle name="_2005 04 DELL SMT Data2 -Process_BPI 8D-SMT-2月_DELL MB廠級目標.xls 圖表 1_DELL MB廠級目標.重要不能刪" xfId="2396"/>
    <cellStyle name="_ABG ECO Combo ww22.5" xfId="2397"/>
    <cellStyle name="_Flex Mechanicals Doumen Sales forecast - Jan 06 updated._PL Fcst Jul 06-updated G&amp;A Value_Tom OS ( Oct)" xfId="2398"/>
    <cellStyle name="_0522週品質管理週報_0536周周管審_0536周直通率8d_Book1" xfId="2399"/>
    <cellStyle name="好_Creek Assembly Fixture  Test Equipment RFQ_20090427_Xl0000002_Leopard_UniBOM_ME_0603-2_Bolt RFQ_Foxlink_03.1 2011 4" xfId="2400"/>
    <cellStyle name="_Quotation -Sheet_R05_120409  (2)" xfId="2401"/>
    <cellStyle name="_0522週品質管理週報_0536周周管審_0536周直通率8d_Book1_0607 M1 Manpower (含大本編制)" xfId="2402"/>
    <cellStyle name="差_Creak Pearl Reliability Fixture RFQ_2009 04 24_Xl0000002_Squirrel UniBom-06.23.2010_update_internal_Bolt RFQ_Foxlink_03.1 2011_nego meeting@MACH 2" xfId="2403"/>
    <cellStyle name="_Book2_Mechanical Contribution Margins forecast 0506 FP_PL Forecast by segment-most final 0806_X-BOX Console line setup budget and Buyer list" xfId="2404"/>
    <cellStyle name="_BOM update - Supplier List (Purchase) 111102_Lenovo Park Format_July 07 05V2" xfId="2405"/>
    <cellStyle name="_0522週品質管理週報_0536周周管審_0536周直通率8d_Book1_0733-0815M1 Manpower-3" xfId="2406"/>
    <cellStyle name="_0522週品質管理週報_0536周周管審_0536周直通率8d_Book1_外包部人力編制" xfId="2407"/>
    <cellStyle name="好_River EE BOM_Creak Pearl Reliability Fixture RFQ_2009 04 24_Xl0000002_Foxlink_Shadow RFQ NREUni BOM_12032009_Bolt RFQ_Foxlink_03.1 2011_nego meeting@MACH 2 3" xfId="2408"/>
    <cellStyle name="_0522週品質管理週報_0536周周管審_0536周直通率8d_Book1_編制表" xfId="2409"/>
    <cellStyle name="_2006_0329 Ernestine_Cooper Cost Feedback_Quotebook_V3_07SEP11_Internal RFQ River Standalone  Bundle Unibom_v1 2_20080603_EJ_Stream Quotebook(Submittal)_POC1_20080903 2" xfId="2410"/>
    <cellStyle name="_0522週品質管理週報_0536周周管審_0536周直通率8d_Book1_複本 0541周周管審" xfId="2411"/>
    <cellStyle name="_0522週品質管理週報_0536周周管審_0536周直通率8d_Book1_複本 0541周周管審_0607 M1 Manpower (含大本編制)" xfId="2412"/>
    <cellStyle name="好_River EE BOM_Xl0000002_Leopard Lemur Squirrel UniBom-06.22.2010_EE cost _update_internal 3 3" xfId="2413"/>
    <cellStyle name="_0522週品質管理週報_0536周周管審_0536周直通率8d_Book1_複本 0541周周管審_0733-0815M1 Manpower-3" xfId="2414"/>
    <cellStyle name="20% - Accent3 2 6" xfId="2415"/>
    <cellStyle name="好_Creek Assembly Fixture  Test Equipment RFQ_20090427_Xl0000002_Leopard_UniBOM_ME_0603-2_Bolt RFQ Proposal_Foxlink_ (Pricing Summary) 2 25 2011 3 2" xfId="2416"/>
    <cellStyle name="_0522週品質管理週報_0536周周管審_0536周直通率8d_Book1_複本 0541周周管審_外包部人力編制" xfId="2417"/>
    <cellStyle name="_0534周周報1_九月份直通率8D1" xfId="2418"/>
    <cellStyle name="_Book2_Volume Fcst 1006 updated_Copy of Tom OS ( Oct) new for LOG" xfId="2419"/>
    <cellStyle name="_0522週品質管理週報_0536周周管審_0536周直通率8d_Book1_複本 0541周周管審_編制表" xfId="2420"/>
    <cellStyle name="_2005 04 DELL SMT Data2 -Process_DELL廠級目標dip EXC _DELL廠級目標dip(2月) EXC _DELL MB廠級目標 _DELL MB廠級目標.xls 圖表 1_DELL MB廠級目標.重要不能刪_DELL MB廠級目標十一月 (4)" xfId="2421"/>
    <cellStyle name="_0526週品質管理週報_0531周設備妥善_複本 0541周周管審_0733-0815M1 Manpower-3" xfId="2422"/>
    <cellStyle name="好_River EE BOM_Creak Pearl Reliability Fixture RFQ_2009 04 24_Xl0000002_Squirrel UniBom-06.23.2010_update_internal_Bolt RFQ_Foxlink_03.1 2011_nego meeting@MACH" xfId="2423"/>
    <cellStyle name="_7月ict f.t_0534周SMT周管審" xfId="2424"/>
    <cellStyle name="Comma 17 2" xfId="2425"/>
    <cellStyle name="_Flex Mechanicals Doumen Sales forecast - Jan.06_Volume Fcst 1006 updated_Tom OS ( Oct)_X-BOX Console line setup budget 20080414" xfId="2426"/>
    <cellStyle name="_200812費用分析_v1_20090101" xfId="2427"/>
    <cellStyle name="好_Creek Assembly Fixture  Test Equipment RFQ_20090427_Xl0000002_Foxlink_Shadow RFQ NREUni BOM_12032009_Bolt RFQ_Foxlink_03.1 2011 2" xfId="2428"/>
    <cellStyle name="好_River EE BOM_Creak Pearl Reliability Fixture RFQ_2009 04 24_Creek RFQ feedback 04_28_2009_FD Update_Leopard RFQ ME BOM Costs-0618-2_Bolt RFQ_Foxlink_03.1 2011 2 2" xfId="2429"/>
    <cellStyle name="好_Creek EE BOM cost_20090425_Creek RFQ feedback 04_28_2009_FD Update_Leopard RFQ ME BOM Costs-0618_Bolt RFQ_Foxlink_03.1 2011_nego meeting@MACH 2 2" xfId="2430"/>
    <cellStyle name="6_P139 CCM 1212" xfId="2431"/>
    <cellStyle name="_2005 04 DELL SMT Data2 -Process_DELL廠級目標dip EXC _DELL MB廠級目標.xls 圖表 1_HP制程課2007管理指標匯總-八月匯總" xfId="2432"/>
    <cellStyle name="_0522週品質管理週報_0536周周管審_0541周直通率8D_編制表" xfId="2433"/>
    <cellStyle name="_0522週品質管理週報_0536周周管審_0536周直通率8d_編制表" xfId="2434"/>
    <cellStyle name="差_HP  專案(設備&amp;治工具需夠買)update 3 2" xfId="2435"/>
    <cellStyle name="一般 2 3 3" xfId="2436"/>
    <cellStyle name="_2005 04 DELL SMT Data2 -Process_DELL MB廠級目標 _DELL MB廠級目標.xls 圖表 1_DELL MB廠級目標_2007DELL SMT廠級目標KPI(MT)1" xfId="2437"/>
    <cellStyle name="_0522週品質管理週報_0536周周管審_0536周直通率8d_複本 0541周周管審" xfId="2438"/>
    <cellStyle name="_2005 04 DELL SMT Data2 -Process_2006日常管理目標.DIP _DELL廠級目標dip(2月) EXC _DELL MB廠級目標 (2)" xfId="2439"/>
    <cellStyle name="_2006_0410b Ernestine_Cooper tooling and plastic price to MS_Quotebook_07SEP10_Internal RFQ River Standalone  Bundle Unibom_v1 2_20080603_EJ_Stream Quotebook(Submittal)_POC1_20080903" xfId="2440"/>
    <cellStyle name="好_River EE BOM_Creak Pearl Reliability Fixture RFQ_2009 04 24_Creek  Pearl RFQ_May 12_Leopard_UniBOM_ME_0531_Bolt RFQ Proposal_Foxlink_ (Pricing Summary) 2 25 2011 5 3" xfId="2441"/>
    <cellStyle name="_0522週品質管理週報_0536周周管審_0536周直通率8d_複本 0541周周管審_0607 M1 Manpower (含大本編制)" xfId="2442"/>
    <cellStyle name="_0713周IE Weekly Report" xfId="2443"/>
    <cellStyle name="好_效益分析&amp;產能評估_M1 Squirrel Capacity planFixtureEquipment Cost_A2_06192010_Leopard UniBom_Foxlink_12272010 RevF_shirley" xfId="2444"/>
    <cellStyle name="_0522週品質管理週報_0536周周管審_0536周直通率8d_複本 0541周周管審_外包部人力編制" xfId="2445"/>
    <cellStyle name="好_River EE BOM_Xl0000002_Squirrel RFQ ME BOM Costs-0623_Bolt RFQ_Foxlink_03.1 2011 5" xfId="2446"/>
    <cellStyle name="_0522週品質管理週報_0536周周管審_0536周直通率8d_複本 0541周周管審_編制表" xfId="2447"/>
    <cellStyle name="60% - Accent1 3 3" xfId="2448"/>
    <cellStyle name="_2005 04 DELL SMT Data2 -Process_2006日常管理目標.DIP _DELL廠級目標dip(2月) EXC _DELL MB廠級目標 (2)_DELL MB廠級目標_DELL MB廠級目標四月 _DELL MB廠級目標十一月 (4)" xfId="2449"/>
    <cellStyle name="好_Creek Assembly Fixture  Test Equipment RFQ_20090427_Foxlink_Shadow RFQ NREUni BOM_12032009_Bolt RFQ_Foxlink_03.1 2011_Bolt_Cliff 2" xfId="2450"/>
    <cellStyle name="20% - Accent5 6" xfId="2451"/>
    <cellStyle name="_Book2_Mechanical Contribution Margins forecast 0506 FP_PL Fcst Jul 06-updated G&amp;A Value_Internal Hourly Rate Q1 FY08 Version (2)" xfId="2452"/>
    <cellStyle name="_2005 04 DELL SMT Data2 -Process_2006日常管理目標.DIP _DELL廠級目標dip(2月) EXC _BPI 8D-SMT-2月 (3)_DELL MB廠級目標_DELLTEAM入庫資料1_DELL MB廠級目標十一月 (4)" xfId="2453"/>
    <cellStyle name="_0522週品質管理週報_0536周周管審_0537周直通率8d" xfId="2454"/>
    <cellStyle name="差_Xl0000002_Leopard RFQ ME BOM Costs-0618-2_Bolt RFQ_Foxlink_03.1 2011" xfId="2455"/>
    <cellStyle name="好_MB9月管審換線超時8d_HP 2 3 3" xfId="2456"/>
    <cellStyle name="_0522週品質管理週報_0536周周管審_0537周直通率8d_0541周直通率8D" xfId="2457"/>
    <cellStyle name="_Flex Depot 2005 rev3_Forecast Template v4" xfId="2458"/>
    <cellStyle name="_0522週品質管理週報_0536周周管審_0537周直通率8d_0541周直通率8D_0607 M1 Manpower (含大本編制)" xfId="2459"/>
    <cellStyle name="好_River EE BOM_Creak Pearl Reliability Fixture RFQ_2009 04 24_Leopard RFQ ME BOM Costs-0618-2_Bolt RFQ Proposal_Foxlink_ (Pricing Summary) 2 25 2011 7" xfId="2460"/>
    <cellStyle name="_0522週品質管理週報_0536周周管審_0537周直通率8d_0541周直通率8D_外包部人力編制" xfId="2461"/>
    <cellStyle name="40% - Accent5 3 2" xfId="2462"/>
    <cellStyle name="_0526週品質管理週報_0530周設備妥善_八月份周直通率8d1_0541周直通率8D" xfId="2463"/>
    <cellStyle name="_0522週品質管理週報_0536周周管審_0537周直通率8d_0541周直通率8D_編制表" xfId="2464"/>
    <cellStyle name="差_Creak Pearl Reliability Fixture RFQ_2009 04 24_Creek  Pearl RFQ_May 12_Leopard UniBom_Foxlink_6 21 2010-ME_nego 3 2" xfId="2465"/>
    <cellStyle name="_Flex Depot 2005 rev3" xfId="2466"/>
    <cellStyle name="_0522週品質管理週報_0536周周管審_0537周直通率8d_0733-0815M1 Manpower-3" xfId="2467"/>
    <cellStyle name="_OP1 DPO Forecast Final_Copy of Tom OS ( Oct) new for LOG_X-BOX Console line setup budget and Buyer list" xfId="2468"/>
    <cellStyle name="20% - Accent1 3 3 3" xfId="2469"/>
    <cellStyle name="_0522週品質管理週報_0536周周管審_0537周直通率8d_外包部人力編制" xfId="2470"/>
    <cellStyle name="_2005 04 DELL SMT Data2 -Process_2006日常管理目標.DIP _DELL廠級目標dip(2月) EXC _BPI 8D-SMT-2月_DELL MB廠級目標_DELL MB廠級目標四月 _DELL MB廠級目標十一月 (4)" xfId="2471"/>
    <cellStyle name="_FY06 Q1_ Business Award - Dell Designed EM file DTSVRPRNTR" xfId="2472"/>
    <cellStyle name="_0526週品質管理週報_0530周設備妥善_0541周SMT周管審_0733-0815M1 Manpower-3" xfId="2473"/>
    <cellStyle name="_2005 04 DELL SMT Data2 -Process_DELL廠級目標dip.EXC _DELL廠級目標dip(2月) EXC _BPI 8D-SMT-2月 (3)_DELL MB廠級目標_DELL MB廠級目標十一月 (4)" xfId="2474"/>
    <cellStyle name="_Quotebook_07SEP10_Internal RFQ River Standalone  Bundle Unibom_v1 2_20080603_EJ_Stream Quotebook(Submittal)_POC1_20080903 2" xfId="2475"/>
    <cellStyle name="_0522週品質管理週報_0536周周管審_0537周直通率8d_編制表" xfId="2476"/>
    <cellStyle name="差_F3   SMT設備明細_效益分析_flow chart 2009.12.12_Flow Chart&amp;設備治工具清單 _squirrel效益分析08-17" xfId="2477"/>
    <cellStyle name="好_River EE BOM_Creak Pearl Reliability Fixture RFQ_2009 04 24_Xl0000002_Leopard_UniBOM_ME_0602 3 3" xfId="2478"/>
    <cellStyle name="_0522週品質管理週報_0536周周管審_0537周直通率8d_複本 0541周周管審" xfId="2479"/>
    <cellStyle name="好_Erie 效益分析 (Update)_~5631336_Jackson 效益分析 (2-1 B0 上系統)_Leopard效益分析08-17" xfId="2480"/>
    <cellStyle name="_0522週品質管理週報_0536周周管審_0537周直通率8d_複本 0541周周管審_0607 M1 Manpower (含大本編制)" xfId="2481"/>
    <cellStyle name="_2006_0319 Ernestine_Cooper Cost Feedback_Quotebook_V3_07SEP11_Stream RFQ Unibom--0626-1756 2" xfId="2482"/>
    <cellStyle name="_184071 - Xbox Prepaid Inventory (2)_FY06 P4 CM Consigned RM" xfId="2483"/>
    <cellStyle name="_Z9 blueAnt ME BOM 0910_Internal RFQ River Standalone  Bundle Unibom_v1 2_20080603_EJ" xfId="2484"/>
    <cellStyle name="_0535週管審_八月份周直通率8d1_Book1" xfId="2485"/>
    <cellStyle name="Normal 17 2" xfId="2486"/>
    <cellStyle name="Normal 22 2" xfId="2487"/>
    <cellStyle name="_0522週品質管理週報_0536周周管審_0537周直通率8d_複本 0541周周管審_0733-0815M1 Manpower-3" xfId="2488"/>
    <cellStyle name="_0522週品質管理週報_0536周周管審_0537周直通率8d_複本 0541周周管審_外包部人力編制" xfId="2489"/>
    <cellStyle name="差_Xl0000000_Foxlink_Shadow RFQ NREUni BOM_12032009_Bolt RFQ Proposal_Foxlink_ (Pricing Summary) 2 25 2011 2 2" xfId="2490"/>
    <cellStyle name="好_Creek EE BOM cost_20090425_Creek RFQ feedback 04_28_2009_FD Update_Leopard_UniBOM_ME_0602-1_Bolt RFQ Proposal_Foxlink_ (Pricing Summary) 2 25 2011 2 3" xfId="2491"/>
    <cellStyle name="Normal 5 17" xfId="2492"/>
    <cellStyle name="Normal 5 22" xfId="2493"/>
    <cellStyle name="_2006_0319 Ernestine_Cooper Cost Feedback_Quotebook_V3_07SEP11_RFQ_River_BAFO_2008 0606_M1_Stream Quotebook(Submittal)_POC1_20080903" xfId="2494"/>
    <cellStyle name="_0522週品質管理週報_0536周周管審_0537周直通率8d_複本 0541周周管審_編制表" xfId="2495"/>
    <cellStyle name="_2005 04 DELL SMT Data2 -Process_DELL廠級目標dip EXC _DELL廠級目標dip(2月) EXC _BPI 8D-SMT-2月_DELL MB廠級目標_DELL MB廠級目標.重要不能刪" xfId="2496"/>
    <cellStyle name="_0522週品質管理週報_0536周周管審_0537周直通率8d1" xfId="2497"/>
    <cellStyle name="_2006_0329 Ernestine_Cooper Cost Feedback_Quotebook_V3_07SEP11_Stream RFQ Unibom--0626-1756" xfId="2498"/>
    <cellStyle name="好_River EE BOM_Xl0000000 2 3" xfId="2499"/>
    <cellStyle name="_OnLine Forecast Template PCBA_Computing Nov 2006 V2_2009 xBOX ramp up budget code applicaiton 300K --New May26 (3)" xfId="2500"/>
    <cellStyle name="好_River EE BOM_Creak Pearl Reliability Fixture RFQ_2009 04 24_Bolt RFQ Proposal_Foxlink_ (Pricing Summary) 2 25 2011 3" xfId="2501"/>
    <cellStyle name="_2005 04 DELL SMT Data2 -Process_DELL廠級目標dip(2月) EXC _DELL MB廠級目標.xls 圖表 1_DELL MB廠級目標.重要不能刪" xfId="2502"/>
    <cellStyle name="_空焊明細_八月月報2_0538周周管審--FINl_複本 0541周周管審" xfId="2503"/>
    <cellStyle name="_0522週品質管理週報_0536周周管審_0537周直通率8d1_0541周直通率8D_0733-0815M1 Manpower-3" xfId="2504"/>
    <cellStyle name="_Actual P&amp;L_Computing Apr &amp; May_X-BOX Console line setup budget 20080414" xfId="2505"/>
    <cellStyle name="_2005 04 DELL SMT Data2 -Process_DELL廠級目標dip.EXC _DELL廠級目標dip(2月) EXC _BPI 8D-SMT-2月_DELL MB廠級目標.xls 圖表 1_DELL MB廠級目標四月 _DELL MB廠級目標十一月 (4)" xfId="2506"/>
    <cellStyle name="差_HP Mouse 產能評估(上系統)_M1 Bolt wireless mouse FixtureEquipment Cost_A2_2010_12_07_Bolt RFQ Proposal_Foxlink_ (Pricing Summary) 2 25 2011 4 3" xfId="2507"/>
    <cellStyle name="_0522週品質管理週報_0536周周管審_0537周直通率8d1_0541周直通率8D_外包部人力編制" xfId="2508"/>
    <cellStyle name="差_HP  專案(設備&amp;治工具需夠買)update_MS Bolt wireless mouse FixtureEquipment Cost_A5_2010_02_21_Bolt RFQ Proposal_Foxlink_ (Pricing Summary) 2 25 2011 3 2" xfId="2509"/>
    <cellStyle name="_0522週品質管理週報_0536周周管審_0537周直通率8d1_0541周直通率8D_編制表" xfId="2510"/>
    <cellStyle name="壞_Creek Assembly Fixture  Test Equipment RFQ_20090427_Leopard_UniBOM_ME_0602-1_Bolt RFQ_Foxlink_03.1 2011_nego meeting@MACH 2 3" xfId="2511"/>
    <cellStyle name="_0522週品質管理週報_0536周周管審_0537周直通率8d1_0733-0815M1 Manpower-3" xfId="2512"/>
    <cellStyle name="差_Creak Pearl Reliability Fixture RFQ_2009 04 24_Creek  Pearl RFQ_May 12_Leopard UniBom_Foxlink_6 21 2010-ME_nego_Bolt RFQ_Foxlink_03.1 2011_nego meeting@MACH 3" xfId="2513"/>
    <cellStyle name="_0522週品質管理週報_0536周周管審_0537周直通率8d1_編制表" xfId="2514"/>
    <cellStyle name="40% - Accent6 3 5" xfId="2515"/>
    <cellStyle name="_0522週品質管理週報_0536周周管審_0537周直通率8d1_複本 0541周周管審" xfId="2516"/>
    <cellStyle name="_OP1 DPO Forecast Final_PL Forecast by segment-most final 0806_Copy of Tom OS ( Oct) new for LOG_2009 xBOX ramp up budget code applicaiton 300K --New May27" xfId="2517"/>
    <cellStyle name="_Alvin-Development NRE_Internal RFQ River Standalone  Bundle Unibom_v1 2_20080603_EJ_Stream Package Quotation_20090311" xfId="2518"/>
    <cellStyle name="_0522週品質管理週報_0536周周管審_0537周直通率8d1_複本 0541周周管審_0607 M1 Manpower (含大本編制)" xfId="2519"/>
    <cellStyle name="好_River EE BOM_Xl0000000_Leopard_UniBOM_ME_0602-1_Bolt RFQ_Foxlink_03.1 2011 3 3" xfId="2520"/>
    <cellStyle name="_0522週品質管理週報_0536周周管審_0537周直通率8d1_複本 0541周周管審_外包部人力編制" xfId="2521"/>
    <cellStyle name="_2006_0409 Ernestine_Cooper tooling and plastic price to MS_Quotebook_07SEP10_BlueAnt_Quotebook_V3_07SEP11_RFQ_River_BAFO_2008 0606_M1_Stream Package Quotation_20090311" xfId="2522"/>
    <cellStyle name="_0526週品質管理週報_0536周周管審_0537周直通率8d1_複本 0541周周管審_外包部人力編制" xfId="2523"/>
    <cellStyle name="_0522週品質管理週報_0536周周管審_0537周直通率8d1_複本 0541周周管審_編制表" xfId="2524"/>
    <cellStyle name="差_Xl0000002_Leopard UniBom_true cost_6.23.2010" xfId="2525"/>
    <cellStyle name="_2005 04 DELL SMT Data2 -Process_2006日常管理目標.DIP _DELL廠級目標dip(2月) EXC _BPI 8D-SMT-2月 (3)_DELL MB廠級目標_DELL MB廠級目標四月 _DELL MB廠級目標十一月 (4)" xfId="2526"/>
    <cellStyle name="Normal 18 2 2 2" xfId="2527"/>
    <cellStyle name="Normal 23 2 2 2" xfId="2528"/>
    <cellStyle name="_0522週品質管理週報_0536周周管審_0538周周管審--FINl" xfId="2529"/>
    <cellStyle name="_2005 04 DELL SMT Data2 -Process_DELL廠級目標dip.EXC _DELL廠級目標dip(2月) EXC _BPI 8D-SMT-2月 (3)_DELL MB廠級目標.xls 圖表 1_DELLTEAM入庫資料1_DELL MB廠級目標十一月 (4)" xfId="2530"/>
    <cellStyle name="好_效益分析&amp;產能評估_MS Bolt wireless mouse FixtureEquipment Cost_A5_2010_02_21_Bolt RFQ_Foxlink_03.1 2011 5" xfId="2531"/>
    <cellStyle name="好_River EE BOM_Creak Pearl Reliability Fixture RFQ_2009 04 24_Creek RFQ feedback 04_28_2009_FD Update_Leopard UniBom_Foxlink_12092010 RevD-jen" xfId="2532"/>
    <cellStyle name="好_River EE BOM_Creak Pearl Reliability Fixture RFQ_2009 04 24_Pearl RFQ(Submittal)ver2_05_12_2009 _Leopard_UniBOM_ME_0531_Bolt RFQ_Foxlink_03.1 2011 4" xfId="2533"/>
    <cellStyle name="_0522週品質管理週報_0536周周管審_0538周周管審--FINl_0607 M1 Manpower (含大本編制)" xfId="2534"/>
    <cellStyle name="_Flex Mechanicals Doumen Sales forecast - Jan.06_PL Fcst Jul 06-updated G&amp;A Value" xfId="2535"/>
    <cellStyle name="_2006_0409 Ernestine_Cooper tooling_Quotebook_V3_07SEP11_RFQ_River_BAFO_2008 0606_M1_Stream Quotebook(Submittal)_POC1_20080903 2" xfId="2536"/>
    <cellStyle name="_0522週品質管理週報_0536周周管審_0538周周管審--FINl_0733-0815M1 Manpower-3" xfId="2537"/>
    <cellStyle name="_0522週品質管理週報_0536周周管審_0538周周管審--FINl_編制表" xfId="2538"/>
    <cellStyle name="好_Creek Assembly Fixture  Test Equipment RFQ_20090427_Leopard_UniBOM_ME_0602-1_Bolt RFQ Proposal_Foxlink_ (Pricing Summary) 2 25 2011 4 2" xfId="2539"/>
    <cellStyle name="_2005 04 DELL SMT Data2 -Process_DELL廠級目標dip EXC _DELL MB廠級目標.xls 圖表 1_MT 2007 KPI" xfId="2540"/>
    <cellStyle name="_200908所需資料" xfId="2541"/>
    <cellStyle name="_2006_0409 Ernestine_Cooper tooling_Quotebook_07SEP10_BlueAnt_Quotebook_V3_07SEP11_RFQ_River_BAFO_2008 0606_M1 2" xfId="2542"/>
    <cellStyle name="_0522週品質管理週報_0536周周管審_0538周周管審--FINl_複本 0541周周管審_0607 M1 Manpower (含大本編制)" xfId="2543"/>
    <cellStyle name="_0522週品質管理週報_0536周周管審_0538周周管審--FINl_複本 0541周周管審_外包部人力編制" xfId="2544"/>
    <cellStyle name="_2006_0410 Ernestine_Cooper tooling and plastic price to MS_Quotebook_07SEP10_BlueAnt_Quotebook_V3_07SEP11 2" xfId="2545"/>
    <cellStyle name="_0522週品質管理週報_0536周周管審_0538周周管審--FINl_複本 0541周周管審_編制表" xfId="2546"/>
    <cellStyle name="差_Xl0000000_Squirrel UniBom-06.23.2010_update_internal_Bolt RFQ Proposal_Foxlink_ (Pricing Summary) 2 25 2011 5 2" xfId="2547"/>
    <cellStyle name="_HC Planning 0705_Forecast Template v2_Forecast Template v4" xfId="2548"/>
    <cellStyle name="_Flex Mechanicals Doumen Sales forecast - Jan 06 updated._Copy of Tom OS ( Oct) new for LOG_X-BOX Console line setup budget and Buyer list" xfId="2549"/>
    <cellStyle name="_184071 - RMA Review_FY06 P7 XBox 360 Mfg Var - Close Pack" xfId="2550"/>
    <cellStyle name="_0522週品質管理週報_0536周周管審_0538周直通率8d1" xfId="2551"/>
    <cellStyle name="_0522週品質管理週報_0536周周管審_0538周直通率8d1_0541周直通率8D" xfId="2552"/>
    <cellStyle name="_2005 04 DELL SMT Data2 -Process_DELL廠級目標dip.EXC _DELL廠級目標dip(2月) EXC _BPI 8D-SMT-2月 (3)_DELL MB廠級目標.xls 圖表 1_DELL制程課管理目標" xfId="2553"/>
    <cellStyle name="好_Creek Assembly Fixture  Test Equipment RFQ_20090427_Leopard_UniBOM_ME_0602_Bolt RFQ_Foxlink_03.1 2011_Bolt_Cliff 6" xfId="2554"/>
    <cellStyle name="_0522週品質管理週報_0536周周管審_0538周直通率8d1_0541周直通率8D_0733-0815M1 Manpower-3" xfId="2555"/>
    <cellStyle name="_0522週品質管理週報_0536周周管審_0538周直通率8d1_0541周直通率8D_編制表" xfId="2556"/>
    <cellStyle name="_0522週品質管理週報_0536周周管審_0538周直通率8d1_0607 M1 Manpower (含大本編制)" xfId="2557"/>
    <cellStyle name="_2006_0409 Ernestine_Cooper tooling and plastic price to MS_Quotebook_07SEP10_Internal RFQ River Standalone  Bundle Unibom_v1 2_20080603_EJ 2" xfId="2558"/>
    <cellStyle name="_HID Capacity Demand Planning7-21 2" xfId="2559"/>
    <cellStyle name="_2005 04 DELL SMT Data2 -Process_2006日常管理目標.DIP _DELL廠級目標dip(2月) EXC _DELL MB廠級目標 _DELL MB廠級目標_DELL MB廠級目標_DELL MB廠級目標十一月 (4)" xfId="2560"/>
    <cellStyle name="_0522週品質管理週報_0536周周管審_0538周直通率8d1_0733-0815M1 Manpower-3" xfId="2561"/>
    <cellStyle name="_0522週品質管理週報_0536周周管審_0540周直通率8D1" xfId="2562"/>
    <cellStyle name="差_F3   SMT設備明細_Bolt RFQ Proposal_Foxlink_ (Pricing Summary) 2 25 2011 4 2" xfId="2563"/>
    <cellStyle name="_Sales Breakdown Analysis 3_PL Fcst Jul 06-updated G&amp;A Value_Copy of Tom OS ( Oct) new for LOG_X-BOX BB" xfId="2564"/>
    <cellStyle name="_2006_0406 Ernestine_Cooper tooling_RFQ_River_BAFO_2008 0606_M1_Stream Quotebook (Submittal)_POC2_20081117-1" xfId="2565"/>
    <cellStyle name="_0522週品質管理週報_0536周周管審_0540周直通率8D1_0607 M1 Manpower (含大本編制)" xfId="2566"/>
    <cellStyle name="_2006_0319 Ernestine_Cooper Cost Feedback_Quotebook_V3_07SEP11_Internal RFQ River Standalone  Bundle Unibom_v1 2_20080603_EJ_Stream Quotebook(Submittal)_POC1_20080903 2" xfId="2567"/>
    <cellStyle name="_0522週品質管理週報_0536周周管審_0540周直通率8D1_0733-0815M1 Manpower-3" xfId="2568"/>
    <cellStyle name="_Plantronics_Rainier_Dev Pricing_Apr.16_Stream RFQ Unibom--0626-1756_Stream Quotebook(Submittal)_POC1_20080903 2" xfId="2569"/>
    <cellStyle name="_0522週品質管理週報_0536周周管審_0540周直通率8D1_外包部人力編制" xfId="2570"/>
    <cellStyle name="好_River EE BOM_Creak Pearl Reliability Fixture RFQ_2009 04 24_Xl0000002_Foxlink_Shadow RFQ NREUni BOM_12032009_Bolt RFQ_Foxlink_03.1 2011" xfId="2571"/>
    <cellStyle name="_0522週品質管理週報_0536周周管審_0540周直通率8D1_編制表" xfId="2572"/>
    <cellStyle name="差_Xl0000000_Bolt RFQ Proposal_Foxlink_ (Pricing Summary) 2 25 2011 5" xfId="2573"/>
    <cellStyle name="差_0842周 顯卡報廢超標8D_2009MB KPI_MBO3F製造部hp0209-01 3 4" xfId="2574"/>
    <cellStyle name="_2006_0329 Ernestine_Cooper Cost Feedback_Quotebook_07SEP10_BlueAnt_Quotebook_V3_07SEP11_Stream RFQ Unibom--0626-1756_Stream Quotebook(Submittal)_POC1_20080903 2" xfId="2575"/>
    <cellStyle name="好_River EE BOM_Creak Pearl Reliability Fixture RFQ_2009 04 24_Creek RFQ feedback 04_28_2009_FD Update_Leopard_UniBOM_ME_0531_Bolt RFQ_Foxlink_03.1 2011_nego meeting@MACH 2 3" xfId="2576"/>
    <cellStyle name="_0522週品質管理週報_0536周周管審_0607 M1 Manpower (含大本編制)" xfId="2577"/>
    <cellStyle name="_2005 04 DELL SMT Data2 -Process_DELL廠級目標dip EXC _DELL廠級目標dip(2月) EXC _DELL MB廠級目標.重要不能刪_2007DELL SMT廠級目標KPI(MT)1" xfId="2578"/>
    <cellStyle name="_0522週品質管理週報_0536周周管審_0744-1031M1 Manpower" xfId="2579"/>
    <cellStyle name="差_效益分析&amp;產能評估_M1 SuedeFixtureEquipment Cost_A0_2010_10_15_Bolt RFQ Proposal_Foxlink_ (Pricing Summary) 2 25 2011 5 3" xfId="2580"/>
    <cellStyle name="_0522週品質管理週報_0536周周管審_Book1" xfId="2581"/>
    <cellStyle name="_0522週品質管理週報_0536周周管審_Book1_0607 M1 Manpower (含大本編制)" xfId="2582"/>
    <cellStyle name="好_Creek EE BOM cost_20090425_Squirrel UniBom-06.23.2010_update_internal_Bolt RFQ_Foxlink_03.1 2011_nego meeting@MACH 2" xfId="2583"/>
    <cellStyle name="_0522週品質管理週報_0536周周管審_Book1_0733-0815M1 Manpower-3" xfId="2584"/>
    <cellStyle name="_0522週品質管理週報_0536周周管審_Book1_編制表" xfId="2585"/>
    <cellStyle name="_Mechanical Contribution Margins (Q1'06, applied to Apr'04 Fcst)_Mechanical Contribution Margins forecast 0506 FP_PL Fcst Jul 06-updated G&amp;A Value_Copy of Tom OS ( Oct) new for LOG_Copy of X-BOX for line setup budget" xfId="2586"/>
    <cellStyle name="_Book2_Volume Fcst 1006 updated_Tom OS ( Oct)_X-BOX Console line setup budget 20080414" xfId="2587"/>
    <cellStyle name="好_Creek Assembly Fixture  Test Equipment RFQ_20090427_Squirrel RFQ ME BOM Costs-0623_Bolt RFQ_Foxlink_03.1 2011 5" xfId="2588"/>
    <cellStyle name="_Flex Mechanicals Doumen Sales forecast - Jan.06-updated_Volume Fcst 1006 updated_Copy of Tom OS ( Oct) new for LOG_X-BOX Console line setup budget and Buyer list" xfId="2589"/>
    <cellStyle name="_0522週品質管理週報_0536周周管審_Book1_複本 0541周周管審_0607 M1 Manpower (含大本編制)" xfId="2590"/>
    <cellStyle name="Normal 49 3 2" xfId="2591"/>
    <cellStyle name="Normal 54 3 2" xfId="2592"/>
    <cellStyle name="_ASUSWireless PD年度目標設定-2005 4月管審" xfId="2593"/>
    <cellStyle name="差_HP  專案(設備&amp;治工具需夠買)update_M1 SuedeFixtureEquipment Cost_A0_2010_10_15_Bolt RFQ_Foxlink_03.1 2011_nego meeting@MACH 2 2" xfId="2594"/>
    <cellStyle name="_0522週品質管理週報_0536周周管審_Book1_複本 0541周周管審_0733-0815M1 Manpower-3" xfId="2595"/>
    <cellStyle name="_0522週品質管理週報_0536周周管審_Book1_複本 0541周周管審_外包部人力編制" xfId="2596"/>
    <cellStyle name="_06FY01_Inventory Trend Summary_FY06 P4 CM Consigned RM" xfId="2597"/>
    <cellStyle name="_0522週品質管理週報_0536周周管審_Book1_複本 0541周周管審_編制表" xfId="2598"/>
    <cellStyle name="差_Creak Pearl Reliability Fixture RFQ_2009 04 24_Xl0000002_Foxlink_Shadow RFQ NREUni BOM_12032009" xfId="2599"/>
    <cellStyle name="差_Xl0000000_Leopard_UniBOM_ME_0602-1_Bolt RFQ Proposal_Foxlink_ (Pricing Summary) 2 25 2011 3 2" xfId="2600"/>
    <cellStyle name="Normal 9 7" xfId="2601"/>
    <cellStyle name="_Alvin-Development NRE_Internal RFQ River Standalone  Bundle Unibom_v1 2_20080603_EJ_Stream Quotebook(Submittal)_POC1_20080903" xfId="2602"/>
    <cellStyle name="差_jupite r設備&amp;治工具LIST (總)_Dallas效益分析&amp;投資回收期 (12-2 A1)_Flow Chart&amp;設備治工具清單 _~1159284" xfId="2603"/>
    <cellStyle name="好_River EE BOM_Creak Pearl Reliability Fixture RFQ_2009 04 24_Creek  Pearl RFQ_May 12_Leopard_UniBOM_ME_0602_Bolt RFQ Proposal_Foxlink_ (Pricing Summary) 2 25 2011 2 4" xfId="2604"/>
    <cellStyle name="_0522週品質管理週報_0536周周管審_編制表" xfId="2605"/>
    <cellStyle name="好_Creek Assembly Fixture  Test Equipment RFQ_20090427_Bolt_Cliff 5" xfId="2606"/>
    <cellStyle name="_0533周周報_八月份周直通率8d1_0538周周管審--FINl_外包部人力編制" xfId="2607"/>
    <cellStyle name="_0522週品質管理週報_0536周周管審_複本 0541周周管審" xfId="2608"/>
    <cellStyle name="_Antenna Headcount &amp;  Product Process Time 2006_MOST Std - Project A BB Line" xfId="2609"/>
    <cellStyle name="_0522週品質管理週報_0536周周管審_複本 0541周周管審_0607 M1 Manpower (含大本編制)" xfId="2610"/>
    <cellStyle name="_8D_1_Book1" xfId="2611"/>
    <cellStyle name="差_Creak Pearl Reliability Fixture RFQ_2009 04 24_Creek RFQ feedback 04_28_2009_FD Update_Foxlink_Shadow RFQ NREUni BOM_12032009_Bolt RFQ Proposal_Foxlink_ (Pricing Summary) 2 25 2011 2" xfId="2612"/>
    <cellStyle name="_2005 04 DELL SMT Data2 -Process_DELL廠級目標dip EXC _DELL廠級目標dip(2月) EXC _BPI 8D-SMT-2月 (3)_DELL MB廠級目標_DELL制程課管理目標 (4)" xfId="2613"/>
    <cellStyle name="好_River EE BOM_Creak Pearl Reliability Fixture RFQ_2009 04 24_Xl0000002_Leopard Lemur Squirrel UniBom-06.22.2010_EE cost _update_internal 2 2" xfId="2614"/>
    <cellStyle name="_2005 04 DELL SMT Data2 -Process_2006日常管理目標.DIP _DELL廠級目標dip(2月) EXC _DELL MB廠級目標 (2)_DELL MB廠級目標_HP制程課2007管理指標匯總-八月匯總" xfId="2615"/>
    <cellStyle name="_0522週品質管理週報_0536周周管審_複本 0541周周管審_0733-0815M1 Manpower-3" xfId="2616"/>
    <cellStyle name="_0522週品質管理週報_0536周周管審_複本 0541周周管審_外包部人力編制" xfId="2617"/>
    <cellStyle name="_0522週品質管理週報_0536周周管審_複本 0541周周管審_編制表" xfId="2618"/>
    <cellStyle name="_2006_0329 Ernestine_Cooper Cost Feedback_Quotebook_07SEP10" xfId="2619"/>
    <cellStyle name="_2006_0317 Ernestine_Cooper Cost Feedback_Quotebook_V3_07SEP11_Internal RFQ River Standalone  Bundle Unibom_v1 2_20080603_EJ" xfId="2620"/>
    <cellStyle name="_Book2_PL Fcst Jul 06-updated G&amp;A Value_Copy of Tom OS ( Oct) new for LOG_2009 xBOX ramp up budget code applicaiton 300K --New May26 (3)" xfId="2621"/>
    <cellStyle name="_0522週品質管理週報_0538周周管審--FINl" xfId="2622"/>
    <cellStyle name="差_效益分析&amp;產能評估_M1 SuedeFixtureEquipment Cost_A0_2010_10_15_Bolt RFQ_Foxlink_03.1 2011 4" xfId="2623"/>
    <cellStyle name="40% - Accent2 12" xfId="2624"/>
    <cellStyle name="40% - Accent1 8" xfId="2625"/>
    <cellStyle name="_OP1 DPO Forecast Final_Tom OS ( Oct)_2009 xBOX ramp up budget code applicaiton" xfId="2626"/>
    <cellStyle name="_0530周周管審_0538周周管審--FINl" xfId="2627"/>
    <cellStyle name="_0522週品質管理週報_0538周周管審--FINl_0607 M1 Manpower (含大本編制)" xfId="2628"/>
    <cellStyle name="_Monaco ME BOM - GA060608_Scenario 2 of recovery until 1116" xfId="2629"/>
    <cellStyle name="_220071-78(Oct 2006) (2)_2009 xBOX ramp up budget code applicaiton" xfId="2630"/>
    <cellStyle name="差_HP  專案(設備&amp;治工具需夠買)update_Jackson 效益分析 (2-1 B0 上系統)_Leopard效益分析08-17" xfId="2631"/>
    <cellStyle name="_2005 04 DELL SMT Data2 -Process_DELL MB廠級目標.重要不能刪" xfId="2632"/>
    <cellStyle name="_Masterfile" xfId="2633"/>
    <cellStyle name="_0522週品質管理週報_0538周周管審--FINl_0733-0815M1 Manpower-3" xfId="2634"/>
    <cellStyle name="差_Creek RFQ feedback 04_28_2009_FD Update_Leopard RFQ ME BOM Costs-0618-2_Bolt RFQ_Foxlink_03.1 2011" xfId="2635"/>
    <cellStyle name="_0710周IE Weekly Report" xfId="2636"/>
    <cellStyle name="差_Creak Pearl Reliability Fixture RFQ_2009 04 24_Creek  Pearl RFQ_May 12_Leopard Lemur Squirrel UniBom-06.22.2010_EE cost _update_internal_Bolt RFQ Proposal_Foxlink_ (Pricing Summary) 2 25 2011 4 2" xfId="2637"/>
    <cellStyle name="_0522週品質管理週報_0538周周管審--FINl_外包部人力編制" xfId="2638"/>
    <cellStyle name="_2006_0410b Ernestine_Cooper tooling and plastic price to MS_Quotebook_07SEP10_BlueAnt_Quotebook_V3_07SEP11_Stream RFQ Unibom--0626-1756_Stream Quotebook(Submittal)_POC1_20080903" xfId="2639"/>
    <cellStyle name="_0522週品質管理週報_0538周周管審--FINl_編制表" xfId="2640"/>
    <cellStyle name="_2005 04 DELL SMT Data2 -Process_DELL廠級目標dip EXC _DELL廠級目標dip(2月) EXC _DELL MB廠級目標 (2)_DELL MB廠級目標.xls 圖表 1_MT 2007 KPI" xfId="2641"/>
    <cellStyle name="好_River EE BOM_Creak Pearl Reliability Fixture RFQ_2009 04 24_Pearl RFQ(Submittal)ver2_05_12_2009 _Leopard UniBom_Foxlink_6 21 2010-ME_nego_Bolt RFQ_Foxlink_03.1 2011_nego meeting@MACH 2 2" xfId="2642"/>
    <cellStyle name="_0522週品質管理週報_0538周周管審--FINl_複本 0541周周管審" xfId="2643"/>
    <cellStyle name="_0522週品質管理週報_0538周周管審--FINl_複本 0541周周管審_0733-0815M1 Manpower-3" xfId="2644"/>
    <cellStyle name="_0522週品質管理週報_0538周周管審--FINl_複本 0541周周管審_外包部人力編制" xfId="2645"/>
    <cellStyle name="_0526週品質管理週報_0536周周管審_0536周直通率8d_0541周直通率8D" xfId="2646"/>
    <cellStyle name="_0522週品質管理週報_0538周周管審--FINl_複本 0541周周管審_編制表" xfId="2647"/>
    <cellStyle name="_0522週品質管理週報_0540周直通率8D1" xfId="2648"/>
    <cellStyle name="_0522週品質管理週報_0540周直通率8D1_0733-0815M1 Manpower-3" xfId="2649"/>
    <cellStyle name="差_Daffy Backflip Reliability for RFQ " xfId="2650"/>
    <cellStyle name="_PL Forecast Comparison_Mech Doumen2006_1(preliminary)_Copy of Tom OS ( Oct) new for LOG_Copy of X-BOX for line setup budget" xfId="2651"/>
    <cellStyle name="好_River EE BOM_Xl0000002_Leopard_UniBOM_ME_0602-1_Bolt RFQ_Foxlink_03.1 2011_nego meeting@MACH 4" xfId="2652"/>
    <cellStyle name="_0522週品質管理週報_0540周直通率8D1_外包部人力編制" xfId="2653"/>
    <cellStyle name="_Avaya SPICE demand on May-8-06 (based on ramp-up plan)_Tester Demand Plan 062807" xfId="2654"/>
    <cellStyle name="百分比 2 3" xfId="2655"/>
    <cellStyle name="好_Creek Assembly Fixture  Test Equipment RFQ_20090427_Squirrel UniBom-06.23.2010_update_internal_Bolt RFQ_Foxlink_03.1 2011_nego meeting@MACH 2 3" xfId="2656"/>
    <cellStyle name="_0522週品質管理週報_0540周直通率8D1_複本 0541周周管審" xfId="2657"/>
    <cellStyle name="_0522週品質管理週報_0540周直通率8D1_複本 0541周周管審_外包部人力編制" xfId="2658"/>
    <cellStyle name="_50wk呆滯庫存" xfId="2659"/>
    <cellStyle name="一般 4 3 7" xfId="2660"/>
    <cellStyle name="_2005 04 DELL SMT Data2 -Process_DELL廠級目標dip EXC _DELL廠級目標dip(2月) EXC _DELL MB廠級目標  (2)_DELL MB廠級目標.xls 圖表 1_DELL MB廠級目標四月 _DELL MB廠級目標十一月 (4)" xfId="2661"/>
    <cellStyle name="差_Xl0000000_Leopard RFQ ME BOM Costs-0618_Bolt RFQ Proposal_Foxlink_ (Pricing Summary) 2 25 2011 5 3" xfId="2662"/>
    <cellStyle name="_0535周周報1_0538周周管審--FINl" xfId="2663"/>
    <cellStyle name="_0522週品質管理週報_0540周直通率8D1_複本 0541周周管審_編制表" xfId="2664"/>
    <cellStyle name="好_Creek Assembly Fixture  Test Equipment RFQ_20090427_Xl0000002_Leopard RFQ ME BOM Costs-0618_Bolt RFQ Proposal_Foxlink_ (Pricing Summary) 2 25 2011 2 2 2" xfId="2665"/>
    <cellStyle name="_0522週品質管理週報_0541周直通率8D_0733-0815M1 Manpower-3" xfId="2666"/>
    <cellStyle name="差_F3   SMT設備明細_MS Bolt wireless mouse FixtureEquipment Cost_A5_2010_02_21_Bolt RFQ Proposal_Foxlink_ (Pricing Summary) 2 25 2011 4 3" xfId="2667"/>
    <cellStyle name="差_Creak Pearl Reliability Fixture RFQ_2009 04 24_Pearl RFQ(Submittal)ver2_05_12_2009 _Leopard_UniBOM_ME_0531_Bolt RFQ Proposal_Foxlink_ (Pricing Summary) 2 25 2011 5 3" xfId="2668"/>
    <cellStyle name="差_Creak Pearl Reliability Fixture RFQ_2009 04 24_Squirrel UniBom-06.23.2010_update_internal 3 3" xfId="2669"/>
    <cellStyle name="_0522週品質管理週報_0541周直通率8D_外包部人力編制" xfId="2670"/>
    <cellStyle name="_2005 04 DELL SMT Data2 -Process_DELL MB廠級目標  (2)_DELL MB廠級目標_DELL MB廠級目標四月 " xfId="2671"/>
    <cellStyle name="_0522週品質管理週報_0607 M1 Manpower (含大本編制)" xfId="2672"/>
    <cellStyle name="好_River EE BOM_Xl0000000_Leopard RFQ ME BOM Costs-0618 2 3" xfId="2673"/>
    <cellStyle name="_2005 04 DELL SMT Data2 -Process_DELL MB廠級目標 (2)_2007DELL SMT廠級目標KPI(MT)1" xfId="2674"/>
    <cellStyle name="_Foxlink Retail AV Packs Costed BOM 081305_Dawson_RFP_Foxlink_Response_Proposal 的 工作表" xfId="2675"/>
    <cellStyle name="差_Xl0000002_Leopard RFQ ME BOM Costs-0618_Bolt RFQ_Foxlink_03.1 2011 2 3" xfId="2676"/>
    <cellStyle name="_Foxlink Xenon Forecast 7-18-2005_RIM Meteor charging pod_Internal RFQ River Standalone  Bundle Unibom_v1 2_20080603_EJ_Stream Package Quotation_20090311" xfId="2677"/>
    <cellStyle name="_0522週品質管理週報_0733-0815M1 Manpower-3" xfId="2678"/>
    <cellStyle name="_7月ict f.t_0536周周管審_0538周直通率8d1_0541周直通率8D" xfId="2679"/>
    <cellStyle name="40% - 輔色6 2" xfId="2680"/>
    <cellStyle name="_0522週品質管理週報_0744-1031M1 Manpower" xfId="2681"/>
    <cellStyle name="_0522週品質管理週報_0751-1219M1 Manpower" xfId="2682"/>
    <cellStyle name="_0526週品質管理週報_0531周設備妥善_八月份周直通率8d1_0540周直通率8D1_複本 0541周周管審_外包部人力編制" xfId="2683"/>
    <cellStyle name="_BOM_BlueVox (Wiima) &amp; BCM2044 v03022007_RFQ_River_BAFO_2008 0606_M1_Stream Quotebook(Submittal)_POC1_20080903" xfId="2684"/>
    <cellStyle name="_0522週品質管理週報_Book1" xfId="2685"/>
    <cellStyle name="_2005 04 DELL SMT Data2 -Process_DELL廠級目標dip.EXC _DELL MB廠級目標.xls 圖表 1_DELLTEAM入庫資料1_2007DELL SMT廠級目標KPI(MT)1" xfId="2686"/>
    <cellStyle name="_0522週品質管理週報_Book1_0733-0815M1 Manpower-3" xfId="2687"/>
    <cellStyle name="_2006_0412 Ernestine_Cooper tooling and plastic price to MS_JC_Quotebook_V3_07SEP11_Stream RFQ Unibom--0626-1756 2" xfId="2688"/>
    <cellStyle name="_0522週品質管理週報_Book1_外包部人力編制" xfId="2689"/>
    <cellStyle name="Comma Acctg 3" xfId="2690"/>
    <cellStyle name="_0526週品質管理週報_0507月設備妥善率8D1_0536周周管審_0537周直通率8d1" xfId="2691"/>
    <cellStyle name="差_Creak Pearl Reliability Fixture RFQ_2009 04 24_Leopard_UniBOM_ME_0603-2 2" xfId="2692"/>
    <cellStyle name="_0522週品質管理週報_Book1_複本 0541周周管審" xfId="2693"/>
    <cellStyle name="好_River EE BOM_Creak Pearl Reliability Fixture RFQ_2009 04 24_Creek RFQ feedback 04_28_2009_FD Update_Squirrel RFQ ME BOM Costs-0623_Bolt RFQ_Foxlink_03.1 2011 2" xfId="2694"/>
    <cellStyle name="_Opex Seasonality_Sheet1" xfId="2695"/>
    <cellStyle name="_0526週品質管理週報_0507月設備妥善率8D1_0536周周管審_0537周直通率8d1_0733-0815M1 Manpower-3" xfId="2696"/>
    <cellStyle name="_0522週品質管理週報_Book1_複本 0541周周管審_0733-0815M1 Manpower-3" xfId="2697"/>
    <cellStyle name="_2005 04 DELL SMT Data2 -Process_2006日常管理目標.DIP _DELL廠級目標dip(2月) EXC _DELL MB廠級目標  (2)_DELL MB廠級目標.xls 圖表 1_DELL MB廠級目標十一月 (4)" xfId="2698"/>
    <cellStyle name="_0522週品質管理週報_外包部人力編制" xfId="2699"/>
    <cellStyle name="_2006_0409 Ernestine_Cooper tooling and plastic price to MS_RFQ_River_BAFO_2008 0606_M1_Stream Quotebook (Submittal)_POC2_20081117-1" xfId="2700"/>
    <cellStyle name="_0522週品質管理週報_編制表" xfId="2701"/>
    <cellStyle name="_2005 04 DELL SMT Data2 -Process_DELL MB廠級目標 _DELL MB廠級目標" xfId="2702"/>
    <cellStyle name="_0522週品質管理週報_複本 0541周周管審" xfId="2703"/>
    <cellStyle name="_Mechanical Contribution Margins (Q2'06) 0705_Mechanical Contribution Margins forecast 0506 FP_Budget GC Other Form" xfId="2704"/>
    <cellStyle name="_0522週品質管理週報_複本 0541周周管審_0733-0815M1 Manpower-3" xfId="2705"/>
    <cellStyle name="_BOM_GALAXY_1C_Main Board_Rev. A 141105" xfId="2706"/>
    <cellStyle name="好_River EE BOM_Creak Pearl Reliability Fixture RFQ_2009 04 24_Creek  Pearl RFQ_May 12_Leopard_UniBOM_ME_0602-1_Bolt RFQ Proposal_Foxlink_ (Pricing Summary) 2 25 2011 7" xfId="2707"/>
    <cellStyle name="_2005 04 DELL SMT Data2 -Process_DELL MB廠級目標  (2)_DELL MB廠級目標_HP制程課2007管理指標匯總-八月匯總" xfId="2708"/>
    <cellStyle name="差_F3   SMT設備明細_效益分析_Dallas flow chart&amp;設備&amp;治工具清單(12-8 A0)_效益分析(總 12-28 Update)_Jackson 效益分析 (2-1 B0 上系統)" xfId="2709"/>
    <cellStyle name="_W522 4 Mulan Edge EP0 CTB_MOST Std - S1300 F2lines_FMTQCI-MIS3H064-P027(01)Nazca Copy Exact Flow chart" xfId="2710"/>
    <cellStyle name="_PC編制" xfId="2711"/>
    <cellStyle name="_0522週品質管理週報_複本 0541周周管審_編制表" xfId="2712"/>
    <cellStyle name="好_River EE BOM_Creak Pearl Reliability Fixture RFQ_2009 04 24_Leopard UniBom_Foxlink_6 21 2010-nego" xfId="2713"/>
    <cellStyle name="_2006_0412 Ernestine_Cooper tooling and plastic price to MS_JC_Quotebook_V3_07SEP11_Stream RFQ Unibom--0626-1756_Stream Quotebook (Submittal)_POC2_20081117-1" xfId="2714"/>
    <cellStyle name="好_River EE BOM_Creak Pearl Reliability Fixture RFQ_2009 04 24_Xl0000002_Bolt RFQ_Foxlink_03.1 2011_nego meeting@MACH 2 2" xfId="2715"/>
    <cellStyle name="_0522週品質管理週報_離職原因分析" xfId="2716"/>
    <cellStyle name="_0526週品質管理週報_0536周周管審_0536周直通率8d_Book1_外包部人力編制" xfId="2717"/>
    <cellStyle name="shade" xfId="2718"/>
    <cellStyle name="_0526週品質管理週報_0531周設備妥善_Book1_複本 0541周周管審" xfId="2719"/>
    <cellStyle name="Normal 5 4 4 3" xfId="2720"/>
    <cellStyle name="_Forecast - Segment-HP-June06(1)_plforecastsample_X-BOX Console line setup budget 20080414" xfId="2721"/>
    <cellStyle name="_0526週品質管理週報" xfId="2722"/>
    <cellStyle name="_0526週品質管理週報_0507月設備妥善率8D1" xfId="2723"/>
    <cellStyle name="_2006_0410b Ernestine_Cooper tooling and plastic price to MS_Quotebook_07SEP10_BlueAnt_Quotebook_V3_07SEP11_Stream RFQ Unibom--0626-1756 2" xfId="2724"/>
    <cellStyle name="好_Creek EE BOM cost_20090425_Creek RFQ feedback 04_28_2009_FD Update_Foxlink_Shadow RFQ NREUni BOM_12032009 2 4" xfId="2725"/>
    <cellStyle name="_2005 04 DELL SMT Data2 -Process_DELL廠級目標dip EXC _DELL廠級目標dip(2月) EXC _DELL MB廠級目標 (2)_DELL MB廠級目標.xls 圖表 1_DELLTEAM入庫資料1_DELL MB廠級目標十一月 (4)" xfId="2726"/>
    <cellStyle name="好_Creek Assembly Fixture  Test Equipment RFQ_20090427_Xl0000002_Leopard_UniBOM_ME_0603-2 2 2 3" xfId="2727"/>
    <cellStyle name="好_Creek Assembly Fixture  Test Equipment RFQ_20090427_Leopard_UniBOM_ME_0602-1_Bolt RFQ_Foxlink_03.1 2011_nego meeting@MACH" xfId="2728"/>
    <cellStyle name="_MOST Std - S1300 F2lines_Nazca copy exact flow chart 20120409" xfId="2729"/>
    <cellStyle name="_7月ict f.t_0538周周管審--FINl_複本 0541周周管審" xfId="2730"/>
    <cellStyle name="_2006_0329 Ernestine_Cooper Cost Feedback_Quotebook_07SEP10_Stream RFQ Unibom--0626-1756_Stream Quotebook(Submittal)_POC1_20080903" xfId="2731"/>
    <cellStyle name="好_River EE BOM_Creak Pearl Reliability Fixture RFQ_2009 04 24_Xl0000002_Leopard_UniBOM_ME_0531" xfId="2732"/>
    <cellStyle name="_0526週品質管理週報_0507月設備妥善率8D1_0534周SMT周管審" xfId="2733"/>
    <cellStyle name="_2006_0317 Ernestine_Cooper Cost Feedback_Quotebook_07SEP10_RFQ_River_BAFO_2008 0606_M1_Stream Quotebook (Submittal)_POC2_20081117-1" xfId="2734"/>
    <cellStyle name="好_Erie Assembly Fixture  Test Equip Cost_20090716_Bolt RFQ_Foxlink_03.1 2011 5" xfId="2735"/>
    <cellStyle name="_FMTTQCI-MISH485-P018_Nazca copy exact flow chart 2012313" xfId="2736"/>
    <cellStyle name="_0526週品質管理週報_0507月設備妥善率8D1_0534周SMT周管審_0733-0815M1 Manpower-3" xfId="2737"/>
    <cellStyle name="_0526週品質管理週報_0507月設備妥善率8D1_0534周SMT周管審_編制表" xfId="2738"/>
    <cellStyle name="5_P139 CCM 1212" xfId="2739"/>
    <cellStyle name="_0526週品質管理週報_0507月設備妥善率8D1_0536周周管審" xfId="2740"/>
    <cellStyle name="Œ…‹æØ‚è [0.00]_!!!GO" xfId="2741"/>
    <cellStyle name="_0526週品質管理週報_0507月設備妥善率8D1_0536周周管審_0541周直通率8D" xfId="2742"/>
    <cellStyle name="_0526週品質管理週報_0507月設備妥善率8D1_0536周周管審_0536周直通率8d" xfId="2743"/>
    <cellStyle name="差_治具工程課2009年KPI_產線生產規劃KPI 2 2" xfId="2744"/>
    <cellStyle name="好_Oslo Quark Certification 20100312" xfId="2745"/>
    <cellStyle name="好_Creek Assembly Fixture  Test Equipment RFQ_20090427_Xl0000002_Leopard_UniBOM_ME_0531" xfId="2746"/>
    <cellStyle name="_0526週品質管理週報_0507月設備妥善率8D1_0536周周管審_0536周直通率8d_0540周直通率8D1" xfId="2747"/>
    <cellStyle name="Calculation 9 2" xfId="2748"/>
    <cellStyle name="差_Creak Pearl Reliability Fixture RFQ_2009 04 24_Creek RFQ feedback 04_28_2009_FD Update_Bristol UniBom_Foxlink_02082011 RevA" xfId="2749"/>
    <cellStyle name="_0526週品質管理週報_0507月設備妥善率8D1_0536周周管審_0536周直通率8d_0540周直通率8D1_0733-0815M1 Manpower-3" xfId="2750"/>
    <cellStyle name="_0526週品質管理週報_0507月設備妥善率8D1_0536周周管審_0536周直通率8d_0540周直通率8D1_外包部人力編制" xfId="2751"/>
    <cellStyle name="_0526週品質管理週報_0507月設備妥善率8D1_0536周周管審_0536周直通率8d_0540周直通率8D1_編制表" xfId="2752"/>
    <cellStyle name="Normal 11 2 2 2 2" xfId="2753"/>
    <cellStyle name="差_效益分析&amp;產能評估_M1 SuedeFixtureEquipment Cost_A0_2010_10_15_Bolt RFQ_Foxlink_03.1 2011 3" xfId="2754"/>
    <cellStyle name="40% - Accent2 11" xfId="2755"/>
    <cellStyle name="_2005 04 DELL SMT Data2 -Process_2006日常管理目標.DIP _DELL廠級目標dip(2月) EXC _BPI 8D-SMT-2月 (3)_DELL MB廠級目標.xls 圖表 1_MT 2007 KPI" xfId="2756"/>
    <cellStyle name="40% - Accent1 7" xfId="2757"/>
    <cellStyle name="_0526週品質管理週報_0534周SMT周管審_0733-0815M1 Manpower-3" xfId="2758"/>
    <cellStyle name="_0526週品質管理週報_0507月設備妥善率8D1_0536周周管審_0536周直通率8d_0540周直通率8D1_複本 0541周周管審" xfId="2759"/>
    <cellStyle name="Normal 5" xfId="2760"/>
    <cellStyle name="_2006_0319 Ernestine_Cooper Cost Feedback_Quotebook_07SEP10_RFQ_River_BAFO_2008 0606_M1_Stream Package Quotation_20090311" xfId="2761"/>
    <cellStyle name="_Depot Capacity Rev02 040605-Rev1-2 modified" xfId="2762"/>
    <cellStyle name="_0526週品質管理週報_0507月設備妥善率8D1_0536周周管審_0536周直通率8d_0540周直通率8D1_複本 0541周周管審_0733-0815M1 Manpower-3" xfId="2763"/>
    <cellStyle name="_2005 04 DELL SMT Data2 -Process_2006日常管理目標.DIP _2007DELL SMT廠級目標KPI(MT)1" xfId="2764"/>
    <cellStyle name="壞_Creek Assembly Fixture  Test Equipment RFQ_20090427_Xl0000002_Leopard UniBom_Foxlink_12272010 RevF_shirley" xfId="2765"/>
    <cellStyle name="_0526週品質管理週報_0536周周管審_0536周直通率8d_Book1_複本 0541周周管審_0733-0815M1 Manpower-3" xfId="2766"/>
    <cellStyle name="_0526週品質管理週報_0507月設備妥善率8D1_0536周周管審_0536周直通率8d_0540周直通率8D1_複本 0541周周管審_外包部人力編制" xfId="2767"/>
    <cellStyle name="_7月月管審附件.xls 圖表 1_0536周周管審_0536周直通率8d_複本 0541周周管審" xfId="2768"/>
    <cellStyle name="_2005 04 DELL SMT Data2 -Process_DELL廠級目標dip.EXC _DELL MB廠級目標_DELLTEAM入庫資料1_DELL MB廠級目標十一月 (4)" xfId="2769"/>
    <cellStyle name="好_River EE BOM_Creak Pearl Reliability Fixture RFQ_2009 04 24_Xl0000002_Leopard Lemur Squirrel UniBom-06.22.2010_EE cost _update_internal 3" xfId="2770"/>
    <cellStyle name="_2005 04 DELL SMT Data2 -Process_BPI 8D-SMT-2月 (3)_DELL MB廠級目標.xls 圖表 1_DELL MB廠級目標.重要不能刪" xfId="2771"/>
    <cellStyle name="Normal 19 2 2 2" xfId="2772"/>
    <cellStyle name="Normal 24 2 2 2" xfId="2773"/>
    <cellStyle name="_Flextronics Radon  Build Plan 4-27-2005_Line transition plan to B17 rev.3" xfId="2774"/>
    <cellStyle name="Std." xfId="2775"/>
    <cellStyle name="差_Creak Pearl Reliability Fixture RFQ_2009 04 24_Leopard Lemur Squirrel UniBom-06.22.2010_EE cost _update_internal 3 3" xfId="2776"/>
    <cellStyle name="计算 5 4" xfId="2777"/>
    <cellStyle name="_0526週品質管理週報_0507月設備妥善率8D1_0536周周管審_0536周直通率8d_0540周直通率8D1_複本 0541周周管審_編制表" xfId="2778"/>
    <cellStyle name="_asus wlan 機種SMT線體需求計算表3_本周產能(0404FC111_awl線體需求計算6.6" xfId="2779"/>
    <cellStyle name="_Mechanical Contribution Margins (Q2'06) 0705_PL Forecast by segment-most final 0806" xfId="2780"/>
    <cellStyle name="Normal 58" xfId="2781"/>
    <cellStyle name="Normal 63" xfId="2782"/>
    <cellStyle name="_0526週品質管理週報_0507月設備妥善率8D1_0536周周管審_0536周直通率8d_0541周直通率8D" xfId="2783"/>
    <cellStyle name="_2006_0317 Ernestine_Cooper Cost Feedback_Quotebook_V3_07SEP11_Stream RFQ Unibom--0626-1756_Stream Quotebook(Submittal)_POC1_20080903 2" xfId="2784"/>
    <cellStyle name="_0526週品質管理週報_0507月設備妥善率8D1_0536周周管審_0536周直通率8d_0541周直通率8D_0733-0815M1 Manpower-3" xfId="2785"/>
    <cellStyle name="_2006_0317 Ernestine_Cooper Cost Feedback_Quotebook_07SEP10_BlueAnt_Quotebook_V3_07SEP11_Internal RFQ River Standalone  Bundle Unibom_v1 2_20080603_EJ 2" xfId="2786"/>
    <cellStyle name="_0526週品質管理週報_0507月設備妥善率8D1_0536周周管審_0536周直通率8d_0541周直通率8D_外包部人力編制" xfId="2787"/>
    <cellStyle name="好_Creek Assembly Fixture  Test Equipment RFQ_20090427_Xl0000002_Squirrel RFQ ME BOM Costs-0623_Bolt RFQ Proposal_Foxlink_ (Pricing Summary) 2 25 2011 2 2" xfId="2788"/>
    <cellStyle name="_2005 04 DELL SMT Data2 -Process_DELL廠級目標dip.EXC _DELL廠級目標dip(2月) EXC _BPI 8D-SMT-2月 (3)_DELL MB廠級目標_DELL MB廠級目標四月 _DELL MB廠級目標十一月 (4)" xfId="2789"/>
    <cellStyle name="好_Erie Assembly Fixture  Test Equip Cost_20090716_Jackson and Shadow test cost update _7th Feb 2010 (2)" xfId="2790"/>
    <cellStyle name="百分比 3" xfId="2791"/>
    <cellStyle name="好_Creek Assembly Fixture  Test Equipment RFQ_20090427_Squirrel UniBom-06.23.2010_update_internal_Bolt RFQ_Foxlink_03.1 2011_nego meeting@MACH 3" xfId="2792"/>
    <cellStyle name="_0526週品質管理週報_0507月設備妥善率8D1_0536周周管審_0536周直通率8d_0541周直通率8D_編制表" xfId="2793"/>
    <cellStyle name="_Mechanical Contribution Margins (Q1'06, applied to Apr'04 Fcst)_Mechanical Contribution Margins forecast 0506 FP_Volume Fcst 1006 updated_X-BOX Console line setup budget 20080414" xfId="2794"/>
    <cellStyle name="_0526週品質管理週報_0507月設備妥善率8D1_0536周周管審_0541周直通率8D_0733-0815M1 Manpower-3" xfId="2795"/>
    <cellStyle name="_0526週品質管理週報_0507月設備妥善率8D1_0536周周管審_0536周直通率8d_0733-0815M1 Manpower-3" xfId="2796"/>
    <cellStyle name="Normal 5 6 7" xfId="2797"/>
    <cellStyle name="_220071-78(Aug 103&amp;105)_Budget GC Other Form" xfId="2798"/>
    <cellStyle name="差_治具工程課2009年KPI_2009MB KPI-0205 6" xfId="2799"/>
    <cellStyle name="_0526週品質管理週報_0507月設備妥善率8D1_0536周周管審_0536周直通率8d_Book1" xfId="2800"/>
    <cellStyle name="_47wk周報" xfId="2801"/>
    <cellStyle name="_7月月管審附件.xls 圖表 1_Book1" xfId="2802"/>
    <cellStyle name="_Flex Mechanicals Doumen Sales forecast - Dec'05 R1_PL Fcst Jul 06-updated G&amp;A Value_Internal Hourly Rate Q1 FY08 Version (2)" xfId="2803"/>
    <cellStyle name="_Mechanical Contribution Margins (Q2'06) 0705_Mechanical Contribution Margins forecast 0506 FP_PL Forecast by segment-most final 0806_Copy of Tom OS ( Oct) new for LOG_2009 xBOX ramp up budget code applicaiton 300K --New May26 (3)" xfId="2804"/>
    <cellStyle name="壞_Creek Assembly Fixture  Test Equipment RFQ_20090427_Xl0000002_Leopard Lemur Squirrel UniBom-06.22.2010_EE cost _update_internal_Bolt RFQ Proposal_Foxlink_ (Pricing Summary) 2 25 2011 4 2" xfId="2805"/>
    <cellStyle name="_2005 04 DELL SMT Data2 -Process_DELL廠級目標dip(1月) EXC _DELL MB廠級目標_DELL制程課管理目標 (4)" xfId="2806"/>
    <cellStyle name="_2005 04 DELL SMT Data2 -Process_DELL廠級目標dip(2月) EXC _DELL MB廠級目標.xls 圖表 1_MT 2007 KPI" xfId="2807"/>
    <cellStyle name="_Mulan Edge EP0 KRH material drive_MOST Std - S1300 F2lines_FMTQCI-MIS3H064-P027(01)Nazca Copy Exact Flow chart" xfId="2808"/>
    <cellStyle name="_0526週品質管理週報_0507月設備妥善率8D1_0536周周管審_0536周直通率8d_Book1_0733-0815M1 Manpower-3" xfId="2809"/>
    <cellStyle name="_0526週品質管理週報_0507月設備妥善率8D1_0536周周管審_0536周直通率8d_Book1_外包部人力編制" xfId="2810"/>
    <cellStyle name="Normal 28 3 2" xfId="2811"/>
    <cellStyle name="Normal 33 3 2" xfId="2812"/>
    <cellStyle name="_教育訓練名單" xfId="2813"/>
    <cellStyle name="_0526週品質管理週報_0507月設備妥善率8D1_0536周周管審_0536周直通率8d_Book1_編制表" xfId="2814"/>
    <cellStyle name="差_F3   SMT設備明細_jupite r設備&amp;治工具LIST (總)_Dallas效益分析&amp;投資回收期 (12-2 A1)_Flow Chart&amp;設備治工具清單 _~1159284" xfId="2815"/>
    <cellStyle name="_Sales Forecast (plastic XX)0703_Tom OS ( Oct)_Forecast Template v4" xfId="2816"/>
    <cellStyle name="_Sales Forecast (plastic XX)1203_Tom OS ( Oct)_Forecast Template v4" xfId="2817"/>
    <cellStyle name="_0526週品質管理週報_0507月設備妥善率8D1_0536周周管審_0536周直通率8d_Book1_複本 0541周周管審" xfId="2818"/>
    <cellStyle name="好_River EE BOM_Jackson NRE Uni BOM_update _05072010 rev K_Leopard UniBom_Foxlink_12092010 RevD-jen" xfId="2819"/>
    <cellStyle name="好_Creek EE BOM cost_20090425_Leopard_UniBOM_ME_0531_Bolt RFQ_Foxlink_03.1 2011 3 3" xfId="2820"/>
    <cellStyle name="_0526週品質管理週報_0507月設備妥善率8D1_0536周周管審_0536周直通率8d_Book1_複本 0541周周管審_編制表" xfId="2821"/>
    <cellStyle name="_2005 04 DELL SMT Data2 -Process_DELL廠級目標dip EXC _DELL廠級目標dip(2月) EXC _BPI 8D-SMT-2月_DELL MB廠級目標_DELL MB廠級目標_DELL MB廠級目標十一月 (4)" xfId="2822"/>
    <cellStyle name="好_River EE BOM_Xl0000002_Squirrel RFQ ME BOM Costs-0623_Bolt RFQ_Foxlink_03.1 2011 2 3" xfId="2823"/>
    <cellStyle name="_184071 - Xbox Prepaid Inventory (2)_P6 Si Ops review" xfId="2824"/>
    <cellStyle name="20% - Accent5 3 3" xfId="2825"/>
    <cellStyle name="_0526週品質管理週報_0507月設備妥善率8D1_0536周周管審_0541周直通率8D_外包部人力編制" xfId="2826"/>
    <cellStyle name="_0526週品質管理週報_0507月設備妥善率8D1_0536周周管審_0536周直通率8d_外包部人力編制" xfId="2827"/>
    <cellStyle name="_2005 04 DELL SMT Data2 -Process_2006日常管理目標.DIP _DELL MB廠級目標.xls 圖表 1_DELL MB廠級目標四月 _DELL MB廠級目標十一月 (4)" xfId="2828"/>
    <cellStyle name="差_Creak Pearl Reliability Fixture RFQ_2009 04 24_Bolt RFQ Proposal_Foxlink_ (Pricing Summary) 2 25 2011 2" xfId="2829"/>
    <cellStyle name="_0526週品質管理週報_0507月設備妥善率8D1_0536周周管審_0541周直通率8D_編制表" xfId="2830"/>
    <cellStyle name="_0526週品質管理週報_0507月設備妥善率8D1_0536周周管審_0536周直通率8d_編制表" xfId="2831"/>
    <cellStyle name="差_Creek RFQ feedback 04_28_2009_FD Update_Leopard UniBom_Foxlink_6 21 2010-ME_nego_Bolt RFQ Proposal_Foxlink_ (Pricing Summary) 2 25 2011 2 2" xfId="2832"/>
    <cellStyle name="_184071 - RMA Review (2)_Copy of Pending MRB 01 27 06 (2)" xfId="2833"/>
    <cellStyle name="_Flex Mechanicals Doumen Sales forecast - Dec'05 (updated links)_Volume Fcst 1006 updated_Copy of Tom OS ( Oct) new for LOG_X-BOX Console line setup budget 20080414" xfId="2834"/>
    <cellStyle name="_0526週品質管理週報_0507月設備妥善率8D1_0536周周管審_0536周直通率8d_複本 0541周周管審" xfId="2835"/>
    <cellStyle name="好_Creek Assembly Fixture  Test Equipment RFQ_20090427_Xl0000002_Leopard_UniBOM_ME_0531_Bolt RFQ Proposal_Foxlink_ (Pricing Summary) 2 25 2011 2 2" xfId="2836"/>
    <cellStyle name="_0526週品質管理週報_0507月設備妥善率8D1_0536周周管審_0536周直通率8d_複本 0541周周管審_0733-0815M1 Manpower-3" xfId="2837"/>
    <cellStyle name="_2008_9-12 損益統計實績_v2_20081205_2010銷售明細實績-201006" xfId="2838"/>
    <cellStyle name="差_HP Mouse 產能評估(Forecast更改後)_M1 Bolt wireless mouse FixtureEquipment Cost_A2_2010_12_07 4" xfId="2839"/>
    <cellStyle name="_2005 04 DELL SMT Data2 -Process_DELL廠級目標dip.EXC _DELL MB廠級目標.xls 圖表 1_DELL制程課管理目標" xfId="2840"/>
    <cellStyle name="好_效益分析&amp;產能評估_M1 SuedeFixtureEquipment Cost_A0_2010_10_15_Bolt RFQ_Foxlink_03.1 2011" xfId="2841"/>
    <cellStyle name="_2005 04 DELL SMT Data2 -Process_DELL廠級目標dip(1月) EXC _DELL MB廠級目標.xls 圖表 1_DELLTEAM入庫資料1_2007DELL SMT廠級目標KPI(MT)1" xfId="2842"/>
    <cellStyle name="_0526週品質管理週報_0507月設備妥善率8D1_0536周周管審_0536周直通率8d_複本 0541周周管審_外包部人力編制" xfId="2843"/>
    <cellStyle name="_2006_0410 Ernestine_Cooper tooling and plastic price to MS_RFQ_River_BAFO_2008 0606_M1_Stream Quotebook(Submittal)_POC1_20080903 2" xfId="2844"/>
    <cellStyle name="_0526週品質管理週報_0507月設備妥善率8D1_0536周周管審_0537周直通率8d" xfId="2845"/>
    <cellStyle name="好_River EE BOM_Creak Pearl Reliability Fixture RFQ_2009 04 24_Pearl RFQ(Submittal)ver2_05_12_2009 _Leopard_UniBOM_ME_0602-1 3 3" xfId="2846"/>
    <cellStyle name="40% - Accent2 2 4 3" xfId="2847"/>
    <cellStyle name="好_River EE BOM_Creak Pearl Reliability Fixture RFQ_2009 04 24_Leopard RFQ ME BOM Costs-0618_Bolt RFQ_Foxlink_03.1 2011 3 2" xfId="2848"/>
    <cellStyle name="_0526週品質管理週報_0507月設備妥善率8D1_0536周周管審_0537周直通率8d_0541周直通率8D" xfId="2849"/>
    <cellStyle name="_2006_0317 Ernestine_Cooper Cost Feedback_Quotebook_V3_07SEP11 2" xfId="2850"/>
    <cellStyle name="好_River EE BOM_Creak Pearl Reliability Fixture RFQ_2009 04 24_Creek RFQ feedback 04_28_2009_FD Update_Leopard_UniBOM_ME_0531" xfId="2851"/>
    <cellStyle name="好_Creek Assembly Fixture  Test Equipment RFQ_20090427_Leopard RFQ ME BOM Costs-0618-2_Bolt RFQ Proposal_Foxlink_ (Pricing Summary) 2 25 2011 2 2" xfId="2852"/>
    <cellStyle name="_2005 04 DELL SMT Data2 -Process_2006日常管理目標.DIP _DELL廠級目標dip(2月) EXC _DELL MB廠級目標  (2)_DELL MB廠級目標_DELL MB廠級目標四月 _DELL MB廠級目標十一月 (4)" xfId="2853"/>
    <cellStyle name="_0535周周報1_九月份直通率8D1" xfId="2854"/>
    <cellStyle name="差_Creak Pearl Reliability Fixture RFQ_2009 04 24_Leopard_UniBOM_ME_0603-2_Bolt RFQ Proposal_Foxlink_ (Pricing Summary) 2 25 2011 3" xfId="2855"/>
    <cellStyle name="差_Xl0000002_Leopard_UniBOM_ME_0602-1_Bolt RFQ Proposal_Foxlink_ (Pricing Summary) 2 25 2011 5 2" xfId="2856"/>
    <cellStyle name="_0526週品質管理週報_0507月設備妥善率8D1_0536周周管審_0537周直通率8d_0541周直通率8D_0733-0815M1 Manpower-3" xfId="2857"/>
    <cellStyle name="_2006_0406 Ernestine_Cooper tooling" xfId="2858"/>
    <cellStyle name="_2005 04 DELL SMT Data2 -Process_DELL SMT 廠級目標KPI_DELL MB廠級目標.xls 圖表 1" xfId="2859"/>
    <cellStyle name="_0526週品質管理週報_0507月設備妥善率8D1_0536周周管審_0537周直通率8d_0541周直通率8D_外包部人力編制" xfId="2860"/>
    <cellStyle name="差_Creek RFQ feedback 04_28_2009_FD Update_Leopard_UniBOM_ME_0603-2_Bolt RFQ Proposal_Foxlink_ (Pricing Summary) 2 25 2011 7" xfId="2861"/>
    <cellStyle name="好_Erie Assembly Fixture  Test Equip Cost_20090716_Foxlink_Shadow RFQ NREUni BOM_12032009 2 2" xfId="2862"/>
    <cellStyle name="好_Creek Assembly Fixture  Test Equipment RFQ_20090427_Xl0000002_Bolt RFQ_Foxlink_03.1 2011 2" xfId="2863"/>
    <cellStyle name="_2006_0410b Ernestine_Cooper tooling and plastic price to MS_Quotebook_V3_07SEP11 2" xfId="2864"/>
    <cellStyle name="好_River EE BOM_Creak Pearl Reliability Fixture RFQ_2009 04 24_Leopard RFQ ME BOM Costs-0618_Bolt RFQ Proposal_Foxlink_ (Pricing Summary) 2 25 2011 4" xfId="2865"/>
    <cellStyle name="_0526週品質管理週報_0507月設備妥善率8D1_0536周周管審_0537周直通率8d_0541周直通率8D_編制表" xfId="2866"/>
    <cellStyle name="40% - 强调文字颜色 1_Bristol EV3 BOM quote_02252011 (2)" xfId="2867"/>
    <cellStyle name="_0526週品質管理週報_0507月設備妥善率8D1_0536周周管審_0537周直通率8d_0733-0815M1 Manpower-3" xfId="2868"/>
    <cellStyle name="差_Creak Pearl Reliability Fixture RFQ_2009 04 24_Creek  Pearl RFQ_May 12_Squirrel RFQ ME BOM Costs-0623_Bolt RFQ_Foxlink_03.1 2011 3" xfId="2869"/>
    <cellStyle name="好_River EE BOM_Creak Pearl Reliability Fixture RFQ_2009 04 24_Leopard UniBom_Foxlink_6 21 2010-ME_nego_Bolt RFQ_Foxlink_03.1 2011_nego meeting@MACH 2 3" xfId="2870"/>
    <cellStyle name="好_Creek Assembly Fixture  Test Equipment RFQ_20090427_Leopard_UniBOM_ME_0531_Bolt RFQ_Foxlink_03.1 2011_Bolt_Cliff 3 3" xfId="2871"/>
    <cellStyle name="壞_Creek Assembly Fixture  Test Equipment RFQ_20090427_Squirrel RFQ ME BOM Costs-0623_Bolt RFQ_Foxlink_03.1 2011_nego meeting@MACH 3" xfId="2872"/>
    <cellStyle name="_Ind' Mar Summary report of July 06_2009 xBOX ramp up budget code applicaiton 300K --New May27" xfId="2873"/>
    <cellStyle name="_0526週品質管理週報_0507月設備妥善率8D1_0536周周管審_0537周直通率8d_外包部人力編制" xfId="2874"/>
    <cellStyle name="_0526週品質管理週報_0507月設備妥善率8D1_0536周周管審_0537周直通率8d_編制表" xfId="2875"/>
    <cellStyle name="好_River EE BOM_Creek RFQ feedback 04_28_2009_FD Update_Leopard_UniBOM_ME_0602-1_Bolt RFQ_Foxlink_03.1 2011_nego meeting@MACH 3 3" xfId="2876"/>
    <cellStyle name="差_效益分析&amp;產能評估_M1 SuedeFixtureEquipment Cost_A0_2010_10_15_Bolt RFQ Proposal_Foxlink_ (Pricing Summary) 2 25 2011 4" xfId="2877"/>
    <cellStyle name="好_River EE BOM_Xl0000000_Leopard RFQ ME BOM Costs-0618_Bolt RFQ Proposal_Foxlink_ (Pricing Summary) 2 25 2011 7" xfId="2878"/>
    <cellStyle name="_0526週品質管理週報_0507月設備妥善率8D1_0536周周管審_0537周直通率8d_複本 0541周周管審" xfId="2879"/>
    <cellStyle name="_Balance Sheet Audit_FY06 P7 CM Consigned RM" xfId="2880"/>
    <cellStyle name="好_River EE BOM_Creak Pearl Reliability Fixture RFQ_2009 04 24_Leopard_UniBOM_ME_0603-2_Bolt RFQ_Foxlink_03.1 2011_nego meeting@MACH 3 2" xfId="2881"/>
    <cellStyle name="好_Creek Assembly Fixture  Test Equipment RFQ_20090427_Xl0000002_Leopard RFQ ME BOM Costs-0618_Bolt RFQ Proposal_Foxlink_ (Pricing Summary) 2 25 2011 3 3" xfId="2882"/>
    <cellStyle name="_0526週品質管理週報_0507月設備妥善率8D1_0536周周管審_0537周直通率8d_複本 0541周周管審_0733-0815M1 Manpower-3" xfId="2883"/>
    <cellStyle name="_0526週品質管理週報_0507月設備妥善率8D1_0536周周管審_0537周直通率8d_複本 0541周周管審_外包部人力編制" xfId="2884"/>
    <cellStyle name="_0526週品質管理週報_0507月設備妥善率8D1_0536周周管審_0537周直通率8d_複本 0541周周管審_編制表" xfId="2885"/>
    <cellStyle name="_2006_0410 Ernestine_Cooper tooling and plastic price to MS_Quotebook_V3_07SEP11_Stream RFQ Unibom--0626-1756_Stream Quotebook (Submittal)_POC2_20081117-1" xfId="2886"/>
    <cellStyle name="_0526週品質管理週報_0507月設備妥善率8D1_0536周周管審_0537周直通率8d1_0541周直通率8D" xfId="2887"/>
    <cellStyle name="差_Creak Pearl Reliability Fixture RFQ_2009 04 24_Creek  Pearl RFQ_May 12_Leopard RFQ ME BOM Costs-0618_Bolt RFQ_Foxlink_03.1 2011 3 3" xfId="2888"/>
    <cellStyle name="好_River EE BOM_Creak Pearl Reliability Fixture RFQ_2009 04 24_Creek RFQ feedback 04_28_2009_FD Update_Foxlink_Shadow RFQ NREUni BOM_12032009_Bolt RFQ Proposal_Foxlink_ (Pricing Summary) 2 25 2011 5 2" xfId="2889"/>
    <cellStyle name="_FCT Pareto By Line-Aug 11th(DEV01286-5)_AllErrorCodes" xfId="2890"/>
    <cellStyle name="_200912所需資料" xfId="2891"/>
    <cellStyle name="_200907所需資料" xfId="2892"/>
    <cellStyle name="_Airquote - DELL chasis (FP)_Lenovo Park Format_July 07 05V2" xfId="2893"/>
    <cellStyle name="差_dallas產能評估_Dallas flow chart&amp;設備&amp;治工具清單(12-8 A0)_~5631336_Jackson 效益分析 (2-1 B0 上系統)_Leopard Flowchart &amp; 產能評估" xfId="2894"/>
    <cellStyle name="_45周加班" xfId="2895"/>
    <cellStyle name="_2006_0410 Ernestine_Cooper tooling and plastic price to MS_Quotebook_07SEP10_BlueAnt_Quotebook_V3_07SEP11_Internal RFQ River Standalone  Bundle Unibom_v1 2_20080603_EJ_Stream Package Quotation_20090311" xfId="2896"/>
    <cellStyle name="好_Creek EE BOM cost_20090425_Leopard UniBom_Foxlink_6 21 2010-ME_nego_Bolt RFQ_Foxlink_03.1 2011 3 2" xfId="2897"/>
    <cellStyle name="_0526週品質管理週報_0507月設備妥善率8D1_0536周周管審_0537周直通率8d1_0541周直通率8D_外包部人力編制" xfId="2898"/>
    <cellStyle name="Comma 4" xfId="2899"/>
    <cellStyle name="_2006_0319 Ernestine_Cooper Cost Feedback_Quotebook_07SEP10_RFQ_River_BAFO_2008 0606_M1_Stream Quotebook(Submittal)_POC1_20080903" xfId="2900"/>
    <cellStyle name="_0526週品質管理週報_0507月設備妥善率8D1_0536周周管審_0537周直通率8d1_0541周直通率8D_編制表" xfId="2901"/>
    <cellStyle name="_0526週品質管理週報_0507月設備妥善率8D1_0536周周管審_0537周直通率8d1_複本 0541周周管審" xfId="2902"/>
    <cellStyle name="_Mustang production assembly quotation (internal review)4-1 Rev8" xfId="2903"/>
    <cellStyle name="好_River EE BOM_Creak Pearl Reliability Fixture RFQ_2009 04 24_Xl0000002_Leopard RFQ ME BOM Costs-0618-2_Bolt RFQ Proposal_Foxlink_ (Pricing Summary) 2 25 2011 2" xfId="2904"/>
    <cellStyle name="_0526週品質管理週報_0507月設備妥善率8D1_0536周周管審_0537周直通率8d1_複本 0541周周管審_0733-0815M1 Manpower-3" xfId="2905"/>
    <cellStyle name="好_River EE BOM_Creak Pearl Reliability Fixture RFQ_2009 04 24_Pearl RFQ(Submittal)ver2_05_12_2009 _Foxlink_Shadow RFQ NREUni BOM_12032009 2 4" xfId="2906"/>
    <cellStyle name="_0526週品質管理週報_0507月設備妥善率8D1_0536周周管審_0537周直通率8d1_複本 0541周周管審_編制表" xfId="2907"/>
    <cellStyle name="20% - 强调文字颜色 6 3 2 2" xfId="2908"/>
    <cellStyle name="_0526週品質管理週報_0507月設備妥善率8D1_0536周周管審_0538周周管審--FINl" xfId="2909"/>
    <cellStyle name="_0530周周管審_0540周周管審_複本 0541周周管審_外包部人力編制" xfId="2910"/>
    <cellStyle name="_Sales Breakdown Analysis 3_PL Forecast by segment-most final 0806_Copy of X-BOX for line setup budget" xfId="2911"/>
    <cellStyle name="_0526週品質管理週報_0507月設備妥善率8D1_0536周周管審_0538周周管審--FINl_外包部人力編制" xfId="2912"/>
    <cellStyle name="_0526週品質管理週報_0507月設備妥善率8D1_0536周周管審_0538周周管審--FINl_編制表" xfId="2913"/>
    <cellStyle name="_2006_0412 Ernestine_Cooper tooling and plastic price to MS_JC_Quotebook_07SEP10_RFQ_River_BAFO_2008 0606_M1 2" xfId="2914"/>
    <cellStyle name="差_Xl0000002_Leopard_UniBOM_ME_0603-2_Bolt RFQ_Foxlink_03.1 2011_nego meeting@MACH 2 2" xfId="2915"/>
    <cellStyle name="_0526週品質管理週報_0507月設備妥善率8D1_0536周周管審_0538周周管審--FINl_複本 0541周周管審" xfId="2916"/>
    <cellStyle name="_x001e__Project A Riskbuy list 20100322 wk13 - MS RESPONSE" xfId="2917"/>
    <cellStyle name="好_River EE BOM_Creak Pearl Reliability Fixture RFQ_2009 04 24_Xl0000002_Foxlink_Shadow RFQ NREUni BOM_12032009_Bolt RFQ_Foxlink_03.1 2011_nego meeting@MACH 3" xfId="2918"/>
    <cellStyle name="_Fcst March_06(Revised 2.)_Volume Fcst Jul 06-update HP _Tom OS ( Oct)_Copy of X-BOX for line setup budget" xfId="2919"/>
    <cellStyle name="_0526週品質管理週報_0507月設備妥善率8D1_0536周周管審_0538周周管審--FINl_複本 0541周周管審_0733-0815M1 Manpower-3" xfId="2920"/>
    <cellStyle name="_2005 04 DELL SMT Data2 -Process_BPI 8D-SMT-2月_DELL MB廠級目標_DELL MB廠級目標.重要不能刪" xfId="2921"/>
    <cellStyle name="_Biz Ops By Stream_FY06 P7 CM Consigned RM" xfId="2922"/>
    <cellStyle name="_2005 04 DELL SMT Data2 -Process_BPI 8D-SMT-2月 (3)_DELL MB廠級目標.xls 圖表 1_DELLTEAM入庫資料1" xfId="2923"/>
    <cellStyle name="差_HP Mouse 產能評估(上系統)_M1 SuedeFixtureEquipment Cost_A0_2010_10_15_Bolt RFQ Proposal_Foxlink_ (Pricing Summary) 2 25 2011 2 2" xfId="2924"/>
    <cellStyle name="_0526週品質管理週報_0507月設備妥善率8D1_0536周周管審_0538周周管審--FINl_複本 0541周周管審_外包部人力編制" xfId="2925"/>
    <cellStyle name="差_HP Mouse 產能評估(上系統)_M1 Squirrel Capacity planFixtureEquipment Cost_A2_06192010_Leopard UniBom_Foxlink_12092010 RevD-jen" xfId="2926"/>
    <cellStyle name="差_HP  專案(設備&amp;治工具需夠買)update_M1 Bolt wireless mouse FixtureEquipment Cost_A2_2010_12_07 3 2" xfId="2927"/>
    <cellStyle name="好_River EE BOM_Xl0000000_Leopard_UniBOM_ME_0602-1_Bolt RFQ Proposal_Foxlink_ (Pricing Summary) 2 25 2011 3" xfId="2928"/>
    <cellStyle name="_0526週品質管理週報_0507月設備妥善率8D1_0536周周管審_0538周周管審--FINl_複本 0541周周管審_編制表" xfId="2929"/>
    <cellStyle name="差_Creak Pearl Reliability Fixture RFQ_2009 04 24_Xl0000002_Leopard_UniBOM_ME_0602_Bolt RFQ Proposal_Foxlink_ (Pricing Summary) 2 25 2011 3 3" xfId="2930"/>
    <cellStyle name="_Mulan Edge Procurement Plan May 24 P1A_MOST Std - S1300 F2lines_Nazca copy exact flow chart 2012313" xfId="2931"/>
    <cellStyle name="_0526週品質管理週報_0531周設備妥善_0534周SMT周管審" xfId="2932"/>
    <cellStyle name="_0526週品質管理週報_0507月設備妥善率8D1_0536周周管審_0538周直通率8d1_0541周直通率8D" xfId="2933"/>
    <cellStyle name="好_River EE BOM_Creak Pearl Reliability Fixture RFQ_2009 04 24_Foxlink_Shadow RFQ NREUni BOM_12032009_Bolt RFQ_Foxlink_03.1 2011_nego meeting@MACH 3" xfId="2934"/>
    <cellStyle name="_7月ict f.t_0536周周管審_0541周直通率8D" xfId="2935"/>
    <cellStyle name="_7月ict f.t_0536周周管審_0536周直通率8d" xfId="2936"/>
    <cellStyle name="_0526週品質管理週報_0536周周管審_0538周周管審--FINl_複本 0541周周管審_外包部人力編制" xfId="2937"/>
    <cellStyle name="_0526週品質管理週報_0507月設備妥善率8D1_0536周周管審_0538周直通率8d1_0541周直通率8D_0733-0815M1 Manpower-3" xfId="2938"/>
    <cellStyle name="好_River EE BOM_Creak Pearl Reliability Fixture RFQ_2009 04 24_Leopard_UniBOM_ME_0603-2 2 3" xfId="2939"/>
    <cellStyle name="好_Creek EE BOM cost_20090425_Jackson NRE Uni BOM_update _05072010 rev K" xfId="2940"/>
    <cellStyle name="_Z9 blueAnt ME BOM 0910 final_BlueAnt_Quotebook_V3_07SEP11_Stream RFQ Unibom--0626-1756_Stream Package Quotation_20090311" xfId="2941"/>
    <cellStyle name="_0526週品質管理週報_0507月設備妥善率8D1_0536周周管審_0538周直通率8d1_0541周直通率8D_編制表" xfId="2942"/>
    <cellStyle name="_8D_1_複本 0541周周管審" xfId="2943"/>
    <cellStyle name="_0526週品質管理週報_0507月設備妥善率8D1_0536周周管審_0538周直通率8d1_0733-0815M1 Manpower-3" xfId="2944"/>
    <cellStyle name="_Dash_BOM_FLK_Sinatra3_Jan05-07 (worksheet)_Stream RFQ Unibom--0626-1756" xfId="2945"/>
    <cellStyle name="_0526週品質管理週報_0507月設備妥善率8D1_0536周周管審_0538周直通率8d1_外包部人力編制" xfId="2946"/>
    <cellStyle name="Style 38" xfId="2947"/>
    <cellStyle name="_0526週品質管理週報_0538周周管審--FINl_複本 0541周周管審_外包部人力編制" xfId="2948"/>
    <cellStyle name="_0526週品質管理週報_0507月設備妥善率8D1_0536周周管審_0538周直通率8d1_編制表" xfId="2949"/>
    <cellStyle name="差_Creak Pearl Reliability Fixture RFQ_2009 04 24_Bolt RFQ_Foxlink_03.1 2011 4" xfId="2950"/>
    <cellStyle name="_8178SOP_1" xfId="2951"/>
    <cellStyle name="_0526週品質管理週報_0507月設備妥善率8D1_0536周周管審_0538周直通率8d1_複本 0541周周管審" xfId="2952"/>
    <cellStyle name="_0526週品質管理週報_0507月設備妥善率8D1_0536周周管審_0538周直通率8d1_複本 0541周周管審_外包部人力編制" xfId="2953"/>
    <cellStyle name="_0526週品質管理週報_0507月設備妥善率8D1_0536周周管審_0538周直通率8d1_複本 0541周周管審_編制表" xfId="2954"/>
    <cellStyle name="差_Creak Pearl Reliability Fixture RFQ_2009 04 24_Creek RFQ feedback 04_28_2009_FD Update_Leopard_UniBOM_ME_0603-2 2 2" xfId="2955"/>
    <cellStyle name="_0526週品質管理週報_0507月設備妥善率8D1_0536周周管審_0540周直通率8D1_0733-0815M1 Manpower-3" xfId="2956"/>
    <cellStyle name="差_dallas產能評估_Jackson 效益分析 testing update_16th Jan111_Jackson 效益分析 (2-1 B0 上系統)_Leopard效益分析08-17" xfId="2957"/>
    <cellStyle name="_0526週品質管理週報_0507月設備妥善率8D1_0536周周管審_0540周直通率8D1_外包部人力編制" xfId="2958"/>
    <cellStyle name="差_Creak Pearl Reliability Fixture RFQ_2009 04 24_Leopard RFQ ME BOM Costs-0618-2 2 2 2" xfId="2959"/>
    <cellStyle name="好_效益分析&amp;產能評估 3" xfId="2960"/>
    <cellStyle name="_0526週品質管理週報_0507月設備妥善率8D1_0536周周管審_0540周直通率8D1_編制表" xfId="2961"/>
    <cellStyle name="差_Creak Pearl Reliability Fixture RFQ_2009 04 24_Leopard RFQ ME BOM Costs-0618 2" xfId="2962"/>
    <cellStyle name="_Flex Mechanicals Doumen Sales forecast - Dec'05 (updated links)_Volume Fcst Jul 06-update HP _Tom OS ( Oct)_X-BOX Console line setup budget 20080414" xfId="2963"/>
    <cellStyle name="_0526週品質管理週報_0507月設備妥善率8D1_0536周周管審_0540周直通率8D1_複本 0541周周管審" xfId="2964"/>
    <cellStyle name="差_Xl0000000_Squirrel UniBom-06.23.2010_update_internal 2 2 2" xfId="2965"/>
    <cellStyle name="_0526週品質管理週報_0507月設備妥善率8D1_0536周周管審_0540周直通率8D1_複本 0541周周管審_0733-0815M1 Manpower-3" xfId="2966"/>
    <cellStyle name="好_Creek Assembly Fixture  Test Equipment RFQ_20090427_Leopard_UniBOM_ME_0531_Bolt RFQ_Foxlink_03.1 2011_Bolt_Cliff 2 2 3" xfId="2967"/>
    <cellStyle name="_0526週品質管理週報_0507月設備妥善率8D1_0536周周管審_0540周直通率8D1_複本 0541周周管審_外包部人力編制" xfId="2968"/>
    <cellStyle name="_0530周周管審_0537周SMT周管審1_外包部人力編制" xfId="2969"/>
    <cellStyle name="_0526週品質管理週報_0507月設備妥善率8D1_0536周周管審_0540周直通率8D1_複本 0541周周管審_編制表" xfId="2970"/>
    <cellStyle name="_Nokia LCHS BOM-091205_BC4 Audio ROM1" xfId="2971"/>
    <cellStyle name="_0526週品質管理週報_0507月設備妥善率8D1_0536周周管審_0733-0815M1 Manpower-3" xfId="2972"/>
    <cellStyle name="壞_Creek Assembly Fixture  Test Equipment RFQ_20090427_Leopard_UniBOM_ME_0602_Bolt RFQ Proposal_Foxlink_ (Pricing Summary) 2 25 2011 2 4" xfId="2973"/>
    <cellStyle name="_Flex Mechanicals Doumen Sales forecast - Jan 06 updated._PL Forecast by segment-most final 0806_Tom OS ( Oct)_2009 xBOX ramp up budget code applicaiton 300K --New May26 (3)" xfId="2974"/>
    <cellStyle name="_Commercial PL's 22.06.01Phased_P2 Waynea review" xfId="2975"/>
    <cellStyle name="_0526週品質管理週報_0507月設備妥善率8D1_0536周周管審_Book1" xfId="2976"/>
    <cellStyle name="_184071 - FY05 Xbox Prepaid Inventory_FY06 P7 XBox 360 Mfg Var - Close Pack" xfId="2977"/>
    <cellStyle name="_0526週品質管理週報_0507月設備妥善率8D1_0536周周管審_Book1_0733-0815M1 Manpower-3" xfId="2978"/>
    <cellStyle name="壞_Creek EE BOM cost_20090425 3 2" xfId="2979"/>
    <cellStyle name="_RFQ _ ACCY Bid" xfId="2980"/>
    <cellStyle name="_0526週品質管理週報_0507月設備妥善率8D1_0536周周管審_Book1_外包部人力編制" xfId="2981"/>
    <cellStyle name="好_River EE BOM_Xl0000002_Leopard_UniBOM_ME_0603-2_Bolt RFQ Proposal_Foxlink_ (Pricing Summary) 2 25 2011 5 3" xfId="2982"/>
    <cellStyle name="_0526週品質管理週報_0507月設備妥善率8D1_0536周周管審_Book1_編制表" xfId="2983"/>
    <cellStyle name="_Avaya Spice demand  forecast on May-22-06 (based on ramp-up plan)_Scenario 1 of recovery until 1102_Tester Demand Plan 062707" xfId="2984"/>
    <cellStyle name="_0526週品質管理週報_0507月設備妥善率8D1_0536周周管審_Book1_複本 0541周周管審" xfId="2985"/>
    <cellStyle name="_2005 04 DELL SMT Data2 -Process_DELL廠級目標dip.EXC _DELL廠級目標dip(2月) EXC _BPI 8D-SMT-2月_DELL MB廠級目標_DELL MB廠級目標四月 _DELL MB廠級目標十一月 (4)" xfId="2986"/>
    <cellStyle name="_2005 04 DELL SMT Data2 -Process_DELL廠級目標dip EXC _DELL廠級目標dip(2月) EXC _BPI 8D-SMT-2月 (3)_DELL MB廠級目標.xls 圖表 1_DELL MB廠級目標.重要不能刪_2007DELL SMT廠級目標KPI(MT)1" xfId="2987"/>
    <cellStyle name="_0526週品質管理週報_0507月設備妥善率8D1_0536周周管審_Book1_複本 0541周周管審_0733-0815M1 Manpower-3" xfId="2988"/>
    <cellStyle name="差_jupite r設備&amp;治工具LIST (總)_Dallas flow chart&amp;設備&amp;治工具清單(12-8 A0)_Flow Chart&amp;設備治工具清單 _Jackson 效益分析 (2-1 B0 上系統)_squirrel效益分析08-17" xfId="2989"/>
    <cellStyle name="_0526週品質管理週報_0507月設備妥善率8D1_0536周周管審_Book1_複本 0541周周管審_外包部人力編制" xfId="2990"/>
    <cellStyle name="强调文字颜色 6 2 2 2 3" xfId="2991"/>
    <cellStyle name="_0526週品質管理週報_0507月設備妥善率8D1_0536周周管審_Book1_複本 0541周周管審_編制表" xfId="2992"/>
    <cellStyle name="_Z9 blueAnt ME BOM 0910 final_Stream RFQ Unibom--0626-1756" xfId="2993"/>
    <cellStyle name="_Avaya Spice demand  forecast on May-22-06 (based on ramp-up plan)" xfId="2994"/>
    <cellStyle name="_0526週品質管理週報_0507月設備妥善率8D1_0536周周管審_外包部人力編制" xfId="2995"/>
    <cellStyle name="差_Creak Pearl Reliability Fixture RFQ_2009 04 24_Creek RFQ feedback 04_28_2009_FD Update_Squirrel UniBom-06.23.2010_update_internal_Bolt RFQ_Foxlink_03.1 2011_nego meeting@MACH 2 3" xfId="2996"/>
    <cellStyle name="_2005 04 DELL SMT Data2 -Process_DELL廠級目標dip EXC _DELL廠級目標dip(2月) EXC _DELL MB廠級目標 _DELL MB廠級目標.xls 圖表 1_DELL MB廠級目標.重要不能刪_2007DELL SMT廠級目標KPI(MT)1" xfId="2997"/>
    <cellStyle name="_2005 04 DELL SMT Data2 -Process_DELL MB廠級目標 " xfId="2998"/>
    <cellStyle name="RowLevel_0" xfId="2999"/>
    <cellStyle name="差_Creak Pearl Reliability Fixture RFQ_2009 04 24_Xl0000002_Foxlink_Shadow RFQ NREUni BOM_12032009 2" xfId="3000"/>
    <cellStyle name="_Alvin-Development NRE_Internal RFQ River Standalone  Bundle Unibom_v1 2_20080603_EJ_Stream Quotebook(Submittal)_POC1_20080903 2" xfId="3001"/>
    <cellStyle name="_0526週品質管理週報_0507月設備妥善率8D1_0536周周管審_編制表" xfId="3002"/>
    <cellStyle name="差_dallas產能評估_Flow chart and Fixture(1-4)_Jackson 效益分析 (2-1 B0 上系統)_squirrel效益分析08-17" xfId="3003"/>
    <cellStyle name="好_River EE BOM_Xl0000000_Leopard_UniBOM_ME_0602-1 2 2" xfId="3004"/>
    <cellStyle name="_0526週品質管理週報_0507月設備妥善率8D1_0536周周管審_複本 0541周周管審" xfId="3005"/>
    <cellStyle name="_2005 04 DELL SMT Data2 -Process_DELL廠級目標dip EXC _DELL廠級目標dip(2月) EXC _BPI 8D-SMT-2月_DELL MB廠級目標_DELL MB廠級目標十一月 (4)" xfId="3006"/>
    <cellStyle name="差_HP Mouse 產能評估(Forecast更改後)_Erie 效益分析 (Update)_Flow chart and Fixture(1-4)_Jackson 效益分析 (2-1 B0 上系統)" xfId="3007"/>
    <cellStyle name="_2006_0412 Ernestine_Cooper tooling and plastic price to MS_JC_RFQ_River_BAFO_2008 0606_M1" xfId="3008"/>
    <cellStyle name="_0526週品質管理週報_0507月設備妥善率8D1_0536周周管審_複本 0541周周管審_0733-0815M1 Manpower-3" xfId="3009"/>
    <cellStyle name="差_F3   SMT設備明細_jupite r設備&amp;治工具LIST (總)_Dallas效益分析&amp;投資回收期 (12-2 A1)_Flow Chart&amp;設備治工具清單 _Jackson 效益分析 (2-1 B0 上系統)_Leopard Flowchart &amp; 產能評估" xfId="3010"/>
    <cellStyle name="_2005 04 DELL SMT Data2 -Process_2006日常管理目標.DIP _DELL MB廠級目標_DELL MB廠級目標.重要不能刪_2007DELL SMT廠級目標KPI(MT)1" xfId="3011"/>
    <cellStyle name="Heading 1 4" xfId="3012"/>
    <cellStyle name="_Flex Mechanicals Doumen Sales forecast - Dec'05 (updated links)_PL Fcst Jul 06-updated G&amp;A Value_Copy of Tom OS ( Oct) new for LOG_Copy of X-BOX for line setup budget" xfId="3013"/>
    <cellStyle name="_0526週品質管理週報_0507月設備妥善率8D1_0536周周管審_複本 0541周周管審_外包部人力編制" xfId="3014"/>
    <cellStyle name="_Flex Mechanicals Doumen Sales forecast - Dec'05 R1_Volume Fcst Jul 06-update HP _Tom OS ( Oct)_Copy of X-BOX for line setup budget" xfId="3015"/>
    <cellStyle name="_0533周周報_八月份周直通率8d1_Book1_複本 0541周周管審" xfId="3016"/>
    <cellStyle name="_2006_0317 Ernestine_Cooper Cost Feedback_Erie  Mouse RFQ Pricing IE 2" xfId="3017"/>
    <cellStyle name="差_Creek RFQ feedback 04_28_2009_FD Update_Leopard UniBom_Foxlink_6 21 2010-ME_nego_Bolt RFQ_Foxlink_03.1 2011 2 3" xfId="3018"/>
    <cellStyle name="_0526週品質管理週報_0507月設備妥善率8D1_0536周周管審_複本 0541周周管審_編制表" xfId="3019"/>
    <cellStyle name="_0526週品質管理週報_0507月設備妥善率8D1_0538周周管審--FINl_0733-0815M1 Manpower-3" xfId="3020"/>
    <cellStyle name="_2006_0410b Ernestine_Cooper tooling and plastic price to MS_Erie  Mouse RFQ Pricing IE 2" xfId="3021"/>
    <cellStyle name="差_Xl0000000_Leopard RFQ ME BOM Costs-0618-2_Bolt RFQ Proposal_Foxlink_ (Pricing Summary) 2 25 2011 4 3" xfId="3022"/>
    <cellStyle name="_Flex Mechanicals Doumen Sales forecast - Jan.06_PL Forecast by segment-most final 0806_Copy of Tom OS ( Oct) new for LOG_2009 xBOX ramp up budget code applicaiton" xfId="3023"/>
    <cellStyle name="差_Xl0000000_Foxlink_Shadow RFQ NREUni BOM_12032009_Bolt RFQ Proposal_Foxlink_ (Pricing Summary) 2 25 2011 4 2" xfId="3024"/>
    <cellStyle name="_2005 04 DELL SMT Data2 -Process_DELL廠級目標dip(1月) EXC _DELL MB廠級目標_DELL制程課管理目標" xfId="3025"/>
    <cellStyle name="好_River EE BOM_Xl0000002_Leopard RFQ ME BOM Costs-0618_Bolt RFQ_Foxlink_03.1 2011_nego meeting@MACH 3 3" xfId="3026"/>
    <cellStyle name="好_Creek EE BOM cost_20090425_Creek RFQ feedback 04_28_2009_FD Update_Leopard_UniBOM_ME_0602-1_Bolt RFQ Proposal_Foxlink_ (Pricing Summary) 2 25 2011 4 3" xfId="3027"/>
    <cellStyle name="_0526週品質管理週報_0507月設備妥善率8D1_0538周周管審--FINl_外包部人力編制" xfId="3028"/>
    <cellStyle name="_0526週品質管理週報_0507月設備妥善率8D1_0538周周管審--FINl_編制表" xfId="3029"/>
    <cellStyle name="_Mechanical Contribution Margins (Q1'06, applied to Apr'04 Fcst)_Mechanical Contribution Margins forecast 0506 FP_PL Fcst Jul 06-updated G&amp;A Value_Budget GC Other Form" xfId="3030"/>
    <cellStyle name="标题 4 3 2 3" xfId="3031"/>
    <cellStyle name="_0526週品質管理週報_0507月設備妥善率8D1_0538周周管審--FINl_複本 0541周周管審_0733-0815M1 Manpower-3" xfId="3032"/>
    <cellStyle name="_PL FORECAST OF SEP,06_Copy of Tom OS ( Oct) new for LOG_X-BOX Console line setup budget and Buyer list" xfId="3033"/>
    <cellStyle name="_0526週品質管理週報_0507月設備妥善率8D1_0538周周管審--FINl_複本 0541周周管審_編制表" xfId="3034"/>
    <cellStyle name="差_Creak Pearl Reliability Fixture RFQ_2009 04 24_Creek RFQ feedback 04_28_2009_FD Update_Leopard_UniBOM_ME_0602_Bolt RFQ Proposal_Foxlink_ (Pricing Summary) 2 25 2011 5" xfId="3035"/>
    <cellStyle name="Normal 2 2" xfId="3036"/>
    <cellStyle name="_COMP DM  PL Aug.06_X-BOX BB" xfId="3037"/>
    <cellStyle name="_Biz Ops By Stream_P2 Waynea review" xfId="3038"/>
    <cellStyle name="_0526週品質管理週報_0507月設備妥善率8D1_0540周直通率8D1" xfId="3039"/>
    <cellStyle name="_0526週品質管理週報_0507月設備妥善率8D1_0540周直通率8D1_0733-0815M1 Manpower-3" xfId="3040"/>
    <cellStyle name="好_Creek EE BOM cost_20090425_Creek RFQ feedback 04_28_2009_FD Update_Squirrel RFQ ME BOM Costs-0623_Bolt RFQ_Foxlink_03.1 2011 5" xfId="3041"/>
    <cellStyle name="_2005 04 DELL SMT Data2 -Process_DELL廠級目標dip EXC _DELL廠級目標dip(2月) EXC _DELL MB廠級目標 (2)_DELL MB廠級目標.xls 圖表 1_DELL MB廠級目標.重要不能刪_2007DELL SMT廠級目標KPI(MT)1" xfId="3042"/>
    <cellStyle name="_Salcomp FCA HK Transport Pricing Dec11_Lenovo Park Format_July 07 05" xfId="3043"/>
    <cellStyle name="_Sales Breakdown Analysis 3_PL Fcst Jul 06-updated G&amp;A Value_Tom OS ( Oct)" xfId="3044"/>
    <cellStyle name="差_效益分析_~8644671" xfId="3045"/>
    <cellStyle name="_0526週品質管理週報_0507月設備妥善率8D1_0540周直通率8D1_外包部人力編制" xfId="3046"/>
    <cellStyle name="_0526週品質管理週報_0507月設備妥善率8D1_0540周直通率8D1_複本 0541周周管審" xfId="3047"/>
    <cellStyle name="_2006_0410 Ernestine_Cooper tooling and plastic price to MS_Quotebook_07SEP10_Stream RFQ Unibom--0626-1756_Stream Quotebook (Submittal)_POC2_20081117-1" xfId="3048"/>
    <cellStyle name="60% - 强调文字颜色 4 3 3" xfId="3049"/>
    <cellStyle name="_2005 04 DELL SMT Data2 -Process_DELL廠級目標dip EXC _DELL廠級目標dip(2月) EXC _DELL MB廠級目標  (2)_DELL MB廠級目標_DELL MB廠級目標十一月 (4)" xfId="3050"/>
    <cellStyle name="_0526週品質管理週報_0507月設備妥善率8D1_0540周直通率8D1_複本 0541周周管審_0733-0815M1 Manpower-3" xfId="3051"/>
    <cellStyle name="差_Creak Pearl Reliability Fixture RFQ_2009 04 24_Xl0000002_Leopard_UniBOM_ME_0603-2 2 2 3" xfId="3052"/>
    <cellStyle name="_2005 04 DELL SMT Data2 -Process_2006日常管理目標.DIP _DELL廠級目標dip(2月) EXC _BPI 8D-SMT-2月_DELL MB廠級目標_MT 2007 KPI" xfId="3053"/>
    <cellStyle name="_0526週品質管理週報_0507月設備妥善率8D1_0540周直通率8D1_複本 0541周周管審_編制表" xfId="3054"/>
    <cellStyle name="_0526週品質管理週報_0507月設備妥善率8D1_0541周直通率8D" xfId="3055"/>
    <cellStyle name="好_Creek EE BOM cost_20090425_Leopard RFQ ME BOM Costs-0618_Bolt RFQ Proposal_Foxlink_ (Pricing Summary) 2 25 2011 4 2" xfId="3056"/>
    <cellStyle name="_0526週品質管理週報_0507月設備妥善率8D1_0541周直通率8D_0733-0815M1 Manpower-3" xfId="3057"/>
    <cellStyle name="_FMTTQCI-MISH485-P012.5_FMTQCI-MIS3H064-P027(01)Nazca Copy Exact Flow chart" xfId="3058"/>
    <cellStyle name="_Alvin-Development NRE_Stream RFQ Unibom--0626-1756_Stream Package Quotation_20090311" xfId="3059"/>
    <cellStyle name="_BOM_BlueVox (Wiima) &amp; BCM2044 v03022007_Leopard_UniBOM_ME_0603-2" xfId="3060"/>
    <cellStyle name="_2005 04 DELL SMT Data2 -Process_DELL MB廠級目標  (2)" xfId="3061"/>
    <cellStyle name="_0526週品質管理週報_0507月設備妥善率8D1_0541周直通率8D_外包部人力編制" xfId="3062"/>
    <cellStyle name="_2005 04 DELL SMT Data2 -Process_DELL廠級目標dip EXC _DELL廠級目標dip(2月) EXC _DELL MB廠級目標 _DELL MB廠級目標_DELL MB廠級目標四月 _2007DELL SMT廠級目標KPI(MT)1" xfId="3063"/>
    <cellStyle name="_Mpos Forecast on Oct102005_Tester Demand Plan_Tester Demand Plan 062707" xfId="3064"/>
    <cellStyle name="_0526週品質管理週報_0536周周管審_0538周直通率8d1_外包部人力編制" xfId="3065"/>
    <cellStyle name="_2005 04 DELL SMT Data2 -Process_DELL廠級目標dip EXC _DELL廠級目標dip(2月) EXC _BPI 8D-SMT-2月 (3)_DELL MB廠級目標_DELLTEAM入庫資料1_DELL MB廠級目標十一月 (4)" xfId="3066"/>
    <cellStyle name="_0526週品質管理週報_0507月設備妥善率8D1_0541周直通率8D_編制表" xfId="3067"/>
    <cellStyle name="好_River EE BOM_Xl0000002_Bolt RFQ_Foxlink_03.1 2011" xfId="3068"/>
    <cellStyle name="_0526週品質管理週報_0507月設備妥善率8D1_0733-0815M1 Manpower-3" xfId="3069"/>
    <cellStyle name="差_dallas產能評估_Dallas flow chart&amp;設備&amp;治工具清單(12-8 A0)_~5631336_Jackson 效益分析 (2-1 B0 上系統)_Leopard效益分析08-17" xfId="3070"/>
    <cellStyle name="_0526週品質管理週報_0507月設備妥善率8D1_Book1" xfId="3071"/>
    <cellStyle name="_0526週品質管理週報_0507月設備妥善率8D1_Book1_0733-0815M1 Manpower-3" xfId="3072"/>
    <cellStyle name="_Ronald_Stereo_V1R0_BOM_Cost_Anaysis_3 (1)" xfId="3073"/>
    <cellStyle name="_0526週品質管理週報_0507月設備妥善率8D1_Book1_複本 0541周周管審" xfId="3074"/>
    <cellStyle name="差_MB9月管審誤判超標 8D_HP 3 3" xfId="3075"/>
    <cellStyle name="_0526週品質管理週報_0507月設備妥善率8D1_Book1_複本 0541周周管審_0733-0815M1 Manpower-3" xfId="3076"/>
    <cellStyle name="好_River EE BOM_Creak Pearl Reliability Fixture RFQ_2009 04 24_Creek  Pearl RFQ_May 12_Leopard RFQ ME BOM Costs-0618_Bolt RFQ_Foxlink_03.1 2011 3 2" xfId="3077"/>
    <cellStyle name="_Actual P&amp;L_Computing Apr &amp; May_Actual P&amp;L_Computing Apr ~ May.2006_X-BOX Console line setup budget 20080414" xfId="3078"/>
    <cellStyle name="差_Creak Pearl Reliability Fixture RFQ_2009 04 24_Xl0000002_Leopard_UniBOM_ME_0602-1 2 2 2" xfId="3079"/>
    <cellStyle name="_7月月管審附件.xls 圖表 1_0536周周管審_0540周直通率8D1_複本 0541周周管審" xfId="3080"/>
    <cellStyle name="_Capacity_awl線體需求計算6.6" xfId="3081"/>
    <cellStyle name="好_Creek Assembly Fixture  Test Equipment RFQ_20090427_Leopard_UniBOM_ME_0602-1_Bolt RFQ_Foxlink_03.1 2011_Bolt_Cliff 5 3" xfId="3082"/>
    <cellStyle name="Calculation 5 2 3" xfId="3083"/>
    <cellStyle name="_0526週品質管理週報_0507月設備妥善率8D1_Book1_複本 0541周周管審_外包部人力編制" xfId="3084"/>
    <cellStyle name="差_Creek RFQ feedback 04_28_2009_FD Update_Leopard_UniBOM_ME_0602_Bolt RFQ_Foxlink_03.1 2011 2" xfId="3085"/>
    <cellStyle name="_0526週品質管理週報_0507月設備妥善率8D1_Book1_複本 0541周周管審_編制表" xfId="3086"/>
    <cellStyle name="_FY06 Budget - Peripherals v.6_FY06 P7 CM Consigned RM" xfId="3087"/>
    <cellStyle name="标题 1 4" xfId="3088"/>
    <cellStyle name="_0526週品質管理週報_0507月設備妥善率8D1_外包部人力編制" xfId="3089"/>
    <cellStyle name="_Avaya SPICE demand on Apr-25-06 (based on ramp-up plan)_Tester Demand Plan 062807" xfId="3090"/>
    <cellStyle name="差_MB9月管審換線超時8d_HP 2 4" xfId="3091"/>
    <cellStyle name="_0526週品質管理週報_0507月設備妥善率8D1_編制表" xfId="3092"/>
    <cellStyle name="差_Creak Pearl Reliability Fixture RFQ_2009 04 24_Pearl RFQ(Submittal)ver2_05_12_2009 _Squirrel UniBom-06.23.2010_update_internal_Bolt RFQ Proposal_Foxlink_ (Pricing Summary) 2 25 2011 3" xfId="3093"/>
    <cellStyle name="差_Creak Pearl Reliability Fixture RFQ_2009 04 24_Xl0000002_Leopard_UniBOM_ME_0602-1_Bolt RFQ_Foxlink_03.1 2011 3 3" xfId="3094"/>
    <cellStyle name="壞_Creek Assembly Fixture  Test Equipment RFQ_20090427_Xl0000002_Leopard Lemur Squirrel UniBom-06.22.2010_EE cost _update_internal_Bolt RFQ Proposal_Foxlink_ (Pricing Summary) 2 25 2011 2 4" xfId="3095"/>
    <cellStyle name="_804_Budget GC Other Form" xfId="3096"/>
    <cellStyle name="差_Creak Pearl Reliability Fixture RFQ_2009 04 24_Creek RFQ feedback 04_28_2009_FD Update_Leopard UniBom_Foxlink_6 21 2010-ME_nego 2" xfId="3097"/>
    <cellStyle name="差_Xl0000000_Foxlink_Shadow RFQ NREUni BOM_12032009_Bolt RFQ_Foxlink_03.1 2011 5" xfId="3098"/>
    <cellStyle name="_0526週品質管理週報_0507月設備妥善率8D1_複本 0541周周管審" xfId="3099"/>
    <cellStyle name="好_River EE BOM_Xl0000002_Leopard_UniBOM_ME_0602-1_Bolt RFQ Proposal_Foxlink_ (Pricing Summary) 2 25 2011 7" xfId="3100"/>
    <cellStyle name="_0526週品質管理週報_0507月設備妥善率8D1_複本 0541周周管審_0733-0815M1 Manpower-3" xfId="3101"/>
    <cellStyle name="好_River EE BOM_Xl0000002_Lemur RFQ ME BOM Costs-0623" xfId="3102"/>
    <cellStyle name="_0535週管審_八月份周直通率8d1_0541周直通率8D" xfId="3103"/>
    <cellStyle name="好_River EE BOM_Creak Pearl Reliability Fixture RFQ_2009 04 24_Creek  Pearl RFQ_May 12_Squirrel UniBom_Foxlink_7.27.2010" xfId="3104"/>
    <cellStyle name="_0526週品質管理週報_0507月設備妥善率8D1_複本 0541周周管審_編制表" xfId="3105"/>
    <cellStyle name="_0526週品質管理週報_0530周設備妥善" xfId="3106"/>
    <cellStyle name="_MCT Error Description (3.18)_yield report for DEV02342" xfId="3107"/>
    <cellStyle name="_Actual P&amp;L_Computing Apr &amp; May_Actual P&amp;L_Computing Apr ~ May.2006_X-BOX BB" xfId="3108"/>
    <cellStyle name="好_River EE BOM_Creak Pearl Reliability Fixture RFQ_2009 04 24_Pearl RFQ(Submittal)ver2_05_12_2009 _Leopard RFQ ME BOM Costs-0618-2_Bolt RFQ Proposal_Foxlink_ (Pricing Summary) 2 25 2011 7" xfId="3109"/>
    <cellStyle name="_Flex Mechanicals Doumen Sales forecast - Jan 06 updated._Internal Hourly Rate Q1 FY08 Version 06142007 excl. Corporate Allocation" xfId="3110"/>
    <cellStyle name="好_MB9月管審誤判超標 8D_HP 4" xfId="3111"/>
    <cellStyle name="_0526週品質管理週報_0530周設備妥善_0533周SMT周管審" xfId="3112"/>
    <cellStyle name="差_F3   SMT設備明細_效益分析_flow chart 2009.12.12_Jackson 效益分析 testing update_16th Jan1_Jackson 效益分析 (2-1 B0 上系統)_squirrel效益分析08-17" xfId="3113"/>
    <cellStyle name="好_River EE BOM_Creak Pearl Reliability Fixture RFQ_2009 04 24_Creek RFQ feedback 04_28_2009_FD Update_Foxlink_Shadow RFQ NREUni BOM_12032009_Bolt RFQ Proposal_Foxlink_ (Pricing Summary) 2 25 2011 2 2 2" xfId="3114"/>
    <cellStyle name="40% - 强调文字颜色 4 3 2" xfId="3115"/>
    <cellStyle name="_Alvin Plastics RFQ Worksheets - Nypro 062807_Internal RFQ River Standalone  Bundle Unibom_v1 2_20080603_EJ 2" xfId="3116"/>
    <cellStyle name="_2005 04 DELL SMT Data2 -Process_DELL廠級目標dip.EXC _DELL MB廠級目標_DELLTEAM入庫資料1_2007DELL SMT廠級目標KPI(MT)1" xfId="3117"/>
    <cellStyle name="好_River EE BOM_Creak Pearl Reliability Fixture RFQ_2009 04 24_Xl0000002_Leopard_UniBOM_ME_0602-1_Bolt RFQ Proposal_Foxlink_ (Pricing Summary) 2 25 2011 3 2" xfId="3118"/>
    <cellStyle name="_2005 04 DELL SMT Data2 -Process_2006日常管理目標.DIP _DELL廠級目標dip(2月) EXC _DELL MB廠級目標 (2)_DELL MB廠級目標.xls 圖表 1_DELL MB廠級目標.重要不能刪" xfId="3119"/>
    <cellStyle name="_2005 04 DELL SMT Data2 -Process_2006日常管理目標.DIP _DELL MB廠級目標" xfId="3120"/>
    <cellStyle name="_0526週品質管理週報_0530周設備妥善_0534周SMT周管審" xfId="3121"/>
    <cellStyle name="_0526週品質管理週報_0530周設備妥善_0541周SMT周管審" xfId="3122"/>
    <cellStyle name="_0526週品質管理週報_0530周設備妥善_0536周SMT周管審" xfId="3123"/>
    <cellStyle name="_0526週品質管理週報_0530周設備妥善_0537周SMT周管審" xfId="3124"/>
    <cellStyle name="40% - 强调文字颜色 3 2 3 2" xfId="3125"/>
    <cellStyle name="_0526週品質管理週報_0530周設備妥善_0537周SMT周管審_0733-0815M1 Manpower-3" xfId="3126"/>
    <cellStyle name="_0526週品質管理週報_0530周設備妥善_0537周SMT周管審_外包部人力編制" xfId="3127"/>
    <cellStyle name="差_效益分析&amp;產能評估_MS Bolt wireless mouse FixtureEquipment Cost_A5_2010_02_21_Bolt RFQ Proposal_Foxlink_ (Pricing Summary) 2 25 2011 2" xfId="3128"/>
    <cellStyle name="_0526週品質管理週報_0530周設備妥善_0537周SMT周管審_編制表" xfId="3129"/>
    <cellStyle name="_2005 04 DELL SMT Data2 -Process_DELL廠級目標dip.EXC _DELL廠級目標dip(2月) EXC _BPI 8D-SMT-2月 (3)_DELL MB廠級目標_DELL制程課管理目標 (4)" xfId="3130"/>
    <cellStyle name="好_Creek Assembly Fixture  Test Equipment RFQ_20090427_Xl0000002_Bolt RFQ Proposal_Foxlink_ (Pricing Summary) 2 25 2011 5 3" xfId="3131"/>
    <cellStyle name="_Flex Mechanicals Doumen Sales forecast - Dec'05 (updated links)_Copy of Tom OS ( Oct) new for LOG_X-BOX Console line setup budget and Buyer list" xfId="3132"/>
    <cellStyle name="_2005 04 DELL SMT Data2 -Process_BPI 8D-SMT-2月 (3)_DELL MB廠級目標_DELL MB廠級目標四月 " xfId="3133"/>
    <cellStyle name="_0526週品質管理週報_0530周設備妥善_0537周SMT周管審1" xfId="3134"/>
    <cellStyle name="_0526週品質管理週報_0530周設備妥善_0537周SMT周管審1_0733-0815M1 Manpower-3" xfId="3135"/>
    <cellStyle name="差_Creak Pearl Reliability Fixture RFQ_2009 04 24_Leopard_UniBOM_ME_0602-1_Bolt RFQ_Foxlink_03.1 2011_nego meeting@MACH 5" xfId="3136"/>
    <cellStyle name="_2005 04 DELL SMT Data2 -Process_2006日常管理目標.DIP _DELL廠級目標dip(2月) EXC _DELLTEAM入庫資料1" xfId="3137"/>
    <cellStyle name="_0526週品質管理週報_0530周設備妥善_0537周SMT周管審1_外包部人力編制" xfId="3138"/>
    <cellStyle name="_0526週品質管理週報_0530周設備妥善_0537周SMT周管審1_編制表" xfId="3139"/>
    <cellStyle name="_0526週品質管理週報_0530周設備妥善_0537周直通率8d" xfId="3140"/>
    <cellStyle name="差_HP  專案(設備&amp;治工具需夠買)update_M1 SuedeFixtureEquipment Cost_A0_2010_10_15_Bolt RFQ_Foxlink_03.1 2011 3 3" xfId="3141"/>
    <cellStyle name="_7月ict f.t_0536周周管審_0538周周管審--FINl_複本 0541周周管審" xfId="3142"/>
    <cellStyle name="_0526週品質管理週報_0530周設備妥善_0538周周管審--FINl" xfId="3143"/>
    <cellStyle name="好_River EE BOM_Creak Pearl Reliability Fixture RFQ_2009 04 24_Xl0000002_Leopard_UniBOM_ME_0602_Bolt RFQ_Foxlink_03.1 2011 2 2" xfId="3144"/>
    <cellStyle name="_184071 - Xbox Prepaid Inventory (5)_FY06 P5 XBox 360 Mfg Var - Close Pack" xfId="3145"/>
    <cellStyle name="好_Creek Assembly Fixture  Test Equipment RFQ_20090427_Leopard UniBom_Foxlink_6 21 2010-ME_nego_Bolt RFQ Proposal_Foxlink_ (Pricing Summary) 2 25 2011" xfId="3146"/>
    <cellStyle name="检查单元格 5 2" xfId="3147"/>
    <cellStyle name="好_River EE BOM_Xl0000002_Leopard_UniBOM_ME_0602-1_Bolt RFQ_Foxlink_03.1 2011 3 3" xfId="3148"/>
    <cellStyle name="_2006_0409 Ernestine_Cooper tooling_Quotebook_V3_07SEP11_RFQ_River_BAFO_2008 0606_M1_Stream Quotebook(Submittal)_POC1_20080903" xfId="3149"/>
    <cellStyle name="好_Creek Assembly Fixture  Test Equipment RFQ_20090427_Leopard_UniBOM_ME_0531_Bolt RFQ_Foxlink_03.1 2011_nego meeting@MACH 3 2" xfId="3150"/>
    <cellStyle name="_0526週品質管理週報_0530周設備妥善_0538周周管審--FINl_編制表" xfId="3151"/>
    <cellStyle name="_10月兩期費用分析" xfId="3152"/>
    <cellStyle name="差_HP  專案(設備&amp;治工具需夠買)update 2 4" xfId="3153"/>
    <cellStyle name="一般 2 2 5" xfId="3154"/>
    <cellStyle name="好_MB9月管審換線超時8d 3 2 2" xfId="3155"/>
    <cellStyle name="Currency 17 3 3" xfId="3156"/>
    <cellStyle name="_0526週品質管理週報_0530周設備妥善_0538周周管審--FINl_複本 0541周周管審" xfId="3157"/>
    <cellStyle name="_2006_0319 Ernestine_Cooper Cost Feedback_RFQ_River_BAFO_2008 0606_M1_Stream Quotebook (Submittal)_POC2_20081117-1" xfId="3158"/>
    <cellStyle name="60% - Accent4 5" xfId="3159"/>
    <cellStyle name="_Flex Mechanicals Doumen Sales forecast - Dec'05 (updated links)_Tom OS ( Oct)_Forecast Template v4" xfId="3160"/>
    <cellStyle name="_0526週品質管理週報_0530周設備妥善_0538周周管審--FINl_複本 0541周周管審_0733-0815M1 Manpower-3" xfId="3161"/>
    <cellStyle name="_2006_0410b Ernestine_Cooper tooling and plastic price to MS_RFQ_River_BAFO_2008 0606_M1" xfId="3162"/>
    <cellStyle name="_0526週品質管理週報_0530周設備妥善_0538周周管審--FINl_複本 0541周周管審_外包部人力編制" xfId="3163"/>
    <cellStyle name="_0526週品質管理週報_0530周設備妥善_0540周周管審" xfId="3164"/>
    <cellStyle name="_Mechanical Contribution Margins (Q2'06) 0705_Mechanical Contribution Margins forecast 0506 FP_PL Fcst Jul 06-updated G&amp;A Value_Tom OS ( Oct)_2009 xBOX ramp up budget code applicaiton 300K --New May26 (3)" xfId="3165"/>
    <cellStyle name="_0526週品質管理週報_0530周設備妥善_0540周周管審_0541周直通率8D_0733-0815M1 Manpower-3" xfId="3166"/>
    <cellStyle name="_2008 hiring plan" xfId="3167"/>
    <cellStyle name="_Actual P&amp;L_Computing Apr &amp; May_Actual P&amp;L_Computing Apr ~ May.2006_X-BOX Console line setup budget and Buyer list" xfId="3168"/>
    <cellStyle name="差_F3   SMT設備明細_jupite r設備&amp;治工具LIST (總)_pq_Flow chart and Fixture(Jackson)_A1_Jackson 效益分析 (2-1 B0 上系統)" xfId="3169"/>
    <cellStyle name="_2005 04 DELL SMT Data2 -Process_2006日常管理目標.DIP _DELL MB廠級目標_DELL MB廠級目標.重要不能刪" xfId="3170"/>
    <cellStyle name="好_River EE BOM_Creak Pearl Reliability Fixture RFQ_2009 04 24_Pearl RFQ(Submittal)ver2_05_12_2009 _Squirrel UniBom-06.23.2010_update_internal_Bolt RFQ Proposal_Foxlink_ (Pricing Summary) 2 25 2011 3 2" xfId="3171"/>
    <cellStyle name="_0526週品質管理週報_0530周設備妥善_0540周周管審_0541周直通率8D_外包部人力編制" xfId="3172"/>
    <cellStyle name="_2005 04 DELL SMT Data2 -Process_DELL MB廠級目標 _DELL MB廠級目標_2007DELL SMT廠級目標KPI(MT)1" xfId="3173"/>
    <cellStyle name="好_River EE BOM_Xl0000000_Bolt RFQ Proposal_Foxlink_ (Pricing Summary) 2 25 2011 7" xfId="3174"/>
    <cellStyle name="_0526週品質管理週報_0530周設備妥善_0540周周管審_0541周直通率8D_編制表" xfId="3175"/>
    <cellStyle name="_0526週品質管理週報_0530周設備妥善_0540周周管審_0733-0815M1 Manpower-3" xfId="3176"/>
    <cellStyle name="好_Creek EE BOM cost_20090425_Foxlink_Shadow RFQ NREUni BOM_12032009_Bolt RFQ_Foxlink_03.1 2011" xfId="3177"/>
    <cellStyle name="好_River EE BOM_Creak Pearl Reliability Fixture RFQ_2009 04 24_Leopard RFQ ME BOM Costs-0618_Bolt RFQ Proposal_Foxlink_ (Pricing Summary) 2 25 2011 3 3" xfId="3178"/>
    <cellStyle name="_0526週品質管理週報_0530周設備妥善_0540周周管審_外包部人力編制" xfId="3179"/>
    <cellStyle name="_2006_0409 Ernestine_Cooper tooling_RFQ_River_BAFO_2008 0606_M1" xfId="3180"/>
    <cellStyle name="_CD in Nov_2009 xBOX ramp up budget code applicaiton 300K --New May26 (3)" xfId="3181"/>
    <cellStyle name="_0526週品質管理週報_0530周設備妥善_0540周周管審_複本 0541周周管審" xfId="3182"/>
    <cellStyle name="_0526週品質管理週報_0530周設備妥善_0540周周管審_複本 0541周周管審_0733-0815M1 Manpower-3" xfId="3183"/>
    <cellStyle name="好_River EE BOM_Creak Pearl Reliability Fixture RFQ_2009 04 24_Creek RFQ feedback 04_28_2009_FD Update_Leopard_UniBOM_ME_0603-2_Bolt RFQ Proposal_Foxlink_ (Pricing Summary) 2 25 2011 4 2" xfId="3184"/>
    <cellStyle name="_PACKAGE-ASSY COST Apollo" xfId="3185"/>
    <cellStyle name="_0526週品質管理週報_0530周設備妥善_0540周周管審_複本 0541周周管審_外包部人力編制" xfId="3186"/>
    <cellStyle name="_0526週品質管理週報_0530周設備妥善_0540周周管審_複本 0541周周管審_編制表" xfId="3187"/>
    <cellStyle name="好_Creek Assembly Fixture  Test Equipment RFQ_20090427_Leopard RFQ ME BOM Costs-0618_Bolt RFQ_Foxlink_03.1 2011 3 2" xfId="3188"/>
    <cellStyle name="_0533周周報_Book1_複本 0541周周管審_外包部人力編制" xfId="3189"/>
    <cellStyle name="_0526週品質管理週報_0530周設備妥善_0540周直通率8D1" xfId="3190"/>
    <cellStyle name="_2005 04 DELL SMT Data2 -Process_DELL廠級目標dip.EXC _DELL廠級目標dip(2月) EXC _BPI 8D-SMT-2月 (3)_DELL MB廠級目標.xls 圖表 1_DELL MB廠級目標四月 _DELL MB廠級目標十一月 (4)" xfId="3191"/>
    <cellStyle name="_0526週品質管理週報_0530周設備妥善_0541周SMT周管審_外包部人力編制" xfId="3192"/>
    <cellStyle name="Normal 8 11" xfId="3193"/>
    <cellStyle name="_0526週品質管理週報_0530周設備妥善_0541周SMT周管審_編制表" xfId="3194"/>
    <cellStyle name="差_HP Mouse 產能評估(Forecast更改後)_M1 SuedeFixtureEquipment Cost_A0_2010_10_15 4" xfId="3195"/>
    <cellStyle name="_0526週品質管理週報_0530周設備妥善_0541周直通率8D" xfId="3196"/>
    <cellStyle name="_7月ict f.t_0536周周管審_Book1" xfId="3197"/>
    <cellStyle name="_0526週品質管理週報_0530周設備妥善_8月SMT月管審 " xfId="3198"/>
    <cellStyle name="_0526週品質管理週報_0530周設備妥善_8月SMT月管審 _0733-0815M1 Manpower-3" xfId="3199"/>
    <cellStyle name="_0526週品質管理週報_0530周設備妥善_8月SMT月管審 _外包部人力編制" xfId="3200"/>
    <cellStyle name="_0526週品質管理週報_0530周設備妥善_Book1" xfId="3201"/>
    <cellStyle name="差_Creak Pearl Reliability Fixture RFQ_2009 04 24_Creek  Pearl RFQ_May 12_Leopard Lemur Squirrel UniBom-06.22.2010_EE cost _update_internal 2 4" xfId="3202"/>
    <cellStyle name="_0526週品質管理週報_0530周設備妥善_Book1_0733-0815M1 Manpower-3" xfId="3203"/>
    <cellStyle name="差_Creak Pearl Reliability Fixture RFQ_2009 04 24_Creek  Pearl RFQ_May 12_Leopard RFQ ME BOM Costs-0618_Bolt RFQ_Foxlink_03.1 2011 4" xfId="3204"/>
    <cellStyle name="好_Creek Assembly Fixture  Test Equipment RFQ_20090427_Xl0000002_Leopard_UniBOM_ME_0531_Bolt RFQ_Foxlink_03.1 2011 2 3" xfId="3205"/>
    <cellStyle name="_0526週品質管理週報_0530周設備妥善_Book1_編制表" xfId="3206"/>
    <cellStyle name="_0526週品質管理週報_0530周設備妥善_Book1_複本 0541周周管審_0733-0815M1 Manpower-3" xfId="3207"/>
    <cellStyle name="_0526週品質管理週報_0530周設備妥善_Book1_複本 0541周周管審_外包部人力編制" xfId="3208"/>
    <cellStyle name="Output 15 2" xfId="3209"/>
    <cellStyle name="_Biz Ops By Stream_FY06 P5 XBox 360 Mfg Var - Close Pack" xfId="3210"/>
    <cellStyle name="_2005 04 DELL SMT Data2 -Process_DELL廠級目標dip EXC _DELL廠級目標dip(2月) EXC _BPI 8D-SMT-2月_DELL MB廠級目標.xls 圖表 1_DELL制程課管理目標" xfId="3211"/>
    <cellStyle name="_0526週品質管理週報_0530周設備妥善_Book1_複本 0541周周管審_編制表" xfId="3212"/>
    <cellStyle name="好_Creek Assembly Fixture  Test Equipment RFQ_20090427_Leopard RFQ ME BOM Costs-0618-2 2" xfId="3213"/>
    <cellStyle name="_0526週品質管理週報_0530周設備妥善_九月份直通率8D" xfId="3214"/>
    <cellStyle name="差_F3   SMT設備明細_效益分析_效益分析(總 12-28 Update)_Jackson 效益分析 (2-1 B0 上系統)_Leopard Flowchart &amp; 產能評估" xfId="3215"/>
    <cellStyle name="_0526週品質管理週報_0530周設備妥善_九月份直通率8D1" xfId="3216"/>
    <cellStyle name="差_Xl0000002_Foxlink_Shadow RFQ NREUni BOM_12032009_Bolt RFQ_Foxlink_03.1 2011_nego meeting@MACH" xfId="3217"/>
    <cellStyle name="好_River EE BOM_Xl0000000_Squirrel RFQ ME BOM Costs-0623 2 4" xfId="3218"/>
    <cellStyle name="_0526週品質管理週報_0530周設備妥善_八月份周直通率8d1" xfId="3219"/>
    <cellStyle name="货币 2 2 2" xfId="3220"/>
    <cellStyle name="40% - Accent5 3 3 3" xfId="3221"/>
    <cellStyle name="_7月ict f.t_0536周周管審_0537周直通率8d_複本 0541周周管審" xfId="3222"/>
    <cellStyle name="好_River EE BOM_Creak Pearl Reliability Fixture RFQ_2009 04 24_Creek RFQ feedback 04_28_2009_FD Update_Leopard RFQ ME BOM Costs-0618-2 3" xfId="3223"/>
    <cellStyle name="_PL Forecast by segment-most final 0806_Copy of Tom OS ( Oct) new for LOG_X-BOX Console line setup budget 20080414" xfId="3224"/>
    <cellStyle name="_0526週品質管理週報_0530周設備妥善_八月份周直通率8d1_0538周周管審--FINl_0733-0815M1 Manpower-3" xfId="3225"/>
    <cellStyle name="_184071 - P8 Non-DW PPV_P6 Si Ops review (2)" xfId="3226"/>
    <cellStyle name="_Fcst March_06(Revised 2.)_PL Fcst Jul 06-updated G&amp;A Value_Tom OS ( Oct)_2009 xBOX ramp up budget code applicaiton 300K --New May27" xfId="3227"/>
    <cellStyle name="_0526週品質管理週報_0530周設備妥善_八月份周直通率8d1_0538周周管審--FINl_外包部人力編制" xfId="3228"/>
    <cellStyle name="差_Xl0000000_Leopard_UniBOM_ME_0531_Bolt RFQ Proposal_Foxlink_ (Pricing Summary) 2 25 2011 2 2 2" xfId="3229"/>
    <cellStyle name="60% - Accent3 2 2" xfId="3230"/>
    <cellStyle name="_0526週品質管理週報_0530周設備妥善_八月份周直通率8d1_0538周周管審--FINl_編制表" xfId="3231"/>
    <cellStyle name="_0526週品質管理週報_0530周設備妥善_八月份周直通率8d1_0538周周管審--FINl_複本 0541周周管審_0733-0815M1 Manpower-3" xfId="3232"/>
    <cellStyle name="好_River EE BOM_Creek RFQ feedback 04_28_2009_FD Update_Leopard_UniBOM_ME_0602-1_Bolt RFQ Proposal_Foxlink_ (Pricing Summary) 2 25 2011 2" xfId="3233"/>
    <cellStyle name="_0526週品質管理週報_0530周設備妥善_八月份周直通率8d1_0538周周管審--FINl_複本 0541周周管審_外包部人力編制" xfId="3234"/>
    <cellStyle name="_Flex Mechanicals Doumen Sales forecast - Jan.06_Volume Fcst 1006 updated_2009 xBOX ramp up budget code applicaiton 300K --New May26 (3)" xfId="3235"/>
    <cellStyle name="_0526週品質管理週報_0530周設備妥善_八月份周直通率8d1_0538周周管審--FINl_複本 0541周周管審_編制表" xfId="3236"/>
    <cellStyle name="_2006_0409 Ernestine_Cooper tooling_Quotebook_07SEP10_Internal RFQ River Standalone  Bundle Unibom_v1 2_20080603_EJ_Stream Package Quotation_20090311" xfId="3237"/>
    <cellStyle name="好_Creek EE BOM cost_20090425_Creek RFQ feedback 04_28_2009_FD Update_Leopard RFQ ME BOM Costs-0618-2_Bolt RFQ Proposal_Foxlink_ (Pricing Summary) 2 25 2011 4" xfId="3238"/>
    <cellStyle name="_Flex Mechanicals Doumen Sales forecast - Dec'05 R1_Volume Fcst 1006 updated_Tom OS ( Oct)_2009 xBOX ramp up budget code applicaiton 300K --New May27" xfId="3239"/>
    <cellStyle name="_0526週品質管理週報_0530周設備妥善_八月份周直通率8d1_0540周直通率8D1" xfId="3240"/>
    <cellStyle name="_0530周周管審_0538周周管審--FINl_複本 0541周周管審_外包部人力編制" xfId="3241"/>
    <cellStyle name="_0526週品質管理週報_0530周設備妥善_八月份周直通率8d1_0540周直通率8D1_0733-0815M1 Manpower-3" xfId="3242"/>
    <cellStyle name="好_River EE BOM_Creak Pearl Reliability Fixture RFQ_2009 04 24_Pearl RFQ(Submittal)ver2_05_12_2009 _Leopard_UniBOM_ME_0531 3" xfId="3243"/>
    <cellStyle name="_0526週品質管理週報_0530周設備妥善_八月份周直通率8d1_0540周直通率8D1_外包部人力編制" xfId="3244"/>
    <cellStyle name="_2005 04 DELL SMT Data2 -Process_DELL廠級目標dip.EXC _DELL廠級目標dip(2月) EXC _BPI 8D-SMT-2月_DELL MB廠級目標.xls 圖表 1_DELLTEAM入庫資料1_2007DELL SMT廠級目標KPI(MT)1" xfId="3245"/>
    <cellStyle name="_Alvin Plastics RFQ Worksheets - Nypro 062807_Stream RFQ Unibom--0626-1756_Stream Package Quotation_20090311" xfId="3246"/>
    <cellStyle name="_0526週品質管理週報_0530周設備妥善_八月份周直通率8d1_0540周直通率8D1_複本 0541周周管審" xfId="3247"/>
    <cellStyle name="_0526週品質管理週報_0530周設備妥善_八月份周直通率8d1_0540周直通率8D1_複本 0541周周管審_0733-0815M1 Manpower-3" xfId="3248"/>
    <cellStyle name="_0526週品質管理週報_0531周設備妥善_複本 0541周周管審" xfId="3249"/>
    <cellStyle name="好_River EE BOM_Squirrel UniBom-06.23.2010_update_internal_Bolt RFQ Proposal_Foxlink_ (Pricing Summary) 2 25 2011 2 4" xfId="3250"/>
    <cellStyle name="_BOM update - Supplier List (Purchase) 111102_Quote Format - sample Rev 7 (not approve yet)" xfId="3251"/>
    <cellStyle name="差_HP  專案(設備&amp;治工具需夠買)update_費用統計_Jackson 效益分析 (2-1 B0 上系統)_Leopard Flowchart &amp; 產能評估" xfId="3252"/>
    <cellStyle name="_386896SOP_1" xfId="3253"/>
    <cellStyle name="_June Freight analysis v_Final_FY06 P7 CM Consigned RM" xfId="3254"/>
    <cellStyle name="_2006_0329 Ernestine_Cooper Cost Feedback_Quotebook_07SEP10_BlueAnt_Quotebook_V3_07SEP11_RFQ_River_BAFO_2008 0606_M1_Stream Package Quotation_20090311" xfId="3255"/>
    <cellStyle name="差_Creak Pearl Reliability Fixture RFQ_2009 04 24_Xl0000002_Leopard RFQ ME BOM Costs-0618 2 2" xfId="3256"/>
    <cellStyle name="_0526週品質管理週報_0530周設備妥善_八月份周直通率8d1_0540周直通率8D1_複本 0541周周管審_外包部人力編制" xfId="3257"/>
    <cellStyle name="_2006_0329 Ernestine_Cooper Cost Feedback_Erie  Mouse RFQ Pricing IE 2" xfId="3258"/>
    <cellStyle name="_0526週品質管理週報_0530周設備妥善_八月份周直通率8d1_0541周直通率8D_0733-0815M1 Manpower-3" xfId="3259"/>
    <cellStyle name="差_Creak Pearl Reliability Fixture RFQ_2009 04 24_Creek  Pearl RFQ_May 12_Leopard RFQ ME BOM Costs-0618_Bolt RFQ Proposal_Foxlink_ (Pricing Summary) 2 25 2011 3" xfId="3260"/>
    <cellStyle name="_Forecast Template v2_Budget GC Other Form" xfId="3261"/>
    <cellStyle name="好_River EE BOM_Creak Pearl Reliability Fixture RFQ_2009 04 24_Xl0000002_Leopard_UniBOM_ME_0602_Bolt RFQ Proposal_Foxlink_ (Pricing Summary) 2 25 2011 6" xfId="3262"/>
    <cellStyle name="_0526週品質管理週報_0530周設備妥善_八月份周直通率8d1_0541周直通率8D_外包部人力編制" xfId="3263"/>
    <cellStyle name="_0526週品質管理週報_0530周設備妥善_八月份周直通率8d1_0541周直通率8D_編制表" xfId="3264"/>
    <cellStyle name="差_Xl0000002_Leopard RFQ ME BOM Costs-0618 3" xfId="3265"/>
    <cellStyle name="_0526週品質管理週報_0530周設備妥善_八月份周直通率8d1_Book1_複本 0541周周管審" xfId="3266"/>
    <cellStyle name="_0535週管審_0537周直通率8d" xfId="3267"/>
    <cellStyle name="_0526週品質管理週報_0530周設備妥善_八月份周直通率8d1_Book1_複本 0541周周管審_外包部人力編制" xfId="3268"/>
    <cellStyle name="_0526週品質管理週報_0530周設備妥善_八月份周直通率8d1_外包部人力編制" xfId="3269"/>
    <cellStyle name="差_F3   SMT設備明細_jupite r設備&amp;治工具LIST (總)_pq_~5631336_Jackson 效益分析 (2-1 B0 上系統)_squirrel效益分析08-17" xfId="3270"/>
    <cellStyle name="_0526週品質管理週報_0530周設備妥善_八月份周直通率8d1_編制表" xfId="3271"/>
    <cellStyle name="_0526週品質管理週報_0530周設備妥善_八月份周直通率8d1_複本 0541周周管審" xfId="3272"/>
    <cellStyle name="好_River EE BOM_Xl0000000_Foxlink_Shadow RFQ NREUni BOM_12032009_Bolt RFQ Proposal_Foxlink_ (Pricing Summary) 2 25 2011 7" xfId="3273"/>
    <cellStyle name="_July Freight analysis_FPA1" xfId="3274"/>
    <cellStyle name="壞_Creek EE BOM cost_20090425_Creek RFQ feedback 04_28_2009_FD Update_Leopard UniBom_Foxlink_6 21 2010-ME_nego_Bolt RFQ Proposal_Foxlink_ (Pricing Summary) 2 25 2011 4 2" xfId="3275"/>
    <cellStyle name="_2006_0412 Ernestine_Cooper tooling and plastic price to MS_JC_Internal RFQ River Standalone  Bundle Unibom_v1 2_20080603_EJ_Stream Quotebook(Submittal)_POC1_20080903 2" xfId="3276"/>
    <cellStyle name="_0526週品質管理週報_0530周設備妥善_八月份周直通率8d1_複本 0541周周管審_外包部人力編制" xfId="3277"/>
    <cellStyle name="_2005 04 DELL SMT Data2 -Process_2006日常管理目標.DIP _DELL廠級目標dip(2月) EXC _DELL MB廠級目標四月 _2007DELL SMT廠級目標KPI(MT)1" xfId="3278"/>
    <cellStyle name="Input 13 2 3" xfId="3279"/>
    <cellStyle name="_0526週品質管理週報_0530周設備妥善_複本 0541周周管審" xfId="3280"/>
    <cellStyle name="_0526週品質管理週報_0530周設備妥善_複本 0541周周管審_0733-0815M1 Manpower-3" xfId="3281"/>
    <cellStyle name="_0526週品質管理週報_0530周設備妥善_複本 0541周周管審_外包部人力編制" xfId="3282"/>
    <cellStyle name="差_F3   SMT設備明細_jupite r設備&amp;治工具LIST (總)_Flow Chart&amp;PQ分析(12-1)_~5631336_Jackson 效益分析 (2-1 B0 上系統)_Leopard Flowchart &amp; 產能評估" xfId="3283"/>
    <cellStyle name="_0526週品質管理週報_0531周設備妥善" xfId="3284"/>
    <cellStyle name="_0526週品質管理週報_0531周設備妥善_0533周SMT周管審" xfId="3285"/>
    <cellStyle name="_Mulan Edge EP0 KRH CTB wk28_5_MOST Std - S1300 F2lines" xfId="3286"/>
    <cellStyle name="_2005 04 DELL SMT Data2 -Process_2006日常管理目標.DIP _DELL廠級目標dip(2月) EXC _DELL MB廠級目標  (2)_DELL MB廠級目標_DELL MB廠級目標.重要不能刪" xfId="3287"/>
    <cellStyle name="_0526週品質管理週報_0531周設備妥善_0537周SMT周管審" xfId="3288"/>
    <cellStyle name="_2005 04 DELL SMT Data2 -Process_DELL廠級目標dip EXC _DELL廠級目標dip(2月) EXC _BPI 8D-SMT-2月 (3)_DELL MB廠級目標.xls 圖表 1_DELL制程課管理指標" xfId="3289"/>
    <cellStyle name="_Mechanical Contribution Margins (Q2'06) 0705_Mechanical Contribution Margins forecast 0506 FP_PL Fcst Jul 06-updated G&amp;A Value_2009 xBOX ramp up budget code applicaiton 300K --New May27" xfId="3290"/>
    <cellStyle name="_0526週品質管理週報_0531周設備妥善_0537周SMT周管審_0733-0815M1 Manpower-3" xfId="3291"/>
    <cellStyle name="_x001e__Project A Riskbuy list 20100322 (2)" xfId="3292"/>
    <cellStyle name="_0526週品質管理週報_0531周設備妥善_0537周SMT周管審_外包部人力編制" xfId="3293"/>
    <cellStyle name="_220071-78(Oct 2006) (2)" xfId="3294"/>
    <cellStyle name="好_效益分析&amp;產能評估_M1 SuedeFixtureEquipment Cost_A0_2010_10_15 5" xfId="3295"/>
    <cellStyle name="_0526週品質管理週報_0531周設備妥善_0537周SMT周管審1" xfId="3296"/>
    <cellStyle name="_Forecast - Segment WTJune06_X-BOX Console line setup budget and Buyer list" xfId="3297"/>
    <cellStyle name="_BOM update - Supplier List (Purchase) 111102_Mustang production sample quotation (internal review)3-12-09 Rev3" xfId="3298"/>
    <cellStyle name="_2006_0410 Ernestine_Cooper tooling and plastic price to MS_Quotebook_07SEP10_BlueAnt_Quotebook_V3_07SEP11_Stream RFQ Unibom--0626-1756" xfId="3299"/>
    <cellStyle name="_2006_0409 Ernestine_Cooper tooling and plastic price to MS_Quotebook_07SEP10_BlueAnt_Quotebook_V3_07SEP11_RFQ_River_BAFO_2008 0606_M1_Stream Quotebook (Submittal)_POC2_20081117-1" xfId="3300"/>
    <cellStyle name="Bad" xfId="3301"/>
    <cellStyle name="_0526週品質管理週報_0531周設備妥善_0537周SMT周管審1_0733-0815M1 Manpower-3" xfId="3302"/>
    <cellStyle name="_2005 04 DELL SMT Data2 -Process_DELL廠級目標dip EXC _DELL廠級目標dip(2月) EXC _DELL MB廠級目標  (2)_DELL MB廠級目標_DELL MB廠級目標_DELL MB廠級目標十一月 (4)" xfId="3303"/>
    <cellStyle name="好_Creek Assembly Fixture  Test Equipment RFQ_20090427_Xl0000002_Leopard RFQ ME BOM Costs-0618-2_Bolt RFQ Proposal_Foxlink_ (Pricing Summary) 2 25 2011 2 2" xfId="3304"/>
    <cellStyle name="_0526週品質管理週報_0531周設備妥善_0537周SMT周管審1_外包部人力編制" xfId="3305"/>
    <cellStyle name="_0526週品質管理週報_0531周設備妥善_0537周直通率8d" xfId="3306"/>
    <cellStyle name="Input 5 2" xfId="3307"/>
    <cellStyle name="_Sales Breakdown Analysis 3_PL Forecast by segment-most final 0806_2009 xBOX ramp up budget code applicaiton 300K --New May27" xfId="3308"/>
    <cellStyle name="壞_Creek EE BOM cost_20090425_Creek RFQ feedback 04_28_2009_FD Update_Bolt RFQ_Foxlink_03.1 2011 3" xfId="3309"/>
    <cellStyle name="好_Creek EE BOM cost_20090425_Leopard_UniBOM_ME_0531 2 4" xfId="3310"/>
    <cellStyle name="_220071-78(Oct 2006)" xfId="3311"/>
    <cellStyle name="_0526週品質管理週報_0531周設備妥善_0538周周管審--FINl_0733-0815M1 Manpower-3" xfId="3312"/>
    <cellStyle name="差_jupite r設備&amp;治工具LIST (總)_flow chart 2009.12.12_Flow chart and Fixture(1-4)_Jackson 效益分析 (2-1 B0 上系統)_Leopard效益分析08-17" xfId="3313"/>
    <cellStyle name="_2006_0412 Ernestine_Cooper tooling and plastic price to MS_JC_Quotebook_07SEP10_Stream RFQ Unibom--0626-1756_Stream Package Quotation_20090311" xfId="3314"/>
    <cellStyle name="好_River EE BOM_Creak Pearl Reliability Fixture RFQ_2009 04 24_Pearl RFQ(Submittal)ver2_05_12_2009 _Bolt RFQ_Foxlink_03.1 2011_nego meeting@MACH 3" xfId="3315"/>
    <cellStyle name="_0526週品質管理週報_0531周設備妥善_0538周周管審--FINl_外包部人力編制" xfId="3316"/>
    <cellStyle name="Explanatory Text 3 3" xfId="3317"/>
    <cellStyle name="_bom updated on 2002-11-10_Purchase items tracker ODM" xfId="3318"/>
    <cellStyle name="差_Creak Pearl Reliability Fixture RFQ_2009 04 24_Creek RFQ feedback 04_28_2009_FD Update_Squirrel RFQ ME BOM Costs-0623_Bolt RFQ_Foxlink_03.1 2011_nego meeting@MACH 3 3" xfId="3319"/>
    <cellStyle name="壞_Creek Assembly Fixture  Test Equipment RFQ_20090427_Xl0000002_Squirrel UniBom-06.23.2010_update_internal 2" xfId="3320"/>
    <cellStyle name="好_River EE BOM_Creek RFQ feedback 04_28_2009_FD Update_Leopard_UniBOM_ME_0603-2_Bolt RFQ Proposal_Foxlink_ (Pricing Summary) 2 25 2011 2 2 3" xfId="3321"/>
    <cellStyle name="_ABG ECO Combo ww18.5" xfId="3322"/>
    <cellStyle name="9_Revised AP DPO Oct 04 v2_PL Fcst Jul 06-updated G&amp;A Value_Copy of Tom OS ( Oct) new for LOG_Forecast Template v4" xfId="3323"/>
    <cellStyle name="_0526週品質管理週報_0531周設備妥善_0538周周管審--FINl_複本 0541周周管審" xfId="3324"/>
    <cellStyle name="_Mechanical Contribution Margins forecast 0506 FP_PL Forecast by segment-most final 0806_Copy of Tom OS ( Oct) new for LOG_2009 xBOX ramp up budget code applicaiton 300K --New May26 (3)" xfId="3325"/>
    <cellStyle name="_2006_0319 Ernestine_Cooper Cost Feedback_RFQ_River_BAFO_2008 0606_M1 2" xfId="3326"/>
    <cellStyle name="_0526週品質管理週報_0531周設備妥善_0538周周管審--FINl_複本 0541周周管審_外包部人力編制" xfId="3327"/>
    <cellStyle name="_0526週品質管理週報_0531周設備妥善_0540周周管審" xfId="3328"/>
    <cellStyle name="好_River EE BOM_Xl0000002_Jackson and Shadow BOM cost_mainfile_2010 0324 rev.1" xfId="3329"/>
    <cellStyle name="Accent6 4" xfId="3330"/>
    <cellStyle name="_0526週品質管理週報_0531周設備妥善_0540周周管審_0541周直通率8D" xfId="3331"/>
    <cellStyle name="_0526週品質管理週報_0531周設備妥善_0540周周管審_0541周直通率8D_0733-0815M1 Manpower-3" xfId="3332"/>
    <cellStyle name="_2005 04 DELL SMT Data2 -Process_DELL廠級目標dip EXC _DELL廠級目標dip(2月) EXC _DELL MB廠級目標 (2)_DELL MB廠級目標_DELLTEAM入庫資料1_2007DELL SMT廠級目標KPI(MT)1" xfId="3333"/>
    <cellStyle name="_0534周周報1_八月份周直通率8d1" xfId="3334"/>
    <cellStyle name="差_Xl0000002_Leopard_UniBOM_ME_0531_Bolt RFQ Proposal_Foxlink_ (Pricing Summary) 2 25 2011 4" xfId="3335"/>
    <cellStyle name="_2005 04 DELL SMT Data2 -Process_DELL廠級目標dip(1月) EXC _DELL MB廠級目標十一月 (4)" xfId="3336"/>
    <cellStyle name="_0526週品質管理週報_0531周設備妥善_0540周周管審_0541周直通率8D_外包部人力編制" xfId="3337"/>
    <cellStyle name="_Book2_Mechanical Contribution Margins forecast 0506 FP_X-BOX Console line setup budget 20080414" xfId="3338"/>
    <cellStyle name="_0526週品質管理週報_0531周設備妥善_0540周周管審_0733-0815M1 Manpower-3" xfId="3339"/>
    <cellStyle name="_Final Otter-UniBOM_10-25-2005_Quotebook_07SEP10_BlueAnt_Quotebook_V3_07SEP11_Internal RFQ River Standalone  Bundle Unibom_v1 2_20080603_EJ_Stream Quotebook (Submittal)_POC2_20081117-1" xfId="3340"/>
    <cellStyle name="_0526週品質管理週報_0531周設備妥善_0540周周管審_外包部人力編制" xfId="3341"/>
    <cellStyle name="_0526週品質管理週報_0531周設備妥善_0540周周管審_複本 0541周周管審" xfId="3342"/>
    <cellStyle name="好_Creek EE BOM cost_20090425_Leopard_UniBOM_ME_0603-2_Bolt RFQ_Foxlink_03.1 2011_nego meeting@MACH 3" xfId="3343"/>
    <cellStyle name="_0526週品質管理週報_0531周設備妥善_八月份周直通率8d1_Book1_複本 0541周周管審" xfId="3344"/>
    <cellStyle name="_0526週品質管理週報_0531周設備妥善_0540周周管審_複本 0541周周管審_0733-0815M1 Manpower-3" xfId="3345"/>
    <cellStyle name="差_Creak Pearl Reliability Fixture RFQ_2009 04 24_Pearl RFQ(Submittal)ver2_05_12_2009 _Leopard UniBom_Foxlink_6 21 2010-ME_nego_Bolt RFQ Proposal_Foxlink_ (Pricing Summary) 2 25 2011 4 2" xfId="3346"/>
    <cellStyle name="60% - 强调文字颜色 4 5 3" xfId="3347"/>
    <cellStyle name="_2005 04 DELL SMT Data2 -Process_DELL SMT 廠級目標KPI_DELL MB廠級目標.xls 圖表 1_DELL MB廠級目標.重要不能刪_2007DELL SMT廠級目標KPI(MT)1" xfId="3348"/>
    <cellStyle name="_2005 04 DELL SMT Data2 -Process_2006日常管理目標.DIP _DELL MB廠級目標.xls 圖表 1_DELL MB廠級目標_2007DELL SMT廠級目標KPI(MT)1" xfId="3349"/>
    <cellStyle name="_0526週品質管理週報_0531周設備妥善_0540周周管審_複本 0541周周管審_外包部人力編制" xfId="3350"/>
    <cellStyle name="_Plutto Uni_BOM 03232006 2" xfId="3351"/>
    <cellStyle name="_Inventory Summ  Obso_FY06 P7 CM Consigned RM" xfId="3352"/>
    <cellStyle name="_0526週品質管理週報_0531周設備妥善_0540周直通率8D1" xfId="3353"/>
    <cellStyle name="好_River EE BOM_Xl0000002_Leopard Lemur Squirrel UniBom-06.22.2010_EE cost _update_internal 2 2 2" xfId="3354"/>
    <cellStyle name="_2005 04 DELL SMT Data2 -Process_2006日常管理目標.DIP _DELL廠級目標dip(2月) EXC _BPI 8D-SMT-2月 (3)_DELL MB廠級目標.xls 圖表 1_DELL MB廠級目標_DELL MB廠級目標十一月 (4)" xfId="3355"/>
    <cellStyle name="差_0842周 顯卡報廢超標8D_HP 5 2 3" xfId="3356"/>
    <cellStyle name="_0526週品質管理週報_0531周設備妥善_0541周SMT周管審_0733-0815M1 Manpower-3" xfId="3357"/>
    <cellStyle name="_2006_0329 Ernestine_Cooper Cost Feedback_Quotebook_07SEP10_Internal RFQ River Standalone  Bundle Unibom_v1 2_20080603_EJ_Stream Quotebook (Submittal)_POC2_20081117-1" xfId="3358"/>
    <cellStyle name="_0526週品質管理週報_0531周設備妥善_8月SMT月管審 " xfId="3359"/>
    <cellStyle name="_0526週品質管理週報_0531周設備妥善_8月SMT月管審 _0733-0815M1 Manpower-3" xfId="3360"/>
    <cellStyle name="差_F3   SMT設備明細_MS Bolt wireless mouse FixtureEquipment Cost_A5_2010_02_21 2 2" xfId="3361"/>
    <cellStyle name="好_River EE BOM_Creak Pearl Reliability Fixture RFQ_2009 04 24_Creek RFQ feedback 04_28_2009_FD Update_Leopard_UniBOM_ME_0602-1 3 2" xfId="3362"/>
    <cellStyle name="Input 10 2" xfId="3363"/>
    <cellStyle name="_0535週管審_八月份周直通率8d1_複本 0541周周管審" xfId="3364"/>
    <cellStyle name="Normal 25 4 2" xfId="3365"/>
    <cellStyle name="Normal 30 4 2" xfId="3366"/>
    <cellStyle name="_New Stuff for Part Master_Development_FY06 P6 XBox 360 Mfg Var - Close Pack" xfId="3367"/>
    <cellStyle name="_0526週品質管理週報_0531周設備妥善_8月SMT月管審 _外包部人力編制" xfId="3368"/>
    <cellStyle name="_0526週品質管理週報_0531周設備妥善_Book1" xfId="3369"/>
    <cellStyle name="壞_Creek EE BOM cost_20090425_Foxlink_Shadow RFQ NREUni BOM_12032009_Bolt RFQ_Foxlink_03.1 2011 3 2" xfId="3370"/>
    <cellStyle name="差_F3   SMT設備明細_Flow Chart&amp;設備治工具清單 _Jackson 效益分析 (2-1 B0 上系統)_Leopard效益分析08-17" xfId="3371"/>
    <cellStyle name="_2006_0412 Ernestine_Cooper tooling and plastic price to MS_JC_Quotebook_07SEP10_BlueAnt_Quotebook_V3_07SEP11_RFQ_River_BAFO_2008 0606_M1 2" xfId="3372"/>
    <cellStyle name="差_Creak Pearl Reliability Fixture RFQ_2009 04 24_Creek  Pearl RFQ_May 12_Foxlink_Shadow RFQ NREUni BOM_12032009_Bolt RFQ Proposal_Foxlink_ (Pricing Summary) 2 25 2011 2 2" xfId="3373"/>
    <cellStyle name="好_F3   SMT設備明細" xfId="3374"/>
    <cellStyle name="_0526週品質管理週報_0531周設備妥善_Book1_0733-0815M1 Manpower-3" xfId="3375"/>
    <cellStyle name="_0526週品質管理週報_0531周設備妥善_Book1_外包部人力編制" xfId="3376"/>
    <cellStyle name="_0526週品質管理週報_0733-0815M1 Manpower-3" xfId="3377"/>
    <cellStyle name="_Flex Mechanicals Doumen Sales forecast - Dec'05 R1_PL Forecast by segment-most final 0806_Copy of Tom OS ( Oct) new for LOG_X-BOX Console line setup budget 20080414" xfId="3378"/>
    <cellStyle name="_0526週品質管理週報_0531周設備妥善_Book1_複本 0541周周管審_0733-0815M1 Manpower-3" xfId="3379"/>
    <cellStyle name="好_River EE BOM_Creak Pearl Reliability Fixture RFQ_2009 04 24_Xl0000002_Squirrel UniBom-06.23.2010_update_internal_Bolt RFQ Proposal_Foxlink_ (Pricing Summary) 2 25 2011 7" xfId="3380"/>
    <cellStyle name="_0526週品質管理週報_外包部人力編制" xfId="3381"/>
    <cellStyle name="_0526週品質管理週報_0531周設備妥善_Book1_複本 0541周周管審_外包部人力編制" xfId="3382"/>
    <cellStyle name="_Liberty Sunplus NRE-05072006" xfId="3383"/>
    <cellStyle name="差_Jackson 效益分析 (1-18 A7)" xfId="3384"/>
    <cellStyle name="Accent6 6" xfId="3385"/>
    <cellStyle name="_D: 1.MS Project Plutto KYE Response RFQ Response-Pluto_1018.doc 的 工作表_Internal RFQ River Standalone  Bundle Unibom_v1 2_20080603_EJ 2" xfId="3386"/>
    <cellStyle name="差_HP Mouse 產能評估(上系統)_M1 Bolt wireless mouse FixtureEquipment Cost_A2_2010_12_07_Bolt RFQ Proposal_Foxlink_ (Pricing Summary) 2 25 2011 6" xfId="3387"/>
    <cellStyle name="好_River EE BOM_Xl0000000_Leopard_UniBOM_ME_0531 2 2 3" xfId="3388"/>
    <cellStyle name="Comma 17 3 2" xfId="3389"/>
    <cellStyle name="_工作理念與原則-0702" xfId="3390"/>
    <cellStyle name="_0526週品質管理週報_0531周設備妥善_九月份直通率8D" xfId="3391"/>
    <cellStyle name="差_jupite r設備&amp;治工具LIST (總)_~3106354_Leopard效益分析08-17" xfId="3392"/>
    <cellStyle name="_PL Fcst_akl(Friday)_Volume Fcst 1006 updated_Tom OS ( Oct)_Copy of X-BOX for line setup budget" xfId="3393"/>
    <cellStyle name="_0526週品質管理週報_0531周設備妥善_九月份直通率8D1" xfId="3394"/>
    <cellStyle name="差_Xl0000002 3 3" xfId="3395"/>
    <cellStyle name="_0526週品質管理週報_0531周設備妥善_八月份周直通率8d1" xfId="3396"/>
    <cellStyle name="40% - 强调文字颜色 6 5 3" xfId="3397"/>
    <cellStyle name="_0526週品質管理週報_0531周設備妥善_八月份周直通率8d1_0538周周管審--FINl" xfId="3398"/>
    <cellStyle name="Input 7" xfId="3399"/>
    <cellStyle name="_2005 04 DELL SMT Data2 -Process_DELL廠級目標dip.EXC _DELL MB廠級目標.xls 圖表 1_DELLTEAM入庫資料1" xfId="3400"/>
    <cellStyle name="_FCT Pareto By Line-Aug 12th(DEV01286-5) (2)_Update yield report for DEV02342(7.6) " xfId="3401"/>
    <cellStyle name="_0526週品質管理週報_0531周設備妥善_八月份周直通率8d1_0538周周管審--FINl_0733-0815M1 Manpower-3" xfId="3402"/>
    <cellStyle name="_2005 04 DELL SMT Data2 -Process_2006日常管理目標.DIP _DELL廠級目標dip(2月) EXC _DELL MB廠級目標 _DELL MB廠級目標_2007DELL SMT廠級目標KPI(MT)1" xfId="3403"/>
    <cellStyle name="_0526週品質管理週報_0531周設備妥善_八月份周直通率8d1_0538周周管審--FINl_外包部人力編制" xfId="3404"/>
    <cellStyle name="好_Creek Assembly Fixture  Test Equipment RFQ_20090427_Leopard_UniBOM_ME_0602_Bolt RFQ_Foxlink_03.1 2011_Bolt_Cliff 2 2 2" xfId="3405"/>
    <cellStyle name="计算 3 2" xfId="3406"/>
    <cellStyle name="_Alvin Plastics RFQ Worksheets - Nypro 062807_Stream RFQ Unibom--0626-1756_Stream Quotebook(Submittal)_POC1_20080903 2" xfId="3407"/>
    <cellStyle name="差_Creak Pearl Reliability Fixture RFQ_2009 04 24_Creek RFQ feedback 04_28_2009_FD Update_Leopard RFQ ME BOM Costs-0618-2_Bolt RFQ_Foxlink_03.1 2011" xfId="3408"/>
    <cellStyle name="6_C139 CCM 12181" xfId="3409"/>
    <cellStyle name="_2005 04 DELL SMT Data2 -Process_2006日常管理目標.DIP _DELL廠級目標dip(2月) EXC _BPI 8D-SMT-2月_DELL MB廠級目標十一月 (4)" xfId="3410"/>
    <cellStyle name="_0526週品質管理週報_0531周設備妥善_八月份周直通率8d1_0538周周管審--FINl_複本 0541周周管審_0733-0815M1 Manpower-3" xfId="3411"/>
    <cellStyle name="差_MB9月管審換線超時8d 6 2" xfId="3412"/>
    <cellStyle name="好_Creek EE BOM cost_20090425_Leopard_UniBOM_ME_0602-1_Bolt RFQ_Foxlink_03.1 2011_nego meeting@MACH 4" xfId="3413"/>
    <cellStyle name="差_HP Mouse 產能評估(Forecast更改後)_Erie 效益分析 (Update)_Jackson 效益分析 testing update_16th Jan111_Jackson 效益分析 (2-1 B0 上系統)" xfId="3414"/>
    <cellStyle name="_0526週品質管理週報_0531周設備妥善_八月份周直通率8d1_0540周直通率8D1" xfId="3415"/>
    <cellStyle name="差_HP Mouse 產能評估(上系統)_Erie 效益分析 (Update)_Jackson 效益分析 (2-1 B0 上系統)_Leopard效益分析08-17" xfId="3416"/>
    <cellStyle name="_2006_0406 Ernestine_Cooper tooling_Quotebook_V3_07SEP11_RFQ_River_BAFO_2008 0606_M1_Stream Quotebook(Submittal)_POC1_20080903" xfId="3417"/>
    <cellStyle name="好_River EE BOM_Creak Pearl Reliability Fixture RFQ_2009 04 24_Creek  Pearl RFQ_May 12_Leopard_UniBOM_ME_0602_Bolt RFQ_Foxlink_03.1 2011_nego meeting@MACH 2" xfId="3418"/>
    <cellStyle name="_2005 04 DELL SMT Data2 -Process_DELL廠級目標dip EXC _DELL廠級目標dip(2月) EXC _DELL MB廠級目標 (2)_DELL MB廠級目標_DELL MB廠級目標四月 _2007DELL SMT廠級目標KPI(MT)1" xfId="3419"/>
    <cellStyle name="_Capacity File_2006.01.17_MBO 周加班估算20060403" xfId="3420"/>
    <cellStyle name="_2005 04 DELL SMT Data2 -Process_DELL廠級目標dip EXC _DELL廠級目標dip(2月) EXC _DELL MB廠級目標 (2)" xfId="3421"/>
    <cellStyle name="差_F3   SMT設備明細_效益分析_Flow Chart(shadow)-b (1-4 Update)_Leopard效益分析08-17" xfId="3422"/>
    <cellStyle name="_0526週品質管理週報_0531周設備妥善_八月份周直通率8d1_0540周直通率8D1_0733-0815M1 Manpower-3" xfId="3423"/>
    <cellStyle name="_184071 - Xbox Prepaid Inventory (5)_P6 Si Ops review" xfId="3424"/>
    <cellStyle name="好_River EE BOM_Creak Pearl Reliability Fixture RFQ_2009 04 24_Creek  Pearl RFQ_May 12_Squirrel UniBom-06.23.2010_update_internal_Bolt RFQ_Foxlink_03.1 2011 5" xfId="3425"/>
    <cellStyle name="_Mechanical Contribution Margins forecast 0506 FP_Copy of Tom OS ( Oct) new for LOG_Copy of X-BOX for line setup budget" xfId="3426"/>
    <cellStyle name="_0526週品質管理週報_0531周設備妥善_八月份周直通率8d1_0540周直通率8D1_外包部人力編制" xfId="3427"/>
    <cellStyle name="_Dash_BOM_MS_Jan02-07 (worksheet)_Internal RFQ River Standalone  Bundle Unibom_v1 2_20080603_EJ_Stream Quotebook(Submittal)_POC1_20080903" xfId="3428"/>
    <cellStyle name="_0526週品質管理週報_0531周設備妥善_八月份周直通率8d1_0540周直通率8D1_複本 0541周周管審" xfId="3429"/>
    <cellStyle name="_0526週品質管理週報_0531周設備妥善_八月份周直通率8d1_0540周直通率8D1_複本 0541周周管審_0733-0815M1 Manpower-3" xfId="3430"/>
    <cellStyle name="好_River EE BOM_Xl0000002_Foxlink_Shadow RFQ NREUni BOM_12032009_Bolt RFQ_Foxlink_03.1 2011_nego meeting@MACH 3 2" xfId="3431"/>
    <cellStyle name="好_River EE BOM_Xl0000002_Bolt RFQ Proposal_Foxlink_ (Pricing Summary) 2 25 2011 4" xfId="3432"/>
    <cellStyle name="_0526週品質管理週報_0531周設備妥善_八月份周直通率8d1_0541周直通率8D" xfId="3433"/>
    <cellStyle name="_0526週品質管理週報_0531周設備妥善_八月份周直通率8d1_0541周直通率8D_0733-0815M1 Manpower-3" xfId="3434"/>
    <cellStyle name="_7月月管審附件.xls 圖表 1_0536周周管審_複本 0541周周管審" xfId="3435"/>
    <cellStyle name="好_River EE BOM_Creek RFQ feedback 04_28_2009_FD Update_Leopard UniBom_Foxlink_6 21 2010-ME_nego_Bolt RFQ Proposal_Foxlink_ (Pricing Summary) 2 25 2011 3" xfId="3436"/>
    <cellStyle name="差_Creak Pearl Reliability Fixture RFQ_2009 04 24_Xl0000002_Leopard_UniBOM_ME_0603-2 2 4" xfId="3437"/>
    <cellStyle name="_0526週品質管理週報_0531周設備妥善_八月份周直通率8d1_0733-0815M1 Manpower-3" xfId="3438"/>
    <cellStyle name="_0526週品質管理週報_0531周設備妥善_八月份周直通率8d1_Book1" xfId="3439"/>
    <cellStyle name="_2006_0406 Ernestine_Cooper tooling_Stream RFQ Unibom--0626-1756 2" xfId="3440"/>
    <cellStyle name="_2005 04 DELL SMT Data2 -Process_DELL MB廠級目標  (2)_DELL MB廠級目標_DELLTEAM入庫資料1" xfId="3441"/>
    <cellStyle name="_0526週品質管理週報_0531周設備妥善_八月份周直通率8d1_Book1_0733-0815M1 Manpower-3" xfId="3442"/>
    <cellStyle name="_0526週品質管理週報_0531周設備妥善_八月份周直通率8d1_Book1_外包部人力編制" xfId="3443"/>
    <cellStyle name="_0526週品質管理週報_0531周設備妥善_八月份周直通率8d1_Book1_複本 0541周周管審_0733-0815M1 Manpower-3" xfId="3444"/>
    <cellStyle name="_2005 04 DELL SMT Data2 -Process_DELL廠級目標dip EXC _DELL廠級目標dip(2月) EXC _DELL MB廠級目標 _DELL MB廠級目標_DELL制程課管理目標" xfId="3445"/>
    <cellStyle name="_Book2_Mechanical Contribution Margins forecast 0506 FP_PL Fcst Jul 06-updated G&amp;A Value_Internal Hourly Rate Q1 FY08 Version 06052007 Draft" xfId="3446"/>
    <cellStyle name="_0526週品質管理週報_0531周設備妥善_八月份周直通率8d1_Book1_複本 0541周周管審_外包部人力編制" xfId="3447"/>
    <cellStyle name="好_River EE BOM_Xl0000000_Leopard Lemur Squirrel UniBom-06.22.2010_EE cost _update_internal_Bolt RFQ_Foxlink_03.1 2011 4" xfId="3448"/>
    <cellStyle name="_OP1 DPO Forecast Final_Volume Fcst 1006 updated_Copy of Tom OS ( Oct) new for LOG_2009 xBOX ramp up budget code applicaiton" xfId="3449"/>
    <cellStyle name="_0526週品質管理週報_0531周設備妥善_八月份周直通率8d1_複本 0541周周管審_0733-0815M1 Manpower-3" xfId="3450"/>
    <cellStyle name="_0526週品質管理週報_0531周設備妥善_八月份周直通率8d1_複本 0541周周管審_外包部人力編制" xfId="3451"/>
    <cellStyle name="差_F3   SMT設備明細_Jackson 效益分析 testing update_16th Jan111_Jackson 效益分析 (2-1 B0 上系統)_Leopard Flowchart &amp; 產能評估" xfId="3452"/>
    <cellStyle name="_Avaya SPICE demand on Apr-25-06 (based on ramp-up plan)_Tester Demand Plan 062807_Tester Demand Plan 062707" xfId="3453"/>
    <cellStyle name="Currency Acctg 3" xfId="3454"/>
    <cellStyle name="_2005 04 DELL SMT Data2 -Process_DELL MB廠級目標 _DELL MB廠級目標.xls 圖表 1_2007DELL SMT廠級目標KPI(MT)1" xfId="3455"/>
    <cellStyle name="_FCT Pareto By Line-Oct 13th(DEV01291-7)" xfId="3456"/>
    <cellStyle name="_0526週品質管理週報_0534周SMT周管審" xfId="3457"/>
    <cellStyle name="_0526週品質管理週報_0534周SMT周管審_外包部人力編制" xfId="3458"/>
    <cellStyle name="_0526週品質管理週報_0536周周管審" xfId="3459"/>
    <cellStyle name="好_River EE BOM_Xl0000000_Leopard Lemur Squirrel UniBom-06.22.2010_EE cost _update_internal_Bolt RFQ Proposal_Foxlink_ (Pricing Summary) 2 25 2011 2 2 3" xfId="3460"/>
    <cellStyle name="好_Creek Assembly Fixture  Test Equipment RFQ_20090427_Leopard_UniBOM_ME_0603-2_Bolt RFQ_Foxlink_03.1 2011_nego meeting@MACH 4" xfId="3461"/>
    <cellStyle name="_0526週品質管理週報_0536周周管審_0541周直通率8D" xfId="3462"/>
    <cellStyle name="_0526週品質管理週報_0536周周管審_0536周直通率8d" xfId="3463"/>
    <cellStyle name="_2005 04 DELL SMT Data2 -Process_DELL廠級目標dip.EXC _DELL MB廠級目標.xls 圖表 1_2007DELL SMT廠級目標KPI(MT)1" xfId="3464"/>
    <cellStyle name="差_MS Bolt wireless mouse FixtureEquipment Cost_A5_2010_02_21_Bolt RFQ_Foxlink_03.1 2011 5" xfId="3465"/>
    <cellStyle name="_0526週品質管理週報_0536周周管審_0536周直通率8d_0540周直通率8D1" xfId="3466"/>
    <cellStyle name="好_River EE BOM_Creak Pearl Reliability Fixture RFQ_2009 04 24_Xl0000002_Leopard UniBom_Foxlink_6 21 2010-ME_nego_Bolt RFQ Proposal_Foxlink_ (Pricing Summary) 2 25 2011 2 2 3" xfId="3467"/>
    <cellStyle name="_0526週品質管理週報_0536周周管審_0536周直通率8d_0540周直通率8D1_外包部人力編制" xfId="3468"/>
    <cellStyle name="_2005 04 DELL SMT Data2 -Process_DELL廠級目標dip(2月) EXC _DELL MB廠級目標.xls 圖表 1_DELL MB廠級目標.重要不能刪_DELL MB廠級目標十一月 (4)" xfId="3469"/>
    <cellStyle name="好_River EE BOM_Jackson and Shadow test cost update _7th Feb 2010 (2)_Bristol TC Estimate Update 07292011_internal from Tony" xfId="3470"/>
    <cellStyle name="_0526週品質管理週報_0536周周管審_0536周直通率8d_0540周直通率8D1_複本 0541周周管審" xfId="3471"/>
    <cellStyle name="_IBM Ocean Freight quoting - 20040728-40'HC_Lenovo PACK  Packing Proposal" xfId="3472"/>
    <cellStyle name="好_Creek Assembly Fixture  Test Equipment RFQ_20090427_Xl0000002_Leopard_UniBOM_ME_0531_Bolt RFQ Proposal_Foxlink_ (Pricing Summary) 2 25 2011 4" xfId="3473"/>
    <cellStyle name="_08FY01_Inventory Trend Summary_FY06 P4 CM Consigned RM" xfId="3474"/>
    <cellStyle name="_8D_1_九月月報" xfId="3475"/>
    <cellStyle name="_bom updated on 2002-11-10_Radon chill_Quotation_Price(Internal) 6-9" xfId="3476"/>
    <cellStyle name="_Avaya Spice demand  forecast on May-22-06 (based on ramp-up plan)_Tester Demand Plan 062807_Tester Demand Plan 062707" xfId="3477"/>
    <cellStyle name="_PL Forecast Comparison_Mech Doumen2006_1(preliminary)_Volume Fcst 1006 updated_Copy of Tom OS ( Oct) new for LOG_Budget GC Other Form" xfId="3478"/>
    <cellStyle name="差_MB9月管審誤判超標 8D 2 2 3" xfId="3479"/>
    <cellStyle name="_2005 04 DELL SMT Data2 -Process_2006日常管理目標.DIP _DELL廠級目標dip(2月) EXC _BPI 8D-SMT-2月 (3)_DELL MB廠級目標.xls 圖表 1_DELL MB廠級目標.重要不能刪_2007DELL SMT廠級目標KPI(MT)1" xfId="3480"/>
    <cellStyle name="好_River EE BOM_Creak Pearl Reliability Fixture RFQ_2009 04 24_Pearl RFQ(Submittal)ver2_05_12_2009 _Leopard UniBom_Foxlink_6 21 2010-ME_nego_Bolt RFQ Proposal_Foxlink_ (Pricing Summary) 2 25 2011 3 3" xfId="3481"/>
    <cellStyle name="_0526週品質管理週報_0536周周管審_0536周直通率8d_0540周直通率8D1_複本 0541周周管審_0733-0815M1 Manpower-3" xfId="3482"/>
    <cellStyle name="标题 1 3 2 2" xfId="3483"/>
    <cellStyle name="_0526週品質管理週報_0536周周管審_0536周直通率8d_0540周直通率8D1_複本 0541周周管審_外包部人力編制" xfId="3484"/>
    <cellStyle name="_0526週品質管理週報_0536周周管審_0536周直通率8d_0541周直通率8D_0733-0815M1 Manpower-3" xfId="3485"/>
    <cellStyle name="_2005 04 DELL SMT Data2 -Process_DELL廠級目標dip(2月) EXC _DELL MB廠級目標.xls 圖表 1_DELLTEAM入庫資料1_2007DELL SMT廠級目標KPI(MT)1" xfId="3486"/>
    <cellStyle name="60% - Accent4 7" xfId="3487"/>
    <cellStyle name="_0526週品質管理週報_0536周周管審_0536周直通率8d_0541周直通率8D_外包部人力編制" xfId="3488"/>
    <cellStyle name="好_River EE BOM_Xl0000002_Squirrel UniBom-06.23.2010_update_internal_Bolt RFQ_Foxlink_03.1 2011 3" xfId="3489"/>
    <cellStyle name="好_Creek EE BOM cost_20090425_Lemur RFQ ME BOM Costs-0623" xfId="3490"/>
    <cellStyle name="_Mechanical Contribution Margins (Q1'06, applied to Apr'04 Fcst)_Mechanical Contribution Margins forecast 0506 FP_PL Fcst Jul 06-updated G&amp;A Value_Forecast Template v4" xfId="3491"/>
    <cellStyle name="_0526週品質管理週報_0536周周管審_0536周直通率8d_Book1" xfId="3492"/>
    <cellStyle name="好_River EE BOM_Creak Pearl Reliability Fixture RFQ_2009 04 24_Xl0000002_Leopard_UniBOM_ME_0602-1_Bolt RFQ_Foxlink_03.1 2011_nego meeting@MACH" xfId="3493"/>
    <cellStyle name="60% - Accent2 3" xfId="3494"/>
    <cellStyle name="_0526週品質管理週報_0536周周管審_0536周直通率8d_Book1_0733-0815M1 Manpower-3" xfId="3495"/>
    <cellStyle name="_2005 04 DELL SMT Data2 -Process_DELL MB廠級目標  (2)_DELL MB廠級目標.xls 圖表 1_DELL MB廠級目標.重要不能刪_2007DELL SMT廠級目標KPI(MT)1" xfId="3496"/>
    <cellStyle name="_0526週品質管理週報_0536周周管審_0536周直通率8d_Book1_複本 0541周周管審" xfId="3497"/>
    <cellStyle name="_2005 04 DELL SMT Data2 -Process_DELL廠級目標dip EXC _DELL廠級目標dip(2月) EXC _BPI 8D-SMT-2月_DELL MB廠級目標.xls 圖表 1_DELL MB廠級目標.重要不能刪" xfId="3498"/>
    <cellStyle name="_0526週品質管理週報_0536周周管審_0536周直通率8d_Book1_複本 0541周周管審_外包部人力編制" xfId="3499"/>
    <cellStyle name="_2005 04 DELL SMT Data2 -Process_2006日常管理目標.DIP _DELL廠級目標dip(2月) EXC _DELL MB廠級目標 _DELL MB廠級目標_DELL MB廠級目標十一月 (4)" xfId="3500"/>
    <cellStyle name="差_F3   SMT設備明細_M1 Bolt wireless mouse FixtureEquipment Cost_A2_2010_12_07_Bolt RFQ Proposal_Foxlink_ (Pricing Summary) 2 25 2011 2 2 2" xfId="3501"/>
    <cellStyle name="差_Creek RFQ feedback 04_28_2009_FD Update_Leopard UniBom_Foxlink_6 21 2010-ME_nego_Bolt RFQ Proposal_Foxlink_ (Pricing Summary) 2 25 2011 5" xfId="3502"/>
    <cellStyle name="好_River EE BOM_Xl0000000" xfId="3503"/>
    <cellStyle name="_0526週品質管理週報_0536周周管審_0541周直通率8D_外包部人力編制" xfId="3504"/>
    <cellStyle name="_0526週品質管理週報_0536周周管審_0536周直通率8d_外包部人力編制" xfId="3505"/>
    <cellStyle name="_2005 04 DELL SMT Data2 -Process_2006日常管理目標.DIP _DELL廠級目標dip(2月) EXC _DELL MB廠級目標  (2)_DELL MB廠級目標_DELL MB廠級目標四月 _2007DELL SMT廠級目標KPI(MT)1" xfId="3506"/>
    <cellStyle name="差_RIO Trial run (Pre-PV 100PCS) QA Report-0610_Xl0000010" xfId="3507"/>
    <cellStyle name="_184071 - Xbox Prepaid Inventory (2)_FY06 P5 XBox 360 Mfg Var - Close Pack" xfId="3508"/>
    <cellStyle name="差_Xl0000000_Leopard RFQ ME BOM Costs-0618_Bolt RFQ_Foxlink_03.1 2011_nego meeting@MACH 3 3" xfId="3509"/>
    <cellStyle name="差_Creak Pearl Reliability Fixture RFQ_2009 04 24_Creek  Pearl RFQ_May 12_Leopard UniBom_Foxlink_6 21 2010-ME_nego_Bolt RFQ_Foxlink_03.1 2011 2 2" xfId="3510"/>
    <cellStyle name="_0526週品質管理週報_0536周周管審_0536周直通率8d_複本 0541周周管審" xfId="3511"/>
    <cellStyle name="_2005 04 DELL SMT Data2 -Process_DELL SMT 廠級目標KPI_DELL MB廠級目標.xls 圖表 1_DELLTEAM入庫資料1_DELL MB廠級目標十一月 (4)" xfId="3512"/>
    <cellStyle name="Accent2 11" xfId="3513"/>
    <cellStyle name="Percent 27" xfId="3514"/>
    <cellStyle name="_0526週品質管理週報_0536周周管審_0536周直通率8d_複本 0541周周管審_0733-0815M1 Manpower-3" xfId="3515"/>
    <cellStyle name="好_效益分析&amp;產能評估_M1 Bolt wireless mouse FixtureEquipment Cost_A2_2010_12_07_Bolt RFQ Proposal_Foxlink_ (Pricing Summary) 2 25 2011 4" xfId="3516"/>
    <cellStyle name="好_Creek EE BOM cost_20090425_Leopard UniBom_Foxlink_6 21 2010-ME_nego 3 2" xfId="3517"/>
    <cellStyle name="_Balvenie Package shipment info.2_Lenovo Park Format_July 07 05" xfId="3518"/>
    <cellStyle name="差_治具工程課2009年KPI_KPI 1006 3 2 2" xfId="3519"/>
    <cellStyle name="_0526週品質管理週報_0536周周管審_0536周直通率8d_複本 0541周周管審_外包部人力編制" xfId="3520"/>
    <cellStyle name="差_Xl0000002_Bolt RFQ Proposal_Foxlink_ (Pricing Summary) 2 25 2011 4 2" xfId="3521"/>
    <cellStyle name="壞_Creek EE BOM cost_20090425_Leopard_UniBOM_ME_0531_Bolt RFQ Proposal_Foxlink_ (Pricing Summary) 2 25 2011 4" xfId="3522"/>
    <cellStyle name="差_HP Mouse 產能評估(上系統)_M1 SuedeFixtureEquipment Cost_A0_2010_10_15_Bolt RFQ Proposal_Foxlink_ (Pricing Summary) 2 25 2011 3 3" xfId="3523"/>
    <cellStyle name="_2006_0412 Ernestine_Cooper tooling and plastic price to MS_JC_Quotebook_07SEP10_BlueAnt_Quotebook_V3_07SEP11_Internal RFQ River Standalone  Bundle Unibom_v1 2_20080603_EJ_Stream Package Quotation_20090311" xfId="3524"/>
    <cellStyle name="_0526週品質管理週報_0536周周管審_0537周直通率8d" xfId="3525"/>
    <cellStyle name="差_Jackson 效益分析 testing update_16th Jan111_Jackson 效益分析 (2-1 B0 上系統)_squirrel效益分析08-17" xfId="3526"/>
    <cellStyle name="_0526週品質管理週報_0536周周管審_0537周直通率8d_0541周直通率8D" xfId="3527"/>
    <cellStyle name="_0526週品質管理週報_0536周周管審_0537周直通率8d_0541周直通率8D_外包部人力編制" xfId="3528"/>
    <cellStyle name="_2005 04 DELL SMT Data2 -Process_DELL廠級目標dip EXC _DELL廠級目標dip(2月) EXC _DELL MB廠級目標 (2)_DELL MB廠級目標.xls 圖表 1_DELL制程課管理目標" xfId="3529"/>
    <cellStyle name="_0530周周管審_八月份周直通率8d1_0540周直通率8D1_複本 0541周周管審" xfId="3530"/>
    <cellStyle name="_2005 04 DELL SMT Data2 -Process_2006日常管理目標.DIP _DELL廠級目標dip(2月) EXC _DELL MB廠級目標 (2)_DELL MB廠級目標.xls 圖表 1_2007DELL SMT廠級目標KPI(MT)1" xfId="3531"/>
    <cellStyle name="_0526週品質管理週報_0536周周管審_0537周直通率8d_複本 0541周周管審" xfId="3532"/>
    <cellStyle name="好_River EE BOM_Creak Pearl Reliability Fixture RFQ_2009 04 24_Xl0000002_Leopard UniBom_Foxlink_6 21 2010-ME_nego 2" xfId="3533"/>
    <cellStyle name="好_River EE BOM_Creak Pearl Reliability Fixture RFQ_2009 04 24_Creek  Pearl RFQ_May 12_Leopard RFQ ME BOM Costs-0618-2_Bolt RFQ Proposal_Foxlink_ (Pricing Summary) 2 25 2011 4" xfId="3534"/>
    <cellStyle name="_0526週品質管理週報_0536周周管審_0537周直通率8d_複本 0541周周管審_外包部人力編制" xfId="3535"/>
    <cellStyle name="_Quo-Lake-20071030-V01 億源" xfId="3536"/>
    <cellStyle name="_0526週品質管理週報_0536周周管審_0537周直通率8d1" xfId="3537"/>
    <cellStyle name="Normal 20 3 2 2" xfId="3538"/>
    <cellStyle name="_0526週品質管理週報_0536周周管審_0537周直通率8d1_0541周直通率8D" xfId="3539"/>
    <cellStyle name="差_Xl0000002_Squirrel UniBom-06.23.2010_update_internal_Bolt RFQ_Foxlink_03.1 2011_nego meeting@MACH 2 3" xfId="3540"/>
    <cellStyle name="好_River EE BOM_Creak Pearl Reliability Fixture RFQ_2009 04 24_Creek  Pearl RFQ_May 12_Squirrel RFQ ME BOM Costs-0623_Bolt RFQ_Foxlink_03.1 2011_nego meeting@MACH 2 2" xfId="3541"/>
    <cellStyle name="_2006_0409 Ernestine_Cooper tooling_Quotebook_07SEP10_BlueAnt_Quotebook_V3_07SEP11_Internal RFQ River Standalone  Bundle Unibom_v1 2_20080603_EJ_Stream Quotebook(Submittal)_POC1_20080903" xfId="3542"/>
    <cellStyle name="_0526週品質管理週報_0536周周管審_0537周直通率8d1_0541周直通率8D_外包部人力編制" xfId="3543"/>
    <cellStyle name="_0526週品質管理週報_0536周周管審_0537周直通率8d1_外包部人力編制" xfId="3544"/>
    <cellStyle name="壞_Creek Assembly Fixture  Test Equipment RFQ_20090427_Xl0000002_Foxlink_Shadow RFQ NREUni BOM_12032009 2" xfId="3545"/>
    <cellStyle name="_PL Forecast Comparison_Mech Doumen2006_1(preliminary)_Volume Fcst 1006 updated_X-BOX BB" xfId="3546"/>
    <cellStyle name="_PPV ALLOCATION-Nov04_Zune V2 FM Transmitter_Schedule A_RFQ_River_BAFO_2008 0606_M1_Stream Quotebook(Submittal)_POC1_20080903 2" xfId="3547"/>
    <cellStyle name="_0526週品質管理週報_0536周周管審_0538周周管審--FINl" xfId="3548"/>
    <cellStyle name="_0526週品質管理週報_0536周周管審_0538周周管審--FINl_外包部人力編制" xfId="3549"/>
    <cellStyle name="_2005 04 DELL SMT Data2 -Process_BPI 8D-SMT-2月_DELL MB廠級目標.xls 圖表 1_DELLTEAM入庫資料1_2007DELL SMT廠級目標KPI(MT)1" xfId="3550"/>
    <cellStyle name="_2005 04 DELL SMT Data2 -Process_DELL廠級目標dip EXC _DELL廠級目標dip(2月) EXC _DELL MB廠級目標  (2)_DELL MB廠級目標.xls 圖表 1_DELL制程課管理目標" xfId="3551"/>
    <cellStyle name="_0526週品質管理週報_0536周周管審_0538周周管審--FINl_複本 0541周周管審" xfId="3552"/>
    <cellStyle name="好_Creek EE BOM cost_20090425 3 3" xfId="3553"/>
    <cellStyle name="_2005 04 DELL SMT Data2 -Process_DELL廠級目標dip EXC _DELL廠級目標dip(2月) EXC _BPI 8D-SMT-2月 (3)_DELL MB廠級目標.xls 圖表 1_HP制程課2007管理指標匯總-八月匯總" xfId="3554"/>
    <cellStyle name="_Fcst March_06(Revised 2.)_Volume Fcst Jul 06-update HP _Copy of Tom OS ( Oct) new for LOG_Copy of X-BOX for line setup budget" xfId="3555"/>
    <cellStyle name="_0526週品質管理週報_0536周周管審_0538周直通率8d1" xfId="3556"/>
    <cellStyle name="_184071 - P8 Non-DW PPV_FY06 P8 CM Consigned RM" xfId="3557"/>
    <cellStyle name="_0526週品質管理週報_0536周周管審_0538周直通率8d1_複本 0541周周管審" xfId="3558"/>
    <cellStyle name="差_Creak Pearl Reliability Fixture RFQ_2009 04 24_Xl0000002_Leopard UniBom_Foxlink_6 21 2010-ME_nego_Bolt RFQ_Foxlink_03.1 2011 3 3" xfId="3559"/>
    <cellStyle name="_0526週品質管理週報_0536周周管審_0538周直通率8d1_複本 0541周周管審_外包部人力編制" xfId="3560"/>
    <cellStyle name="_0526週品質管理週報_0536周周管審_0540周直通率8D1" xfId="3561"/>
    <cellStyle name="_0526週品質管理週報_0536周周管審_0540周直通率8D1_外包部人力編制" xfId="3562"/>
    <cellStyle name="_2005 04 DELL SMT Data2 -Process_DELL MB廠級目標 (2)_DELL MB廠級目標.xls 圖表 1_HP制程課2007管理指標匯總-八月匯總" xfId="3563"/>
    <cellStyle name="_Book2_Mechanical Contribution Margins forecast 0506 FP_Copy of Tom OS ( Oct) new for LOG_Forecast Template v4" xfId="3564"/>
    <cellStyle name="_0533周周報_0540周周管審_複本 0541周周管審_外包部人力編制" xfId="3565"/>
    <cellStyle name="_0526週品質管理週報_0536周周管審_0540周直通率8D1_複本 0541周周管審" xfId="3566"/>
    <cellStyle name="_Sales Forecast (plastic XX)0703_PL Forecast by segment-most final 0806_X-BOX Console line setup budget 20080414" xfId="3567"/>
    <cellStyle name="_Sales Forecast (plastic XX)1203_PL Forecast by segment-most final 0806_X-BOX Console line setup budget 20080414" xfId="3568"/>
    <cellStyle name="_2006_0319 Ernestine_Cooper Cost Feedback_Internal RFQ River Standalone  Bundle Unibom_v1 2_20080603_EJ 2" xfId="3569"/>
    <cellStyle name="_Mechanical Contribution Margins (Q1'06, applied to Apr'04 Fcst)_Volume Fcst 1006 updated_X-BOX Console line setup budget 20080414" xfId="3570"/>
    <cellStyle name="_0526週品質管理週報_0536周周管審_0540周直通率8D1_複本 0541周周管審_外包部人力編制" xfId="3571"/>
    <cellStyle name="差_Creak Pearl Reliability Fixture RFQ_2009 04 24_Leopard_UniBOM_ME_0602 2 4" xfId="3572"/>
    <cellStyle name="_2005 04 DELL SMT Data2 -Process_DELL MB廠級目標  (2)_DELL MB廠級目標.xls 圖表 1_DELL MB廠級目標" xfId="3573"/>
    <cellStyle name="好_Creek Assembly Fixture  Test Equipment RFQ_20090427_Xl0000002_Bolt RFQ Proposal_Foxlink_ (Pricing Summary) 2 25 2011 2 4" xfId="3574"/>
    <cellStyle name="好_Creek EE BOM cost_20090425_Leopard RFQ ME BOM Costs-0618-2_Bolt RFQ_Foxlink_03.1 2011_nego meeting@MACH 3 3" xfId="3575"/>
    <cellStyle name="_184071 - FY05 Xbox Prepaid Inventory_FY06 P8 CM Consigned RM" xfId="3576"/>
    <cellStyle name="_0526週品質管理週報_0536周周管審_0733-0815M1 Manpower-3" xfId="3577"/>
    <cellStyle name="好_Creek Assembly Fixture  Test Equipment RFQ_20090427_Leopard_UniBOM_ME_0603-2_Bolt_Cliff" xfId="3578"/>
    <cellStyle name="差_Creak Pearl Reliability Fixture RFQ_2009 04 24_Xl0000002_Leopard UniBom_Foxlink_6 21 2010-ME_nego_Bolt RFQ_Foxlink_03.1 2011 3 2" xfId="3579"/>
    <cellStyle name="_0526週品質管理週報_0536周周管審_Book1" xfId="3580"/>
    <cellStyle name="_2005 04 DELL SMT Data2 -Process_DELL廠級目標dip EXC _DELL廠級目標dip(2月) EXC _DELL MB廠級目標 (2)_DELL MB廠級目標_DELL制程課管理指標" xfId="3581"/>
    <cellStyle name="标题 2 2 3 2" xfId="3582"/>
    <cellStyle name="壞_Bristol EV3 EE BOM Cost 02252011" xfId="3583"/>
    <cellStyle name="ƒp[ƒZƒ“ƒg_pldt" xfId="3584"/>
    <cellStyle name="_7月ict f.t_0540周直通率8D1" xfId="3585"/>
    <cellStyle name="差_MB9月管審換線超時8d_2009MB KPI_MBO3F製造部hp0209-01 3 2 3" xfId="3586"/>
    <cellStyle name="千分位 6" xfId="3587"/>
    <cellStyle name="差_dallas產能評估_Flow chart and Fixture(1-4)_Jackson 效益分析 (2-1 B0 上系統)_Leopard效益分析08-17" xfId="3588"/>
    <cellStyle name="好_River EE BOM_Creak Pearl Reliability Fixture RFQ_2009 04 24_Pearl RFQ(Submittal)ver2_05_12_2009 _Leopard UniBom_Foxlink_6 21 2010-ME_nego" xfId="3589"/>
    <cellStyle name="_2006_0410 Ernestine_Cooper tooling and plastic price to MS_Internal RFQ River Standalone  Bundle Unibom_v1 2_20080603_EJ_Stream Quotebook (Submittal)_POC2_20081117-1" xfId="3590"/>
    <cellStyle name="_Mechanical Contribution Margins forecast 0506 FP_PL Forecast by segment-most final 0806_Copy of Tom OS ( Oct) new for LOG" xfId="3591"/>
    <cellStyle name="_0526週品質管理週報_0536周周管審_Book1_外包部人力編制" xfId="3592"/>
    <cellStyle name="_0526週品質管理週報_0536周周管審_Book1_複本 0541周周管審" xfId="3593"/>
    <cellStyle name="_Mechanical Contribution Margins (Q1'06, applied to Apr'04 Fcst)_Mechanical Contribution Margins forecast 0506 FP_Copy of Tom OS ( Oct) new for LOG" xfId="3594"/>
    <cellStyle name="_2005 04 DELL SMT Data2 -Process_DELL廠級目標dip.EXC _DELL廠級目標dip(2月) EXC _BPI 8D-SMT-2月_DELL MB廠級目標_DELL MB廠級目標.重要不能刪" xfId="3595"/>
    <cellStyle name="_0526週品質管理週報_0536周周管審_Book1_複本 0541周周管審_外包部人力編制" xfId="3596"/>
    <cellStyle name="好_River EE BOM_Creak Pearl Reliability Fixture RFQ_2009 04 24_Bolt RFQ_Foxlink_03.1 2011_nego meeting@MACH 5" xfId="3597"/>
    <cellStyle name="_Final Otter-UniBOM_10-25-2005_Quotebook_07SEP10_BlueAnt_Quotebook_V3_07SEP11_RFQ_River_BAFO_2008 0606_M1_Stream Quotebook (Submittal)_POC2_20081117-1" xfId="3598"/>
    <cellStyle name="_0526週品質管理週報_0536周周管審_外包部人力編制" xfId="3599"/>
    <cellStyle name="好_River EE BOM_Creak Pearl Reliability Fixture RFQ_2009 04 24_Leopard RFQ ME BOM Costs-0618-2_Bolt RFQ_Foxlink_03.1 2011 3 2" xfId="3600"/>
    <cellStyle name="_2006_0410b Ernestine_Cooper tooling and plastic price to MS_Internal RFQ River Standalone  Bundle Unibom_v1 2_20080603_EJ_Stream Package Quotation_20090311" xfId="3601"/>
    <cellStyle name="_0526週品質管理週報_0536周周管審_複本 0541周周管審" xfId="3602"/>
    <cellStyle name="_2005 04 DELL SMT Data2 -Process_2006日常管理目標.DIP _DELL廠級目標dip(2月) EXC _DELL MB廠級目標 _DELL MB廠級目標十一月 (4)" xfId="3603"/>
    <cellStyle name="差_Creak Pearl Reliability Fixture RFQ_2009 04 24_Leopard UniBom_Foxlink_12272010 RevF_shirley" xfId="3604"/>
    <cellStyle name="_0526週品質管理週報_0536周周管審_複本 0541周周管審_外包部人力編制" xfId="3605"/>
    <cellStyle name="_2005 04 DELL SMT Data2 -Process_DELL廠級目標dip EXC _DELL廠級目標dip(2月) EXC _DELL MB廠級目標  (2)_DELL MB廠級目標" xfId="3606"/>
    <cellStyle name="差_Jackson NRE Uni BOM_update _05072010 rev K" xfId="3607"/>
    <cellStyle name="差_Creak Pearl Reliability Fixture RFQ_2009 04 24_Creek  Pearl RFQ_May 12_Leopard RFQ ME BOM Costs-0618_Bolt RFQ_Foxlink_03.1 2011_nego meeting@MACH 4" xfId="3608"/>
    <cellStyle name="_0530周周管審_0540周周管審_0541周直通率8D" xfId="3609"/>
    <cellStyle name="_0526週品質管理週報_0538周周管審--FINl" xfId="3610"/>
    <cellStyle name="_Balance Sheet Audit_FY06 P4 CM Consigned RM" xfId="3611"/>
    <cellStyle name="好_Creek EE BOM cost_20090425 2 2 2" xfId="3612"/>
    <cellStyle name="_2005 04 DELL SMT Data2 -Process_BPI 8D-SMT-2月_DELL MB廠級目標_DELL MB廠級目標_2007DELL SMT廠級目標KPI(MT)1" xfId="3613"/>
    <cellStyle name="_0530周周管審_0540周周管審_0541周直通率8D_外包部人力編制" xfId="3614"/>
    <cellStyle name="好_River EE BOM_Creak Pearl Reliability Fixture RFQ_2009 04 24_Creek RFQ feedback 04_28_2009_FD Update_Leopard_UniBOM_ME_0603-2_Bolt RFQ Proposal_Foxlink_ (Pricing Summary) 2 25 2011 2 2" xfId="3615"/>
    <cellStyle name="_Book3_Sheet1" xfId="3616"/>
    <cellStyle name="_0526週品質管理週報_0538周周管審--FINl_外包部人力編制" xfId="3617"/>
    <cellStyle name="_0526週品質管理週報_0538周周管審--FINl_複本 0541周周管審" xfId="3618"/>
    <cellStyle name="差_Creak Pearl Reliability Fixture RFQ_2009 04 24_Foxlink_Shadow RFQ NREUni BOM_12032009_Bolt RFQ_Foxlink_03.1 2011_nego meeting@MACH 2 3" xfId="3619"/>
    <cellStyle name="9_Revised AP DPO Oct 04 v2_PL Forecast by segment-most final 0806_2009 xBOX ramp up budget code applicaiton 300K --New May26 (3)" xfId="3620"/>
    <cellStyle name="_0526週品質管理週報_0540周直通率8D1" xfId="3621"/>
    <cellStyle name="_2005 04 DELL SMT Data2 -Process_2006日常管理目標.DIP _DELL廠級目標dip(2月) EXC _BPI 8D-SMT-2月 (3)_DELL MB廠級目標.xls 圖表 1_DELL制程課管理指標" xfId="3622"/>
    <cellStyle name="_0526週品質管理週報_0540周直通率8D1_複本 0541周周管審" xfId="3623"/>
    <cellStyle name="差_0842周 顯卡報廢超標8D_2009MB KPI_MBO3F製造部hp0209-01 5 3" xfId="3624"/>
    <cellStyle name="_0526週品質管理週報_0540周直通率8D1_複本 0541周周管審_外包部人力編制" xfId="3625"/>
    <cellStyle name="_2005 04 DELL SMT Data2 -Process_2006日常管理目標.DIP _DELL廠級目標dip(2月) EXC _DELL MB廠級目標 (2)_DELL MB廠級目標_DELL制程課管理指標" xfId="3626"/>
    <cellStyle name="好_River EE BOM_Creak Pearl Reliability Fixture RFQ_2009 04 24_Xl0000002_Leopard_UniBOM_ME_0602-1 2" xfId="3627"/>
    <cellStyle name="_0526週品質管理週報_0541周直通率8D" xfId="3628"/>
    <cellStyle name="_2006_0410 Ernestine_Cooper tooling and plastic price to MS_Quotebook_V3_07SEP11_Stream RFQ Unibom--0626-1756 2" xfId="3629"/>
    <cellStyle name="壞_Creek EE BOM cost_20090425_Creek RFQ feedback 04_28_2009_FD Update_Leopard Lemur Squirrel UniBom-06.22.2010_EE cost _update_internal_Bolt RFQ Proposal_Foxlink_ (Pricing Summary) 2 25 2011 5" xfId="3630"/>
    <cellStyle name="差_Creek RFQ feedback 04_28_2009_FD Update_Leopard RFQ ME BOM Costs-0618_Bolt RFQ_Foxlink_03.1 2011 5" xfId="3631"/>
    <cellStyle name="_0526週品質管理週報_0541周直通率8D_外包部人力編制" xfId="3632"/>
    <cellStyle name="差_Creak Pearl Reliability Fixture RFQ_2009 04 24_Leopard Lemur Squirrel UniBom-06.22.2010_EE cost _update_internal 2 3" xfId="3633"/>
    <cellStyle name="_2005 04 DELL SMT Data2 -Process_DELL廠級目標dip(2月) EXC _DELL MB廠級目標.xls 圖表 1_DELL MB廠級目標" xfId="3634"/>
    <cellStyle name="_0526週品質管理週報_Book1" xfId="3635"/>
    <cellStyle name="_2005 04 DELL SMT Data2 -Process_DELL廠級目標dip EXC _DELL廠級目標dip(2月) EXC _DELL MB廠級目標 _DELL MB廠級目標_DELL制程課管理目標 (4)" xfId="3636"/>
    <cellStyle name="差_Erie mouse 效益分析( 11-19 A1)_Flow Chart&amp;設備治工具清單 _Jackson 效益分析 (2-1 B0 上系統)_Leopard效益分析08-17" xfId="3637"/>
    <cellStyle name="_2005 04 DELL SMT Data2 -Process_2006日常管理目標.DIP _DELL廠級目標dip(2月) EXC _DELL MB廠級目標  (2)_DELL MB廠級目標_HP制程課2007管理指標匯總-八月匯總" xfId="3638"/>
    <cellStyle name="_0526週品質管理週報_Book1_複本 0541周周管審" xfId="3639"/>
    <cellStyle name="好_River EE BOM_Creak Pearl Reliability Fixture RFQ_2009 04 24_Creek RFQ feedback 04_28_2009_FD Update_Leopard UniBom_Foxlink_6 21 2010-ME_nego_Bolt RFQ Proposal_Foxlink_ (Pricing Summary) 2 25 2011" xfId="3640"/>
    <cellStyle name="_2005 04 DELL SMT Data2 -Process_DELL MB廠級目標四月 _2007DELL SMT廠級目標KPI(MT)1" xfId="3641"/>
    <cellStyle name="_0526週品質管理週報_Book1_複本 0541周周管審_外包部人力編制" xfId="3642"/>
    <cellStyle name="好_River EE BOM_Creak Pearl Reliability Fixture RFQ_2009 04 24_Xl0000002_Leopard_UniBOM_ME_0602 2 2" xfId="3643"/>
    <cellStyle name="_0526週品質管理週報_複本 0541周周管審" xfId="3644"/>
    <cellStyle name="差_Creak Pearl Reliability Fixture RFQ_2009 04 24_Creek  Pearl RFQ_May 12_Foxlink_Shadow RFQ NREUni BOM_12032009_Bolt RFQ_Foxlink_03.1 2011 5" xfId="3645"/>
    <cellStyle name="_0526週品質管理週報_複本 0541周周管審_外包部人力編制" xfId="3646"/>
    <cellStyle name="_Opex Seasonality_FY06 P8 CM Consigned RM" xfId="3647"/>
    <cellStyle name="_0527周QAN未達標8D" xfId="3648"/>
    <cellStyle name="好_River EE BOM_Creak Pearl Reliability Fixture RFQ_2009 04 24_Pearl RFQ(Submittal)ver2_05_12_2009 _Squirrel UniBom-06.23.2010_update_internal_Bolt RFQ Proposal_Foxlink_ (Pricing Summary) 2 25 2011 4 2" xfId="3649"/>
    <cellStyle name="_0530周周管審" xfId="3650"/>
    <cellStyle name="_0530周周管審_0533周SMT周管審" xfId="3651"/>
    <cellStyle name="_0530周周管審_0534周SMT周管審" xfId="3652"/>
    <cellStyle name="_acut" xfId="3653"/>
    <cellStyle name="好_River EE BOM_Xl0000000_Leopard Lemur Squirrel UniBom-06.22.2010_EE cost _update_internal_Bolt RFQ_Foxlink_03.1 2011 3" xfId="3654"/>
    <cellStyle name="_2006_0406 Ernestine_Cooper tooling_RFQ_River_BAFO_2008 0606_M1" xfId="3655"/>
    <cellStyle name="好_River EE BOM_Creak Pearl Reliability Fixture RFQ_2009 04 24_Xl0000002_Foxlink_Shadow RFQ NREUni BOM_12032009 2 3" xfId="3656"/>
    <cellStyle name="Input 6 2" xfId="3657"/>
    <cellStyle name="_2006_0319 Ernestine_Cooper Cost Feedback_Quotebook_07SEP10_BlueAnt_Quotebook_V3_07SEP11_RFQ_River_BAFO_2008 0606_M1 2" xfId="3658"/>
    <cellStyle name="_0530周周管審_0541周SMT周管審" xfId="3659"/>
    <cellStyle name="_0530周周管審_0536周SMT周管審" xfId="3660"/>
    <cellStyle name="_Forecast - Segment-HP-June06(1)_X-BOX Console line setup budget and Buyer list" xfId="3661"/>
    <cellStyle name="壞_Creek Assembly Fixture  Test Equipment RFQ_20090427_Squirrel UniBom-06.23.2010_update_internal 5" xfId="3662"/>
    <cellStyle name="_2005 04 DELL SMT Data2 -Process_2006日常管理目標.DIP _DELL廠級目標dip(2月) EXC _DELL MB廠級目標 (2)_DELL MB廠級目標_DELL MB廠級目標" xfId="3663"/>
    <cellStyle name="差_Creak Pearl Reliability Fixture RFQ_2009 04 24_Pearl RFQ(Submittal)ver2_05_12_2009 _Leopard RFQ ME BOM Costs-0618-2_Bolt RFQ Proposal_Foxlink_ (Pricing Summary) 2 25 2011 3" xfId="3664"/>
    <cellStyle name="好_River EE BOM_Xl0000002_Leopard_UniBOM_ME_0531_Bolt RFQ Proposal_Foxlink_ (Pricing Summary) 2 25 2011 2 4" xfId="3665"/>
    <cellStyle name="_2005 04 DELL SMT Data2 -Process_2006日常管理目標.DIP _DELL廠級目標dip(2月) EXC _DELL MB廠級目標  (2)_2007DELL SMT廠級目標KPI(MT)1" xfId="3666"/>
    <cellStyle name="差_dallas產能評估_~3106354_Jackson 效益分析 (2-1 B0 上系統)_squirrel效益分析08-17" xfId="3667"/>
    <cellStyle name="好_Creek EE BOM cost_20090425_Leopard_UniBOM_ME_0602_Bolt RFQ_Foxlink_03.1 2011_nego meeting@MACH 2 2" xfId="3668"/>
    <cellStyle name="_0530周周管審_0537周SMT周管審" xfId="3669"/>
    <cellStyle name="好_River EE BOM_Creak Pearl Reliability Fixture RFQ_2009 04 24_Xl0000002_Leopard Lemur Squirrel UniBom-06.22.2010_EE cost _update_internal_Bolt RFQ_Foxlink_03.1 2011 2 2" xfId="3670"/>
    <cellStyle name="_0535周周報1_0540周周管審_0541周直通率8D" xfId="3671"/>
    <cellStyle name="好_River EE BOM_Xl0000000_Leopard_UniBOM_ME_0602_Bolt RFQ Proposal_Foxlink_ (Pricing Summary) 2 25 2011 2 2 2" xfId="3672"/>
    <cellStyle name="_0530周周管審_0537周SMT周管審_外包部人力編制" xfId="3673"/>
    <cellStyle name="_2005 04 DELL SMT Data2 -Process_DELL廠級目標dip EXC _DELL MB廠級目標.xls 圖表 1_DELL制程課管理目標" xfId="3674"/>
    <cellStyle name="差_Creek RFQ feedback 04_28_2009_FD Update_Leopard_UniBOM_ME_0602-1_Bolt RFQ_Foxlink_03.1 2011 3 2" xfId="3675"/>
    <cellStyle name="Normal 18 2 2 4" xfId="3676"/>
    <cellStyle name="Normal 23 2 2 4" xfId="3677"/>
    <cellStyle name="_0530周周管審_0537周SMT周管審1" xfId="3678"/>
    <cellStyle name="_0530周周管審_0537周直通率8d" xfId="3679"/>
    <cellStyle name="_Biz Ops By Stream_P6 Si Ops review" xfId="3680"/>
    <cellStyle name="_Book2_PL Forecast by segment-most final 0806_Tom OS ( Oct)_Budget GC Other Form" xfId="3681"/>
    <cellStyle name="_2006_0410 Ernestine_Cooper tooling and plastic price to MS_Quotebook_V3_07SEP11_RFQ_River_BAFO_2008 0606_M1 2" xfId="3682"/>
    <cellStyle name="好_River EE BOM_Xl0000000_Leopard_UniBOM_ME_0531_Bolt RFQ_Foxlink_03.1 2011_nego meeting@MACH 5" xfId="3683"/>
    <cellStyle name="_0530周周管審_0538周周管審--FINl_外包部人力編制" xfId="3684"/>
    <cellStyle name="_2006_0329 Ernestine_Cooper Cost Feedback_RFQ_River_BAFO_2008 0606_M1" xfId="3685"/>
    <cellStyle name="_2005 04 DELL SMT Data2 -Process_DELL廠級目標dip EXC _DELL廠級目標dip(2月) EXC _DELL MB廠級目標 (2)_DELL MB廠級目標十一月 (4)" xfId="3686"/>
    <cellStyle name="_0530周周管審_0538周周管審--FINl_複本 0541周周管審" xfId="3687"/>
    <cellStyle name="_工作表 在 11月月報" xfId="3688"/>
    <cellStyle name="_0530周周管審_0540周周管審" xfId="3689"/>
    <cellStyle name="_0530周周管審_0540周周管審_複本 0541周周管審" xfId="3690"/>
    <cellStyle name="_0530周周管審_0540周直通率8D1" xfId="3691"/>
    <cellStyle name="_0530周周管審_0541周直通率8D" xfId="3692"/>
    <cellStyle name="_2005 04 DELL SMT Data2 -Process_DELL MB廠級目標 (2)_DELL MB廠級目標.xls 圖表 1_DELL MB廠級目標" xfId="3693"/>
    <cellStyle name="好_River EE BOM_Creek RFQ feedback 04_28_2009_FD Update_Leopard UniBom_Foxlink_6 21 2010-ME_nego_Bolt RFQ Proposal_Foxlink_ (Pricing Summary) 2 25 2011 3 3" xfId="3694"/>
    <cellStyle name="好_River EE BOM_Creak Pearl Reliability Fixture RFQ_2009 04 24_Creek  Pearl RFQ_May 12_Leopard_UniBOM_ME_0602_Bolt RFQ_Foxlink_03.1 2011 3 2" xfId="3695"/>
    <cellStyle name="_0530周周管審_8月SMT月管審 " xfId="3696"/>
    <cellStyle name="Comma 16 3" xfId="3697"/>
    <cellStyle name="_0530周周管審_8月SMT月管審 _外包部人力編制" xfId="3698"/>
    <cellStyle name="差_Creak Pearl Reliability Fixture RFQ_2009 04 24_Leopard RFQ ME BOM Costs-0618-2 3 2" xfId="3699"/>
    <cellStyle name="_2006_0409 Ernestine_Cooper tooling and plastic price to MS_Stream RFQ Unibom--0626-1756_Stream Quotebook (Submittal)_POC2_20081117-1" xfId="3700"/>
    <cellStyle name="_2005 04 DELL SMT Data2 -Process_DELL廠級目標dip EXC _DELL廠級目標dip(2月) EXC _DELL MB廠級目標 (2)_DELL MB廠級目標.xls 圖表 1_DELL MB廠級目標四月 " xfId="3701"/>
    <cellStyle name="_2005 04 DELL SMT Data2 -Process_2007DELL SMT廠級目標KPI(MT)1" xfId="3702"/>
    <cellStyle name="好_River EE BOM_Creak Pearl Reliability Fixture RFQ_2009 04 24_Xl0000002_Jackson and Shadow BOM cost_mainfile_2010 0324 rev.1_Bristol UniBom_Foxlink_02082011 RevA" xfId="3703"/>
    <cellStyle name="差_Creak Pearl Reliability Fixture RFQ_2009 04 24_Creek RFQ feedback 04_28_2009_FD Update_Leopard RFQ ME BOM Costs-0618_Bolt RFQ Proposal_Foxlink_ (Pricing Summary) 2 25 2011 2 2" xfId="3704"/>
    <cellStyle name="_0530周周管審_Book1" xfId="3705"/>
    <cellStyle name="_Mpos Forecast on Sep 292005_Tester Demand Plan 062807" xfId="3706"/>
    <cellStyle name="_0530周周管審_Book1_外包部人力編制" xfId="3707"/>
    <cellStyle name="_Flex Mechanicals Doumen Sales forecast - Jan 06 updated._PL Fcst Jul 06-updated G&amp;A Value_Internal Hourly Rate Q1 FY08 Version 06142007 excl. Corporate Allocation" xfId="3708"/>
    <cellStyle name="_0530周周管審_Book1_複本 0541周周管審" xfId="3709"/>
    <cellStyle name="_0530周周管審_Book1_複本 0541周周管審_外包部人力編制" xfId="3710"/>
    <cellStyle name="差_Creak Pearl Reliability Fixture RFQ_2009 04 24_Creek RFQ feedback 04_28_2009_FD Update_Foxlink_Shadow RFQ NREUni BOM_12032009_Bolt RFQ_Foxlink_03.1 2011_nego meeting@MACH 3" xfId="3711"/>
    <cellStyle name="_Mulan Edge Procurement Plan July 12 P1A_MOST Std - Project A BB Line" xfId="3712"/>
    <cellStyle name="好_效益分析&amp;產能評估_M1 SuedeFixtureEquipment Cost_A0_2010_10_15_Bolt RFQ_Foxlink_03.1 2011_nego meeting@MACH 3 2" xfId="3713"/>
    <cellStyle name="_2005 04 DELL SMT Data2 -Process_DELL廠級目標dip EXC _DELL廠級目標dip(2月) EXC _DELL MB廠級目標 _DELL MB廠級目標.xls 圖表 1_MT 2007 KPI" xfId="3714"/>
    <cellStyle name="_2005 US Flex Forecast Ver2_Forecast Template v2_2009 xBOX ramp up budget code applicaiton" xfId="3715"/>
    <cellStyle name="_0530周周管審_九月份直通率8D" xfId="3716"/>
    <cellStyle name="_Book2_Mechanical Contribution Margins forecast 0506 FP_PL Fcst Jul 06-updated G&amp;A Value_Copy of Tom OS ( Oct) new for LOG_Forecast Template v4" xfId="3717"/>
    <cellStyle name="_August-05_Forecast Template v2_Forecast Template v4" xfId="3718"/>
    <cellStyle name="差_Creak Pearl Reliability Fixture RFQ_2009 04 24_Creek RFQ feedback 04_28_2009_FD Update_Leopard_UniBOM_ME_0602_Bolt RFQ_Foxlink_03.1 2011 2" xfId="3719"/>
    <cellStyle name="_0530周周管審_九月份直通率8D1" xfId="3720"/>
    <cellStyle name="_Flextronics Radon  Build Plan 4-27-2005_Line capacity plan to B17(2-27_Scenario 1 of recovery until 1102_Tester Demand Plan 062707" xfId="3721"/>
    <cellStyle name="_Flex Mechanicals Doumen Sales forecast - Jan.06_Volume Fcst Jul 06-update HP _Copy of Tom OS ( Oct) new for LOG" xfId="3722"/>
    <cellStyle name="_0530周周管審_八月份周直通率8d1" xfId="3723"/>
    <cellStyle name="_0530周周管審_八月份周直通率8d1_0538周周管審--FINl" xfId="3724"/>
    <cellStyle name="差_Xl0000000_Bolt RFQ_Foxlink_03.1 2011_nego meeting@MACH" xfId="3725"/>
    <cellStyle name="_2006_0317 Ernestine_Cooper Cost Feedback_Quotebook_V3_07SEP11_Stream RFQ Unibom--0626-1756_Stream Quotebook (Submittal)_POC2_20081117-1" xfId="3726"/>
    <cellStyle name="差_Xl0000002_Foxlink_Shadow RFQ NREUni BOM_12032009_Bolt RFQ_Foxlink_03.1 2011_nego meeting@MACH 3" xfId="3727"/>
    <cellStyle name="_0530周周管審_八月份周直通率8d1_0538周周管審--FINl_外包部人力編制" xfId="3728"/>
    <cellStyle name="_Flextronics Radon  Build Plan 4-27-2005_Line transition plan to B17_Scenario 1 of recovery until 1102" xfId="3729"/>
    <cellStyle name="差_Flow Chart&amp;PQ分析(12-1)_Jackson 效益分析 testing update_16th Jan111_Jackson 效益分析 (2-1 B0 上系統)_squirrel效益分析08-17" xfId="3730"/>
    <cellStyle name="_KYE RFQ Alviin &amp; Gusano-11192006 的 工作表_RFQ_River_BAFO_2008 0606_M1" xfId="3731"/>
    <cellStyle name="_0530周周管審_八月份周直通率8d1_0538周周管審--FINl_複本 0541周周管審_外包部人力編制" xfId="3732"/>
    <cellStyle name="_0530周周管審_八月份周直通率8d1_0540周直通率8D1" xfId="3733"/>
    <cellStyle name="_2006_0410b Ernestine_Cooper tooling and plastic price to MS_Quotebook_07SEP10_BlueAnt_Quotebook_V3_07SEP11_Internal RFQ River Standalone  Bundle Unibom_v1 2_20080603_EJ_Stream Quotebook(Submittal)_POC1_20080903 2" xfId="3734"/>
    <cellStyle name="_2005 04 DELL SMT Data2 -Process_DELL MB廠級目標.重要不能刪_2007DELL SMT廠級目標KPI(MT)1" xfId="3735"/>
    <cellStyle name="_0530周周管審_八月份周直通率8d1_0541周直通率8D" xfId="3736"/>
    <cellStyle name="_0530周周管審_八月份周直通率8d1_0541周直通率8D_外包部人力編制" xfId="3737"/>
    <cellStyle name="_2006_0319 Ernestine_Cooper Cost Feedback_Stream RFQ Unibom--0626-1756_Stream Quotebook (Submittal)_POC2_20081117-1" xfId="3738"/>
    <cellStyle name="_0530周周管審_八月份周直通率8d1_Book1" xfId="3739"/>
    <cellStyle name="差_F3   SMT設備明細_MS Bolt wireless mouse FixtureEquipment Cost_A5_2010_02_21_Bolt RFQ_Foxlink_03.1 2011_nego meeting@MACH 3 3" xfId="3740"/>
    <cellStyle name="_2005 04 DELL SMT Data2 -Process_DELL廠級目標dip.EXC _DELL廠級目標dip(2月) EXC _BPI 8D-SMT-2月_DELL MB廠級目標_DELL制程課管理目標" xfId="3741"/>
    <cellStyle name="差_Creak Pearl Reliability Fixture RFQ_2009 04 24_Pearl RFQ(Submittal)ver2_05_12_2009 _Leopard_UniBOM_ME_0531_Bolt RFQ_Foxlink_03.1 2011 2 3" xfId="3742"/>
    <cellStyle name="_0530周周管審_八月份周直通率8d1_Book1_複本 0541周周管審" xfId="3743"/>
    <cellStyle name="差_Xl0000000_Bolt RFQ_Foxlink_03.1 2011_nego meeting@MACH 5" xfId="3744"/>
    <cellStyle name="_FY02_BusinessStream_ScrubTemplate_YOY_EMEA_P6 Waynea review" xfId="3745"/>
    <cellStyle name="差_jupite r設備&amp;治工具LIST (總)_Flow Chart&amp;PQ分析(12-1)_Jackson 效益分析 testing update_16th Jan111_Jackson 效益分析 (2-1 B0 上系統)_Leopard效益分析08-17" xfId="3746"/>
    <cellStyle name="_0530周周管審_八月份周直通率8d1_Book1_複本 0541周周管審_外包部人力編制" xfId="3747"/>
    <cellStyle name="_0530周周管審_八月份周直通率8d1_外包部人力編制" xfId="3748"/>
    <cellStyle name="_Actual P&amp;L_Computing Apr ~ May.2006_2009 xBOX ramp up budget code applicaiton" xfId="3749"/>
    <cellStyle name="_0530周周管審_八月份周直通率8d1_複本 0541周周管審" xfId="3750"/>
    <cellStyle name="好_Creek Assembly Fixture  Test Equipment RFQ_20090427_Leopard Lemur Squirrel UniBom-06.22.2010_EE cost _update_internal_Bolt RFQ_Foxlink_03.1 2011_nego meeting@MACH 2" xfId="3751"/>
    <cellStyle name="_2006_0406 Ernestine_Cooper tooling_Quotebook_07SEP10_RFQ_River_BAFO_2008 0606_M1" xfId="3752"/>
    <cellStyle name="_0530周周管審_複本 0541周周管審" xfId="3753"/>
    <cellStyle name="_0530周周管審_複本 0541周周管審_外包部人力編制" xfId="3754"/>
    <cellStyle name="好_Creek Assembly Fixture  Test Equipment RFQ_20090427_Squirrel RFQ ME BOM Costs-0623_Bolt RFQ_Foxlink_03.1 2011_nego meeting@MACH 2" xfId="3755"/>
    <cellStyle name="_Volume Fcst Jul 06-update HP _2009 xBOX ramp up budget code applicaiton 300K --New May27" xfId="3756"/>
    <cellStyle name="_053105 MS Insight Open PO" xfId="3757"/>
    <cellStyle name="_053105 MS Insight Open PO_FY06 P4 CM Consigned RM" xfId="3758"/>
    <cellStyle name="_053105 MS Insight Open PO_FY06 P6 CM Consigned RM" xfId="3759"/>
    <cellStyle name="20% - Accent2 3 2 3" xfId="3760"/>
    <cellStyle name="_2005 04 DELL SMT Data2 -Process_DELL MB廠級目標 (2)_DELL MB廠級目標_DELL制程課管理目標 (4)" xfId="3761"/>
    <cellStyle name="_053105 MS Insight Open PO_FY06 P7 CM Consigned RM" xfId="3762"/>
    <cellStyle name="_053105 MS Insight Open PO_P2 Waynea review" xfId="3763"/>
    <cellStyle name="差_Xl0000000_Leopard_UniBOM_ME_0531_Bolt RFQ_Foxlink_03.1 2011_nego meeting@MACH 4" xfId="3764"/>
    <cellStyle name="_7月費用分析" xfId="3765"/>
    <cellStyle name="_Katana Freight count_Lenovo PACK  Packing Proposal" xfId="3766"/>
    <cellStyle name="_0533周周報" xfId="3767"/>
    <cellStyle name="_2005 04 DELL SMT Data2 -Process_BPI 8D-SMT-2月 (3)_DELL MB廠級目標_DELL MB廠級目標.重要不能刪_DELL MB廠級目標十一月 (4)" xfId="3768"/>
    <cellStyle name="_0533周周報_0533周SMT周管審" xfId="3769"/>
    <cellStyle name="_0533周周報_0541周SMT周管審" xfId="3770"/>
    <cellStyle name="_0533周周報_0536周SMT周管審" xfId="3771"/>
    <cellStyle name="_2005 04 DELL SMT Data2 -Process_DELL廠級目標dip EXC _DELL廠級目標dip(2月) EXC _DELL MB廠級目標 (2)_DELL MB廠級目標_DELLTEAM入庫資料1_DELL MB廠級目標十一月 (4)" xfId="3772"/>
    <cellStyle name="_FCT Pareto By Line-Sep 18th(X808667-001_DEV01288-5)_Update yield report for DEV02342(7.6) " xfId="3773"/>
    <cellStyle name="_Fcst March_06(Revised 2.)_Internal Hourly Rate Q1 FY08 Version 06142007 excl. Corporate Allocation" xfId="3774"/>
    <cellStyle name="_BOM_BlueVox (Wiima) &amp; BCM2044 v03022007_Creek RFQ feedback 04_28_2009_FD Update 2" xfId="3775"/>
    <cellStyle name="_0533周周報_0537周SMT周管審" xfId="3776"/>
    <cellStyle name="_0533周周報_0537周SMT周管審_外包部人力編制" xfId="3777"/>
    <cellStyle name="好_效益分析&amp;產能評估_Bolt RFQ Proposal_Foxlink_ (Pricing Summary) 2 25 2011 2 2" xfId="3778"/>
    <cellStyle name="_asus wlan 機種SMT線體需求計算表3_MBO 周加班估算20060403_awl線體需求計算5.25" xfId="3779"/>
    <cellStyle name="差_Xl0000000_Leopard_UniBOM_ME_0603-2_Bolt RFQ_Foxlink_03.1 2011 2 2" xfId="3780"/>
    <cellStyle name="差_Xl0000002_Leopard_UniBOM_ME_0531_Bolt RFQ_Foxlink_03.1 2011 5" xfId="3781"/>
    <cellStyle name="_2006_0409 Ernestine_Cooper tooling and plastic price to MS_Quotebook_07SEP10_BlueAnt_Quotebook_V3_07SEP11_RFQ_River_BAFO_2008 0606_M1_Stream Quotebook(Submittal)_POC1_20080903 2" xfId="3782"/>
    <cellStyle name="差_Creak Pearl Reliability Fixture RFQ_2009 04 24_Creek  Pearl RFQ_May 12_Leopard UniBom_Foxlink_6 21 2010-ME_nego_Bolt RFQ Proposal_Foxlink_ (Pricing Summary) 2 25 2011 2 4" xfId="3783"/>
    <cellStyle name="Normal 4 3 3 3 2" xfId="3784"/>
    <cellStyle name="_0533周周報_0537周SMT周管審1" xfId="3785"/>
    <cellStyle name="差_Creek RFQ feedback 04_28_2009_FD Update_Leopard_UniBOM_ME_0603-2_Bolt RFQ_Foxlink_03.1 2011_nego meeting@MACH" xfId="3786"/>
    <cellStyle name="_0533周周報_0537周SMT周管審1_外包部人力編制" xfId="3787"/>
    <cellStyle name="差_0842周 顯卡報廢超標8D_HP 2 4" xfId="3788"/>
    <cellStyle name="_internal- uPad-D Quotebook_20080521_v1.2_Stream RFQ Unibom--0626-1756" xfId="3789"/>
    <cellStyle name="_2005 04 DELL SMT Data2 -Process_DELL廠級目標dip(2月) EXC _DELL MB廠級目標.xls 圖表 1_DELL制程課管理指標" xfId="3790"/>
    <cellStyle name="_2005 04 DELL SMT Data2 -Process_2006日常管理目標.DIP _DELL廠級目標dip(2月) EXC _DELL MB廠級目標 (2)_DELL MB廠級目標.xls 圖表 1_DELL MB廠級目標_DELL MB廠級目標十一月 (4)" xfId="3791"/>
    <cellStyle name="_0533周周報_0537周直通率8d" xfId="3792"/>
    <cellStyle name="_2005 04 DELL SMT Data2 -Process_DELL廠級目標dip.EXC _DELL廠級目標dip(2月) EXC _BPI 8D-SMT-2月 (3)_DELL MB廠級目標_DELL MB廠級目標_2007DELL SMT廠級目標KPI(MT)1" xfId="3793"/>
    <cellStyle name="_0533周周報_0538周周管審--FINl" xfId="3794"/>
    <cellStyle name="_2006_0409 Ernestine_Cooper tooling and plastic price to MS_Internal RFQ River Standalone  Bundle Unibom_v1 2_20080603_EJ_Stream Quotebook (Submittal)_POC2_20081117-1" xfId="3795"/>
    <cellStyle name="Currency 4 3 2" xfId="3796"/>
    <cellStyle name="_0533周周報_0538周周管審--FINl_外包部人力編制" xfId="3797"/>
    <cellStyle name="_0533周周報_0538周周管審--FINl_複本 0541周周管審" xfId="3798"/>
    <cellStyle name="差_HP  專案(設備&amp;治工具需夠買)update_費用統計_squirrel效益分析08-17" xfId="3799"/>
    <cellStyle name="差_效益分析&amp;產能評估_M1 SuedeFixtureEquipment Cost_A0_2010_10_15_Bolt RFQ_Foxlink_03.1 2011 3 2" xfId="3800"/>
    <cellStyle name="_PL Fcst Jul 06-updated G&amp;A Value_Copy of Tom OS ( Oct) new for LOG" xfId="3801"/>
    <cellStyle name="_2006_0409 Ernestine_Cooper tooling and plastic price to MS_RFQ_River_BAFO_2008 0606_M1_Stream Package Quotation_20090311" xfId="3802"/>
    <cellStyle name="_0533周周報_0538周周管審--FINl_複本 0541周周管審_外包部人力編制" xfId="3803"/>
    <cellStyle name="_0533周周報_0540周周管審" xfId="3804"/>
    <cellStyle name="好_MB9月管審誤判超標 8D 3 2" xfId="3805"/>
    <cellStyle name="_W521 5 Mulan Edge KRH _FSA comments _Nazca copy exact flow chart 20120409" xfId="3806"/>
    <cellStyle name="差_Creak Pearl Reliability Fixture RFQ_2009 04 24_Pearl RFQ(Submittal)ver2_05_12_2009 _Squirrel UniBom-06.23.2010_update_internal_Bolt RFQ Proposal_Foxlink_ (Pricing Summary) 2 25 2011 6" xfId="3807"/>
    <cellStyle name="好_River EE BOM_Creek RFQ feedback 04_28_2009_FD Update_Squirrel UniBom-06.23.2010_update_internal 2 2" xfId="3808"/>
    <cellStyle name="_Book2_MOST Std - Project A BB Line_FMTQCI-MIS3H064-P027(01)Nazca Copy Exact Flow chart" xfId="3809"/>
    <cellStyle name="_0533周周報_0540周周管審_0541周直通率8D" xfId="3810"/>
    <cellStyle name="Heading 3 2 3" xfId="3811"/>
    <cellStyle name="_0533周周報_0540周周管審_0541周直通率8D_外包部人力編制" xfId="3812"/>
    <cellStyle name="_2006_0410 Ernestine_Cooper tooling and plastic price to MS_Stream RFQ Unibom--0626-1756_Stream Quotebook (Submittal)_POC2_20081117-1" xfId="3813"/>
    <cellStyle name="_2005 04 DELL SMT Data2 -Process_DELL廠級目標dip.EXC _DELL廠級目標dip(2月) EXC _BPI 8D-SMT-2月 (3)_DELL MB廠級目標_HP制程課2007管理指標匯總-八月匯總" xfId="3814"/>
    <cellStyle name="好_Creek Assembly Fixture  Test Equipment RFQ_20090427_Leopard RFQ ME BOM Costs-0618-2_Bolt RFQ_Foxlink_03.1 2011_nego meeting@MACH 5" xfId="3815"/>
    <cellStyle name="好_foxlink Bristol for 10063D-2010-10-11_Bristol RFQ response _20101102_internal (4)_Bristol TC Estimate Update 08012011" xfId="3816"/>
    <cellStyle name="_Summary slides for the RickDe deck 6-8-00_FY06 Xenon Console Other Mfg Costs Forecast - january v1" xfId="3817"/>
    <cellStyle name="_0533周周報_0540周周管審_外包部人力編制" xfId="3818"/>
    <cellStyle name="_8178SOP" xfId="3819"/>
    <cellStyle name="_Book2_Mechanical Contribution Margins forecast 0506 FP_2009 xBOX ramp up budget code applicaiton 300K --New May27" xfId="3820"/>
    <cellStyle name="_2006_0329 Ernestine_Cooper Cost Feedback_Quotebook_07SEP10_Stream RFQ Unibom--0626-1756_Stream Quotebook (Submittal)_POC2_20081117-1" xfId="3821"/>
    <cellStyle name="_0533周周報_0540周直通率8D1" xfId="3822"/>
    <cellStyle name="60% - Accent5 4" xfId="3823"/>
    <cellStyle name="_Book2_PL Fcst Jul 06-updated G&amp;A Value_Forecast Template v4" xfId="3824"/>
    <cellStyle name="_0533周周報_0541周SMT周管審_外包部人力編制" xfId="3825"/>
    <cellStyle name="_7月ict f.t_0536周周管審_0537周直通率8d1" xfId="3826"/>
    <cellStyle name="好_River EE BOM_Creak Pearl Reliability Fixture RFQ_2009 04 24_Leopard_UniBOM_ME_0531_Bolt RFQ Proposal_Foxlink_ (Pricing Summary) 2 25 2011 5 3" xfId="3827"/>
    <cellStyle name="_0533周周報_0541周直通率8D" xfId="3828"/>
    <cellStyle name="_0533周周報_8月SMT月管審 " xfId="3829"/>
    <cellStyle name="_386896SOP_mail list1018" xfId="3830"/>
    <cellStyle name="_2005 04 DELL SMT Data2 -Process_DELL廠級目標dip EXC _DELL廠級目標dip(2月) EXC _BPI 8D-SMT-2月_DELL MB廠級目標_DELL MB廠級目標.重要不能刪_2007DELL SMT廠級目標KPI(MT)1" xfId="3831"/>
    <cellStyle name="好_HP all model 標準工時(W1130) 2 2 4" xfId="3832"/>
    <cellStyle name="_0533周周報_8月SMT月管審 _外包部人力編制" xfId="3833"/>
    <cellStyle name="差_HP Mouse 產能評估(Forecast更改後)_費用統計" xfId="3834"/>
    <cellStyle name="_2006_0319 Ernestine_Cooper Cost Feedback_Internal RFQ River Standalone  Bundle Unibom_v1 2_20080603_EJ_Stream Quotebook(Submittal)_POC1_20080903 2" xfId="3835"/>
    <cellStyle name="_0533周周報_Book1" xfId="3836"/>
    <cellStyle name="差_Flow Chart&amp;PQ分析(12-1)_Jackson 效益分析 testing update_16th Jan1_Jackson 效益分析 (2-1 B0 上系統)_Leopard效益分析08-17" xfId="3837"/>
    <cellStyle name="差_Creak Pearl Reliability Fixture RFQ_2009 04 24_Bolt RFQ Proposal_Foxlink_ (Pricing Summary) 2 25 2011 2 2" xfId="3838"/>
    <cellStyle name="_0533周周報_Book1_外包部人力編制" xfId="3839"/>
    <cellStyle name="_2005 04 DELL SMT Data2 -Process_2006日常管理目標.DIP _DELL廠級目標dip(2月) EXC _BPI 8D-SMT-2月_DELL MB廠級目標_DELLTEAM入庫資料1_2007DELL SMT廠級目標KPI(MT)1" xfId="3840"/>
    <cellStyle name="_0533周周報_Book1_複本 0541周周管審" xfId="3841"/>
    <cellStyle name="差_Creak Pearl Reliability Fixture RFQ_2009 04 24_Creek RFQ feedback 04_28_2009_FD Update_Leopard Lemur Squirrel UniBom-06.22.2010_EE cost _update_internal_Bolt RFQ_Foxlink_03.1 2011" xfId="3842"/>
    <cellStyle name="_2005 04 DELL SMT Data2 -Process_2006日常管理目標.DIP _DELL廠級目標dip(2月) EXC _DELL MB廠級目標 " xfId="3843"/>
    <cellStyle name="壞_Creek EE BOM cost_20090425_Leopard UniBom_Foxlink_6 21 2010-ME_nego_Bolt RFQ_Foxlink_03.1 2011" xfId="3844"/>
    <cellStyle name="_0533周周報_九月份直通率8D" xfId="3845"/>
    <cellStyle name="差_Creak Pearl Reliability Fixture RFQ_2009 04 24_Creek  Pearl RFQ_May 12_Squirrel RFQ ME BOM Costs-0623_Bolt RFQ_Foxlink_03.1 2011 3 2" xfId="3846"/>
    <cellStyle name="_7月ict f.t_0541周直通率8D" xfId="3847"/>
    <cellStyle name="好_River EE BOM_Xl0000002_Squirrel RFQ ME BOM Costs-0623_Bolt RFQ Proposal_Foxlink_ (Pricing Summary) 2 25 2011 2 2 2" xfId="3848"/>
    <cellStyle name="_2006_0410b Ernestine_Cooper tooling and plastic price to MS_Stream RFQ Unibom--0626-1756" xfId="3849"/>
    <cellStyle name="_2005 04 DELL SMT Data2 -Process_DELL MB廠級目標  (2)_DELL MB廠級目標.xls 圖表 1_DELL制程課管理指標" xfId="3850"/>
    <cellStyle name="差_Creak Pearl Reliability Fixture RFQ_2009 04 24_Pearl RFQ(Submittal)ver2_05_12_2009 _Jackson and Shadow BOM cost_mainfile_2010 0324 rev.1_Leopard UniBom_Foxlink_12092010 RevD-jen" xfId="3851"/>
    <cellStyle name="_0533周周報_八月份周直通率8d1" xfId="3852"/>
    <cellStyle name="_0533周周報_八月份周直通率8d1_0538周周管審--FINl_複本 0541周周管審" xfId="3853"/>
    <cellStyle name="好_Creek Assembly Fixture  Test Equipment RFQ_20090427_Xl0000002_Squirrel UniBom-06.23.2010_update_internal 4" xfId="3854"/>
    <cellStyle name="_0533周周報_八月份周直通率8d1_0538周周管審--FINl_複本 0541周周管審_外包部人力編制" xfId="3855"/>
    <cellStyle name="_0533周周報_八月份周直通率8d1_0540周直通率8D1" xfId="3856"/>
    <cellStyle name="_2006_0409 Ernestine_Cooper tooling and plastic price to MS_Quotebook_07SEP10_BlueAnt_Quotebook_V3_07SEP11_Internal RFQ River Standalone  Bundle Unibom_v1 2_20080603_EJ" xfId="3857"/>
    <cellStyle name="差_F3   SMT設備明細_Bolt RFQ_Foxlink_03.1 2011 2 3" xfId="3858"/>
    <cellStyle name="Normal 5 4 3 2" xfId="3859"/>
    <cellStyle name="_0533周周報_八月份周直通率8d1_0540周直通率8D1_外包部人力編制" xfId="3860"/>
    <cellStyle name="差_Creak Pearl Reliability Fixture RFQ_2009 04 24_Creek RFQ feedback 04_28_2009_FD Update_Leopard_UniBOM_ME_0602-1_Bolt RFQ_Foxlink_03.1 2011" xfId="3861"/>
    <cellStyle name="_部門工作執掌職位說明書2005.11.121" xfId="3862"/>
    <cellStyle name="_0533周周報_八月份周直通率8d1_0540周直通率8D1_複本 0541周周管審" xfId="3863"/>
    <cellStyle name="_Mechanical Contribution Margins (Q1'06, applied to Apr'04 Fcst)_Copy of X-BOX for line setup budget" xfId="3864"/>
    <cellStyle name="_220076-78(Sep 2006)" xfId="3865"/>
    <cellStyle name="Accent5 15" xfId="3866"/>
    <cellStyle name="_2006_0317 Ernestine_Cooper Cost Feedback_Quotebook_V3_07SEP11_RFQ_River_BAFO_2008 0606_M1 2" xfId="3867"/>
    <cellStyle name="差_F3   SMT設備明細_Flow chart and Fixture(Jackson)_A1_Jackson 效益分析 (2-1 B0 上系統)" xfId="3868"/>
    <cellStyle name="差_治具工程課2009年KPI_2009MB KPI-0205" xfId="3869"/>
    <cellStyle name="_0533周周報_八月份周直通率8d1_0540周直通率8D1_複本 0541周周管審_外包部人力編制" xfId="3870"/>
    <cellStyle name="_0533周周報_八月份周直通率8d1_0541周直通率8D" xfId="3871"/>
    <cellStyle name="好_River EE BOM_Creak Pearl Reliability Fixture RFQ_2009 04 24_Creek RFQ feedback 04_28_2009_FD Update_Foxlink_Shadow RFQ NREUni BOM_12032009 3" xfId="3872"/>
    <cellStyle name="_0533周周報_八月份周直通率8d1_Book1" xfId="3873"/>
    <cellStyle name="_W528 5 CTB_Mulan-EDGE_ROA1281693 FXC_MOST Std - S1300 F2lines_FMTQCI-MIS3H064-P027(01)Nazca Copy Exact Flow chart" xfId="3874"/>
    <cellStyle name="_0533周周報_八月份周直通率8d1_複本 0541周周管審" xfId="3875"/>
    <cellStyle name="_0533周周報_複本 0541周周管審" xfId="3876"/>
    <cellStyle name="_PL Forecast by segment-most final 0806_Tom OS ( Oct)_X-BOX BB" xfId="3877"/>
    <cellStyle name="_Ellen Procurement Plan 20050530_MOST Std - Project A BB Line_Nazca copy exact flow chart 2012313" xfId="3878"/>
    <cellStyle name="_2006_0412 Ernestine_Cooper tooling and plastic price to MS_JC_Quotebook_07SEP10_BlueAnt_Quotebook_V3_07SEP11_RFQ_River_BAFO_2008 0606_M1_Stream Package Quotation_20090311" xfId="3879"/>
    <cellStyle name="_2006_0317 Ernestine_Cooper Cost Feedback_Internal RFQ River Standalone  Bundle Unibom_v1 2_20080603_EJ" xfId="3880"/>
    <cellStyle name="好_治具工程課2009年KPI_KPI 1006 4" xfId="3881"/>
    <cellStyle name="_0534周周報1" xfId="3882"/>
    <cellStyle name="Normal 5 7 2 2" xfId="3883"/>
    <cellStyle name="Normal 38 2 3" xfId="3884"/>
    <cellStyle name="Normal 43 2 3" xfId="3885"/>
    <cellStyle name="_0534周周報1_0537周SMT周管審" xfId="3886"/>
    <cellStyle name="好_River EE BOM_Creak Pearl Reliability Fixture RFQ_2009 04 24_Pearl RFQ(Submittal)ver2_05_12_2009 _Squirrel UniBom-06.23.2010_update_internal_Bolt RFQ Proposal_Foxlink_ (Pricing Summary) 2 25 2011 5 2" xfId="3887"/>
    <cellStyle name="_0534周周報1_0537周SMT周管審1" xfId="3888"/>
    <cellStyle name="好_River EE BOM_Creak Pearl Reliability Fixture RFQ_2009 04 24_Xl0000002_Leopard Lemur Squirrel UniBom-06.22.2010_EE cost _update_internal 2" xfId="3889"/>
    <cellStyle name="_0534周周報1_0537周直通率8d" xfId="3890"/>
    <cellStyle name="_OP1 DPO Forecast Final_PL Fcst Jul 06-updated G&amp;A Value_X-BOX BB" xfId="3891"/>
    <cellStyle name="_0534周周報1_0538周周管審--FINl_複本 0541周周管審" xfId="3892"/>
    <cellStyle name="差_HP  專案(設備&amp;治工具需夠買)update_M1 Bolt wireless mouse FixtureEquipment Cost_A2_2010_12_07_Bolt RFQ Proposal_Foxlink_ (Pricing Summary) 2 25 2011 3 2" xfId="3893"/>
    <cellStyle name="好_Creek EE BOM cost_20090425_Creek RFQ feedback 04_28_2009_FD Update_Leopard UniBom_Foxlink_6 21 2010-ME_nego 3 2" xfId="3894"/>
    <cellStyle name="_0534周周報1_0540周周管審" xfId="3895"/>
    <cellStyle name="_2005 04 DELL SMT Data2 -Process_DELL SMT 廠級目標KPI_DELL MB廠級目標.xls 圖表 1_MT 2007 KPI" xfId="3896"/>
    <cellStyle name="差_Creek RFQ feedback 04_28_2009_FD Update_Foxlink_Shadow RFQ NREUni BOM_12032009 2" xfId="3897"/>
    <cellStyle name="_0534周周報1_0540周周管審_0541周直通率8D" xfId="3898"/>
    <cellStyle name="_0534周周報1_0540周周管審_複本 0541周周管審" xfId="3899"/>
    <cellStyle name="_Sales Forecast (plastic XX)0703_Volume Fcst Jul 06-update HP _Tom OS ( Oct)_2009 xBOX ramp up budget code applicaiton" xfId="3900"/>
    <cellStyle name="_2005 04 DELL SMT Data2 -Process_DELL MB廠級目標 (2)_DELL MB廠級目標_DELL MB廠級目標四月 _DELL MB廠級目標十一月 (4)" xfId="3901"/>
    <cellStyle name="_0534周周報1_0541周直通率8D" xfId="3902"/>
    <cellStyle name="_OP1 DPO Forecast Final_Copy of X-BOX for line setup budget" xfId="3903"/>
    <cellStyle name="_0534周周報1_8月SMT月管審 " xfId="3904"/>
    <cellStyle name="_2005 04 DELL SMT Data2 -Process_DELL廠級目標dip EXC _DELL MB廠級目標.xls 圖表 1_DELL MB廠級目標_2007DELL SMT廠級目標KPI(MT)1" xfId="3905"/>
    <cellStyle name="好_River EE BOM_Xl0000002_Leopard Lemur Squirrel UniBom-06.22.2010_EE cost _update_internal 2 2 3" xfId="3906"/>
    <cellStyle name="_2005 04 DELL SMT Data2 -Process_2006日常管理目標.DIP _DELL廠級目標dip(2月) EXC _DELL MB廠級目標 _DELL MB廠級目標.xls 圖表 1_DELL MB廠級目標.重要不能刪_2007DELL SMT廠級目標KPI(MT)1" xfId="3907"/>
    <cellStyle name="_0534周周報1_Book1" xfId="3908"/>
    <cellStyle name="_0534周周報1_Book1_複本 0541周周管審" xfId="3909"/>
    <cellStyle name="_2006_0319 Ernestine_Cooper Cost Feedback_Quotebook_07SEP10_BlueAnt_Quotebook_V3_07SEP11_Internal RFQ River Standalone  Bundle Unibom_v1 2_20080603_EJ_Stream Quotebook (Submittal)_POC2_20081117-1" xfId="3910"/>
    <cellStyle name="差_F3   SMT設備明細_jupite r設備&amp;治工具LIST (總)_Dallas效益分析&amp;投資回收期 (12-2 A1)_Jackson 效益分析 (2-1 B0 上系統)_squirrel效益分析08-17" xfId="3911"/>
    <cellStyle name="_0534周周報1_九月份直通率8D" xfId="3912"/>
    <cellStyle name="壞_Creek Assembly Fixture  Test Equipment RFQ_20090427_Foxlink_Shadow RFQ NREUni BOM_12032009_Bolt RFQ Proposal_Foxlink_ (Pricing Summary) 2 25 2011 4 3" xfId="3913"/>
    <cellStyle name="差_Squirrel UniBom-06.23.2010_update_internal_Bolt RFQ_Foxlink_03.1 2011_nego meeting@MACH 5" xfId="3914"/>
    <cellStyle name="_Mechanical Contribution Margins forecast 0506 FP_PL Fcst Jul 06-updated G&amp;A Value_Copy of Tom OS ( Oct) new for LOG_X-BOX Console line setup budget 20080414" xfId="3915"/>
    <cellStyle name="_0534周周報1_八月份周直通率8d1_0538周周管審--FINl" xfId="3916"/>
    <cellStyle name="好_River EE BOM_Creak Pearl Reliability Fixture RFQ_2009 04 24_Creek  Pearl RFQ_May 12_Leopard_UniBOM_ME_0531_Bolt RFQ_Foxlink_03.1 2011 3 3" xfId="3917"/>
    <cellStyle name="好_Creek Assembly Fixture  Test Equipment RFQ_20090427_Leopard RFQ ME BOM Costs-0618-2_Bolt RFQ_Foxlink_03.1 2011_Bolt_Cliff 2 4" xfId="3918"/>
    <cellStyle name="_0534周周報1_八月份周直通率8d1_0538周周管審--FINl_複本 0541周周管審" xfId="3919"/>
    <cellStyle name="_9569sop_1" xfId="3920"/>
    <cellStyle name="_0534周周報1_八月份周直通率8d1_0540周直通率8D1_複本 0541周周管審" xfId="3921"/>
    <cellStyle name="_Flex Mechanicals Doumen Sales forecast - Dec'05 R1_X-BOX BB" xfId="3922"/>
    <cellStyle name="60% - 强调文字颜色 4 2 2 3" xfId="3923"/>
    <cellStyle name="_0534周周報1_八月份周直通率8d1_0541周直通率8D" xfId="3924"/>
    <cellStyle name="_2005 04 DELL SMT Data2 -Process_DELL MB廠級目標 (2)_DELL MB廠級目標_DELL MB廠級目標四月 " xfId="3925"/>
    <cellStyle name="_2005 04 DELL SMT Data2 -Process_2006日常管理目標.DIP _DELL廠級目標dip(2月) EXC _BPI 8D-SMT-2月_DELL MB廠級目標.xls 圖表 1_DELL MB廠級目標.重要不能刪_DELL MB廠級目標十一月 (4)" xfId="3926"/>
    <cellStyle name="_0534周周報1_八月份周直通率8d1_Book1" xfId="3927"/>
    <cellStyle name="好_River EE BOM_Creek RFQ feedback 04_28_2009_FD Update_Squirrel RFQ ME BOM Costs-0623 3 3" xfId="3928"/>
    <cellStyle name="好_River EE BOM_Creak Pearl Reliability Fixture RFQ_2009 04 24_Pearl RFQ(Submittal)ver2_05_12_2009 _Squirrel RFQ ME BOM Costs-0623_Bolt RFQ_Foxlink_03.1 2011_nego meeting@MACH 2" xfId="3929"/>
    <cellStyle name="好_0842周 顯卡報廢超標8D 2 2" xfId="3930"/>
    <cellStyle name="_0534周周報1_八月份周直通率8d1_Book1_複本 0541周周管審" xfId="3931"/>
    <cellStyle name="_0534周周報1_八月份周直通率8d1_複本 0541周周管審" xfId="3932"/>
    <cellStyle name="差_Creak Pearl Reliability Fixture RFQ_2009 04 24_Leopard UniBom_Foxlink_6 21 2010-ME_nego_Bolt RFQ_Foxlink_03.1 2011_nego meeting@MACH 4" xfId="3933"/>
    <cellStyle name="差_jupite r設備&amp;治工具LIST (總)_Flow Chart&amp;設備治工具清單 _squirrel效益分析08-17" xfId="3934"/>
    <cellStyle name="差_治具工程課2009年KPI_產線生產規劃KPI 2 2 2 3" xfId="3935"/>
    <cellStyle name="好_Creek Assembly Fixture  Test Equipment RFQ_20090427_Xl0000002_Leopard_UniBOM_ME_0531 2 3" xfId="3936"/>
    <cellStyle name="_2005 04 DELL SMT Data2 -Process_DELL廠級目標dip EXC _DELL廠級目標dip(2月) EXC _DELL MB廠級目標 (2)_DELL MB廠級目標.xls 圖表 1_DELL制程課管理目標 (4)" xfId="3937"/>
    <cellStyle name="_2005 04 DELL SMT Data2 -Process_DELL廠級目標dip EXC _DELL廠級目標dip(2月) EXC _DELL MB廠級目標 (2)_DELL MB廠級目標_DELL MB廠級目標_DELL MB廠級目標十一月 (4)" xfId="3938"/>
    <cellStyle name="_2006_0412 Ernestine_Cooper tooling and plastic price to MS_JC_Quotebook_07SEP10_Internal RFQ River Standalone  Bundle Unibom_v1 2_20080603_EJ" xfId="3939"/>
    <cellStyle name="好_HP Mouse 產能評估(上系統)_M1 Lemur Capacity planFixtureEquipment Cost_A2_06192010" xfId="3940"/>
    <cellStyle name="好_River EE BOM_Xl0000002_Bolt RFQ Proposal_Foxlink_ (Pricing Summary) 2 25 2011 2 2" xfId="3941"/>
    <cellStyle name="_0534周周報1_複本 0541周周管審" xfId="3942"/>
    <cellStyle name="_Sales Forecast (plastic XX)0703_PL Forecast by segment-most final 0806_X-BOX Console line setup budget and Buyer list" xfId="3943"/>
    <cellStyle name="_Sales Forecast (plastic XX)1203_PL Forecast by segment-most final 0806_X-BOX Console line setup budget and Buyer list" xfId="3944"/>
    <cellStyle name="_Sheet7" xfId="3945"/>
    <cellStyle name="_2006_0410b Ernestine_Cooper tooling and plastic price to MS_Quotebook_07SEP10_Stream RFQ Unibom--0626-1756" xfId="3946"/>
    <cellStyle name="Good 15" xfId="3947"/>
    <cellStyle name="_短路明細_八月月報2_Book1_複本 0541周周管審" xfId="3948"/>
    <cellStyle name="_0535周DT客訴周報" xfId="3949"/>
    <cellStyle name="_0535周周報1" xfId="3950"/>
    <cellStyle name="_0535周周報1_0541周SMT周管審" xfId="3951"/>
    <cellStyle name="_0535周周報1_0536周SMT周管審" xfId="3952"/>
    <cellStyle name="差_Creak Pearl Reliability Fixture RFQ_2009 04 24_Pearl RFQ(Submittal)ver2_05_12_2009 _Leopard RFQ ME BOM Costs-0618-2_Bolt RFQ Proposal_Foxlink_ (Pricing Summary) 2 25 2011" xfId="3953"/>
    <cellStyle name="_0535周周報1_0537周SMT周管審" xfId="3954"/>
    <cellStyle name="_2006_0406 Ernestine_Cooper tooling_Internal RFQ River Standalone  Bundle Unibom_v1 2_20080603_EJ_Stream Quotebook (Submittal)_POC2_20081117-1" xfId="3955"/>
    <cellStyle name="_2005 04 DELL SMT Data2 -Process_DELL廠級目標dip EXC _DELL廠級目標dip(2月) EXC _BPI 8D-SMT-2月_DELL MB廠級目標.xls 圖表 1_DELL MB廠級目標四月 _2007DELL SMT廠級目標KPI(MT)1" xfId="3956"/>
    <cellStyle name="差_效益分析&amp;產能評估_M1 Bolt wireless mouse FixtureEquipment Cost_A2_2010_12_07 4" xfId="3957"/>
    <cellStyle name="_Z9i_Quotebook_(Worksheet)_V4_Internal RFQ River Standalone  Bundle Unibom_v1 2_20080603_EJ_Stream Package Quotation_20090311" xfId="3958"/>
    <cellStyle name="_0535周周報1_0538周周管審--FINl_複本 0541周周管審" xfId="3959"/>
    <cellStyle name="差_Creak Pearl Reliability Fixture RFQ_2009 04 24_Creek RFQ feedback 04_28_2009_FD Update_Leopard RFQ ME BOM Costs-0618-2 2 3" xfId="3960"/>
    <cellStyle name="_0535周周報1_0540周周管審_複本 0541周周管審" xfId="3961"/>
    <cellStyle name="_Actual P&amp;L_Computing Apr &amp; May_Budget GC Other Form" xfId="3962"/>
    <cellStyle name="_2005 04 DELL SMT Data2 -Process_DELL SMT 廠級目標KPI_DELL MB廠級目標_DELL制程課管理目標 (4)" xfId="3963"/>
    <cellStyle name="_0535周周報1_0540周直通率8D1" xfId="3964"/>
    <cellStyle name="差_Foxlink_Shadow RFQ NREUni BOM_12032009_Bolt RFQ_Foxlink_03.1 2011_nego meeting@MACH 2 3" xfId="3965"/>
    <cellStyle name="_Cleo Doris Travel Budget" xfId="3966"/>
    <cellStyle name="_2005 04 DELL SMT Data2 -Process_DELL SMT 廠級目標KPI_DELL MB廠級目標.xls 圖表 1_DELL MB廠級目標四月 _2007DELL SMT廠級目標KPI(MT)1" xfId="3967"/>
    <cellStyle name="_Flex Mechanicals Doumen Sales forecast - Dec'05 (updated links)_Volume Fcst Jul 06-update HP _Internal Hourly Rate Q1 FY08 Version (2)" xfId="3968"/>
    <cellStyle name="_2005 04 DELL SMT Data2 -Process_2006日常管理目標.DIP _DELL廠級目標dip(2月) EXC _DELL MB廠級目標  (2)_DELL MB廠級目標.xls 圖表 1_DELL MB廠級目標" xfId="3969"/>
    <cellStyle name="_0535周周報1_0541周直通率8D" xfId="3970"/>
    <cellStyle name="差_治具工程課2009年KPI_HP" xfId="3971"/>
    <cellStyle name="Accent2 7" xfId="3972"/>
    <cellStyle name="_2005 04 DELL SMT Data2 -Process_DELL廠級目標dip(1月) EXC _DELL MB廠級目標_DELL MB廠級目標.重要不能刪" xfId="3973"/>
    <cellStyle name="_0535周周報1_ASUS MB weekly report 0536" xfId="3974"/>
    <cellStyle name="_0535周周報1_Book1" xfId="3975"/>
    <cellStyle name="好_River EE BOM_Creak Pearl Reliability Fixture RFQ_2009 04 24_Creek RFQ feedback 04_28_2009_FD Update_Leopard UniBom_Foxlink_6 21 2010-ME_nego_Bolt RFQ_Foxlink_03.1 2011" xfId="3976"/>
    <cellStyle name="好_River EE BOM_Foxlink_Shadow RFQ NREUni BOM_12032009_Bolt RFQ Proposal_Foxlink_ (Pricing Summary) 2 25 2011 2" xfId="3977"/>
    <cellStyle name="_0535周周報1_Book1_複本 0541周周管審" xfId="3978"/>
    <cellStyle name="差_0842周 顯卡報廢超標8D_HP 6 2" xfId="3979"/>
    <cellStyle name="_0535周周報1_八月份周直通率8d1" xfId="3980"/>
    <cellStyle name="_2006_0409 Ernestine_Cooper tooling and plastic price to MS_Quotebook_07SEP10_Stream RFQ Unibom--0626-1756_Stream Quotebook (Submittal)_POC2_20081117-1" xfId="3981"/>
    <cellStyle name="_W522 4 Mulan Edge EP0 CTB_Copy of MOST Std - S1300 F2lines" xfId="3982"/>
    <cellStyle name="_0535周周報1_八月份周直通率8d1_0538周周管審--FINl" xfId="3983"/>
    <cellStyle name="_Flex Mechanicals Doumen Sales forecast - Jan.06_Volume Fcst 1006 updated_Copy of Tom OS ( Oct) new for LOG_Copy of X-BOX for line setup budget" xfId="3984"/>
    <cellStyle name="_2005 04 DELL SMT Data2 -Process_DELL廠級目標dip EXC _DELL MB廠級目標_DELL MB廠級目標" xfId="3985"/>
    <cellStyle name="好_River EE BOM_Creak Pearl Reliability Fixture RFQ_2009 04 24_Leopard RFQ ME BOM Costs-0618_Bolt RFQ_Foxlink_03.1 2011_nego meeting@MACH 2 3" xfId="3986"/>
    <cellStyle name="_184071 - FY05 Xbox Prepaid Inventory_FY06 P7 CM Consigned RM" xfId="3987"/>
    <cellStyle name="_0535周周報1_八月份周直通率8d1_0538周周管審--FINl_複本 0541周周管審" xfId="3988"/>
    <cellStyle name="好_River EE BOM_Creak Pearl Reliability Fixture RFQ_2009 04 24_Leopard_UniBOM_ME_0602 2 2 3" xfId="3989"/>
    <cellStyle name="_0535周周報1_八月份周直通率8d1_0540周直通率8D1" xfId="3990"/>
    <cellStyle name="_2005 US Flex Forecast Ver2_Forecast Template v2" xfId="3991"/>
    <cellStyle name="_2005 04 DELL SMT Data2 -Process_DELL廠級目標dip EXC _DELL廠級目標dip(2月) EXC _DELL MB廠級目標 (2)_DELL MB廠級目標_DELL制程課管理目標 (4)" xfId="3992"/>
    <cellStyle name="_w22.2 ECO SSDD report" xfId="3993"/>
    <cellStyle name="_2005 04 DELL SMT Data2 -Process_DELL廠級目標dip EXC _DELL MB廠級目標_DELL制程課管理指標" xfId="3994"/>
    <cellStyle name="差_Creak Pearl Reliability Fixture RFQ_2009 04 24_Creek  Pearl RFQ_May 12_Leopard RFQ ME BOM Costs-0618_Bolt RFQ_Foxlink_03.1 2011" xfId="3995"/>
    <cellStyle name="_0535周周報1_八月份周直通率8d1_0540周直通率8D1_複本 0541周周管審" xfId="3996"/>
    <cellStyle name="好_Creek Assembly Fixture  Test Equipment RFQ_20090427_Foxlink_Shadow RFQ NREUni BOM_12032009_Bolt RFQ_Foxlink_03.1 2011 3 2" xfId="3997"/>
    <cellStyle name="_0535周周報1_八月份周直通率8d1_0541周直通率8D" xfId="3998"/>
    <cellStyle name="_0535周周報1_八月份周直通率8d1_Book1_複本 0541周周管審" xfId="3999"/>
    <cellStyle name="_0535周周報1_八月份周直通率8d1_複本 0541周周管審" xfId="4000"/>
    <cellStyle name="差_F3   SMT設備明細_jupite r設備&amp;治工具LIST (總)_flow chart 2009.12.12_Jackson 效益分析 testing update_16th Jan1_Jackson 效益分析 (2-1 B0 上系統)" xfId="4001"/>
    <cellStyle name="好_River EE BOM_Xl0000000_Leopard_UniBOM_ME_0602_Bolt RFQ_Foxlink_03.1 2011_nego meeting@MACH" xfId="4002"/>
    <cellStyle name="好_River EE BOM_Creak Pearl Reliability Fixture RFQ_2009 04 24_Creek RFQ feedback 04_28_2009_FD Update_Leopard RFQ ME BOM Costs-0618-2_Bolt RFQ Proposal_Foxlink_ (Pricing Summary) 2 25 2011 2 2 3" xfId="4003"/>
    <cellStyle name="_2006_0410b Ernestine_Cooper tooling and plastic price to MS 2" xfId="4004"/>
    <cellStyle name="Currency1" xfId="4005"/>
    <cellStyle name="_PL Forecast Comparison_Mech Doumen2006_1(preliminary)_PL Forecast by segment-most final 0806_2009 xBOX ramp up budget code applicaiton" xfId="4006"/>
    <cellStyle name="_0535周周報1_複本 0541周周管審" xfId="4007"/>
    <cellStyle name="_0535週管審" xfId="4008"/>
    <cellStyle name="好_Creek Assembly Fixture  Test Equipment RFQ_20090427_Leopard UniBom_Foxlink_6 21 2010-ME_nego_Bolt RFQ_Foxlink_03.1 2011 2" xfId="4009"/>
    <cellStyle name="好_River EE BOM_Creek RFQ feedback 04_28_2009_FD Update_Leopard_UniBOM_ME_0531_Bolt RFQ_Foxlink_03.1 2011_nego meeting@MACH 2" xfId="4010"/>
    <cellStyle name="_2005 04 DELL SMT Data2 -Process_DELL廠級目標dip EXC _DELL廠級目標dip(2月) EXC _BPI 8D-SMT-2月 (3)_DELL MB廠級目標.xls 圖表 1_DELL MB廠級目標十一月 (4)" xfId="4011"/>
    <cellStyle name="_2005 04 DELL SMT Data2 -Process_DELL廠級目標dip EXC _DELL MB廠級目標.xls 圖表 1_DELLTEAM入庫資料1_2007DELL SMT廠級目標KPI(MT)1" xfId="4012"/>
    <cellStyle name="差_Creak Pearl Reliability Fixture RFQ_2009 04 24_Creek  Pearl RFQ_May 12_Leopard_UniBOM_ME_0531_Bolt RFQ Proposal_Foxlink_ (Pricing Summary) 2 25 2011 2 2" xfId="4013"/>
    <cellStyle name="_0535週管審_0541周SMT周管審" xfId="4014"/>
    <cellStyle name="_0535週管審_0536周SMT周管審" xfId="4015"/>
    <cellStyle name="好_治具工程課2009年KPI_HP 3 2" xfId="4016"/>
    <cellStyle name="_0535週管審_0540周周管審_0541周直通率8D" xfId="4017"/>
    <cellStyle name="Heading 4 7" xfId="4018"/>
    <cellStyle name="_0535週管審_0537周SMT周管審" xfId="4019"/>
    <cellStyle name="_0535週管審_0537周SMT周管審1" xfId="4020"/>
    <cellStyle name="好_Creek Assembly Fixture  Test Equipment RFQ_20090427_Leopard_UniBOM_ME_0602-1_Bolt_Cliff 7" xfId="4021"/>
    <cellStyle name="_Total Indus Plan - 10Feb06 - Rev A" xfId="4022"/>
    <cellStyle name="_2005 04 DELL SMT Data2 -Process_DELL廠級目標dip EXC _DELL MB廠級目標.xls 圖表 1_DELL MB廠級目標" xfId="4023"/>
    <cellStyle name="好_治具工程課2009年KPI_KPI 1006 2 2 2 2" xfId="4024"/>
    <cellStyle name="_2005 04 DELL SMT Data2 -Process_2006日常管理目標.DIP _DELL廠級目標dip(2月) EXC _DELL MB廠級目標 _DELL MB廠級目標.xls 圖表 1_DELL MB廠級目標.重要不能刪" xfId="4025"/>
    <cellStyle name="_0535週管審_0538周周管審--FINl_複本 0541周周管審" xfId="4026"/>
    <cellStyle name="差_F3   SMT設備明細_Jackson 效益分析 testing update_16th Jan111_Jackson 效益分析 (2-1 B0 上系統)_squirrel效益分析08-17" xfId="4027"/>
    <cellStyle name="20% - 强调文字颜色 1 5 2" xfId="4028"/>
    <cellStyle name="差_Creak Pearl Reliability Fixture RFQ_2009 04 24_Xl0000002_Squirrel UniBom-06.23.2010_update_internal 2 4" xfId="4029"/>
    <cellStyle name="_PL Forecast Comparison_Mech Doumen2006_1(preliminary)_Copy of Tom OS ( Oct) new for LOG_2009 xBOX ramp up budget code applicaiton 300K --New May27" xfId="4030"/>
    <cellStyle name="_0535週管審_0540周周管審" xfId="4031"/>
    <cellStyle name="_8月月管審附件.xls 圖表 1_0538周周管審--FINl_複本 0541周周管審" xfId="4032"/>
    <cellStyle name="_2006_0412 Ernestine_Cooper tooling and plastic price to MS_JC_Quotebook_07SEP10_BlueAnt_Quotebook_V3_07SEP11" xfId="4033"/>
    <cellStyle name="差_F3   SMT設備明細_Erie 效益分析 (Update)_Flow Chart&amp;設備治工具清單 _Leopard Flowchart &amp; 產能評估" xfId="4034"/>
    <cellStyle name="_0535週管審_0540周周管審_複本 0541周周管審" xfId="4035"/>
    <cellStyle name="好_治具工程課2009年KPI_2009MB KPI-0205 3 2" xfId="4036"/>
    <cellStyle name="好_Erie Assembly Fixture  Test Equip Cost_20090716_Foxlink_Shadow RFQ NREUni BOM_12032009_Bristol UniBom_Foxlink_02082011 RevA" xfId="4037"/>
    <cellStyle name="_0535週管審_0540周直通率8D1" xfId="4038"/>
    <cellStyle name="好_River EE BOM_Creak Pearl Reliability Fixture RFQ_2009 04 24_Creek  Pearl RFQ_May 12_Squirrel RFQ ME BOM Costs-0623_Bolt RFQ_Foxlink_03.1 2011_nego meeting@MACH 2" xfId="4039"/>
    <cellStyle name="_2005 04 DELL SMT Data2 -Process_DELL廠級目標dip.EXC _DELL廠級目標dip(2月) EXC _BPI 8D-SMT-2月 (3)_DELL MB廠級目標.xls 圖表 1_DELL MB廠級目標四月 " xfId="4040"/>
    <cellStyle name="_0535週管審_0541周直通率8D" xfId="4041"/>
    <cellStyle name="_0535週管審_ASUS MB weekly report 0536" xfId="4042"/>
    <cellStyle name="标题 5 2 2" xfId="4043"/>
    <cellStyle name="_2005 04 DELL SMT Data2 -Process_DELL廠級目標dip.EXC _DELL廠級目標dip(2月) EXC _BPI 8D-SMT-2月 (3)_DELL MB廠級目標.xls 圖表 1_DELL MB廠級目標_DELL MB廠級目標十一月 (4)" xfId="4044"/>
    <cellStyle name="_0535週管審_Book1_複本 0541周周管審" xfId="4045"/>
    <cellStyle name="_Alvin Plastics RFQ Worksheets - Nypro 062807_Stream RFQ Unibom--0626-1756" xfId="4046"/>
    <cellStyle name="好_River EE BOM_Creak Pearl Reliability Fixture RFQ_2009 04 24_Creek  Pearl RFQ_May 12_Leopard RFQ ME BOM Costs-0618 2 3" xfId="4047"/>
    <cellStyle name="_x001e__Project A Riskbuy list 20100125 2_Project A Riskbuy list 20100419" xfId="4048"/>
    <cellStyle name="_0535週管審_九月份直通率8D1" xfId="4049"/>
    <cellStyle name="_2005 04 DELL SMT Data2 -Process_2006日常管理目標.DIP _DELL廠級目標dip(2月) EXC _DELL MB廠級目標  (2)_DELL MB廠級目標_DELL制程課管理指標" xfId="4050"/>
    <cellStyle name="_RMA &amp; MRB Write-Offs_P2 Waynea review" xfId="4051"/>
    <cellStyle name="_FCT Pareto By Line-Sep 14th(X808667-001_DEV01288-2)_Update yield report for DEV02342(7.6) " xfId="4052"/>
    <cellStyle name="_0535週管審_八月份周直通率8d1" xfId="4053"/>
    <cellStyle name="_AllErrorCodes" xfId="4054"/>
    <cellStyle name="_2005 04 DELL SMT Data2 -Process_DELL MB廠級目標 _DELL MB廠級目標_MT 2007 KPI" xfId="4055"/>
    <cellStyle name="_CTB RTP EP2 0505092_MOST Std - S1300 F2lines_Nazca copy exact flow chart 2012313" xfId="4056"/>
    <cellStyle name="_0535週管審_八月份周直通率8d1_0538周周管審--FINl" xfId="4057"/>
    <cellStyle name="_2005 04 DELL SMT Data2 -Process_DELL廠級目標dip EXC _DELL廠級目標dip(2月) EXC _DELL MB廠級目標  (2)_DELL MB廠級目標_2007DELL SMT廠級目標KPI(MT)1" xfId="4058"/>
    <cellStyle name="_PCBA equipment and tester delivery (2)" xfId="4059"/>
    <cellStyle name="_0535週管審_八月份周直通率8d1_0540周直通率8D1" xfId="4060"/>
    <cellStyle name="_2005 04 DELL SMT Data2 -Process_2006日常管理目標.DIP _DELL MB廠級目標_DELLTEAM入庫資料1_2007DELL SMT廠級目標KPI(MT)1" xfId="4061"/>
    <cellStyle name="_PL Forecast Comparison_Mech Doumen2006_1(preliminary)_Volume Fcst Jul 06-update HP _Copy of Tom OS ( Oct) new for LOG_2009 xBOX ramp up budget code applicaiton 300K --New May27" xfId="4062"/>
    <cellStyle name="_0535週管審_八月份周直通率8d1_Book1_複本 0541周周管審" xfId="4063"/>
    <cellStyle name="_2006_0409 Ernestine_Cooper tooling and plastic price to MS_Quotebook_V3_07SEP11 2" xfId="4064"/>
    <cellStyle name="差_Creak Pearl Reliability Fixture RFQ_2009 04 24_Leopard RFQ ME BOM Costs-0618-2_Bolt RFQ Proposal_Foxlink_ (Pricing Summary) 2 25 2011 2 3" xfId="4065"/>
    <cellStyle name="_0541周周報" xfId="4066"/>
    <cellStyle name="_0536周周報" xfId="4067"/>
    <cellStyle name="好_Creek EE BOM cost_20090425_Leopard_UniBOM_ME_0531_Bolt RFQ Proposal_Foxlink_ (Pricing Summary) 2 25 2011 7" xfId="4068"/>
    <cellStyle name="_2006_0410 Ernestine_Cooper tooling and plastic price to MS_Quotebook_07SEP10_BlueAnt_Quotebook_V3_07SEP11_Stream RFQ Unibom--0626-1756_Stream Package Quotation_20090311" xfId="4069"/>
    <cellStyle name="_0537週管審" xfId="4070"/>
    <cellStyle name="差_Squirrel UniBom-06.23.2010_update_internal 2" xfId="4071"/>
    <cellStyle name="_0538週DT周報" xfId="4072"/>
    <cellStyle name="_2005 04 DELL SMT Data2 -Process_DELL MB廠級目標 _DELL MB廠級目標_DELL制程課管理指標" xfId="4073"/>
    <cellStyle name="_0539周DT周報" xfId="4074"/>
    <cellStyle name="_2006_0410 Ernestine_Cooper tooling and plastic price to MS_Quotebook_07SEP10_Stream RFQ Unibom--0626-1756" xfId="4075"/>
    <cellStyle name="_PL Forecast Comparison_Mech Doumen2006_1(preliminary)_Volume Fcst 1006 updated_2009 xBOX ramp up budget code applicaiton" xfId="4076"/>
    <cellStyle name="_0540周DT周報" xfId="4077"/>
    <cellStyle name="_Avaya Spice demand  forecast on May-22-06 (based on ramp-up plan)_Tester Demand Plan_Tester Demand Plan 062707" xfId="4078"/>
    <cellStyle name="Warning Text 2" xfId="4079"/>
    <cellStyle name="_2005 04 DELL SMT Data2 -Process_DELL廠級目標dip EXC _DELL廠級目標dip(2月) EXC _DELL MB廠級目標 (2)_DELL MB廠級目標.xls 圖表 1_DELL MB廠級目標" xfId="4080"/>
    <cellStyle name="_2005 04 DELL SMT Data2 -Process_DELL廠級目標dip.EXC _DELL廠級目標dip(2月) EXC _BPI 8D-SMT-2月 (3)_DELL MB廠級目標_DELLTEAM入庫資料1" xfId="4081"/>
    <cellStyle name="一般 7 3" xfId="4082"/>
    <cellStyle name="_0541周DT周報" xfId="4083"/>
    <cellStyle name="差_HP  專案(設備&amp;治工具需夠買)update_Bolt RFQ_Foxlink_03.1 2011_nego meeting@MACH 4" xfId="4084"/>
    <cellStyle name="_0541週週管審" xfId="4085"/>
    <cellStyle name="好_River EE BOM_Creak Pearl Reliability Fixture RFQ_2009 04 24_Creek  Pearl RFQ_May 12_Bolt RFQ Proposal_Foxlink_ (Pricing Summary) 2 25 2011 2" xfId="4086"/>
    <cellStyle name="_2005 04 DELL SMT Data2 -Process_2006日常管理目標.DIP _DELL廠級目標dip(2月) EXC _BPI 8D-SMT-2月 (3)_DELL MB廠級目標_DELL MB廠級目標四月 " xfId="4087"/>
    <cellStyle name="_0542週DT回饋不良超標8D" xfId="4088"/>
    <cellStyle name="_2005 04 DELL SMT Data2 -Process_2006日常管理目標.DIP _DELL廠級目標dip(2月) EXC _DELL制程課管理目標 (4)" xfId="4089"/>
    <cellStyle name="好_River EE BOM_Creak Pearl Reliability Fixture RFQ_2009 04 24_Leopard RFQ ME BOM Costs-0618-2 3 3" xfId="4090"/>
    <cellStyle name="好_Creek EE BOM cost_20090425_Squirrel RFQ ME BOM Costs-0623_Bolt RFQ_Foxlink_03.1 2011 2 2" xfId="4091"/>
    <cellStyle name="_0542週DT回饋不良超標8D1" xfId="4092"/>
    <cellStyle name="_Flextronics Radon  Build Plan 4-27-2005_Xbox Capacity ramp plan  for 2008 Rev9" xfId="4093"/>
    <cellStyle name="_XLSTestErrorCodes_yield report for DEV02342" xfId="4094"/>
    <cellStyle name="_2005 US Flex Forecast Ver2_Forecast Template v2_Copy of X-BOX for line setup budget" xfId="4095"/>
    <cellStyle name="_0543管審8D" xfId="4096"/>
    <cellStyle name="好_治具工程課2009年KPI 2 2 2 3" xfId="4097"/>
    <cellStyle name="_0544周效率報告ME" xfId="4098"/>
    <cellStyle name="_0544週週報.xls 圖表 1" xfId="4099"/>
    <cellStyle name="_0544週週報.xls 圖表 3" xfId="4100"/>
    <cellStyle name="_2006_0406 Ernestine_Cooper tooling_Internal RFQ River Standalone  Bundle Unibom_v1 2_20080603_EJ 2" xfId="4101"/>
    <cellStyle name="差_Bristol RFQ response _20101102_internal (4)_Bristol TC Estimate Update 08012011" xfId="4102"/>
    <cellStyle name="_05FY01_Inventory Trend Summary" xfId="4103"/>
    <cellStyle name="_05FY01_Inventory Trend Summary_FY06 P4 CM Consigned RM" xfId="4104"/>
    <cellStyle name="好_Creek Assembly Fixture  Test Equipment RFQ_20090427_Leopard UniBom_Foxlink_6 21 2010-ME_nego_Bolt RFQ_Foxlink_03.1 2011 3 3" xfId="4105"/>
    <cellStyle name="_Final Otter-UniBOM_10-25-2005_Quotebook_V3_07SEP11_Stream RFQ Unibom--0626-1756_Stream Quotebook(Submittal)_POC1_20080903 2" xfId="4106"/>
    <cellStyle name="_2005 04 DELL SMT Data2 -Process_DELL廠級目標dip EXC _DELL廠級目標dip(2月) EXC _DELL MB廠級目標 (2)_DELL MB廠級目標_HP制程課2007管理指標匯總-八月匯總" xfId="4107"/>
    <cellStyle name="差_Xl0000000_Squirrel RFQ ME BOM Costs-0623_Bolt RFQ Proposal_Foxlink_ (Pricing Summary) 2 25 2011 3 2" xfId="4108"/>
    <cellStyle name="_05FY01_Inventory Trend Summary_FY06 P6 CM Consigned RM" xfId="4109"/>
    <cellStyle name="差_MB9月管審換線超時8d_2009MB KPI_MBO3F製造部hp0209-01 2 2 4" xfId="4110"/>
    <cellStyle name="_05FY01_Inventory Trend Summary_FY06 P7 CM Consigned RM" xfId="4111"/>
    <cellStyle name="_2005 04 DELL SMT Data2 -Process_2006日常管理目標.DIP _DELL廠級目標dip(2月) EXC _DELL MB廠級目標 (2)_DELL MB廠級目標.xls 圖表 1" xfId="4112"/>
    <cellStyle name="Note 10 2 3" xfId="4113"/>
    <cellStyle name="_Flex forecast Depot 2005 rev4A_Forecast Template v2_Copy of X-BOX for line setup budget" xfId="4114"/>
    <cellStyle name="好_River EE BOM_Creak Pearl Reliability Fixture RFQ_2009 04 24_Leopard_UniBOM_ME_0531_Bolt RFQ Proposal_Foxlink_ (Pricing Summary) 2 25 2011 3" xfId="4115"/>
    <cellStyle name="_05FY01_Inventory Trend Summary_FY06 Xenon Console Other Mfg Costs Forecast - january v1" xfId="4116"/>
    <cellStyle name="差_Creak Pearl Reliability Fixture RFQ_2009 04 24_Creek RFQ feedback 04_28_2009_FD Update_Squirrel UniBom-06.23.2010_update_internal_Bolt RFQ_Foxlink_03.1 2011_nego meeting@MACH 2" xfId="4117"/>
    <cellStyle name="_2006_0409 Ernestine_Cooper tooling_RFQ_River_BAFO_2008 0606_M1_Stream Quotebook(Submittal)_POC1_20080903" xfId="4118"/>
    <cellStyle name="_2005 04 DELL SMT Data2 -Process_2006日常管理目標.DIP _DELL MB廠級目標_DELL MB廠級目標" xfId="4119"/>
    <cellStyle name="好_River EE BOM_Creak Pearl Reliability Fixture RFQ_2009 04 24 3 2" xfId="4120"/>
    <cellStyle name="_05年" xfId="4121"/>
    <cellStyle name="差_HP  專案(設備&amp;治工具需夠買)update_M1 Bolt wireless mouse FixtureEquipment Cost_A2_2010_12_07_Bolt RFQ Proposal_Foxlink_ (Pricing Summary) 2 25 2011 4 2" xfId="4122"/>
    <cellStyle name="_OP1 DPO Forecast Final_Q3 OS_Forecast Template v4" xfId="4123"/>
    <cellStyle name="_0604周治具報廢明細" xfId="4124"/>
    <cellStyle name="差_Creak Pearl Reliability Fixture RFQ_2009 04 24_Creek RFQ feedback 04_28_2009_FD Update_Squirrel RFQ ME BOM Costs-0623_Bolt RFQ_Foxlink_03.1 2011_nego meeting@MACH 3 2" xfId="4125"/>
    <cellStyle name="好_River EE BOM_Creek RFQ feedback 04_28_2009_FD Update_Leopard_UniBOM_ME_0603-2_Bolt RFQ Proposal_Foxlink_ (Pricing Summary) 2 25 2011 2 2 2" xfId="4126"/>
    <cellStyle name="_ABG ECO Combo ww23.4" xfId="4127"/>
    <cellStyle name="差_Creak Pearl Reliability Fixture RFQ_2009 04 24_Creek  Pearl RFQ_May 12_Leopard_UniBOM_ME_0603-2 2" xfId="4128"/>
    <cellStyle name="_06FY01_Inventory Trend Summary" xfId="4129"/>
    <cellStyle name="壞_Creek Assembly Fixture  Test Equipment RFQ_20090427_Squirrel RFQ ME BOM Costs-0623_Bolt RFQ Proposal_Foxlink_ (Pricing Summary) 2 25 2011 7" xfId="4130"/>
    <cellStyle name="差_F3   SMT設備明細_jupite r設備&amp;治工具LIST (總)_Flow Chart&amp;PQ分析(12-1)_Flow Chart&amp;設備治工具清單 _Leopard Flowchart &amp; 產能評估" xfId="4131"/>
    <cellStyle name="好_River EE BOM_Creak Pearl Reliability Fixture RFQ_2009 04 24_Creek RFQ feedback 04_28_2009_FD Update_Squirrel UniBom-06.23.2010_update_internal_Bolt RFQ_Foxlink_03.1 2011_nego meeting@MACH 3 3" xfId="4132"/>
    <cellStyle name="_06FY01_Inventory Trend Summary_FY06 P6 XBox 360 Mfg Var - Close Pack" xfId="4133"/>
    <cellStyle name="_2006_0409 Ernestine_Cooper tooling and plastic price to MS_Quotebook_07SEP10_Internal RFQ River Standalone  Bundle Unibom_v1 2_20080603_EJ_Stream Quotebook(Submittal)_POC1_20080903" xfId="4134"/>
    <cellStyle name="_06FY01_Inventory Trend Summary_FY06 Xenon Console Other Mfg Costs Forecast - january v1" xfId="4135"/>
    <cellStyle name="_06FY01_Inventory Trend Summary_P2 Waynea review" xfId="4136"/>
    <cellStyle name="_2005 04 DELL SMT Data2 -Process_DELL廠級目標dip.EXC _DELL MB廠級目標_DELL制程課管理目標 (4)" xfId="4137"/>
    <cellStyle name="Accent6 14" xfId="4138"/>
    <cellStyle name="_06周資料" xfId="4139"/>
    <cellStyle name="好_Creek Assembly Fixture  Test Equipment RFQ_20090427_Xl0000002_Squirrel UniBom-06.23.2010_update_internal_Bolt RFQ_Foxlink_03.1 2011 3 2" xfId="4140"/>
    <cellStyle name="_2005 04 DELL SMT Data2 -Process_DELL廠級目標dip EXC _DELL廠級目標dip(2月) EXC _BPI 8D-SMT-2月_DELL MB廠級目標.xls 圖表 1" xfId="4141"/>
    <cellStyle name="差_Creak Pearl Reliability Fixture RFQ_2009 04 24_Creek RFQ feedback 04_28_2009_FD Update_Bolt RFQ Proposal_Foxlink_ (Pricing Summary) 2 25 2011 4 3" xfId="4142"/>
    <cellStyle name="_2005 04 DELL SMT Data2 -Process_DELL MB廠級目標四月 _DELL MB廠級目標十一月 (4)" xfId="4143"/>
    <cellStyle name="=C:\WINNT\SYSTEM32\COMMAND.COM" xfId="4144"/>
    <cellStyle name="_0705 職缺信息" xfId="4145"/>
    <cellStyle name="_071101-Forecast-未來6個月" xfId="4146"/>
    <cellStyle name="壞_Creek EE BOM cost_20090425_Jackson and Shadow BOM cost_mainfile_2010 0324 rev.1_Leopard UniBom_Foxlink_12092010 RevD-jen" xfId="4147"/>
    <cellStyle name="_2005 04 DELL SMT Data2 -Process_2006日常管理目標.DIP _DELL廠級目標dip(2月) EXC _BPI 8D-SMT-2月 (3)_DELL MB廠級目標_DELL MB廠級目標" xfId="4148"/>
    <cellStyle name="差_Creak Pearl Reliability Fixture RFQ_2009 04 24_Leopard UniBom_Foxlink_6 21 2010-ME_nego 2 2 2" xfId="4149"/>
    <cellStyle name="好_0842周 顯卡報廢超標8D 4" xfId="4150"/>
    <cellStyle name="Currency 2_Book2 2" xfId="4151"/>
    <cellStyle name="_2006_0406 Ernestine_Cooper tooling_RFQ_River_BAFO_2008 0606_M1_Stream Quotebook(Submittal)_POC1_20080903 2" xfId="4152"/>
    <cellStyle name="_2005 04 DELL SMT Data2 -Process_DELL MB廠級目標  (2)_DELL MB廠級目標_DELLTEAM入庫資料1_2007DELL SMT廠級目標KPI(MT)1" xfId="4153"/>
    <cellStyle name="差_F3   SMT設備明細_M1 SuedeFixtureEquipment Cost_A0_2010_10_15_Bolt RFQ Proposal_Foxlink_ (Pricing Summary) 2 25 2011 3 2" xfId="4154"/>
    <cellStyle name="_0715周IE Weekly Report" xfId="4155"/>
    <cellStyle name="_080817巡廠紀錄" xfId="4156"/>
    <cellStyle name="_0828周報-1" xfId="4157"/>
    <cellStyle name="_0842周 顯卡報廢超標8D" xfId="4158"/>
    <cellStyle name="好_Creek EE BOM cost_20090425_Bolt RFQ Proposal_Foxlink_ (Pricing Summary) 2 25 2011 4" xfId="4159"/>
    <cellStyle name="_2006_0409 Ernestine_Cooper tooling and plastic price to MS_Quotebook_07SEP10_BlueAnt_Quotebook_V3_07SEP11_Stream RFQ Unibom--0626-1756_Stream Quotebook(Submittal)_POC1_20080903 2" xfId="4160"/>
    <cellStyle name="_08FY01_Inventory Trend Summary_FY06 P6 CM Consigned RM" xfId="4161"/>
    <cellStyle name="_08FY01_Inventory Trend Summary_FY06 P6 XBox 360 Mfg Var - Close Pack" xfId="4162"/>
    <cellStyle name="_Actual P&amp;L_Computing Apr ~ May.2006_Budget GC Other Form" xfId="4163"/>
    <cellStyle name="_2006_0319 Ernestine_Cooper Cost Feedback_Quotebook_07SEP10_BlueAnt_Quotebook_V3_07SEP11_Stream RFQ Unibom--0626-1756" xfId="4164"/>
    <cellStyle name="差_dallas產能評估_Dallas flow chart&amp;設備&amp;治工具清單(12-8 A0)_效益分析(總 12-28 Update)_Leopard效益分析08-17" xfId="4165"/>
    <cellStyle name="_2005 04 DELL SMT Data2 -Process_DELL廠級目標dip EXC _DELL廠級目標dip(2月) EXC _BPI 8D-SMT-2月_DELL MB廠級目標_DELL MB廠級目標四月 " xfId="4166"/>
    <cellStyle name="好_River EE BOM_Xl0000002_Leopard_UniBOM_ME_0531_Bolt RFQ_Foxlink_03.1 2011 3 3" xfId="4167"/>
    <cellStyle name="差_治具工程課2009年KPI_KPI 1006 2 2 2 3" xfId="4168"/>
    <cellStyle name="_08FY01_Inventory Trend Summary_FY06 P7 CM Consigned RM" xfId="4169"/>
    <cellStyle name="差_pq_Jackson 效益分析 (2-1 B0 上系統)" xfId="4170"/>
    <cellStyle name="_August-05_X-BOX BB" xfId="4171"/>
    <cellStyle name="40% - アクセント 2" xfId="4172"/>
    <cellStyle name="好_Creek Assembly Fixture  Test Equipment RFQ_20090427_Xl0000002_Leopard_UniBOM_ME_0602-1_Bolt RFQ Proposal_Foxlink_ (Pricing Summary) 2 25 2011 6" xfId="4173"/>
    <cellStyle name="_Mechanical Contribution Margins (Q1'06, applied to Apr'04 Fcst)_Mechanical Contribution Margins forecast 0506 FP_Internal Hourly Rate Q1 FY08 Version (2)" xfId="4174"/>
    <cellStyle name="_2006_0410 Ernestine_Cooper tooling and plastic price to MS_Quotebook_V3_07SEP11_RFQ_River_BAFO_2008 0606_M1_Stream Quotebook(Submittal)_POC1_20080903 2" xfId="4175"/>
    <cellStyle name="_2005 04 DELL SMT Data2 -Process_BPI 8D-SMT-2月 (3)_DELL MB廠級目標.xls 圖表 1_DELL制程課管理指標" xfId="4176"/>
    <cellStyle name="_08FY01_Inventory Trend Summary_FY06 Xenon Console Other Mfg Costs Forecast - january v1" xfId="4177"/>
    <cellStyle name="好_River EE BOM_Creak Pearl Reliability Fixture RFQ_2009 04 24_Creek RFQ feedback 04_28_2009_FD Update_Leopard_UniBOM_ME_0602-1_Bolt RFQ Proposal_Foxlink_ (Pricing Summary) 2 25 2011" xfId="4178"/>
    <cellStyle name="_08年7月庫存月報oracle" xfId="4179"/>
    <cellStyle name="_bom updated on 2002-11-10_Quote Format - sample Rev 7" xfId="4180"/>
    <cellStyle name="_0932-0804 Manpower--MBO新" xfId="4181"/>
    <cellStyle name="_2006_0410b Ernestine_Cooper tooling and plastic price to MS_Quotebook_V3_07SEP11_Internal RFQ River Standalone  Bundle Unibom_v1 2_20080603_EJ_Stream Quotebook (Submittal)_POC2_20081117-1" xfId="4182"/>
    <cellStyle name="_2005 04 DELL SMT Data2 -Process_2006日常管理目標.DIP _DELL廠級目標dip(2月) EXC _DELL MB廠級目標  (2)_DELL MB廠級目標.xls 圖表 1_DELLTEAM入庫資料1_DELL MB廠級目標十一月 (4)" xfId="4183"/>
    <cellStyle name="Comma 2 29" xfId="4184"/>
    <cellStyle name="Comma 2 34" xfId="4185"/>
    <cellStyle name="_1005月月報" xfId="4186"/>
    <cellStyle name="_10月加班" xfId="4187"/>
    <cellStyle name="_2005 04 DELL SMT Data2 -Process_2006日常管理目標.DIP _DELL廠級目標dip(2月) EXC _BPI 8D-SMT-2月 (3)_DELL MB廠級目標.xls 圖表 1_DELLTEAM入庫資料1_DELL MB廠級目標十一月 (4)" xfId="4188"/>
    <cellStyle name="Calc Percent (2) 4" xfId="4189"/>
    <cellStyle name="_10月領退料-HQ" xfId="4190"/>
    <cellStyle name="好_River EE BOM_Xl0000000_Bolt RFQ Proposal_Foxlink_ (Pricing Summary) 2 25 2011 6" xfId="4191"/>
    <cellStyle name="_2005 04 DELL SMT Data2 -Process_2006日常管理目標.DIP _DELL廠級目標dip(2月) EXC _DELL MB廠級目標十一月 (4)" xfId="4192"/>
    <cellStyle name="_111604 MS Insight Open PO-RM" xfId="4193"/>
    <cellStyle name="_Sales Forecast (plastic XX)0703_Volume Fcst 1006 updated_X-BOX Console line setup budget and Buyer list" xfId="4194"/>
    <cellStyle name="_Sales Forecast (plastic XX)1203_Volume Fcst 1006 updated_X-BOX Console line setup budget and Buyer list" xfId="4195"/>
    <cellStyle name="_112204 MS Insight Open PO" xfId="4196"/>
    <cellStyle name="差_治具工程課2009年KPI_2009MB KPI-0205 2 3 2" xfId="4197"/>
    <cellStyle name="_Alvin-Development NRE_RFQ_River_BAFO_2008 0606_M1_Stream Package Quotation_20090311" xfId="4198"/>
    <cellStyle name="Normal 5 6 3 3 2" xfId="4199"/>
    <cellStyle name="_11-May 2001" xfId="4200"/>
    <cellStyle name="差_Foxlink_Shadow RFQ NREUni BOM_12032009 3 3" xfId="4201"/>
    <cellStyle name="_11-May 2001_accessories spc 1 0 slide" xfId="4202"/>
    <cellStyle name="_11-May 2001_Book1" xfId="4203"/>
    <cellStyle name="_184071 - RMA Review" xfId="4204"/>
    <cellStyle name="_11-May 2001_Book5" xfId="4205"/>
    <cellStyle name="差_Creak Pearl Reliability Fixture RFQ_2009 04 24_Leopard_UniBOM_ME_0602-1_Bolt RFQ Proposal_Foxlink_ (Pricing Summary) 2 25 2011 4" xfId="4206"/>
    <cellStyle name="_FCT Pareto By Line-July 12th X808665-001-DEV01282-2_yield report for DEV02342" xfId="4207"/>
    <cellStyle name="_11-May 2001_CopyOfP6 Waynea review" xfId="4208"/>
    <cellStyle name="_11-May 2001_FY06 P06 360Periphs SPC" xfId="4209"/>
    <cellStyle name="_2005 04 DELL SMT Data2 -Process_DELL SMT 廠級目標KPI_DELL MB廠級目標.xls 圖表 1_DELL制程課管理目標" xfId="4210"/>
    <cellStyle name="_Flextronics Radon  Build Plan 4-27-2005_Line transition plan to B17 revised 2 _Tester Demand Plan_Tester Demand Plan 062707" xfId="4211"/>
    <cellStyle name="_11-May 2001_FY06 P4 CM Consigned RM" xfId="4212"/>
    <cellStyle name="_11-May 2001_FY06 P5 XBox 360 Mfg Var - Close Pack" xfId="4213"/>
    <cellStyle name="差_jupite r設備&amp;治工具LIST (總)_~8644671_Leopard Flowchart &amp; 產能評估" xfId="4214"/>
    <cellStyle name="_11-May 2001_FY06 P7 CM Consigned RM" xfId="4215"/>
    <cellStyle name="_11-May 2001_FY06 P7 XBox Mfg Var - Close Pack" xfId="4216"/>
    <cellStyle name="_2005 04 DELL SMT Data2 -Process_DELL廠級目標dip(2月) EXC _DELL MB廠級目標.xls 圖表 1_2007DELL SMT廠級目標KPI(MT)1" xfId="4217"/>
    <cellStyle name="F3" xfId="4218"/>
    <cellStyle name="_11-May 2001_FY06 P8 CM Consigned RM" xfId="4219"/>
    <cellStyle name="_2005 04 DELL SMT Data2 -Process_DELL制程課管理目標 (4)" xfId="4220"/>
    <cellStyle name="_11-May 2001_P2 Waynea review" xfId="4221"/>
    <cellStyle name="差_Creak Pearl Reliability Fixture RFQ_2009 04 24_Foxlink_Shadow RFQ NREUni BOM_12032009_Bolt RFQ_Foxlink_03.1 2011 2 2" xfId="4222"/>
    <cellStyle name="Normal 56 4" xfId="4223"/>
    <cellStyle name="_2005 04 DELL SMT Data2 -Process_BPI 8D-SMT-2月 (3)_DELL MB廠級目標" xfId="4224"/>
    <cellStyle name="_2005 04 DELL SMT Data2 -Process_2006日常管理目標.DIP _DELL廠級目標dip(2月) EXC _BPI 8D-SMT-2月_DELL MB廠級目標.xls 圖表 1_DELL MB廠級目標_DELL MB廠級目標十一月 (4)" xfId="4225"/>
    <cellStyle name="_11-May 2001_P6 Si Ops review" xfId="4226"/>
    <cellStyle name="_11-May 2001_P6 Si Ops review (2)" xfId="4227"/>
    <cellStyle name="_11-May 2001_P6 Waynea review" xfId="4228"/>
    <cellStyle name="_2005 04 DELL SMT Data2 -Process_2006日常管理目標.DIP _DELL廠級目標dip(2月) EXC _DELL MB廠級目標 _DELL MB廠級目標.xls 圖表 1_DELL MB廠級目標" xfId="4229"/>
    <cellStyle name="_Flex Mechanicals Doumen Sales forecast - Dec'05 R1_PL Forecast by segment-most final 0806_2009 xBOX ramp up budget code applicaiton 300K --New May27" xfId="4230"/>
    <cellStyle name="好_River EE BOM_Creak Pearl Reliability Fixture RFQ_2009 04 24_Creek RFQ feedback 04_28_2009_FD Update_Foxlink_Shadow RFQ NREUni BOM_12032009_Bolt RFQ_Foxlink_03.1 2011 3 2" xfId="4231"/>
    <cellStyle name="_123" xfId="4232"/>
    <cellStyle name="_12月份領退" xfId="4233"/>
    <cellStyle name="_184071 - FY05 Xbox Prepaid Inventory" xfId="4234"/>
    <cellStyle name="_184071 - FY05 Xbox Prepaid Inventory_Copy of Pending MRB 01 27 06 (2)" xfId="4235"/>
    <cellStyle name="差_jupite r設備&amp;治工具LIST (總)_flow chart 2009.12.12_效益分析(總 12-28 Update)" xfId="4236"/>
    <cellStyle name="好_River EE BOM_Creek RFQ feedback 04_28_2009_FD Update_Leopard_UniBOM_ME_0602-1 2 4" xfId="4237"/>
    <cellStyle name="_Fcst March_06(Revised 2.)_PL Forecast by segment-most final 0806_2009 xBOX ramp up budget code applicaiton 300K --New May26 (3)" xfId="4238"/>
    <cellStyle name="_184071 - FY05 Xbox Prepaid Inventory_CopyOfP6 Waynea review" xfId="4239"/>
    <cellStyle name="_184071 - FY05 Xbox Prepaid Inventory_FY06 P4 CM Consigned RM" xfId="4240"/>
    <cellStyle name="好_Creek EE BOM cost_20090425_Creek RFQ feedback 04_28_2009_FD Update_Bolt RFQ_Foxlink_03.1 2011_nego meeting@MACH 3 2" xfId="4241"/>
    <cellStyle name="_184071 - FY05 Xbox Prepaid Inventory_P2 Waynea review" xfId="4242"/>
    <cellStyle name="好_Creek Assembly Fixture  Test Equipment RFQ_20090427_Leopard_UniBOM_ME_0603-2_Bolt RFQ_Foxlink_03.1 2011_nego meeting@MACH" xfId="4243"/>
    <cellStyle name="_184071 - FY05 Xbox Prepaid Inventory_P6 Si Ops review" xfId="4244"/>
    <cellStyle name="好_Creek EE BOM cost_20090425_Leopard_UniBOM_ME_0603-2_Bolt RFQ Proposal_Foxlink_ (Pricing Summary) 2 25 2011 4" xfId="4245"/>
    <cellStyle name="好_Creek Assembly Fixture  Test Equipment RFQ_20090427_Leopard RFQ ME BOM Costs-0618_Bolt RFQ_Foxlink_03.1 2011_Bolt_Cliff 3 3" xfId="4246"/>
    <cellStyle name="_184071 - FY05 Xbox Prepaid Inventory_P6 Si Ops review (2)" xfId="4247"/>
    <cellStyle name="=C:\WINNT\SYSTEM32\COMMAND.COM 9" xfId="4248"/>
    <cellStyle name="_184071 - FY05 Xbox Prepaid Inventory_P6 Waynea review" xfId="4249"/>
    <cellStyle name="_200812費用分析_v1_20090101_2010-05 費用分析0604" xfId="4250"/>
    <cellStyle name="_184071 - P8 Non-DW PPV" xfId="4251"/>
    <cellStyle name="差_Flow Chart&amp;PQ分析(12-1)_Flow Chart&amp;設備治工具清單 " xfId="4252"/>
    <cellStyle name="_184071 - P8 Non-DW PPV_Book5" xfId="4253"/>
    <cellStyle name="_Sheet2_P6 Waynea review" xfId="4254"/>
    <cellStyle name="_Mechanical Contribution Margins (Q1'06, applied to Apr'04 Fcst)_PL Fcst Jul 06-updated G&amp;A Value_Tom OS ( Oct)_Budget GC Other Form" xfId="4255"/>
    <cellStyle name="_2005 04 DELL SMT Data2 -Process_DELL廠級目標dip EXC _DELL廠級目標dip(2月) EXC _DELL MB廠級目標 _DELL MB廠級目標.xls 圖表 1_DELL MB廠級目標" xfId="4256"/>
    <cellStyle name="_184071 - P8 Non-DW PPV_CopyOfP6 Waynea review" xfId="4257"/>
    <cellStyle name="好_River EE BOM_Creak Pearl Reliability Fixture RFQ_2009 04 24_Xl0000002_Leopard Lemur Squirrel UniBom-06.22.2010_EE cost _update_internal_Bolt RFQ Proposal_Foxlink_ (Pricing Summary) 2 25 2011 2 2 2" xfId="4258"/>
    <cellStyle name="_184071 - P8 Non-DW PPV_FY06 P5 XBox 360 Mfg Var - Close Pack" xfId="4259"/>
    <cellStyle name="差_Creak Pearl Reliability Fixture RFQ_2009 04 24_Leopard RFQ ME BOM Costs-0618-2_Bolt RFQ_Foxlink_03.1 2011 5" xfId="4260"/>
    <cellStyle name="_2005 04 DELL SMT Data2 -Process_DELL廠級目標dip EXC _DELL廠級目標dip(2月) EXC _BPI 8D-SMT-2月 (3)_DELL MB廠級目標_DELL MB廠級目標四月 _2007DELL SMT廠級目標KPI(MT)1" xfId="4261"/>
    <cellStyle name="_184071 - P8 Non-DW PPV_FY06 P7 XBox 360 Mfg Var - Close Pack" xfId="4262"/>
    <cellStyle name="好_River EE BOM_Creak Pearl Reliability Fixture RFQ_2009 04 24_Xl0000002_Leopard Lemur Squirrel UniBom-06.22.2010_EE cost _update_internal_Bolt RFQ_Foxlink_03.1 2011_nego meeting@MACH 3 3" xfId="4263"/>
    <cellStyle name="好_Creek Assembly Fixture  Test Equipment RFQ_20090427_Xl0000002_Leopard RFQ ME BOM Costs-0618_Bolt RFQ Proposal_Foxlink_ (Pricing Summary) 2 25 2011 3" xfId="4264"/>
    <cellStyle name="Explanatory Text 6" xfId="4265"/>
    <cellStyle name="_184071 - P8 Non-DW PPV_P2 Waynea review" xfId="4266"/>
    <cellStyle name="_184071 - P8 Non-DW PPV_P6 Si Ops review" xfId="4267"/>
    <cellStyle name="_2005 04 DELL SMT Data2 -Process_DELL廠級目標dip EXC _DELL MB廠級目標.xls 圖表 1_DELL MB廠級目標四月 _DELL MB廠級目標十一月 (4)" xfId="4268"/>
    <cellStyle name="好_Creek Assembly Fixture  Test Equipment RFQ_20090427_Leopard_UniBOM_ME_0602_Bolt RFQ_Foxlink_03.1 2011_Bolt_Cliff 4 3" xfId="4269"/>
    <cellStyle name="好_Bristol  cost 20100914Rev.A_Bristol ME parts tooling cost 20101022 updated_Bristol TC Estimate Update 08042011_MS" xfId="4270"/>
    <cellStyle name="_184071 - P8 Non-DW PPV_P6 Waynea review" xfId="4271"/>
    <cellStyle name="好_Creek EE BOM cost_20090425_Creek RFQ feedback 04_28_2009_FD Update_Leopard_UniBOM_ME_0531_Bolt RFQ Proposal_Foxlink_ (Pricing Summary) 2 25 2011 6" xfId="4272"/>
    <cellStyle name="20% - Accent2 11" xfId="4273"/>
    <cellStyle name="_8D_1_八月月報2_0538周周管審--FINl_複本 0541周周管審" xfId="4274"/>
    <cellStyle name="差_Creak Pearl Reliability Fixture RFQ_2009 04 24_Xl0000002_Leopard UniBom_Foxlink_6 21 2010-ME_nego_Bolt RFQ Proposal_Foxlink_ (Pricing Summary) 2 25 2011 4 2" xfId="4275"/>
    <cellStyle name="_184071 - RMA Review (2)" xfId="4276"/>
    <cellStyle name="Input 14" xfId="4277"/>
    <cellStyle name="_184071 - RMA Review (2)_Book5" xfId="4278"/>
    <cellStyle name="_2005 04 DELL SMT Data2 -Process_DELL廠級目標dip EXC _DELL廠級目標dip(2月) EXC _DELL MB廠級目標 _DELL MB廠級目標.xls 圖表 1_DELL MB廠級目標四月 _2007DELL SMT廠級目標KPI(MT)1" xfId="4279"/>
    <cellStyle name="_184071 - RMA Review (2)_CopyOfP6 Waynea review" xfId="4280"/>
    <cellStyle name="_2005 04 DELL SMT Data2 -Process_2006日常管理目標.DIP _DELL廠級目標dip(2月) EXC _DELL MB廠級目標  (2)_DELL MB廠級目標十一月 (4)" xfId="4281"/>
    <cellStyle name="差_F3   SMT設備明細_效益分析_Dallas效益分析&amp;投資回收期 (12-2 A1)_Leopard效益分析08-17" xfId="4282"/>
    <cellStyle name="_OP1 DPO Forecast Final_Volume Fcst 1006 updated_Copy of Tom OS ( Oct) new for LOG_2009 xBOX ramp up budget code applicaiton 300K --New May26 (3)" xfId="4283"/>
    <cellStyle name="_184071 - RMA Review (2)_FY06 P7 CM Consigned RM" xfId="4284"/>
    <cellStyle name="_184071 - RMA Review (2)_FY06 P8 CM Consigned RM" xfId="4285"/>
    <cellStyle name="好_Creek Assembly Fixture  Test Equipment RFQ_20090427_Xl0000002_Leopard UniBom_Foxlink_6 21 2010-ME_nego 2 3" xfId="4286"/>
    <cellStyle name="_2006_0410 Ernestine_Cooper tooling and plastic price to MS_Quotebook_07SEP10_BlueAnt_Quotebook_V3_07SEP11_RFQ_River_BAFO_2008 0606_M1_Stream Quotebook(Submittal)_POC1_20080903" xfId="4287"/>
    <cellStyle name="_184071 - RMA Review (2)_P2 Waynea review" xfId="4288"/>
    <cellStyle name="_184071 - RMA Review (2)_P6 Si Ops review" xfId="4289"/>
    <cellStyle name="好_River EE BOM_Xl0000000_Leopard UniBom_Foxlink_12092010 RevD-jen" xfId="4290"/>
    <cellStyle name="_Mfg Variances FY04 4_06_FY06 P4 CM Consigned RM" xfId="4291"/>
    <cellStyle name="_Mechanical Contribution Margins (Q1'06, applied to Apr'04 Fcst)_Volume Fcst 1006 updated_Copy of Tom OS ( Oct) new for LOG_X-BOX BB" xfId="4292"/>
    <cellStyle name="_2006_0412 Ernestine_Cooper tooling and plastic price to MS_JC_Internal RFQ River Standalone  Bundle Unibom_v1 2_20080603_EJ_Stream Quotebook (Submittal)_POC2_20081117-1" xfId="4293"/>
    <cellStyle name="差_F3   SMT設備明細_jupite r設備&amp;治工具LIST (總)_pq_Jackson 效益分析 (2-1 B0 上系統)" xfId="4294"/>
    <cellStyle name="差_Creak Pearl Reliability Fixture RFQ_2009 04 24_Leopard_UniBOM_ME_0603-2 2 4" xfId="4295"/>
    <cellStyle name="_184071 - RMA Review (2)_P6 Si Ops review (2)" xfId="4296"/>
    <cellStyle name="_184071 - RMA Review (2)_P6 Waynea review" xfId="4297"/>
    <cellStyle name="差_Creak Pearl Reliability Fixture RFQ_2009 04 24_Bolt RFQ Proposal_Foxlink_ (Pricing Summary) 2 25 2011 5 3" xfId="4298"/>
    <cellStyle name="_184071 - RMA Review (3)" xfId="4299"/>
    <cellStyle name="_Flextronics Radon  Build Plan 4-27-2005_Production Head Count Arrangement 01-24-07_Tester Demand Plan 062807_Tester Demand Plan 062707" xfId="4300"/>
    <cellStyle name="好_River EE BOM_Creak Pearl Reliability Fixture RFQ_2009 04 24_Creek RFQ feedback 04_28_2009_FD Update 3 2" xfId="4301"/>
    <cellStyle name="Normal 47 2 4" xfId="4302"/>
    <cellStyle name="Normal 52 2 4" xfId="4303"/>
    <cellStyle name="_184071 - RMA Review (3)_Book5" xfId="4304"/>
    <cellStyle name="_2005 04 DELL SMT Data2 -Process_DELL廠級目標dip EXC _DELL廠級目標dip(2月) EXC _DELL MB廠級目標  (2)_DELL MB廠級目標_DELL制程課管理指標" xfId="4305"/>
    <cellStyle name="_184071 - RMA Review (3)_Copy of Pending MRB 01 27 06 (2)" xfId="4306"/>
    <cellStyle name="_Quotebook_V3_07SEP11" xfId="4307"/>
    <cellStyle name="_184071 - RMA Review (3)_FY06 P4 CM Consigned RM" xfId="4308"/>
    <cellStyle name="壞_Creek Assembly Fixture  Test Equipment RFQ_20090427_Xl0000002_Leopard_UniBOM_ME_0603-2 2 3" xfId="4309"/>
    <cellStyle name="差_HP Mouse 產能評估(上系統) 2 2 2" xfId="4310"/>
    <cellStyle name="_2006_0410 Ernestine_Cooper tooling and plastic price to MS_Quotebook_07SEP10_Stream RFQ Unibom--0626-1756_Stream Package Quotation_20090311" xfId="4311"/>
    <cellStyle name="_184071 - RMA Review (3)_FY06 P7 CM Consigned RM" xfId="4312"/>
    <cellStyle name="_2005 04 DELL SMT Data2 -Process_DELL廠級目標dip EXC _DELL廠級目標dip(2月) EXC _DELL MB廠級目標 _DELL MB廠級目標.xls 圖表 1_DELL制程課管理目標" xfId="4313"/>
    <cellStyle name="好_MB9月管審換線超時8d 2" xfId="4314"/>
    <cellStyle name="_Biz Ops By Stream_accessories spc 1 0 slide" xfId="4315"/>
    <cellStyle name="好_Creek Assembly Fixture  Test Equipment RFQ_20090427_Leopard RFQ ME BOM Costs-0618_Bolt RFQ_Foxlink_03.1 2011_Bolt_Cliff 2 3" xfId="4316"/>
    <cellStyle name="_2006_0406 Ernestine_Cooper tooling_Quotebook_V3_07SEP11_RFQ_River_BAFO_2008 0606_M1" xfId="4317"/>
    <cellStyle name="好_Creek Assembly Fixture  Test Equipment RFQ_20090427_Xl0000002_Leopard Lemur Squirrel UniBom-06.22.2010_EE cost _update_internal_Bolt RFQ_Foxlink_03.1 2011 2 2" xfId="4318"/>
    <cellStyle name="_Mechanical Contribution Margins forecast 0506 FP_PL Fcst Jul 06-updated G&amp;A Value_Tom OS ( Oct)" xfId="4319"/>
    <cellStyle name="_184071 - RMA Review (3)_FY06 P8 CM Consigned RM" xfId="4320"/>
    <cellStyle name="60% - 强调文字颜色 6 2 5" xfId="4321"/>
    <cellStyle name="_184071 - RMA Review_Book5" xfId="4322"/>
    <cellStyle name="好_River EE BOM_Xl0000002_Squirrel RFQ ME BOM Costs-0623 2 2 3" xfId="4323"/>
    <cellStyle name="_184071 - RMA Review_Copy of Pending MRB 01 27 06 (2)" xfId="4324"/>
    <cellStyle name="_2005 04 DELL SMT Data2 -Process_2006日常管理目標.DIP _DELL廠級目標dip(2月) EXC _BPI 8D-SMT-2月_DELL MB廠級目標.xls 圖表 1_DELLTEAM入庫資料1" xfId="4325"/>
    <cellStyle name="_184071 - RMA Review_CopyOfP6 Waynea review" xfId="4326"/>
    <cellStyle name="差_Creak Pearl Reliability Fixture RFQ_2009 04 24_Creek RFQ feedback 04_28_2009_FD Update_Leopard_UniBOM_ME_0603-2 2 2 2" xfId="4327"/>
    <cellStyle name="0,0_x000d__x000a_NA_x000d__x000a__ EE &amp; Pkg BOM costs" xfId="4328"/>
    <cellStyle name="_184071 - RMA Review_FY06 P4 CM Consigned RM" xfId="4329"/>
    <cellStyle name="_2005 04 DELL SMT Data2 -Process_BPI 8D-SMT-2月 (3)_DELL MB廠級目標.xls 圖表 1_DELL制程課管理目標 (4)" xfId="4330"/>
    <cellStyle name="見出し 3" xfId="4331"/>
    <cellStyle name="_H&amp;E Reporting Summary_Eileen_P2 Waynea review" xfId="4332"/>
    <cellStyle name="_184071 - RMA Review_FY06 P5 XBox 360 Mfg Var - Close Pack" xfId="4333"/>
    <cellStyle name="好_Creek Assembly Fixture  Test Equipment RFQ_20090427_Bolt_Cliff 2 2 3" xfId="4334"/>
    <cellStyle name="_7月ict f.t_0536周周管審_0536周直通率8d_0540周直通率8D1_複本 0541周周管審" xfId="4335"/>
    <cellStyle name="Porcentaje" xfId="4336"/>
    <cellStyle name="_2005 04 DELL SMT Data2 -Process_DELL MB廠級目標  (2)_DELL MB廠級目標_DELL MB廠級目標_2007DELL SMT廠級目標KPI(MT)1" xfId="4337"/>
    <cellStyle name="_184071 - RMA Review_FY06 P7 CM Consigned RM" xfId="4338"/>
    <cellStyle name="_Seagate ME BOM cost_Russ_060706" xfId="4339"/>
    <cellStyle name="_184071 - RMA Review_FY06 P8 CM Consigned RM" xfId="4340"/>
    <cellStyle name="_184071 - RMA Review_P2 Waynea review" xfId="4341"/>
    <cellStyle name="_184071 - RMA Review_P6 Si Ops review" xfId="4342"/>
    <cellStyle name="_2005 04 DELL SMT Data2 -Process_DELL SMT 廠級目標KPI_DELL MB廠級目標.xls 圖表 1_DELL MB廠級目標四月 " xfId="4343"/>
    <cellStyle name="差_Creak Pearl Reliability Fixture RFQ_2009 04 24_Leopard_UniBOM_ME_0602 3" xfId="4344"/>
    <cellStyle name="好_Creek Assembly Fixture  Test Equipment RFQ_20090427_Xl0000002_Bolt RFQ Proposal_Foxlink_ (Pricing Summary) 2 25 2011 3" xfId="4345"/>
    <cellStyle name="_184071 - RMA Review_P6 Waynea review" xfId="4346"/>
    <cellStyle name="好_River EE BOM_Xl0000002_Leopard RFQ ME BOM Costs-0618-2_Bolt RFQ Proposal_Foxlink_ (Pricing Summary) 2 25 2011 5 2" xfId="4347"/>
    <cellStyle name="好_0842周 顯卡報廢超標8D_2009MB KPI_MBO3F製造部hp0209-01 2 2 2 2" xfId="4348"/>
    <cellStyle name="_184071 - Xbox Prepaid Inventory (2)" xfId="4349"/>
    <cellStyle name="_184071 - Xbox Prepaid Inventory (2)_Book5" xfId="4350"/>
    <cellStyle name="差_Jackson EV2 Trial run QA Report_20100423_Suede QA report for EV2.1 _20110301_Update" xfId="4351"/>
    <cellStyle name="_184071 - Xbox Prepaid Inventory (2)_Copy of Pending MRB 01 27 06 (2)" xfId="4352"/>
    <cellStyle name="_2005 04 DELL SMT Data2 -Process_DELL MB廠級目標 (2)_DELL MB廠級目標_DELL MB廠級目標十一月 (4)" xfId="4353"/>
    <cellStyle name="_184071 - Xbox Prepaid Inventory (2)_CopyOfP6 Waynea review" xfId="4354"/>
    <cellStyle name="_2006_0319 Ernestine_Cooper Cost Feedback_Stream RFQ Unibom--0626-1756_Stream Quotebook(Submittal)_POC1_20080903" xfId="4355"/>
    <cellStyle name="差_MB9月管審換線超時8d_HP 2" xfId="4356"/>
    <cellStyle name="_184071 - Xbox Prepaid Inventory (2)_FY06 P7 CM Consigned RM" xfId="4357"/>
    <cellStyle name="_184071 - Xbox Prepaid Inventory (2)_FY06 P7 XBox 360 Mfg Var - Close Pack" xfId="4358"/>
    <cellStyle name="_Fcst March_06(Revised 2.)_PL Fcst Jul 06-updated G&amp;A Value_Copy of X-BOX for line setup budget" xfId="4359"/>
    <cellStyle name="_184071 - Xbox Prepaid Inventory (2)_FY06 P8 CM Consigned RM" xfId="4360"/>
    <cellStyle name="_2006_0329 Ernestine_Cooper Cost Feedback 2" xfId="4361"/>
    <cellStyle name="_184071 - Xbox Prepaid Inventory (2)_P2 Waynea review" xfId="4362"/>
    <cellStyle name="好_River EE BOM_Creak Pearl Reliability Fixture RFQ_2009 04 24_Pearl RFQ(Submittal)ver2_05_12_2009 _Leopard RFQ ME BOM Costs-0618-2_Bolt RFQ Proposal_Foxlink_ (Pricing Summary) 2 25 2011 5 3" xfId="4363"/>
    <cellStyle name="好_MB9月管審誤判超標 8D_HP 2 3" xfId="4364"/>
    <cellStyle name="_184071 - Xbox Prepaid Inventory (2)_P6 Si Ops review (2)" xfId="4365"/>
    <cellStyle name="好_River EE BOM_Creak Pearl Reliability Fixture RFQ_2009 04 24_Xl0000002_Leopard_UniBOM_ME_0602-1_Bolt RFQ_Foxlink_03.1 2011_nego meeting@MACH 5" xfId="4366"/>
    <cellStyle name="_2006_0406 Ernestine_Cooper tooling_Internal RFQ River Standalone  Bundle Unibom_v1 2_20080603_EJ_Stream Package Quotation_20090311" xfId="4367"/>
    <cellStyle name="好_Rio QA Report-8.12_Dolce   QA Report 2010_0902 (A3)" xfId="4368"/>
    <cellStyle name="_2005 04 DELL SMT Data2 -Process_DELL廠級目標dip(1月) EXC _DELL MB廠級目標.xls 圖表 1_DELL MB廠級目標_2007DELL SMT廠級目標KPI(MT)1" xfId="4369"/>
    <cellStyle name="_184071 - Xbox Prepaid Inventory (2)_P6 Waynea review" xfId="4370"/>
    <cellStyle name="Accent3 - 40%" xfId="4371"/>
    <cellStyle name="_184071 - Xbox Prepaid Inventory (5)" xfId="4372"/>
    <cellStyle name="_184071 - Xbox Prepaid Inventory (5)_Book5" xfId="4373"/>
    <cellStyle name="_Sheet1_Copy of Console PCBA BB line Readiness Review 080625" xfId="4374"/>
    <cellStyle name="_2005 04 DELL SMT Data2 -Process_DELL廠級目標dip EXC _DELL廠級目標dip(2月) EXC _DELL MB廠級目標 (2)_DELL MB廠級目標.xls 圖表 1_DELL MB廠級目標四月 _DELL MB廠級目標十一月 (4)" xfId="4375"/>
    <cellStyle name="好_Wedge_ME_BOM-v00-11v0630" xfId="4376"/>
    <cellStyle name="_184071 - Xbox Prepaid Inventory (5)_Copy of Pending MRB 01 27 06 (2)" xfId="4377"/>
    <cellStyle name="_184071 - Xbox Prepaid Inventory (5)_CopyOfP6 Waynea review" xfId="4378"/>
    <cellStyle name="_184071 - Xbox Prepaid Inventory (5)_FY06 P4 CM Consigned RM" xfId="4379"/>
    <cellStyle name="_184071 - Xbox Prepaid Inventory (5)_FY06 P7 CM Consigned RM" xfId="4380"/>
    <cellStyle name="好_Creek EE BOM cost_20090425_Squirrel UniBom-06.23.2010_update_internal 2 2 2" xfId="4381"/>
    <cellStyle name="_184071 - Xbox Prepaid Inventory (5)_FY06 P7 XBox 360 Mfg Var - Close Pack" xfId="4382"/>
    <cellStyle name="_2005 04 DELL SMT Data2 -Process_2006日常管理目標.DIP _DELL廠級目標dip(2月) EXC _DELL MB廠級目標四月 " xfId="4383"/>
    <cellStyle name="_8月月管審附件.xls 圖表 1_八月份周直通率8d1" xfId="4384"/>
    <cellStyle name="_184071 - Xbox Prepaid Inventory (5)_FY06 P8 CM Consigned RM" xfId="4385"/>
    <cellStyle name="差_Creak Pearl Reliability Fixture RFQ_2009 04 24_Creek  Pearl RFQ_May 12_Leopard_UniBOM_ME_0531_Bolt RFQ_Foxlink_03.1 2011_nego meeting@MACH 3 2" xfId="4386"/>
    <cellStyle name="_184071 - Xbox Prepaid Inventory (5)_P2 Waynea review" xfId="4387"/>
    <cellStyle name="好_River EE BOM_Creak Pearl Reliability Fixture RFQ_2009 04 24_Pearl RFQ(Submittal)ver2_05_12_2009 _Squirrel RFQ ME BOM Costs-0623_Bolt RFQ Proposal_Foxlink_ (Pricing Summary) 2 25 2011 3 3" xfId="4388"/>
    <cellStyle name="_184071 - Xbox Prepaid Inventory (5)_P6 Waynea review" xfId="4389"/>
    <cellStyle name="好_River EE BOM_Creak Pearl Reliability Fixture RFQ_2009 04 24_Xl0000002_Leopard_UniBOM_ME_0531_Bolt RFQ_Foxlink_03.1 2011_nego meeting@MACH" xfId="4390"/>
    <cellStyle name="好_River EE BOM_Creak Pearl Reliability Fixture RFQ_2009 04 24_Creek RFQ feedback 04_28_2009_FD Update_Leopard_UniBOM_ME_0603-2 2" xfId="4391"/>
    <cellStyle name="好_HP all model 標準工時(W1130) 2 3" xfId="4392"/>
    <cellStyle name="_2005 04 DELL SMT Data2 -Process_BPI 8D-SMT-2月_DELL MB廠級目標_2007DELL SMT廠級目標KPI(MT)1" xfId="4393"/>
    <cellStyle name="_1月份兩期費用分析-麗雪姐給" xfId="4394"/>
    <cellStyle name="Comma 2 14" xfId="4395"/>
    <cellStyle name="_2005 04 DELL SMT Data2 -Process_DELL廠級目標dip.EXC _DELL廠級目標dip(2月) EXC _BPI 8D-SMT-2月_DELL MB廠級目標.xls 圖表 1_DELL制程課管理目標 (4)" xfId="4396"/>
    <cellStyle name="¤d¤À¦ì_laroux" xfId="4397"/>
    <cellStyle name="_2 1)1009 -ESS flow (2)" xfId="4398"/>
    <cellStyle name="好_Creek Assembly Fixture  Test Equipment RFQ_20090427_Leopard RFQ ME BOM Costs-0618-2_Bolt RFQ Proposal_Foxlink_ (Pricing Summary) 2 25 2011 2 3" xfId="4399"/>
    <cellStyle name="_Flex Mechanicals Doumen Sales forecast - Jan.06_Volume Fcst Jul 06-update HP _X-BOX Console line setup budget 20080414" xfId="4400"/>
    <cellStyle name="_2.1)1009 -ESS flow (2)" xfId="4401"/>
    <cellStyle name="_2005 04 DELL SMT Data2 -Process_DELL MB廠級目標 (2)_DELL MB廠級目標.xls 圖表 1_DELLTEAM入庫資料1_2007DELL SMT廠級目標KPI(MT)1" xfId="4402"/>
    <cellStyle name="好_Creek Assembly Fixture  Test Equipment RFQ_20090427_Leopard_UniBOM_ME_0602_Bolt RFQ_Foxlink_03.1 2011_nego meeting@MACH 2 3" xfId="4403"/>
    <cellStyle name="差_Creak Pearl Reliability Fixture RFQ_2009 04 24_Pearl RFQ(Submittal)ver2_05_12_2009 _Leopard_UniBOM_ME_0603-2_Bolt RFQ_Foxlink_03.1 2011 2" xfId="4404"/>
    <cellStyle name="_2_22 operational build plan and component forecast_FY06 P4 CM Consigned RM" xfId="4405"/>
    <cellStyle name="好_效益分析&amp;產能評估_M1 SuedeFixtureEquipment Cost_A0_2010_10_15_Bolt RFQ_Foxlink_03.1 2011_nego meeting@MACH 5" xfId="4406"/>
    <cellStyle name="_2_22 operational build plan and component forecast_FY06 P6 CM Consigned RM" xfId="4407"/>
    <cellStyle name="_2005 04 DELL SMT Data2 -Process_DELL廠級目標dip.EXC _DELL廠級目標dip(2月) EXC _BPI 8D-SMT-2月_2007DELL SMT廠級目標KPI(MT)1" xfId="4408"/>
    <cellStyle name="标题 1 2 5" xfId="4409"/>
    <cellStyle name="_2_22 operational build plan and component forecast_FY06 P6 XBox 360 Mfg Var - Close Pack" xfId="4410"/>
    <cellStyle name="_2005 04 DELL SMT Data2 -Process_BPI 8D-SMT-2月 (3)_DELL MB廠級目標_DELLTEAM入庫資料1_DELL MB廠級目標十一月 (4)" xfId="4411"/>
    <cellStyle name="_2_22 operational build plan and component forecast_P2 Waynea review" xfId="4412"/>
    <cellStyle name="壞_Creek EE BOM cost_20090425_Squirrel UniBom-06.23.2010_update_internal_Bolt RFQ_Foxlink_03.1 2011 2" xfId="4413"/>
    <cellStyle name="_2004廠級目標19" xfId="4414"/>
    <cellStyle name="差_Xl0000002_Leopard RFQ ME BOM Costs-0618_Bolt RFQ Proposal_Foxlink_ (Pricing Summary) 2 25 2011 4" xfId="4415"/>
    <cellStyle name="好_River EE BOM_Xl0000002_Leopard RFQ ME BOM Costs-0618_Bolt RFQ_Foxlink_03.1 2011 4" xfId="4416"/>
    <cellStyle name="_2005 04 DELL SMT Data2 -Process" xfId="4417"/>
    <cellStyle name="差_Creak Pearl Reliability Fixture RFQ_2009 04 24_Creek  Pearl RFQ_May 12_Leopard_UniBOM_ME_0602_Bolt RFQ Proposal_Foxlink_ (Pricing Summary) 2 25 2011 4 2" xfId="4418"/>
    <cellStyle name="_TC Model_P6 Waynea review" xfId="4419"/>
    <cellStyle name="差_治具工程課2009年KPI_HP 5 2 2" xfId="4420"/>
    <cellStyle name="差_HP  專案(設備&amp;治工具需夠買)update_Bolt RFQ_Foxlink_03.1 2011 3 2" xfId="4421"/>
    <cellStyle name="_Flex Mechanicals Doumen Sales forecast - Jan.06-updated_Volume Fcst 1006 updated_Forecast Template v4" xfId="4422"/>
    <cellStyle name="_2005 04 DELL SMT Data2 -Process_2006日常管理目標.DIP " xfId="4423"/>
    <cellStyle name="_Actual P&amp;L_Computing Apr &amp; May_Actual P&amp;L_Computing Apr ~ May.2006_Budget GC Other Form" xfId="4424"/>
    <cellStyle name="差_Creak Pearl Reliability Fixture RFQ_2009 04 24_Creek  Pearl RFQ_May 12_Leopard_UniBOM_ME_0531_Bolt RFQ Proposal_Foxlink_ (Pricing Summary) 2 25 2011 4 2" xfId="4425"/>
    <cellStyle name="好_River EE BOM_Creek RFQ feedback 04_28_2009_FD Update_Leopard_UniBOM_ME_0602-1 2 3" xfId="4426"/>
    <cellStyle name="_2005 04 DELL SMT Data2 -Process_2006日常管理目標.DIP _DELL MB廠級目標.xls 圖表 1" xfId="4427"/>
    <cellStyle name="好_Creek Assembly Fixture  Test Equipment RFQ_20090427_Foxlink_Shadow RFQ NREUni BOM_12032009_Bolt RFQ Proposal_Foxlink_ (Pricing Summary) 2 25 2011 2 2 3" xfId="4428"/>
    <cellStyle name="_2006_0329 Ernestine_Cooper Cost Feedback_Quotebook_07SEP10_Stream RFQ Unibom--0626-1756_Stream Package Quotation_20090311" xfId="4429"/>
    <cellStyle name="_2005 04 DELL SMT Data2 -Process_2006日常管理目標.DIP _DELL MB廠級目標.xls 圖表 1_2007DELL SMT廠級目標KPI(MT)1" xfId="4430"/>
    <cellStyle name="_2005 04 DELL SMT Data2 -Process_2006日常管理目標.DIP _DELL MB廠級目標.xls 圖表 1_DELL MB廠級目標.重要不能刪" xfId="4431"/>
    <cellStyle name="_2005 04 DELL SMT Data2 -Process_2006日常管理目標.DIP _DELL MB廠級目標.xls 圖表 1_DELL MB廠級目標.重要不能刪_2007DELL SMT廠級目標KPI(MT)1" xfId="4432"/>
    <cellStyle name="_Mechanical Contribution Margins (Q2'06) 0705_Mechanical Contribution Margins forecast 0506 FP_PL Fcst Jul 06-updated G&amp;A Value_Tom OS ( Oct)_Forecast Template v4" xfId="4433"/>
    <cellStyle name="_July Freight analysis_FPA1_FY06 P6 CM Consigned RM" xfId="4434"/>
    <cellStyle name="_2006_0406 Ernestine_Cooper tooling_Quotebook_07SEP10_Stream RFQ Unibom--0626-1756_Stream Quotebook(Submittal)_POC1_20080903" xfId="4435"/>
    <cellStyle name="_2005 04 DELL SMT Data2 -Process_2006日常管理目標.DIP _DELL MB廠級目標.xls 圖表 1_DELL MB廠級目標十一月 (4)" xfId="4436"/>
    <cellStyle name="_2005 04 DELL SMT Data2 -Process_2006日常管理目標.DIP _DELL MB廠級目標.xls 圖表 1_DELL MB廠級目標四月 _2007DELL SMT廠級目標KPI(MT)1" xfId="4437"/>
    <cellStyle name="_220076-78(Sep 2006)_X-BOX Console line setup budget 20080414" xfId="4438"/>
    <cellStyle name="好_Creek Assembly Fixture  Test Equipment RFQ_20090427_Leopard RFQ ME BOM Costs-0618-2_Bolt RFQ_Foxlink_03.1 2011_nego meeting@MACH_Bolt_Cliff 5 3" xfId="4439"/>
    <cellStyle name="Normal 9 6" xfId="4440"/>
    <cellStyle name="_2005 04 DELL SMT Data2 -Process_2006日常管理目標.DIP _DELL MB廠級目標.xls 圖表 1_DELLTEAM入庫資料1" xfId="4441"/>
    <cellStyle name="差_Xl0000000_Leopard_UniBOM_ME_0602-1 2 2 3" xfId="4442"/>
    <cellStyle name="差_Creak Pearl Reliability Fixture RFQ_2009 04 24_Xl0000002_Leopard RFQ ME BOM Costs-0618-2_Bolt RFQ Proposal_Foxlink_ (Pricing Summary) 2 25 2011 5 2" xfId="4443"/>
    <cellStyle name="_Book2_Mechanical Contribution Margins forecast 0506 FP_Tom OS ( Oct)_2009 xBOX ramp up budget code applicaiton 300K --New May27" xfId="4444"/>
    <cellStyle name="_2005 04 DELL SMT Data2 -Process_2006日常管理目標.DIP _DELL MB廠級目標.xls 圖表 1_DELLTEAM入庫資料1_2007DELL SMT廠級目標KPI(MT)1" xfId="4445"/>
    <cellStyle name="20% - 强调文字颜色 6 3 4" xfId="4446"/>
    <cellStyle name="_2005 04 DELL SMT Data2 -Process_2006日常管理目標.DIP _DELL MB廠級目標.xls 圖表 1_DELLTEAM入庫資料1_DELL MB廠級目標十一月 (4)" xfId="4447"/>
    <cellStyle name="20% - Accent6 2 4" xfId="4448"/>
    <cellStyle name="_2005 04 DELL SMT Data2 -Process_2006日常管理目標.DIP _DELL MB廠級目標.xls 圖表 1_DELL制程課管理目標" xfId="4449"/>
    <cellStyle name="_MRB Details_CopyOfP6 Waynea review" xfId="4450"/>
    <cellStyle name="_2005 04 DELL SMT Data2 -Process_2006日常管理目標.DIP _DELL MB廠級目標.xls 圖表 1_DELL制程課管理目標 (4)" xfId="4451"/>
    <cellStyle name="_2005 04 DELL SMT Data2 -Process_2006日常管理目標.DIP _DELL MB廠級目標.xls 圖表 1_DELL制程課管理指標" xfId="4452"/>
    <cellStyle name="_2005 04 DELL SMT Data2 -Process_2006日常管理目標.DIP _DELL廠級目標dip(2月) EXC _DELL MB廠級目標 (2)_DELL MB廠級目標.xls 圖表 1_DELL MB廠級目標.重要不能刪_2007DELL SMT廠級目標KPI(MT)1" xfId="4453"/>
    <cellStyle name="_2005 04 DELL SMT Data2 -Process_2006日常管理目標.DIP _DELL MB廠級目標_2007DELL SMT廠級目標KPI(MT)1" xfId="4454"/>
    <cellStyle name="_Flex Mechanicals Doumen Sales forecast - Jan.06_PL Forecast by segment-most final 0806_Tom OS ( Oct)_2009 xBOX ramp up budget code applicaiton" xfId="4455"/>
    <cellStyle name="_2006_0406 Ernestine_Cooper tooling_Stream RFQ Unibom--0626-1756_Stream Quotebook(Submittal)_POC1_20080903 2" xfId="4456"/>
    <cellStyle name="好_治具工程課2009年KPI_產線生產規劃KPI 2 3 3" xfId="4457"/>
    <cellStyle name="_2005 04 DELL SMT Data2 -Process_2006日常管理目標.DIP _DELL MB廠級目標_DELL MB廠級目標_2007DELL SMT廠級目標KPI(MT)1" xfId="4458"/>
    <cellStyle name="_2005 04 DELL SMT Data2 -Process_2006日常管理目標.DIP _DELL MB廠級目標_DELL MB廠級目標_DELL MB廠級目標十一月 (4)" xfId="4459"/>
    <cellStyle name="_44wk周報" xfId="4460"/>
    <cellStyle name="好_效益分析&amp;產能評估_MS Bolt wireless mouse FixtureEquipment Cost_A5_2010_02_21 2 2 3" xfId="4461"/>
    <cellStyle name="差_HP Mouse 產能評估(上系統)_Erie 效益分析 (Update)_效益分析(總 12-28 Update)_Jackson 效益分析 (2-1 B0 上系統)_Leopard Flowchart &amp; 產能評估" xfId="4462"/>
    <cellStyle name="好_Creek EE BOM cost_20090425_Leopard_UniBOM_ME_0531 3 3" xfId="4463"/>
    <cellStyle name="_2005 04 DELL SMT Data2 -Process_2006日常管理目標.DIP _DELL廠級目標dip(2月) EXC _DELL MB廠級目標 (2)_DELL MB廠級目標.xls 圖表 1_DELL MB廠級目標.重要不能刪_DELL MB廠級目標十一月 (4)" xfId="4464"/>
    <cellStyle name="差_Creak Pearl Reliability Fixture RFQ_2009 04 24_Leopard_UniBOM_ME_0602-1 2 2" xfId="4465"/>
    <cellStyle name="_2005 04 DELL SMT Data2 -Process_2006日常管理目標.DIP _DELL MB廠級目標_DELL MB廠級目標十一月 (4)" xfId="4466"/>
    <cellStyle name="_2005 04 DELL SMT Data2 -Process_2006日常管理目標.DIP _DELL MB廠級目標_DELL MB廠級目標四月 " xfId="4467"/>
    <cellStyle name="好_River EE BOM_Creak Pearl Reliability Fixture RFQ_2009 04 24_Creek  Pearl RFQ_May 12_Bolt RFQ_Foxlink_03.1 2011 2 3" xfId="4468"/>
    <cellStyle name="差_F3   SMT設備明細_jupite r設備&amp;治工具LIST (總)_flow chart 2009.12.12_Jackson 效益分析 (2-1 B0 上系統)" xfId="4469"/>
    <cellStyle name="_PL Forecast Comparison_Mech Doumen2006_1(preliminary)_Volume Fcst 1006 updated_Copy of Tom OS ( Oct) new for LOG_X-BOX Console line setup budget and Buyer list" xfId="4470"/>
    <cellStyle name="_2005 04 DELL SMT Data2 -Process_2006日常管理目標.DIP _DELL MB廠級目標_DELL MB廠級目標四月 _2007DELL SMT廠級目標KPI(MT)1" xfId="4471"/>
    <cellStyle name="好_Creek Assembly Fixture  Test Equipment RFQ_20090427_Leopard Lemur Squirrel UniBom-06.22.2010_EE cost _update_internal 3" xfId="4472"/>
    <cellStyle name="_2005 04 DELL SMT Data2 -Process_2006日常管理目標.DIP _DELL MB廠級目標_DELLTEAM入庫資料1_DELL MB廠級目標十一月 (4)" xfId="4473"/>
    <cellStyle name="好_Creek Assembly Fixture  Test Equipment RFQ_20090427_Leopard_UniBOM_ME_0602_Bolt RFQ_Foxlink_03.1 2011_nego meeting@MACH 3" xfId="4474"/>
    <cellStyle name="_PL FORECAST OF SEP,06_Tom OS ( Oct)_2009 xBOX ramp up budget code applicaiton 300K --New May27" xfId="4475"/>
    <cellStyle name="计算 2 2 2 3" xfId="4476"/>
    <cellStyle name="_2005 04 DELL SMT Data2 -Process_2006日常管理目標.DIP _DELL MB廠級目標_DELL制程課管理目標" xfId="4477"/>
    <cellStyle name="_2005 04 DELL SMT Data2 -Process_2006日常管理目標.DIP _DELL MB廠級目標_DELL制程課管理目標 (4)" xfId="4478"/>
    <cellStyle name="_2005 04 DELL SMT Data2 -Process_2006日常管理目標.DIP _DELL MB廠級目標_DELL制程課管理指標" xfId="4479"/>
    <cellStyle name="_Tom OnLine Forecast Template PCBA_Computing Dec 2006 V4 ( update on OS allocation)" xfId="4480"/>
    <cellStyle name="_Alvin DTC1" xfId="4481"/>
    <cellStyle name="_Book2_Volume Fcst 1006 updated_Tom OS ( Oct)_2009 xBOX ramp up budget code applicaiton 300K --New May27" xfId="4482"/>
    <cellStyle name="_2005 04 DELL SMT Data2 -Process_2006日常管理目標.DIP _DELL MB廠級目標_MT 2007 KPI" xfId="4483"/>
    <cellStyle name="_2005 04 DELL SMT Data2 -Process_2006日常管理目標.DIP _DELL MB廠級目標十一月 (4)" xfId="4484"/>
    <cellStyle name="好_HP all model 標準工時(W1130) 2 2 2 2" xfId="4485"/>
    <cellStyle name="_Mechanical Contribution Margins forecast 0506 FP_PL Forecast by segment-most final 0806_2009 xBOX ramp up budget code applicaiton 300K --New May27" xfId="4486"/>
    <cellStyle name="_2005 04 DELL SMT Data2 -Process_2006日常管理目標.DIP _DELL廠級目標dip(2月) EXC " xfId="4487"/>
    <cellStyle name="_2005 04 DELL SMT Data2 -Process_2006日常管理目標.DIP _DELL廠級目標dip(2月) EXC _2007DELL SMT廠級目標KPI(MT)1" xfId="4488"/>
    <cellStyle name="_2005 04 DELL SMT Data2 -Process_2006日常管理目標.DIP _DELL廠級目標dip(2月) EXC _BPI 8D-SMT-2月" xfId="4489"/>
    <cellStyle name="_Flex Mechanicals Doumen Sales forecast - Jan 06 updated._Budget GC Other Form" xfId="4490"/>
    <cellStyle name="_2005 04 DELL SMT Data2 -Process_2006日常管理目標.DIP _DELL廠級目標dip(2月) EXC _BPI 8D-SMT-2月 (3)_2007DELL SMT廠級目標KPI(MT)1" xfId="4491"/>
    <cellStyle name="_Flex Mechanicals Doumen Sales forecast - Dec'05 (updated links)_PL Fcst Jul 06-updated G&amp;A Value_Copy of Tom OS ( Oct) new for LOG_Budget GC Other Form" xfId="4492"/>
    <cellStyle name="_2005 04 DELL SMT Data2 -Process_2006日常管理目標.DIP _DELL廠級目標dip(2月) EXC _BPI 8D-SMT-2月 (3)_DELL MB廠級目標" xfId="4493"/>
    <cellStyle name="_2005 04 DELL SMT Data2 -Process_DELL廠級目標dip EXC _DELL MB廠級目標十一月 (4)" xfId="4494"/>
    <cellStyle name="_2005 04 DELL SMT Data2 -Process_2006日常管理目標.DIP _DELL廠級目標dip(2月) EXC _BPI 8D-SMT-2月 (3)_DELL MB廠級目標.xls 圖表 1" xfId="4495"/>
    <cellStyle name="_2006_0329 Ernestine_Cooper Cost Feedback_Stream RFQ Unibom--0626-1756" xfId="4496"/>
    <cellStyle name="_2005 04 DELL SMT Data2 -Process_2006日常管理目標.DIP _DELL廠級目標dip(2月) EXC _BPI 8D-SMT-2月 (3)_DELL MB廠級目標.xls 圖表 1_2007DELL SMT廠級目標KPI(MT)1" xfId="4497"/>
    <cellStyle name="差_jupite r設備&amp;治工具LIST (總)_pq_Jackson 效益分析 testing update_16th Jan111_Jackson 效益分析 (2-1 B0 上系統)_Leopard Flowchart &amp; 產能評估" xfId="4498"/>
    <cellStyle name="60% - Accent3 3 3" xfId="4499"/>
    <cellStyle name="_2005 04 DELL SMT Data2 -Process_2006日常管理目標.DIP _DELL廠級目標dip(2月) EXC _BPI 8D-SMT-2月 (3)_DELL MB廠級目標.xls 圖表 1_DELL MB廠級目標.重要不能刪" xfId="4500"/>
    <cellStyle name="差_Creak Pearl Reliability Fixture RFQ_2009 04 24_Creek  Pearl RFQ_May 12_Squirrel UniBom-06.23.2010_update_internal_Bolt RFQ_Foxlink_03.1 2011 4" xfId="4501"/>
    <cellStyle name="_2005 04 DELL SMT Data2 -Process_2006日常管理目標.DIP _DELL廠級目標dip(2月) EXC _BPI 8D-SMT-2月 (3)_DELL MB廠級目標.xls 圖表 1_DELL MB廠級目標.重要不能刪_DELL MB廠級目標十一月 (4)" xfId="4502"/>
    <cellStyle name="_August-05_Forecast Template v2" xfId="4503"/>
    <cellStyle name="_2006_0317 Ernestine_Cooper Cost Feedback_Quotebook_V3_07SEP11_RFQ_River_BAFO_2008 0606_M1_Stream Quotebook(Submittal)_POC1_20080903" xfId="4504"/>
    <cellStyle name="_2005 04 DELL SMT Data2 -Process_2006日常管理目標.DIP _DELL廠級目標dip(2月) EXC _BPI 8D-SMT-2月 (3)_DELL MB廠級目標.xls 圖表 1_DELL MB廠級目標_2007DELL SMT廠級目標KPI(MT)1" xfId="4505"/>
    <cellStyle name="_2005 04 DELL SMT Data2 -Process_2006日常管理目標.DIP _DELL廠級目標dip(2月) EXC _BPI 8D-SMT-2月 (3)_DELL MB廠級目標.xls 圖表 1_DELL MB廠級目標四月 _DELL MB廠級目標十一月 (4)" xfId="4506"/>
    <cellStyle name="好_Creek Assembly Fixture  Test Equipment RFQ_20090427_Leopard_UniBOM_ME_0531_Bolt RFQ_Foxlink_03.1 2011_nego meeting@MACH_Bolt_Cliff 5" xfId="4507"/>
    <cellStyle name="_ASUA MB2006-demand planning-2006-1-11" xfId="4508"/>
    <cellStyle name="差_Xl0000002_Leopard Lemur Squirrel UniBom-06.22.2010_EE cost _update_internal_Bolt RFQ Proposal_Foxlink_ (Pricing Summary) 2 25 2011" xfId="4509"/>
    <cellStyle name="差_F3   SMT設備明細_jupite r設備&amp;治工具LIST (總)_效益分析(總 12-28 Update)" xfId="4510"/>
    <cellStyle name="_2005 04 DELL SMT Data2 -Process_2006日常管理目標.DIP _DELL廠級目標dip(2月) EXC _BPI 8D-SMT-2月 (3)_DELL MB廠級目標.xls 圖表 1_DELLTEAM入庫資料1" xfId="4511"/>
    <cellStyle name="好_Creek Assembly Fixture  Test Equipment RFQ_20090427_Squirrel RFQ ME BOM Costs-0623_Bolt RFQ Proposal_Foxlink_ (Pricing Summary) 2 25 2011 2 3" xfId="4512"/>
    <cellStyle name="差_Xl0000002_Leopard_UniBOM_ME_0531 3 2" xfId="4513"/>
    <cellStyle name="_38hrfpthsop" xfId="4514"/>
    <cellStyle name="_2005 04 DELL SMT Data2 -Process_2006日常管理目標.DIP _DELL廠級目標dip(2月) EXC _BPI 8D-SMT-2月 (3)_DELL MB廠級目標.xls 圖表 1_DELLTEAM入庫資料1_2007DELL SMT廠級目標KPI(MT)1" xfId="4515"/>
    <cellStyle name="_2005 04 DELL SMT Data2 -Process_BPI 8D-SMT-2月_DELL MB廠級目標.xls 圖表 1_DELL MB廠級目標四月 " xfId="4516"/>
    <cellStyle name="差_Creak Pearl Reliability Fixture RFQ_2009 04 24_Xl0000002_Leopard_UniBOM_ME_0602_Bolt RFQ_Foxlink_03.1 2011_nego meeting@MACH 2 3" xfId="4517"/>
    <cellStyle name="Heading 4 4" xfId="4518"/>
    <cellStyle name="_2005 04 DELL SMT Data2 -Process_2006日常管理目標.DIP _DELL廠級目標dip(2月) EXC _BPI 8D-SMT-2月 (3)_DELL MB廠級目標.xls 圖表 1_DELL制程課管理目標" xfId="4519"/>
    <cellStyle name="好_River EE BOM_Creek RFQ feedback 04_28_2009_FD Update_Leopard_UniBOM_ME_0602_Bolt RFQ Proposal_Foxlink_ (Pricing Summary) 2 25 2011 3 3" xfId="4520"/>
    <cellStyle name="_2005 04 DELL SMT Data2 -Process_2006日常管理目標.DIP _DELL廠級目標dip(2月) EXC _BPI 8D-SMT-2月 (3)_DELL MB廠級目標.xls 圖表 1_DELL制程課管理目標 (4)" xfId="4521"/>
    <cellStyle name="_2005 04 DELL SMT Data2 -Process_2006日常管理目標.DIP _DELL廠級目標dip(2月) EXC _BPI 8D-SMT-2月 (3)_DELL MB廠級目標.xls 圖表 1_HP制程課2007管理指標匯總-八月匯總" xfId="4522"/>
    <cellStyle name="_2005 04 DELL SMT Data2 -Process_2006日常管理目標.DIP _DELL廠級目標dip(2月) EXC _BPI 8D-SMT-2月 (3)_DELL MB廠級目標_2007DELL SMT廠級目標KPI(MT)1" xfId="4523"/>
    <cellStyle name="好_Creek Assembly Fixture  Test Equipment RFQ_20090427_Xl0000002 2 2 2" xfId="4524"/>
    <cellStyle name="_2005 04 DELL SMT Data2 -Process_2006日常管理目標.DIP _DELL廠級目標dip(2月) EXC _DELL MB廠級目標  (2)_DELL MB廠級目標.xls 圖表 1" xfId="4525"/>
    <cellStyle name="_2005 04 DELL SMT Data2 -Process_BPI 8D-SMT-2月_DELL MB廠級目標_DELL制程課管理指標" xfId="4526"/>
    <cellStyle name="差_F3   SMT設備明細_效益分析_效益分析(總 12-28 Update)" xfId="4527"/>
    <cellStyle name="_BOM_BlueVox (Wiima) &amp; BCM2044 v03022007_Squirrel RFQ ME BOM Costs-0624" xfId="4528"/>
    <cellStyle name="_2005 04 DELL SMT Data2 -Process_2006日常管理目標.DIP _DELL廠級目標dip(2月) EXC _BPI 8D-SMT-2月 (3)_DELL MB廠級目標_DELL MB廠級目標.重要不能刪" xfId="4529"/>
    <cellStyle name="差_F3   SMT設備明細_MS Bolt wireless mouse FixtureEquipment Cost_A5_2010_02_21_Bolt RFQ_Foxlink_03.1 2011 2 3" xfId="4530"/>
    <cellStyle name="_2005 04 DELL SMT Data2 -Process_2006日常管理目標.DIP _DELL廠級目標dip(2月) EXC _BPI 8D-SMT-2月 (3)_DELL MB廠級目標_DELL MB廠級目標.重要不能刪_2007DELL SMT廠級目標KPI(MT)1" xfId="4531"/>
    <cellStyle name="_2005 04 DELL SMT Data2 -Process_2006日常管理目標.DIP _DELL廠級目標dip(2月) EXC _BPI 8D-SMT-2月 (3)_DELL MB廠級目標_DELL MB廠級目標.重要不能刪_DELL MB廠級目標十一月 (4)" xfId="4532"/>
    <cellStyle name="_PPV ALLOCATION-Nov04_Dawson_RFP_Foxlink_Response_Proposal 的 工作表_Stream RFQ Unibom--0626-1756_Stream Quotebook (Submittal)_POC2_20081117-1" xfId="4533"/>
    <cellStyle name="_2005 04 DELL SMT Data2 -Process_2006日常管理目標.DIP _DELL廠級目標dip(2月) EXC _BPI 8D-SMT-2月 (3)_DELL MB廠級目標_DELL MB廠級目標_2007DELL SMT廠級目標KPI(MT)1" xfId="4534"/>
    <cellStyle name="_2005 04 DELL SMT Data2 -Process_2006日常管理目標.DIP _DELL廠級目標dip(2月) EXC _BPI 8D-SMT-2月 (3)_DELL MB廠級目標_DELL MB廠級目標_DELL MB廠級目標十一月 (4)" xfId="4535"/>
    <cellStyle name="差_HP  專案(設備&amp;治工具需夠買)update_MS Bolt wireless mouse FixtureEquipment Cost_A5_2010_02_21_Bolt RFQ_Foxlink_03.1 2011 5" xfId="4536"/>
    <cellStyle name="_未來方案 Intel NPI Team-0628-All" xfId="4537"/>
    <cellStyle name="_804_X-BOX Console line setup budget and Buyer list" xfId="4538"/>
    <cellStyle name="_Mechanical Contribution Margins (Q2'06) 0705_2009 xBOX ramp up budget code applicaiton 300K --New May26 (3)" xfId="4539"/>
    <cellStyle name="差_Creak Pearl Reliability Fixture RFQ_2009 04 24_Creek RFQ feedback 04_28_2009_FD Update_Bolt RFQ Proposal_Foxlink_ (Pricing Summary) 2 25 2011 4" xfId="4540"/>
    <cellStyle name="_48wk呆滯庫存" xfId="4541"/>
    <cellStyle name="_2005 04 DELL SMT Data2 -Process_2006日常管理目標.DIP _DELL廠級目標dip(2月) EXC _BPI 8D-SMT-2月 (3)_DELL MB廠級目標_DELL MB廠級目標十一月 (4)" xfId="4542"/>
    <cellStyle name="差_MB9月管審誤判超標 8D_HP 2 3" xfId="4543"/>
    <cellStyle name="_Dash Uni_BOM 10142005_Stream RFQ Unibom--0626-1756 2" xfId="4544"/>
    <cellStyle name="好_River EE BOM_Creak Pearl Reliability Fixture RFQ_2009 04 24_Creek  Pearl RFQ_May 12_Leopard RFQ ME BOM Costs-0618_Bolt RFQ_Foxlink_03.1 2011 2 2" xfId="4545"/>
    <cellStyle name="差 5 2" xfId="4546"/>
    <cellStyle name="_2005 04 DELL SMT Data2 -Process_2006日常管理目標.DIP _DELL廠級目標dip(2月) EXC _BPI 8D-SMT-2月 (3)_DELL MB廠級目標_DELL MB廠級目標四月 _2007DELL SMT廠級目標KPI(MT)1" xfId="4547"/>
    <cellStyle name="_2005 04 DELL SMT Data2 -Process_2006日常管理目標.DIP _DELL廠級目標dip(2月) EXC _DELL MB廠級目標 (2)_DELL MB廠級目標_DELL MB廠級目標四月 " xfId="4548"/>
    <cellStyle name="差_Creak Pearl Reliability Fixture RFQ_2009 04 24_Creek RFQ feedback 04_28_2009_FD Update_Leopard_UniBOM_ME_0602-1_Bolt RFQ_Foxlink_03.1 2011_nego meeting@MACH 2 3" xfId="4549"/>
    <cellStyle name="差_HP Mouse 產能評估(上系統)_MS Bolt wireless mouse FixtureEquipment Cost_A5_2010_02_21_Bolt RFQ Proposal_Foxlink_ (Pricing Summary) 2 25 2011 4 3" xfId="4550"/>
    <cellStyle name="_2005 04 DELL SMT Data2 -Process_2006日常管理目標.DIP _DELL廠級目標dip(2月) EXC _BPI 8D-SMT-2月 (3)_DELL MB廠級目標_DELLTEAM入庫資料1" xfId="4551"/>
    <cellStyle name="差_F3   SMT設備明細_效益分析_效益分析(總 12-28 Update)_Jackson 效益分析 (2-1 B0 上系統)" xfId="4552"/>
    <cellStyle name="_2005 04 DELL SMT Data2 -Process_DELL廠級目標dip.EXC _DELL廠級目標dip(2月) EXC _BPI 8D-SMT-2月_DELL MB廠級目標_DELL MB廠級目標.重要不能刪_DELL MB廠級目標十一月 (4)" xfId="4553"/>
    <cellStyle name="_TC Model_FY06 P4 CM Consigned RM" xfId="4554"/>
    <cellStyle name="_2005 04 DELL SMT Data2 -Process_2006日常管理目標.DIP _DELL廠級目標dip(2月) EXC _DELL MB廠級目標 (2)_DELL MB廠級目標_DELL MB廠級目標四月 _2007DELL SMT廠級目標KPI(MT)1" xfId="4555"/>
    <cellStyle name="_2005 04 DELL SMT Data2 -Process_2006日常管理目標.DIP _DELL廠級目標dip(2月) EXC _BPI 8D-SMT-2月 (3)_DELL MB廠級目標_DELLTEAM入庫資料1_2007DELL SMT廠級目標KPI(MT)1" xfId="4556"/>
    <cellStyle name="_2005 04 DELL SMT Data2 -Process_DELL廠級目標dip.EXC _DELL MB廠級目標_MT 2007 KPI" xfId="4557"/>
    <cellStyle name="Accent6 2 2" xfId="4558"/>
    <cellStyle name="_2005 04 DELL SMT Data2 -Process_2006日常管理目標.DIP _DELL廠級目標dip(2月) EXC _BPI 8D-SMT-2月 (3)_DELL MB廠級目標_DELL制程課管理目標" xfId="4559"/>
    <cellStyle name="_Book12" xfId="4560"/>
    <cellStyle name="_2005 04 DELL SMT Data2 -Process_2006日常管理目標.DIP _DELL廠級目標dip(2月) EXC _BPI 8D-SMT-2月 (3)_DELL MB廠級目標_DELL制程課管理目標 (4)" xfId="4561"/>
    <cellStyle name="_2005 04 DELL SMT Data2 -Process_2006日常管理目標.DIP _DELL廠級目標dip(2月) EXC _DELL MB廠級目標  (2)_DELL MB廠級目標_DELL制程課管理目標" xfId="4562"/>
    <cellStyle name="_2005 04 DELL SMT Data2 -Process_2006日常管理目標.DIP _DELL廠級目標dip(2月) EXC _BPI 8D-SMT-2月 (3)_DELL MB廠級目標_MT 2007 KPI" xfId="4563"/>
    <cellStyle name="40% - Accent5 3 3 2" xfId="4564"/>
    <cellStyle name="_2005 04 DELL SMT Data2 -Process_DELL廠級目標dip EXC _DELL MB廠級目標.xls 圖表 1_DELL MB廠級目標.重要不能刪" xfId="4565"/>
    <cellStyle name="_2005 04 DELL SMT Data2 -Process_2006日常管理目標.DIP _DELL廠級目標dip(2月) EXC _BPI 8D-SMT-2月 (3)_DELL MB廠級目標十一月 (4)" xfId="4566"/>
    <cellStyle name="_2005 04 DELL SMT Data2 -Process_2006日常管理目標.DIP _DELL廠級目標dip(2月) EXC _BPI 8D-SMT-2月_DELL MB廠級目標" xfId="4567"/>
    <cellStyle name="_2005 04 DELL SMT Data2 -Process_DELL廠級目標dip EXC _DELL MB廠級目標_HP制程課2007管理指標匯總-八月匯總" xfId="4568"/>
    <cellStyle name="好_River EE BOM_Creak Pearl Reliability Fixture RFQ_2009 04 24_Creek RFQ feedback 04_28_2009_FD Update_Leopard_UniBOM_ME_0531_Bolt RFQ_Foxlink_03.1 2011 3 3" xfId="4569"/>
    <cellStyle name="_2005 04 DELL SMT Data2 -Process_2006日常管理目標.DIP _DELL廠級目標dip(2月) EXC _BPI 8D-SMT-2月_DELL MB廠級目標.xls 圖表 1" xfId="4570"/>
    <cellStyle name="_Sales Forecast (plastic XX)0703_PL Fcst Jul 06-updated G&amp;A Value_X-BOX Console line setup budget 20080414" xfId="4571"/>
    <cellStyle name="_Sales Forecast (plastic XX)1203_PL Fcst Jul 06-updated G&amp;A Value_X-BOX Console line setup budget 20080414" xfId="4572"/>
    <cellStyle name="_2005 04 DELL SMT Data2 -Process_2006日常管理目標.DIP _DELL廠級目標dip(2月) EXC _BPI 8D-SMT-2月_DELL MB廠級目標.xls 圖表 1_DELL MB廠級目標.重要不能刪" xfId="4573"/>
    <cellStyle name="好_MB9月管審誤判超標 8D_2009MB KPI_MBO3F製造部hp0209-01 3" xfId="4574"/>
    <cellStyle name="_2005 04 DELL SMT Data2 -Process_DELL廠級目標dip(1月) EXC _DELL MB廠級目標_MT 2007 KPI" xfId="4575"/>
    <cellStyle name="_2005 04 DELL SMT Data2 -Process_2006日常管理目標.DIP _DELL廠級目標dip(2月) EXC _BPI 8D-SMT-2月_DELL MB廠級目標.xls 圖表 1_DELL MB廠級目標_2007DELL SMT廠級目標KPI(MT)1" xfId="4576"/>
    <cellStyle name="_Flex Mechanicals Doumen Sales forecast - Jan 06 updated._Copy of Tom OS ( Oct) new for LOG_Budget GC Other Form" xfId="4577"/>
    <cellStyle name="_2005 04 DELL SMT Data2 -Process_2006日常管理目標.DIP _DELL廠級目標dip(2月) EXC _BPI 8D-SMT-2月_DELL MB廠級目標.xls 圖表 1_DELL MB廠級目標四月 _2007DELL SMT廠級目標KPI(MT)1" xfId="4578"/>
    <cellStyle name="Calculation 14" xfId="4579"/>
    <cellStyle name="_internal- uPad-D Quotebook_20080521_v1.2_Stream RFQ Unibom--0626-1756_Stream Quotebook (Submittal)_POC2_20081117-1" xfId="4580"/>
    <cellStyle name="_2005 04 DELL SMT Data2 -Process_2006日常管理目標.DIP _DELL廠級目標dip(2月) EXC _BPI 8D-SMT-2月_DELL MB廠級目標.xls 圖表 1_DELL MB廠級目標四月 _DELL MB廠級目標十一月 (4)" xfId="4581"/>
    <cellStyle name="_2005 04 DELL SMT Data2 -Process_DELL MB廠級目標  (2)_DELL MB廠級目標十一月 (4)" xfId="4582"/>
    <cellStyle name="_2005 04 DELL SMT Data2 -Process_2006日常管理目標.DIP _DELL廠級目標dip(2月) EXC _BPI 8D-SMT-2月_DELL MB廠級目標.xls 圖表 1_DELLTEAM入庫資料1_2007DELL SMT廠級目標KPI(MT)1" xfId="4583"/>
    <cellStyle name="差_Xl0000002_Leopard_UniBOM_ME_0603-2 2 4" xfId="4584"/>
    <cellStyle name="_2005 04 DELL SMT Data2 -Process_2006日常管理目標.DIP _DELL廠級目標dip(2月) EXC _BPI 8D-SMT-2月_DELL MB廠級目標.xls 圖表 1_DELLTEAM入庫資料1_DELL MB廠級目標十一月 (4)" xfId="4585"/>
    <cellStyle name="_PL Fcst_akl(Friday)_PL Forecast by segment-most final 0806_Tom OS ( Oct)_X-BOX Console line setup budget 20080414" xfId="4586"/>
    <cellStyle name="_2005 04 DELL SMT Data2 -Process_BPI 8D-SMT-2月_DELL MB廠級目標.xls 圖表 1_DELLTEAM入庫資料1" xfId="4587"/>
    <cellStyle name="好_River EE BOM_Creak Pearl Reliability Fixture RFQ_2009 04 24_Creek RFQ feedback 04_28_2009_FD Update_Squirrel UniBom-06.23.2010_update_internal_Bolt RFQ_Foxlink_03.1 2011_nego meeting@MACH 2 2" xfId="4588"/>
    <cellStyle name="_2005 04 DELL SMT Data2 -Process_DELL廠級目標dip(1月) EXC _DELL MB廠級目標_DELL MB廠級目標_2007DELL SMT廠級目標KPI(MT)1" xfId="4589"/>
    <cellStyle name="差_Creak Pearl Reliability Fixture RFQ_2009 04 24_Creek  Pearl RFQ_May 12_Leopard UniBom_Foxlink_6 21 2010-ME_nego_Bolt RFQ_Foxlink_03.1 2011" xfId="4590"/>
    <cellStyle name="标题 3 2 2 2" xfId="4591"/>
    <cellStyle name="_Mechanical Contribution Margins forecast 0506 FP_Volume Fcst 1006 updated_Copy of Tom OS ( Oct) new for LOG_2009 xBOX ramp up budget code applicaiton 300K --New May26 (3)" xfId="4592"/>
    <cellStyle name="_Charlotte procurement plan Apr 26 2005 P1A_Copy of MOST Std - S1300 F2lines_Nazca copy exact flow chart 20120409" xfId="4593"/>
    <cellStyle name="_2005 04 DELL SMT Data2 -Process_2006日常管理目標.DIP _DELL廠級目標dip(2月) EXC _BPI 8D-SMT-2月_DELL MB廠級目標.xls 圖表 1_DELL制程課管理目標" xfId="4594"/>
    <cellStyle name="_Final Otter-UniBOM_10-25-2005_Quotebook_V3_07SEP11_Stream RFQ Unibom--0626-1756_Stream Quotebook(Submittal)_POC1_20080903" xfId="4595"/>
    <cellStyle name="_2006_0409 Ernestine_Cooper tooling_Quotebook_07SEP10_BlueAnt_Quotebook_V3_07SEP11_Internal RFQ River Standalone  Bundle Unibom_v1 2_20080603_EJ_Stream Quotebook(Submittal)_POC1_20080903 2" xfId="4596"/>
    <cellStyle name="_Avaya SPICE demand on Apr-25-06 (based on ramp-up plan)_Tester Demand Plan" xfId="4597"/>
    <cellStyle name="_2005 04 DELL SMT Data2 -Process_2006日常管理目標.DIP _DELL廠級目標dip(2月) EXC _BPI 8D-SMT-2月_DELL MB廠級目標.xls 圖表 1_DELL制程課管理目標 (4)" xfId="4598"/>
    <cellStyle name="_Mechanical Contribution Margins (Q2'06) 0705_PL Forecast by segment-most final 0806_Copy of Tom OS ( Oct) new for LOG_2009 xBOX ramp up budget code applicaiton 300K --New May27" xfId="4599"/>
    <cellStyle name="_2005 04 DELL SMT Data2 -Process_2006日常管理目標.DIP _DELL廠級目標dip(2月) EXC _BPI 8D-SMT-2月_DELL MB廠級目標.xls 圖表 1_DELL制程課管理指標" xfId="4600"/>
    <cellStyle name="好_治具工程課2009年KPI_產線生產規劃KPI 5 3" xfId="4601"/>
    <cellStyle name="_2005 04 DELL SMT Data2 -Process_2006日常管理目標.DIP _DELL廠級目標dip(2月) EXC _BPI 8D-SMT-2月_DELL MB廠級目標.xls 圖表 1_HP制程課2007管理指標匯總-八月匯總" xfId="4602"/>
    <cellStyle name="_2005 04 DELL SMT Data2 -Process_2006日常管理目標.DIP _DELL廠級目標dip(2月) EXC _BPI 8D-SMT-2月_DELL MB廠級目標.xls 圖表 1_MT 2007 KPI" xfId="4603"/>
    <cellStyle name="壞_Creek EE BOM cost_20090425_Squirrel RFQ ME BOM Costs-0623_Bolt RFQ Proposal_Foxlink_ (Pricing Summary) 2 25 2011 4 2" xfId="4604"/>
    <cellStyle name="_2006_0406 Ernestine_Cooper tooling_Quotebook_07SEP10_Internal RFQ River Standalone  Bundle Unibom_v1 2_20080603_EJ_Stream Quotebook(Submittal)_POC1_20080903 2" xfId="4605"/>
    <cellStyle name="差_F3   SMT設備明細_jupite r設備&amp;治工具LIST (總)_Flow Chart&amp;設備治工具清單 _Jackson 效益分析 (2-1 B0 上系統)_Leopard效益分析08-17" xfId="4606"/>
    <cellStyle name="_2005 04 DELL SMT Data2 -Process_DELL廠級目標dip.EXC _DELL廠級目標dip(2月) EXC " xfId="4607"/>
    <cellStyle name="差_Xl0000000_Leopard RFQ ME BOM Costs-0618_Bolt RFQ_Foxlink_03.1 2011" xfId="4608"/>
    <cellStyle name="Normal 3 17" xfId="4609"/>
    <cellStyle name="Normal 3 22" xfId="4610"/>
    <cellStyle name="_August-05_Forecast Template v2_2009 xBOX ramp up budget code applicaiton 300K --New May27" xfId="4611"/>
    <cellStyle name="_2005 04 DELL SMT Data2 -Process_2006日常管理目標.DIP _DELL廠級目標dip(2月) EXC _BPI 8D-SMT-2月_DELL MB廠級目標_2007DELL SMT廠級目標KPI(MT)1" xfId="4612"/>
    <cellStyle name="_2005 04 DELL SMT Data2 -Process_2006日常管理目標.DIP _DELL廠級目標dip(2月) EXC _BPI 8D-SMT-2月_DELL MB廠級目標_DELL MB廠級目標" xfId="4613"/>
    <cellStyle name="Normal 5 4 5" xfId="4614"/>
    <cellStyle name="_2005 04 DELL SMT Data2 -Process_2006日常管理目標.DIP _DELL廠級目標dip(2月) EXC _BPI 8D-SMT-2月_DELL MB廠級目標_DELL MB廠級目標.重要不能刪" xfId="4615"/>
    <cellStyle name="_2006_0329 Ernestine_Cooper Cost Feedback_Quotebook_07SEP10_BlueAnt_Quotebook_V3_07SEP11_RFQ_River_BAFO_2008 0606_M1 2" xfId="4616"/>
    <cellStyle name="好_治具工程課2009年KPI_KPI 1006 5 3" xfId="4617"/>
    <cellStyle name="好_River EE BOM_Creak Pearl Reliability Fixture RFQ_2009 04 24_Creek  Pearl RFQ_May 12_Leopard Lemur Squirrel UniBom-06.22.2010_EE cost _update_internal_Bolt RFQ Proposal_Foxlink_ (Pricing Summary) 2 25 2011 3" xfId="4618"/>
    <cellStyle name="_2005 04 DELL SMT Data2 -Process_2006日常管理目標.DIP _DELL廠級目標dip(2月) EXC _BPI 8D-SMT-2月_DELL MB廠級目標_DELL MB廠級目標.重要不能刪_DELL MB廠級目標十一月 (4)" xfId="4619"/>
    <cellStyle name="_2005 04 DELL SMT Data2 -Process_DELL廠級目標dip EXC _DELL廠級目標dip(2月) EXC _BPI 8D-SMT-2月 (3)_DELL MB廠級目標.xls 圖表 1_MT 2007 KPI" xfId="4620"/>
    <cellStyle name="好_Creek Assembly Fixture  Test Equipment RFQ_20090427_Squirrel RFQ ME BOM Costs-0623_Bolt RFQ Proposal_Foxlink_ (Pricing Summary) 2 25 2011 3" xfId="4621"/>
    <cellStyle name="_2005 04 DELL SMT Data2 -Process_2006日常管理目標.DIP _DELL廠級目標dip(2月) EXC _BPI 8D-SMT-2月_DELL MB廠級目標_DELL MB廠級目標_DELL MB廠級目標十一月 (4)" xfId="4622"/>
    <cellStyle name="_asus wlan 機種SMT線體需求計算表_1" xfId="4623"/>
    <cellStyle name="差_Bolt RFQ Proposal_Foxlink_ (Pricing Summary) 2 25 2011 2 3" xfId="4624"/>
    <cellStyle name="_2005 04 DELL SMT Data2 -Process_2006日常管理目標.DIP _DELL廠級目標dip(2月) EXC _BPI 8D-SMT-2月_DELL MB廠級目標_DELL MB廠級目標十一月 (4)" xfId="4625"/>
    <cellStyle name="好_效益分析&amp;產能評估 3 2" xfId="4626"/>
    <cellStyle name="_2005 04 DELL SMT Data2 -Process_2006日常管理目標.DIP _DELL廠級目標dip(2月) EXC _BPI 8D-SMT-2月_DELL MB廠級目標_DELL MB廠級目標四月 _2007DELL SMT廠級目標KPI(MT)1" xfId="4627"/>
    <cellStyle name="_2006_0410b Ernestine_Cooper tooling and plastic price to MS_Internal RFQ River Standalone  Bundle Unibom_v1 2_20080603_EJ_Stream Quotebook(Submittal)_POC1_20080903 2" xfId="4628"/>
    <cellStyle name="_Perip &amp; Live Mfg OPC - 360" xfId="4629"/>
    <cellStyle name="_Ellen Procurement Plan 20050530_Nazca copy exact flow chart 2012313" xfId="4630"/>
    <cellStyle name="_2005 04 DELL SMT Data2 -Process_2006日常管理目標.DIP _DELL廠級目標dip(2月) EXC _BPI 8D-SMT-2月_DELL MB廠級目標_DELLTEAM入庫資料1" xfId="4631"/>
    <cellStyle name="好_River EE BOM_Creak Pearl Reliability Fixture RFQ_2009 04 24_Pearl RFQ(Submittal)ver2_05_12_2009 _Leopard RFQ ME BOM Costs-0618_Bolt RFQ Proposal_Foxlink_ (Pricing Summary) 2 25 2011 2 2" xfId="4632"/>
    <cellStyle name="好_Creek Assembly Fixture  Test Equipment RFQ_20090427" xfId="4633"/>
    <cellStyle name="_Flextronics Radon  Build Plan 4-27-2005_Line transition plan to B17 revised 2_Scenario 2 of recovery until 1116" xfId="4634"/>
    <cellStyle name="_220071-78(Oct 2006)_2009 xBOX ramp up budget code applicaiton 300K --New May26 (3)" xfId="4635"/>
    <cellStyle name="差_Bristol ME parts tooling cost 20101022 updated_Bristol TC Estimate Update 08012011" xfId="4636"/>
    <cellStyle name="差_Creak Pearl Reliability Fixture RFQ_2009 04 24_Creek RFQ feedback 04_28_2009_FD Update_Foxlink_Shadow RFQ NREUni BOM_12032009_Bolt RFQ_Foxlink_03.1 2011_nego meeting@MACH 5" xfId="4637"/>
    <cellStyle name="_2005 04 DELL SMT Data2 -Process_2006日常管理目標.DIP _DELL廠級目標dip(2月) EXC _BPI 8D-SMT-2月_DELL MB廠級目標_DELLTEAM入庫資料1_DELL MB廠級目標十一月 (4)" xfId="4638"/>
    <cellStyle name="好_River EE BOM_Xl0000002_Leopard Lemur Squirrel UniBom-06.22.2010_EE cost _update_internal_Bolt RFQ Proposal_Foxlink_ (Pricing Summary) 2 25 2011" xfId="4639"/>
    <cellStyle name="_2005 04 DELL SMT Data2 -Process_2006日常管理目標.DIP _DELL廠級目標dip(2月) EXC _BPI 8D-SMT-2月_DELL MB廠級目標_DELL制程課管理目標 (4)" xfId="4640"/>
    <cellStyle name="差_Xl0000002_Foxlink_Shadow RFQ NREUni BOM_12032009_Bolt RFQ Proposal_Foxlink_ (Pricing Summary) 2 25 2011 5" xfId="4641"/>
    <cellStyle name="_2005 04 DELL SMT Data2 -Process_2006日常管理目標.DIP _DELL廠級目標dip(2月) EXC _BPI 8D-SMT-2月_DELL MB廠級目標_DELL制程課管理指標" xfId="4642"/>
    <cellStyle name="差_Creak Pearl Reliability Fixture RFQ_2009 04 24_Squirrel RFQ ME BOM Costs-0623_Bolt RFQ_Foxlink_03.1 2011_nego meeting@MACH 3" xfId="4643"/>
    <cellStyle name="_2005 04 DELL SMT Data2 -Process_2006日常管理目標.DIP _DELL廠級目標dip(2月) EXC _DELL MB廠級目標 (2)_DELL MB廠級目標_MT 2007 KPI" xfId="4644"/>
    <cellStyle name="Normal 47 3 2" xfId="4645"/>
    <cellStyle name="Normal 52 3 2" xfId="4646"/>
    <cellStyle name="_Flex Mechanicals Doumen Sales forecast - Dec'05 (updated links)_X-BOX Console line setup budget and Buyer list" xfId="4647"/>
    <cellStyle name="_2005 04 DELL SMT Data2 -Process_2006日常管理目標.DIP _DELL廠級目標dip(2月) EXC _BPI 8D-SMT-2月_DELL MB廠級目標_HP制程課2007管理指標匯總-八月匯總" xfId="4648"/>
    <cellStyle name="40% - Accent5 2 4 2" xfId="4649"/>
    <cellStyle name="_2005 04 DELL SMT Data2 -Process_2006日常管理目標.DIP _DELL廠級目標dip(2月) EXC _DELL MB廠級目標" xfId="4650"/>
    <cellStyle name="_2005 04 DELL SMT Data2 -Process_2006日常管理目標.DIP _DELL廠級目標dip(2月) EXC _DELL MB廠級目標  (2)" xfId="4651"/>
    <cellStyle name="_Avaya SPICE demand on May-8-06 (based on ramp-up plan)_Scenario 1 of recovery until 1102" xfId="4652"/>
    <cellStyle name="_Book2_Volume Fcst 1006 updated_Copy of Tom OS ( Oct) new for LOG_2009 xBOX ramp up budget code applicaiton 300K --New May27" xfId="4653"/>
    <cellStyle name="_2005 04 DELL SMT Data2 -Process_2006日常管理目標.DIP _DELL廠級目標dip(2月) EXC _DELL MB廠級目標  (2)_DELL MB廠級目標" xfId="4654"/>
    <cellStyle name="_2005 04 DELL SMT Data2 -Process_2006日常管理目標.DIP _DELL廠級目標dip(2月) EXC _DELL MB廠級目標  (2)_DELL MB廠級目標_MT 2007 KPI" xfId="4655"/>
    <cellStyle name="_Sales Breakdown Analysis 3_Volume Fcst 1006 updated_Copy of Tom OS ( Oct) new for LOG_X-BOX Console line setup budget and Buyer list" xfId="4656"/>
    <cellStyle name="差_F3   SMT設備明細_M1 Bolt wireless mouse FixtureEquipment Cost_A2_2010_12_07_Bolt RFQ Proposal_Foxlink_ (Pricing Summary) 2 25 2011 4" xfId="4657"/>
    <cellStyle name="_Monaco manpower comparison 8-30_Tester Demand summary(2007-06-25) (2)_Tester Demand Plan 062707" xfId="4658"/>
    <cellStyle name="_2005 04 DELL SMT Data2 -Process_2006日常管理目標.DIP _DELL廠級目標dip(2月) EXC _DELL MB廠級目標  (2)_DELL MB廠級目標.xls 圖表 1_2007DELL SMT廠級目標KPI(MT)1" xfId="4659"/>
    <cellStyle name="_Dash Uni_BOM 10142005_Internal RFQ River Standalone  Bundle Unibom_v1 2_20080603_EJ_Stream Quotebook (Submittal)_POC2_20081117-1" xfId="4660"/>
    <cellStyle name="_Flex Mechanicals Doumen Sales forecast - Dec'05 R1_PL Forecast by segment-most final 0806_Copy of Tom OS ( Oct) new for LOG_Forecast Template v4" xfId="4661"/>
    <cellStyle name="_2005 04 DELL SMT Data2 -Process_2006日常管理目標.DIP _DELL廠級目標dip(2月) EXC _DELL MB廠級目標  (2)_DELL MB廠級目標.xls 圖表 1_DELL MB廠級目標.重要不能刪" xfId="4662"/>
    <cellStyle name="_7月ict f.t_0536周周管審_Book1_複本 0541周周管審" xfId="4663"/>
    <cellStyle name="40% - Accent6 3 2 3" xfId="4664"/>
    <cellStyle name="_Opex_accessories spc 1 0 slide" xfId="4665"/>
    <cellStyle name="_2005 04 DELL SMT Data2 -Process_2006日常管理目標.DIP _DELL廠級目標dip(2月) EXC _DELL MB廠級目標  (2)_DELL MB廠級目標.xls 圖表 1_DELL MB廠級目標.重要不能刪_DELL MB廠級目標十一月 (4)" xfId="4666"/>
    <cellStyle name="好_Creek Assembly Fixture  Test Equipment RFQ_20090427_Leopard RFQ ME BOM Costs-0618-2_Bolt_Cliff 7" xfId="4667"/>
    <cellStyle name="_Flextronics Radon  Build Plan 4-27-2005_Line transition plan to B17 revised 2_Tester Demand Plan_Tester Demand Plan 062707" xfId="4668"/>
    <cellStyle name="_7月月管審附件.xls 圖表 1_0536周周管審" xfId="4669"/>
    <cellStyle name="_2005 04 DELL SMT Data2 -Process_2006日常管理目標.DIP _DELL廠級目標dip(2月) EXC _DELL MB廠級目標  (2)_DELL MB廠級目標.xls 圖表 1_DELL MB廠級目標_2007DELL SMT廠級目標KPI(MT)1" xfId="4670"/>
    <cellStyle name="差_Creak Pearl Reliability Fixture RFQ_2009 04 24_Pearl RFQ(Submittal)ver2_05_12_2009 _Leopard_UniBOM_ME_0531_Bolt RFQ_Foxlink_03.1 2011" xfId="4671"/>
    <cellStyle name="好_River EE BOM_Xl0000002_Leopard RFQ ME BOM Costs-0618_Bolt RFQ Proposal_Foxlink_ (Pricing Summary) 2 25 2011 5 3" xfId="4672"/>
    <cellStyle name="Link Currency (2) 2" xfId="4673"/>
    <cellStyle name="_2005 04 DELL SMT Data2 -Process_2006日常管理目標.DIP _DELL廠級目標dip(2月) EXC _DELL MB廠級目標  (2)_DELL MB廠級目標.xls 圖表 1_DELL MB廠級目標_DELL MB廠級目標十一月 (4)" xfId="4674"/>
    <cellStyle name="_7月ict f.t_Book1_複本 0541周周管審" xfId="4675"/>
    <cellStyle name="差_Creak Pearl Reliability Fixture RFQ_2009 04 24_Xl0000002_Foxlink_Shadow RFQ NREUni BOM_12032009_Bolt RFQ Proposal_Foxlink_ (Pricing Summary) 2 25 2011 5 3" xfId="4676"/>
    <cellStyle name="_2005 04 DELL SMT Data2 -Process_2006日常管理目標.DIP _DELL廠級目標dip(2月) EXC _DELL MB廠級目標  (2)_DELL MB廠級目標.xls 圖表 1_DELL MB廠級目標四月 " xfId="4677"/>
    <cellStyle name="差_HP Mouse 產能評估(Forecast更改後)_MS Bolt wireless mouse FixtureEquipment Cost_A5_2010_02_21 2 2" xfId="4678"/>
    <cellStyle name="好_Creek Assembly Fixture  Test Equipment RFQ_20090427_Leopard UniBom_Foxlink_6 21 2010-ME_nego 2 2 3" xfId="4679"/>
    <cellStyle name="壞_Creek EE BOM cost_20090425_Creek RFQ feedback 04_28_2009_FD Update_Squirrel RFQ ME BOM Costs-0623_Bolt RFQ_Foxlink_03.1 2011_nego meeting@MACH 4" xfId="4680"/>
    <cellStyle name="_2005 04 DELL SMT Data2 -Process_DELL廠級目標dip.EXC _DELL MB廠級目標_DELL制程課管理目標" xfId="4681"/>
    <cellStyle name="_2005 04 DELL SMT Data2 -Process_DELL MB廠級目標  (2)_DELL MB廠級目標.xls 圖表 1_DELL MB廠級目標_DELL MB廠級目標十一月 (4)" xfId="4682"/>
    <cellStyle name="_2005 04 DELL SMT Data2 -Process_2006日常管理目標.DIP _DELL廠級目標dip(2月) EXC _DELL MB廠級目標  (2)_DELL MB廠級目標.xls 圖表 1_DELL MB廠級目標四月 _2007DELL SMT廠級目標KPI(MT)1" xfId="4683"/>
    <cellStyle name="_2006_0409 Ernestine_Cooper tooling_Erie  Mouse RFQ Pricing IE 2" xfId="4684"/>
    <cellStyle name="_2005 04 DELL SMT Data2 -Process_2006日常管理目標.DIP _DELL廠級目標dip(2月) EXC _DELL MB廠級目標  (2)_DELL MB廠級目標.xls 圖表 1_DELL MB廠級目標四月 _DELL MB廠級目標十一月 (4)" xfId="4685"/>
    <cellStyle name="_2006_0410b Ernestine_Cooper tooling and plastic price to MS_Quotebook_V3_07SEP11_Internal RFQ River Standalone  Bundle Unibom_v1 2_20080603_EJ" xfId="4686"/>
    <cellStyle name="差_Creak Pearl Reliability Fixture RFQ_2009 04 24_Creek  Pearl RFQ_May 12_Squirrel RFQ ME BOM Costs-0623_Bolt RFQ Proposal_Foxlink_ (Pricing Summary) 2 25 2011 7" xfId="4687"/>
    <cellStyle name="好_Creek Assembly Fixture  Test Equipment RFQ_20090427_Leopard_UniBOM_ME_0602-1_Bolt RFQ_Foxlink_03.1 2011 3 3" xfId="4688"/>
    <cellStyle name="好_Creek Assembly Fixture  Test Equipment RFQ_20090427_Xl0000002_Leopard_UniBOM_ME_0531_Bolt RFQ_Foxlink_03.1 2011_nego meeting@MACH" xfId="4689"/>
    <cellStyle name="_2005 04 DELL SMT Data2 -Process_2006日常管理目標.DIP _DELL廠級目標dip(2月) EXC _DELL MB廠級目標  (2)_DELL MB廠級目標.xls 圖表 1_DELLTEAM入庫資料1" xfId="4690"/>
    <cellStyle name="好_River EE BOM_Creak Pearl Reliability Fixture RFQ_2009 04 24_Creek  Pearl RFQ_May 12_Leopard Lemur Squirrel UniBom-06.22.2010_EE cost _update_internal_Bolt RFQ Proposal_Foxlink_ (Pricing Summary) 2 25 2011 5 2" xfId="4691"/>
    <cellStyle name="_Avaya Spice demand  forecast on May-22-06 (based on ramp-up plan)_Tester Demand Plan" xfId="4692"/>
    <cellStyle name="_2005 04 DELL SMT Data2 -Process_2006日常管理目標.DIP _DELL廠級目標dip(2月) EXC _DELL MB廠級目標  (2)_DELL MB廠級目標.xls 圖表 1_DELLTEAM入庫資料1_2007DELL SMT廠級目標KPI(MT)1" xfId="4693"/>
    <cellStyle name="_Flex forecast Depot 2005 rev4A_X-BOX Console line setup budget 20080414" xfId="4694"/>
    <cellStyle name="_Fcst March_06(Revised 2.)_Volume Fcst Jul 06-update HP _Copy of Tom OS ( Oct) new for LOG_2009 xBOX ramp up budget code applicaiton 300K --New May27" xfId="4695"/>
    <cellStyle name="_2006_0319 Ernestine_Cooper Cost Feedback_Internal RFQ River Standalone  Bundle Unibom_v1 2_20080603_EJ_Stream Quotebook (Submittal)_POC2_20081117-1" xfId="4696"/>
    <cellStyle name="好_River EE BOM_Xl0000000_Bolt RFQ Proposal_Foxlink_ (Pricing Summary) 2 25 2011" xfId="4697"/>
    <cellStyle name="_2005 04 DELL SMT Data2 -Process_2006日常管理目標.DIP _DELL廠級目標dip(2月) EXC _DELL MB廠級目標  (2)_DELL MB廠級目標.xls 圖表 1_DELL制程課管理目標" xfId="4698"/>
    <cellStyle name="_Z9 blueAnt ME BOM 0910 final_Stream RFQ Unibom--0626-1756_Stream Quotebook(Submittal)_POC1_20080903 2" xfId="4699"/>
    <cellStyle name="_2005 04 DELL SMT Data2 -Process_2006日常管理目標.DIP _DELL廠級目標dip(2月) EXC _DELL MB廠級目標  (2)_DELL MB廠級目標.xls 圖表 1_DELL制程課管理指標" xfId="4700"/>
    <cellStyle name="_bom updated on 2002-11-10_Mustang production assembly quotation (internal review)3-16 Rev7" xfId="4701"/>
    <cellStyle name="_2005 04 DELL SMT Data2 -Process_BPI 8D-SMT-2月 (3)_DELL MB廠級目標.xls 圖表 1_DELL制程課管理目標" xfId="4702"/>
    <cellStyle name="好_Creek EE BOM cost_20090425_Creek RFQ feedback 04_28_2009_FD Update_Squirrel RFQ ME BOM Costs-0623_Bolt RFQ Proposal_Foxlink_ (Pricing Summary) 2 25 2011 4 3" xfId="4703"/>
    <cellStyle name="_2005 04 DELL SMT Data2 -Process_2006日常管理目標.DIP _DELL廠級目標dip(2月) EXC _DELL MB廠級目標  (2)_DELL MB廠級目標.xls 圖表 1_HP制程課2007管理指標匯總-八月匯總" xfId="4704"/>
    <cellStyle name="好_Creek Assembly Fixture  Test Equipment RFQ_20090427_Leopard RFQ ME BOM Costs-0618_Bolt RFQ_Foxlink_03.1 2011_nego meeting@MACH 3" xfId="4705"/>
    <cellStyle name="_2006_0410 Ernestine_Cooper tooling and plastic price to MS_Quotebook_V3_07SEP11_Stream RFQ Unibom--0626-1756_Stream Quotebook(Submittal)_POC1_20080903 2" xfId="4706"/>
    <cellStyle name="差_F3   SMT設備明細_Flow Chart&amp;設備治工具清單 _Jackson 效益分析 (2-1 B0 上系統)_squirrel效益分析08-17" xfId="4707"/>
    <cellStyle name="_2005 04 DELL SMT Data2 -Process_2006日常管理目標.DIP _DELL廠級目標dip(2月) EXC _DELL MB廠級目標  (2)_DELL MB廠級目標.xls 圖表 1_MT 2007 KPI" xfId="4708"/>
    <cellStyle name="_2005 04 DELL SMT Data2 -Process_2006日常管理目標.DIP _DELL廠級目標dip(2月) EXC _DELL MB廠級目標  (2)_DELL MB廠級目標_2007DELL SMT廠級目標KPI(MT)1" xfId="4709"/>
    <cellStyle name="差_Creak Pearl Reliability Fixture RFQ_2009 04 24_Squirrel RFQ ME BOM Costs-0623_Bolt RFQ_Foxlink_03.1 2011_nego meeting@MACH 2" xfId="4710"/>
    <cellStyle name="_Mechanical Contribution Margins (Q1'06, applied to Apr'04 Fcst)_Volume Fcst 1006 updated_Tom OS ( Oct)_2009 xBOX ramp up budget code applicaiton" xfId="4711"/>
    <cellStyle name="_2005 04 DELL SMT Data2 -Process_2006日常管理目標.DIP _DELL廠級目標dip(2月) EXC _DELL MB廠級目標  (2)_DELL MB廠級目標_DELL MB廠級目標" xfId="4712"/>
    <cellStyle name="好_Creek Assembly Fixture  Test Equipment RFQ_20090427_Xl0000002_Foxlink_Shadow RFQ NREUni BOM_12032009_Bolt RFQ_Foxlink_03.1 2011 2 2" xfId="4713"/>
    <cellStyle name="_FlexDOload 10-14-05 flex 4" xfId="4714"/>
    <cellStyle name="_2005 04 DELL SMT Data2 -Process_2006日常管理目標.DIP _DELL廠級目標dip(2月) EXC _DELL MB廠級目標  (2)_DELL MB廠級目標_DELL MB廠級目標.重要不能刪_2007DELL SMT廠級目標KPI(MT)1" xfId="4715"/>
    <cellStyle name="差_Creak Pearl Reliability Fixture RFQ_2009 04 24_Pearl RFQ(Submittal)ver2_05_12_2009 _Leopard UniBom_Foxlink_6 21 2010-ME_nego_Bolt RFQ_Foxlink_03.1 2011" xfId="4716"/>
    <cellStyle name="_Mechanical Contribution Margins (Q2'06) 0705_PL Forecast by segment-most final 0806_Tom OS ( Oct)_Forecast Template v4" xfId="4717"/>
    <cellStyle name="_2005 04 DELL SMT Data2 -Process_2006日常管理目標.DIP _DELL廠級目標dip(2月) EXC _DELL MB廠級目標  (2)_DELL MB廠級目標_DELL MB廠級目標.重要不能刪_DELL MB廠級目標十一月 (4)" xfId="4718"/>
    <cellStyle name="_Final Otter-UniBOM_10-25-2005_Quotebook_V3_07SEP11_Internal RFQ River Standalone  Bundle Unibom_v1 2_20080603_EJ_Stream Quotebook(Submittal)_POC1_20080903" xfId="4719"/>
    <cellStyle name="_2005 04 DELL SMT Data2 -Process_2006日常管理目標.DIP _DELL廠級目標dip(2月) EXC _DELL MB廠級目標  (2)_DELL MB廠級目標_DELL MB廠級目標_2007DELL SMT廠級目標KPI(MT)1" xfId="4720"/>
    <cellStyle name="_2005 04 DELL SMT Data2 -Process_2006日常管理目標.DIP _DELL廠級目標dip(2月) EXC _DELL MB廠級目標  (2)_DELL MB廠級目標_DELL MB廠級目標_DELL MB廠級目標十一月 (4)" xfId="4721"/>
    <cellStyle name="_FY0304_XBOX  CHANNEL RESERVE_FY06 P06 360Periphs SPC" xfId="4722"/>
    <cellStyle name="好_River EE BOM_Creak Pearl Reliability Fixture RFQ_2009 04 24_Creek  Pearl RFQ_May 12_Squirrel RFQ ME BOM Costs-0623 3 2" xfId="4723"/>
    <cellStyle name="_2005 04 DELL SMT Data2 -Process_2006日常管理目標.DIP _DELL廠級目標dip(2月) EXC _DELL MB廠級目標  (2)_DELL MB廠級目標_DELL MB廠級目標十一月 (4)" xfId="4724"/>
    <cellStyle name="好_River EE BOM_Creak Pearl Reliability Fixture RFQ_2009 04 24_Creek RFQ feedback 04_28_2009_FD Update_Squirrel UniBom-06.23.2010_update_internal_Bolt RFQ Proposal_Foxlink_ (Pricing Summary) 2 25 2011 2 2 3" xfId="4725"/>
    <cellStyle name="_2006_0409 Ernestine_Cooper tooling" xfId="4726"/>
    <cellStyle name="好_Creek EE BOM cost_20090425_Creek RFQ feedback 04_28_2009_FD Update_Foxlink_Shadow RFQ NREUni BOM_12032009 3 3" xfId="4727"/>
    <cellStyle name="_xbox live-Rene_FY06 P7 CM Consigned RM" xfId="4728"/>
    <cellStyle name="_2005 04 DELL SMT Data2 -Process_2006日常管理目標.DIP _DELL廠級目標dip(2月) EXC _DELL MB廠級目標  (2)_DELL MB廠級目標_DELL MB廠級目標四月 " xfId="4729"/>
    <cellStyle name="_2006_0409 Ernestine_Cooper tooling and plastic price to MS_Quotebook_V3_07SEP11_Internal RFQ River Standalone  Bundle Unibom_v1 2_20080603_EJ_Stream Quotebook (Submittal)_POC2_20081117-1" xfId="4730"/>
    <cellStyle name="好_River EE BOM_Creak Pearl Reliability Fixture RFQ_2009 04 24_Leopard_UniBOM_ME_0603-2_Bolt RFQ_Foxlink_03.1 2011 3 3" xfId="4731"/>
    <cellStyle name="_二廠HP daily quality meeting12 18" xfId="4732"/>
    <cellStyle name="_2005 04 DELL SMT Data2 -Process_2006日常管理目標.DIP _DELL廠級目標dip(2月) EXC _DELL MB廠級目標  (2)_DELL MB廠級目標_DELLTEAM入庫資料1" xfId="4733"/>
    <cellStyle name="_2005 04 DELL SMT Data2 -Process_2006日常管理目標.DIP _DELL廠級目標dip(2月) EXC _DELL MB廠級目標  (2)_DELL MB廠級目標_DELLTEAM入庫資料1_2007DELL SMT廠級目標KPI(MT)1" xfId="4734"/>
    <cellStyle name="_Flex Mechanicals Doumen Sales forecast - Jan.06-updated_PL Forecast by segment-most final 0806_Copy of Tom OS ( Oct) new for LOG_2009 xBOX ramp up budget code applicaiton 300K --New May26 (3)" xfId="4735"/>
    <cellStyle name="_2006_0410b Ernestine_Cooper tooling and plastic price to MS_Quotebook_07SEP10_Stream RFQ Unibom--0626-1756_Stream Quotebook (Submittal)_POC2_20081117-1" xfId="4736"/>
    <cellStyle name="_2005 04 DELL SMT Data2 -Process_2006日常管理目標.DIP _DELL廠級目標dip(2月) EXC _DELL MB廠級目標  (2)_DELL MB廠級目標_DELLTEAM入庫資料1_DELL MB廠級目標十一月 (4)" xfId="4737"/>
    <cellStyle name="差_Creak Pearl Reliability Fixture RFQ_2009 04 24_Creek  Pearl RFQ_May 12_Foxlink_Shadow RFQ NREUni BOM_12032009_Bolt RFQ Proposal_Foxlink_ (Pricing Summary) 2 25 2011 5" xfId="4738"/>
    <cellStyle name="好_效益分析&amp;產能評估_MS Bolt wireless mouse FixtureEquipment Cost_A5_2010_02_21_Bolt RFQ Proposal_Foxlink_ (Pricing Summary) 2 25 2011 2 3" xfId="4739"/>
    <cellStyle name="40% - Accent6 13" xfId="4740"/>
    <cellStyle name="_ASUS WL SMT標準工時2_MBO 周加班估算20060403" xfId="4741"/>
    <cellStyle name="Total 4 2" xfId="4742"/>
    <cellStyle name="_2006_0319 Ernestine_Cooper Cost Feedback_Quotebook_07SEP10_BlueAnt_Quotebook_V3_07SEP11" xfId="4743"/>
    <cellStyle name="好_Creek Assembly Fixture  Test Equipment RFQ_20090427_Xl0000002_Leopard RFQ ME BOM Costs-0618-2_Bolt RFQ Proposal_Foxlink_ (Pricing Summary) 2 25 2011" xfId="4744"/>
    <cellStyle name="_2005 04 DELL SMT Data2 -Process_DELL廠級目標dip.EXC _DELL廠級目標dip(2月) EXC _BPI 8D-SMT-2月" xfId="4745"/>
    <cellStyle name="_2005 04 DELL SMT Data2 -Process_2006日常管理目標.DIP _DELL廠級目標dip(2月) EXC _DELL MB廠級目標  (2)_DELL MB廠級目標_DELL制程課管理目標 (4)" xfId="4746"/>
    <cellStyle name="差_F3   SMT設備明細_M1 Squirrel Capacity planFixtureEquipment Cost_A2_06192010_Leopard UniBom_Foxlink_12092010 RevD-jen" xfId="4747"/>
    <cellStyle name="好_Creek Assembly Fixture  Test Equipment RFQ_20090427_Foxlink_Shadow RFQ NREUni BOM_12032009 2 2 2" xfId="4748"/>
    <cellStyle name="_2005 04 DELL SMT Data2 -Process_2006日常管理目標.DIP _DELL廠級目標dip(2月) EXC _DELL MB廠級目標 (2)_2007DELL SMT廠級目標KPI(MT)1" xfId="4749"/>
    <cellStyle name="差_MB9月管審換線超時8d 5" xfId="4750"/>
    <cellStyle name="_2005 04 DELL SMT Data2 -Process_DELL廠級目標dip.EXC _DELL MB廠級目標_DELL MB廠級目標_2007DELL SMT廠級目標KPI(MT)1" xfId="4751"/>
    <cellStyle name="差_Creek RFQ feedback 04_28_2009_FD Update_Leopard RFQ ME BOM Costs-0618_Bolt RFQ Proposal_Foxlink_ (Pricing Summary) 2 25 2011 3" xfId="4752"/>
    <cellStyle name="好_Creek EE BOM cost_20090425_Creek RFQ feedback 04_28_2009_FD Update_Leopard Lemur Squirrel UniBom-06.22.2010_EE cost _update_internal_Bolt RFQ_Foxlink_03.1 2011" xfId="4753"/>
    <cellStyle name="_2005 04 DELL SMT Data2 -Process_BPI 8D-SMT-2月_DELL MB廠級目標_DELL MB廠級目標四月 " xfId="4754"/>
    <cellStyle name="_FY02 Budget Summary Select Version 25th No CDR FINAL ver2_Book1" xfId="4755"/>
    <cellStyle name="_2005 04 DELL SMT Data2 -Process_2006日常管理目標.DIP _DELL廠級目標dip(2月) EXC _DELL MB廠級目標 (2)_DELL MB廠級目標" xfId="4756"/>
    <cellStyle name="_Sales Forecast (plastic XX)0703_PL Forecast by segment-most final 0806_Copy of Tom OS ( Oct) new for LOG_2009 xBOX ramp up budget code applicaiton 300K --New May27" xfId="4757"/>
    <cellStyle name="_Sales Forecast (plastic XX)1203_PL Forecast by segment-most final 0806_Copy of Tom OS ( Oct) new for LOG_2009 xBOX ramp up budget code applicaiton 300K --New May27" xfId="4758"/>
    <cellStyle name="_2005 04 DELL SMT Data2 -Process_2006日常管理目標.DIP _DELL廠級目標dip(2月) EXC _DELL MB廠級目標 (2)_DELL MB廠級目標.xls 圖表 1_DELL MB廠級目標" xfId="4759"/>
    <cellStyle name="_2005 04 DELL SMT Data2 -Process_2006日常管理目標.DIP _DELL廠級目標dip(2月) EXC _DELL MB廠級目標 (2)_DELL MB廠級目標.xls 圖表 1_DELL MB廠級目標_2007DELL SMT廠級目標KPI(MT)1" xfId="4760"/>
    <cellStyle name="_2005 04 DELL SMT Data2 -Process_2006日常管理目標.DIP _DELL廠級目標dip(2月) EXC _DELL MB廠級目標 (2)_DELL MB廠級目標.xls 圖表 1_DELL MB廠級目標十一月 (4)" xfId="4761"/>
    <cellStyle name="差_0842周 顯卡報廢超標8D_2009MB KPI_MBO3F製造部hp0209-01 6" xfId="4762"/>
    <cellStyle name="_BOM update - Supplier List (Purchase) 111102_Purchase items tracker ODM" xfId="4763"/>
    <cellStyle name="差_jupite r設備&amp;治工具LIST (總)_pq_效益分析(總 12-28 Update)" xfId="4764"/>
    <cellStyle name="差_jupite r設備&amp;治工具LIST (總)_pq_Leopard Flowchart &amp; 產能評估" xfId="4765"/>
    <cellStyle name="_Bach Chicony Scn2 KB+M+Rx Uni-BOM 070118_Cost.xls-rev2" xfId="4766"/>
    <cellStyle name="_2005 04 DELL SMT Data2 -Process_2006日常管理目標.DIP _DELL廠級目標dip(2月) EXC _DELL MB廠級目標 (2)_DELL MB廠級目標.xls 圖表 1_DELL MB廠級目標四月 " xfId="4767"/>
    <cellStyle name="好_River EE BOM_Jackson and Shadow test cost update _7th Feb 2010 (2)_Bristol TC Estimate Update 08042011_MS" xfId="4768"/>
    <cellStyle name="_KYE Lake Uni_BOM-10312007" xfId="4769"/>
    <cellStyle name="好_HP all model 標準工時(W1130) 5 3" xfId="4770"/>
    <cellStyle name="_2005 04 DELL SMT Data2 -Process_DELL廠級目標dip(2月) EXC _DELL MB廠級目標.xls 圖表 1_DELL MB廠級目標_2007DELL SMT廠級目標KPI(MT)1" xfId="4771"/>
    <cellStyle name="_2005 04 DELL SMT Data2 -Process_2006日常管理目標.DIP _DELL廠級目標dip(2月) EXC _DELL MB廠級目標 (2)_DELL MB廠級目標.xls 圖表 1_DELL MB廠級目標四月 _DELL MB廠級目標十一月 (4)" xfId="4772"/>
    <cellStyle name="_Alvin-Development NRE_Stream RFQ Unibom--0626-1756" xfId="4773"/>
    <cellStyle name="好_River EE BOM_Creak Pearl Reliability Fixture RFQ_2009 04 24_Leopard_UniBOM_ME_0602-1_Bolt RFQ_Foxlink_03.1 2011 4" xfId="4774"/>
    <cellStyle name="_Production Rent Rev Aug04 OPS1" xfId="4775"/>
    <cellStyle name="好_River EE BOM_Creak Pearl Reliability Fixture RFQ_2009 04 24_Creek RFQ feedback 04_28_2009_FD Update_Leopard_UniBOM_ME_0531_Bolt RFQ_Foxlink_03.1 2011_nego meeting@MACH 3 2" xfId="4776"/>
    <cellStyle name="_2005 04 DELL SMT Data2 -Process_2006日常管理目標.DIP _DELL廠級目標dip(2月) EXC _DELL MB廠級目標 (2)_DELL MB廠級目標.xls 圖表 1_DELLTEAM入庫資料1" xfId="4777"/>
    <cellStyle name="_2005 04 DELL SMT Data2 -Process_DELLTEAM入庫資料1_DELL MB廠級目標十一月 (4)" xfId="4778"/>
    <cellStyle name="20% - Accent6 3 3 3" xfId="4779"/>
    <cellStyle name="_2005 04 DELL SMT Data2 -Process_2006日常管理目標.DIP _DELL廠級目標dip(2月) EXC _DELL MB廠級目標 (2)_DELL MB廠級目標.xls 圖表 1_DELLTEAM入庫資料1_2007DELL SMT廠級目標KPI(MT)1" xfId="4780"/>
    <cellStyle name="_2005 04 DELL SMT Data2 -Process_2006日常管理目標.DIP _DELL廠級目標dip(2月) EXC _DELL MB廠級目標 (2)_DELL MB廠級目標.xls 圖表 1_DELLTEAM入庫資料1_DELL MB廠級目標十一月 (4)" xfId="4781"/>
    <cellStyle name="_2005 04 DELL SMT Data2 -Process_DELL廠級目標dip.EXC _DELL廠級目標dip(2月) EXC _BPI 8D-SMT-2月 (3)_DELL MB廠級目標" xfId="4782"/>
    <cellStyle name="_Pluto NRE-03032006_Stream RFQ Unibom--0626-1756_Stream Quotebook(Submittal)_POC1_20080903" xfId="4783"/>
    <cellStyle name="_2005 04 DELL SMT Data2 -Process_2006日常管理目標.DIP _DELL廠級目標dip(2月) EXC _DELL MB廠級目標 (2)_DELL MB廠級目標.xls 圖表 1_DELL制程課管理目標 (4)" xfId="4784"/>
    <cellStyle name="_2009 xBOX ramp up budget code applicaiton" xfId="4785"/>
    <cellStyle name="_2005 04 DELL SMT Data2 -Process_2006日常管理目標.DIP _DELL廠級目標dip(2月) EXC _DELL MB廠級目標 (2)_DELL MB廠級目標.xls 圖表 1_DELL制程課管理指標" xfId="4786"/>
    <cellStyle name="_2005 04 DELL SMT Data2 -Process_2006日常管理目標.DIP _DELL廠級目標dip(2月) EXC _DELL MB廠級目標 (2)_DELL MB廠級目標.xls 圖表 1_HP制程課2007管理指標匯總-八月匯總" xfId="4787"/>
    <cellStyle name="标题 4 2" xfId="4788"/>
    <cellStyle name="_Plutto Uni_BOM 06182006(Sunny)" xfId="4789"/>
    <cellStyle name="_7月ict f.t_0536周周管審_0536周直通率8d_複本 0541周周管審" xfId="4790"/>
    <cellStyle name="好_0842周 顯卡報廢超標8D_2009MB KPI_MBO3F製造部hp0209-01 5 2 2" xfId="4791"/>
    <cellStyle name="_Z9 blueAnt ME BOM 0910_BlueAnt_Quotebook_V3_07SEP11_Stream RFQ Unibom--0626-1756_Stream Package Quotation_20090311" xfId="4792"/>
    <cellStyle name="_2005 04 DELL SMT Data2 -Process_2006日常管理目標.DIP _DELL廠級目標dip(2月) EXC _DELL MB廠級目標 (2)_DELL MB廠級目標.xls 圖表 1_MT 2007 KPI" xfId="4793"/>
    <cellStyle name="好_Creek Assembly Fixture  Test Equipment RFQ_20090427_Leopard RFQ ME BOM Costs-0618_Bolt_Cliff 3 3" xfId="4794"/>
    <cellStyle name="_Flex Mechanicals Doumen Sales forecast - Dec'05 R1_Volume Fcst Jul 06-update HP _Tom OS ( Oct)" xfId="4795"/>
    <cellStyle name="_2005 04 DELL SMT Data2 -Process_BPI 8D-SMT-2月_DELL MB廠級目標_DELL MB廠級目標四月 _2007DELL SMT廠級目標KPI(MT)1" xfId="4796"/>
    <cellStyle name="_2005 04 DELL SMT Data2 -Process_2006日常管理目標.DIP _DELL廠級目標dip(2月) EXC _DELL MB廠級目標 (2)_DELL MB廠級目標_2007DELL SMT廠級目標KPI(MT)1" xfId="4797"/>
    <cellStyle name="_2005 04 DELL SMT Data2 -Process_BPI 8D-SMT-2月_DELL MB廠級目標" xfId="4798"/>
    <cellStyle name="_Prepayment Listing-June" xfId="4799"/>
    <cellStyle name="_2005 04 DELL SMT Data2 -Process_2006日常管理目標.DIP _DELL廠級目標dip(2月) EXC _DELL MB廠級目標 (2)_DELL MB廠級目標_DELL MB廠級目標.重要不能刪_2007DELL SMT廠級目標KPI(MT)1" xfId="4800"/>
    <cellStyle name="好_River EE BOM_Creak Pearl Reliability Fixture RFQ_2009 04 24_Squirrel RFQ ME BOM Costs-0623_Bolt RFQ_Foxlink_03.1 2011 4" xfId="4801"/>
    <cellStyle name="_2005 04 DELL SMT Data2 -Process_2006日常管理目標.DIP _DELL廠級目標dip(2月) EXC _DELL MB廠級目標 (2)_DELL MB廠級目標_DELL MB廠級目標.重要不能刪_DELL MB廠級目標十一月 (4)" xfId="4802"/>
    <cellStyle name="_5S巡辦法 (2)" xfId="4803"/>
    <cellStyle name="_2005 04 DELL SMT Data2 -Process_2006日常管理目標.DIP _DELL廠級目標dip(2月) EXC _DELL MB廠級目標 (2)_DELL MB廠級目標_DELL MB廠級目標_2007DELL SMT廠級目標KPI(MT)1" xfId="4804"/>
    <cellStyle name="_2006_0410 Ernestine_Cooper tooling and plastic price to MS 2" xfId="4805"/>
    <cellStyle name="_2006_0410 Ernestine_Cooper tooling and plastic price to MS_RFQ_River_BAFO_2008 0606_M1 2" xfId="4806"/>
    <cellStyle name="好_River EE BOM_Creak Pearl Reliability Fixture RFQ_2009 04 24_Pearl RFQ(Submittal)ver2_05_12_2009 _Foxlink_Shadow RFQ NREUni BOM_12032009_Bolt RFQ_Foxlink_03.1 2011 3" xfId="4807"/>
    <cellStyle name="Normal 38 6" xfId="4808"/>
    <cellStyle name="Normal 43 6" xfId="4809"/>
    <cellStyle name="_2005 04 DELL SMT Data2 -Process_2006日常管理目標.DIP _DELL廠級目標dip(2月) EXC _DELL MB廠級目標 (2)_DELL MB廠級目標_DELL MB廠級目標_DELL MB廠級目標十一月 (4)" xfId="4810"/>
    <cellStyle name="_2005 04 DELL SMT Data2 -Process_BPI 8D-SMT-2月_DELL MB廠級目標_DELL MB廠級目標四月 _DELL MB廠級目標十一月 (4)" xfId="4811"/>
    <cellStyle name="_2005 04 DELL SMT Data2 -Process_2006日常管理目標.DIP _DELL廠級目標dip(2月) EXC _DELL MB廠級目標 (2)_DELL MB廠級目標_DELL MB廠級目標十一月 (4)" xfId="4812"/>
    <cellStyle name="_Antenna Headcount &amp;  Product Process Time 2006_MOST Std - S1300 F2lines_Nazca copy exact flow chart 20120409" xfId="4813"/>
    <cellStyle name="差_治具工程課2009年KPI 5 3" xfId="4814"/>
    <cellStyle name="_2005 04 DELL SMT Data2 -Process_DELL MB廠級目標  (2)_DELL MB廠級目標_DELL MB廠級目標.重要不能刪_DELL MB廠級目標十一月 (4)" xfId="4815"/>
    <cellStyle name="好_River EE BOM_Creak Pearl Reliability Fixture RFQ_2009 04 24_Squirrel RFQ ME BOM Costs-0623_Bolt RFQ Proposal_Foxlink_ (Pricing Summary) 2 25 2011 2 2" xfId="4816"/>
    <cellStyle name="好_Creek EE BOM cost_20090425_Creek RFQ feedback 04_28_2009_FD Update_Leopard_UniBOM_ME_0602_Bolt RFQ Proposal_Foxlink_ (Pricing Summary) 2 25 2011 3 2" xfId="4817"/>
    <cellStyle name="_2005 04 DELL SMT Data2 -Process_2006日常管理目標.DIP _DELL廠級目標dip(2月) EXC _DELL MB廠級目標 (2)_DELL MB廠級目標_DELLTEAM入庫資料1" xfId="4818"/>
    <cellStyle name="好_River EE BOM_Creek RFQ feedback 04_28_2009_FD Update_Leopard Lemur Squirrel UniBom-06.22.2010_EE cost _update_internal_Bolt RFQ Proposal_Foxlink_ (Pricing Summary) 2 25 2011 4 3" xfId="4819"/>
    <cellStyle name="_OP1 DPO Forecast Final_Volume Fcst 1006 updated_Copy of Tom OS ( Oct) new for LOG_Budget GC Other Form" xfId="4820"/>
    <cellStyle name="_2005 04 DELL SMT Data2 -Process_2006日常管理目標.DIP _DELL廠級目標dip(2月) EXC _DELL MB廠級目標 (2)_DELL MB廠級目標_DELLTEAM入庫資料1_2007DELL SMT廠級目標KPI(MT)1" xfId="4821"/>
    <cellStyle name="_2005 04 DELL SMT Data2 -Process_2006日常管理目標.DIP _DELL廠級目標dip(2月) EXC _DELL MB廠級目標 _2007DELL SMT廠級目標KPI(MT)1" xfId="4822"/>
    <cellStyle name="_2006_0412 Ernestine_Cooper tooling and plastic price to MS_JC" xfId="4823"/>
    <cellStyle name="Enter Units (2) 2" xfId="4824"/>
    <cellStyle name="_2006_0409 Ernestine_Cooper tooling and plastic price to MS_Quotebook_V3_07SEP11_Internal RFQ River Standalone  Bundle Unibom_v1 2_20080603_EJ" xfId="4825"/>
    <cellStyle name="_386896SOP_ODD廠LSS專案甘特圖1017" xfId="4826"/>
    <cellStyle name="差_Creak Pearl Reliability Fixture RFQ_2009 04 24_Pearl RFQ(Submittal)ver2_05_12_2009 _Leopard RFQ ME BOM Costs-0618_Bolt RFQ Proposal_Foxlink_ (Pricing Summary) 2 25 2011 2" xfId="4827"/>
    <cellStyle name="_2005 04 DELL SMT Data2 -Process_2006日常管理目標.DIP _DELL廠級目標dip(2月) EXC _DELL MB廠級目標 _DELL MB廠級目標" xfId="4828"/>
    <cellStyle name="Normal 5 6 3 2" xfId="4829"/>
    <cellStyle name="20% - Accent2 9" xfId="4830"/>
    <cellStyle name="_2005 04 DELL SMT Data2 -Process_2006日常管理目標.DIP _DELL廠級目標dip(2月) EXC _DELL MB廠級目標 _DELL MB廠級目標.xls 圖表 1" xfId="4831"/>
    <cellStyle name="_2005 04 DELL SMT Data2 -Process_2006日常管理目標.DIP _DELL廠級目標dip(2月) EXC _DELL MB廠級目標 _DELL MB廠級目標.xls 圖表 1_2007DELL SMT廠級目標KPI(MT)1" xfId="4832"/>
    <cellStyle name="好_MB9月管審換線超時8d_2009MB KPI_MBO3F製造部hp0209-01 3 2 2" xfId="4833"/>
    <cellStyle name="好_Creek EE BOM cost_20090425_Creek RFQ feedback 04_28_2009_FD Update_Leopard UniBom_Foxlink_6 21 2010-ME_nego_Bolt RFQ Proposal_Foxlink_ (Pricing Summary) 2 25 2011 2 2 2" xfId="4834"/>
    <cellStyle name="Comma 17 2 3" xfId="4835"/>
    <cellStyle name="好_River EE BOM_Creek RFQ feedback 04_28_2009_FD Update_Squirrel UniBom-06 23 2010_update_internal" xfId="4836"/>
    <cellStyle name="_2005 04 DELL SMT Data2 -Process_DELL廠級目標dip EXC _DELL MB廠級目標.xls 圖表 1_DELL MB廠級目標_DELL MB廠級目標十一月 (4)" xfId="4837"/>
    <cellStyle name="Normal 4 5 2 2 5" xfId="4838"/>
    <cellStyle name="_2005 04 DELL SMT Data2 -Process_2006日常管理目標.DIP _DELL廠級目標dip(2月) EXC _DELL MB廠級目標 _DELL MB廠級目標.xls 圖表 1_DELL MB廠級目標.重要不能刪_DELL MB廠級目標十一月 (4)" xfId="4839"/>
    <cellStyle name="_2005 04 DELL SMT Data2 -Process_2006日常管理目標.DIP _DELL廠級目標dip(2月) EXC _DELL MB廠級目標 _DELL MB廠級目標.xls 圖表 1_DELL MB廠級目標_2007DELL SMT廠級目標KPI(MT)1" xfId="4840"/>
    <cellStyle name="_2006_0317 Ernestine_Cooper Cost Feedback_Quotebook_V3_07SEP11_Stream RFQ Unibom--0626-1756_Stream Quotebook(Submittal)_POC1_20080903" xfId="4841"/>
    <cellStyle name="_2006_0317 Ernestine_Cooper Cost Feedback_Quotebook_07SEP10_BlueAnt_Quotebook_V3_07SEP11_Internal RFQ River Standalone  Bundle Unibom_v1 2_20080603_EJ" xfId="4842"/>
    <cellStyle name="Note 2 3" xfId="4843"/>
    <cellStyle name="_2005 04 DELL SMT Data2 -Process_2006日常管理目標.DIP _DELL廠級目標dip(2月) EXC _DELL MB廠級目標 _DELL MB廠級目標.xls 圖表 1_DELL MB廠級目標十一月 (4)" xfId="4844"/>
    <cellStyle name="Normal 11 2 2 2 3" xfId="4845"/>
    <cellStyle name="_2005 04 DELL SMT Data2 -Process_2006日常管理目標.DIP _DELL廠級目標dip(2月) EXC _DELL MB廠級目標 _DELL MB廠級目標.xls 圖表 1_DELL MB廠級目標四月 " xfId="4846"/>
    <cellStyle name="_2005 04 DELL SMT Data2 -Process_2006日常管理目標.DIP _DELL廠級目標dip(2月) EXC _DELL MB廠級目標 _DELL MB廠級目標.xls 圖表 1_DELL MB廠級目標四月 _2007DELL SMT廠級目標KPI(MT)1" xfId="4847"/>
    <cellStyle name="_PPV ALLOCATION-Nov04_RFQ_River_BAFO_2008 0606_M1_Stream Quotebook (Submittal)_POC2_20081117-1" xfId="4848"/>
    <cellStyle name="_Mechanical Contribution Margins (Q1'06, applied to Apr'04 Fcst)_PL Forecast by segment-most final 0806_Tom OS ( Oct)_2009 xBOX ramp up budget code applicaiton 300K --New May27" xfId="4849"/>
    <cellStyle name="_8月月管審附件.xls 圖表 1_八月份周直通率8d1_0541周直通率8D" xfId="4850"/>
    <cellStyle name="差_Creak Pearl Reliability Fixture RFQ_2009 04 24_Xl0000002_Leopard Lemur Squirrel UniBom-06.22.2010_EE cost _update_internal_Bolt RFQ_Foxlink_03.1 2011 2" xfId="4851"/>
    <cellStyle name="_治具工程課2009年KPI" xfId="4852"/>
    <cellStyle name="20% - Accent1 3 2 2" xfId="4853"/>
    <cellStyle name="_XLSTestErrorCodes" xfId="4854"/>
    <cellStyle name="_2005 04 DELL SMT Data2 -Process_2006日常管理目標.DIP _DELL廠級目標dip(2月) EXC _DELL MB廠級目標 _DELL MB廠級目標.xls 圖表 1_DELL MB廠級目標四月 _DELL MB廠級目標十一月 (4)" xfId="4855"/>
    <cellStyle name="Note 13 2 2" xfId="4856"/>
    <cellStyle name="_2005 04 DELL SMT Data2 -Process_DELL廠級目標dip.EXC _DELL廠級目標dip(2月) EXC _BPI 8D-SMT-2月_DELL MB廠級目標_DELL MB廠級目標" xfId="4857"/>
    <cellStyle name="_2005 04 DELL SMT Data2 -Process_2006日常管理目標.DIP _DELL廠級目標dip(2月) EXC _DELL MB廠級目標 _DELL MB廠級目標.xls 圖表 1_DELLTEAM入庫資料1_2007DELL SMT廠級目標KPI(MT)1" xfId="4858"/>
    <cellStyle name="_2005 04 DELL SMT Data2 -Process_2006日常管理目標.DIP _DELL廠級目標dip(2月) EXC _DELL MB廠級目標 _DELL MB廠級目標.xls 圖表 1_DELLTEAM入庫資料1_DELL MB廠級目標十一月 (4)" xfId="4859"/>
    <cellStyle name="差_Creak Pearl Reliability Fixture RFQ_2009 04 24_Pearl RFQ(Submittal)ver2_05_12_2009 _Squirrel RFQ ME BOM Costs-0623 2 2 2" xfId="4860"/>
    <cellStyle name="好_River EE BOM_Creak Pearl Reliability Fixture RFQ_2009 04 24_Foxlink_Shadow RFQ NREUni BOM_12032009_Bolt RFQ Proposal_Foxlink_ (Pricing Summary) 2 25 2011 4 3" xfId="4861"/>
    <cellStyle name="Note 5" xfId="4862"/>
    <cellStyle name="_Quo-Serengeti ME-060416-V8_Jerry 2" xfId="4863"/>
    <cellStyle name="_804_2009 xBOX ramp up budget code applicaiton 300K --New May27" xfId="4864"/>
    <cellStyle name="_2005 04 DELL SMT Data2 -Process_2006日常管理目標.DIP _DELL廠級目標dip(2月) EXC _DELL MB廠級目標 _DELL MB廠級目標.xls 圖表 1_DELL制程課管理指標" xfId="4865"/>
    <cellStyle name="_2005 04 DELL SMT Data2 -Process_2006日常管理目標.DIP _DELL廠級目標dip(2月) EXC _DELL MB廠級目標 _DELL MB廠級目標.xls 圖表 1_HP制程課2007管理指標匯總-八月匯總" xfId="4866"/>
    <cellStyle name="Total 2" xfId="4867"/>
    <cellStyle name="_2005 04 DELL SMT Data2 -Process_2006日常管理目標.DIP _DELL廠級目標dip(2月) EXC _DELL MB廠級目標 _DELL MB廠級目標.xls 圖表 1_MT 2007 KPI" xfId="4868"/>
    <cellStyle name="_2006_0410 Ernestine_Cooper tooling and plastic price to MS_Quotebook_V3_07SEP11_RFQ_River_BAFO_2008 0606_M1_Stream Quotebook(Submittal)_POC1_20080903" xfId="4869"/>
    <cellStyle name="_2005 04 DELL SMT Data2 -Process_2006日常管理目標.DIP _DELL廠級目標dip(2月) EXC _DELL MB廠級目標 _DELL MB廠級目標_DELL MB廠級目標" xfId="4870"/>
    <cellStyle name="_Biz Ops By Stream_P6 Si Ops review (2)" xfId="4871"/>
    <cellStyle name="好_River EE BOM_Xl0000000_Squirrel UniBom-06.23.2010_update_internal_Bolt RFQ Proposal_Foxlink_ (Pricing Summary) 2 25 2011 5 2" xfId="4872"/>
    <cellStyle name="_2005 04 DELL SMT Data2 -Process_2006日常管理目標.DIP _DELL廠級目標dip(2月) EXC _DELL MB廠級目標 _DELL MB廠級目標_DELL MB廠級目標.重要不能刪" xfId="4873"/>
    <cellStyle name="差_Creak Pearl Reliability Fixture RFQ_2009 04 24_Creek RFQ feedback 04_28_2009_FD Update_Leopard_UniBOM_ME_0531 3" xfId="4874"/>
    <cellStyle name="_Flextronics Radon  Build Plan 4-27-2005_Computing BU2 DL headcount demand of Nov 12" xfId="4875"/>
    <cellStyle name="_Alvin-Development NRE_RFQ_River_BAFO_2008 0606_M1" xfId="4876"/>
    <cellStyle name="_2005 04 DELL SMT Data2 -Process_2006日常管理目標.DIP _DELL廠級目標dip(2月) EXC _DELL MB廠級目標 _DELL MB廠級目標_DELL MB廠級目標.重要不能刪_2007DELL SMT廠級目標KPI(MT)1" xfId="4877"/>
    <cellStyle name="_CMAT50備品課組織圖" xfId="4878"/>
    <cellStyle name="_asus wlan 機種SMT線體需求計算表_本周產能(0404FC111_awl線體需求計算6.6" xfId="4879"/>
    <cellStyle name="_2005 04 DELL SMT Data2 -Process_2006日常管理目標.DIP _DELL廠級目標dip(2月) EXC _DELL MB廠級目標 _DELL MB廠級目標_DELL MB廠級目標.重要不能刪_DELL MB廠級目標十一月 (4)" xfId="4880"/>
    <cellStyle name="_2005 04 DELL SMT Data2 -Process_2006日常管理目標.DIP _DELL廠級目標dip(2月) EXC _DELL MB廠級目標 _DELL MB廠級目標_DELL MB廠級目標_2007DELL SMT廠級目標KPI(MT)1" xfId="4881"/>
    <cellStyle name="_2006_0329 Ernestine_Cooper Cost Feedback_Quotebook_07SEP10_BlueAnt_Quotebook_V3_07SEP11_Internal RFQ River Standalone  Bundle Unibom_v1 2_20080603_EJ_Stream Quotebook(Submittal)_POC1_20080903 2" xfId="4882"/>
    <cellStyle name="_2005 04 DELL SMT Data2 -Process_2006日常管理目標.DIP _DELL廠級目標dip(2月) EXC _DELL MB廠級目標 _DELL MB廠級目標_DELL MB廠級目標四月 " xfId="4883"/>
    <cellStyle name="好_River EE BOM_Creak Pearl Reliability Fixture RFQ_2009 04 24_Creek RFQ feedback 04_28_2009_FD Update_Leopard_UniBOM_ME_0602-1_Bolt RFQ Proposal_Foxlink_ (Pricing Summary) 2 25 2011 4 2" xfId="4884"/>
    <cellStyle name="_7月ict f.t_0536周周管審_0537周直通率8d_0541周直通率8D" xfId="4885"/>
    <cellStyle name="_2005 04 DELL SMT Data2 -Process_2006日常管理目標.DIP _DELL廠級目標dip(2月) EXC _DELL MB廠級目標 _DELL MB廠級目標_DELL MB廠級目標四月 _DELL MB廠級目標十一月 (4)" xfId="4886"/>
    <cellStyle name="差_效益分析&amp;產能評估_Bolt RFQ_Foxlink_03.1 2011_nego meeting@MACH 5" xfId="4887"/>
    <cellStyle name="_Dash_BOM_MS_Jan02-07 (worksheet)_Stream RFQ Unibom--0626-1756 2" xfId="4888"/>
    <cellStyle name="_2005 04 DELL SMT Data2 -Process_DELL廠級目標dip.EXC _DELL MB廠級目標_DELL MB廠級目標.重要不能刪_DELL MB廠級目標十一月 (4)" xfId="4889"/>
    <cellStyle name="Model" xfId="4890"/>
    <cellStyle name="_2005 04 DELL SMT Data2 -Process_DELL MB廠級目標  (2)_DELL MB廠級目標.xls 圖表 1_DELL MB廠級目標四月 " xfId="4891"/>
    <cellStyle name="差_Creak Pearl Reliability Fixture RFQ_2009 04 24_Jackson EE BOM " xfId="4892"/>
    <cellStyle name="_2005 04 DELL SMT Data2 -Process_2006日常管理目標.DIP _DELL廠級目標dip(2月) EXC _DELL MB廠級目標 _DELL MB廠級目標_DELLTEAM入庫資料1" xfId="4893"/>
    <cellStyle name="差_效益分析&amp;產能評估_Bolt RFQ_Foxlink_03.1 2011 3" xfId="4894"/>
    <cellStyle name="_2005 04 DELL SMT Data2 -Process_DELL MB廠級目標  (2)_DELL MB廠級目標.xls 圖表 1_DELL MB廠級目標四月 _2007DELL SMT廠級目標KPI(MT)1" xfId="4895"/>
    <cellStyle name="_2005 04 DELL SMT Data2 -Process_2006日常管理目標.DIP _DELL廠級目標dip(2月) EXC _DELL MB廠級目標 _DELL MB廠級目標_DELLTEAM入庫資料1_2007DELL SMT廠級目標KPI(MT)1" xfId="4896"/>
    <cellStyle name="好_Creek EE BOM cost_20090425_Bolt RFQ Proposal_Foxlink_ (Pricing Summary) 2 25 2011 2 3" xfId="4897"/>
    <cellStyle name="_2005 04 DELL SMT Data2 -Process_DELL MB廠級目標  (2)_DELL MB廠級目標.xls 圖表 1_DELL MB廠級目標四月 _DELL MB廠級目標十一月 (4)" xfId="4898"/>
    <cellStyle name="_2005 04 DELL SMT Data2 -Process_2006日常管理目標.DIP _DELL廠級目標dip(2月) EXC _DELL MB廠級目標 _DELL MB廠級目標_DELLTEAM入庫資料1_DELL MB廠級目標十一月 (4)" xfId="4899"/>
    <cellStyle name="差_Creek RFQ feedback 04_28_2009_FD Update_Leopard_UniBOM_ME_0602_Bolt RFQ Proposal_Foxlink_ (Pricing Summary) 2 25 2011 6" xfId="4900"/>
    <cellStyle name="好_River EE BOM_Creek RFQ feedback 04_28_2009_FD Update_Leopard RFQ ME BOM Costs-0618-2_Bolt RFQ_Foxlink_03.1 2011_nego meeting@MACH 2 3" xfId="4901"/>
    <cellStyle name="好_River EE BOM_Creak Pearl Reliability Fixture RFQ_2009 04 24_Leopard_UniBOM_ME_0531_Bolt RFQ Proposal_Foxlink_ (Pricing Summary) 2 25 2011 2" xfId="4902"/>
    <cellStyle name="_2006_0410 Ernestine_Cooper tooling and plastic price to MS_Quotebook_07SEP10_BlueAnt_Quotebook_V3_07SEP11_RFQ_River_BAFO_2008 0606_M1_Stream Quotebook (Submittal)_POC2_20081117-1" xfId="4903"/>
    <cellStyle name="_2005 04 DELL SMT Data2 -Process_2006日常管理目標.DIP _DELL廠級目標dip(2月) EXC _DELL MB廠級目標 _DELL MB廠級目標_DELL制程課管理目標 (4)" xfId="4904"/>
    <cellStyle name="Input 3" xfId="4905"/>
    <cellStyle name="_2005 04 DELL SMT Data2 -Process_2006日常管理目標.DIP _DELL廠級目標dip(2月) EXC _DELL MB廠級目標 _DELL MB廠級目標_DELL制程課管理指標" xfId="4906"/>
    <cellStyle name="b_P139 CCM 1212" xfId="4907"/>
    <cellStyle name="_2005 04 DELL SMT Data2 -Process_DELL廠級目標dip EXC _DELL廠級目標dip(2月) EXC _DELL MB廠級目標 _2007DELL SMT廠級目標KPI(MT)1" xfId="4908"/>
    <cellStyle name="好_Creek Assembly Fixture  Test Equipment RFQ_20090427_Jackson and Shadow BOM cost_mainfile_2010 0324 rev.1_Leopard UniBom_Foxlink_12092010 RevD-jen" xfId="4909"/>
    <cellStyle name="_2005 04 DELL SMT Data2 -Process_2006日常管理目標.DIP _DELL廠級目標dip(2月) EXC _DELL MB廠級目標 _DELL MB廠級目標_HP制程課2007管理指標匯總-八月匯總" xfId="4910"/>
    <cellStyle name="_Actual P&amp;L_Computing Apr &amp; May_Actual P&amp;L_Computing Apr ~ May.2006_Copy of X-BOX for line setup budget" xfId="4911"/>
    <cellStyle name="_2005 04 DELL SMT Data2 -Process_2006日常管理目標.DIP _DELL廠級目標dip(2月) EXC _DELL MB廠級目標 _DELL MB廠級目標_MT 2007 KPI" xfId="4912"/>
    <cellStyle name="Enter Units (0) 4" xfId="4913"/>
    <cellStyle name="_2006_0409 Ernestine_Cooper tooling and plastic price to MS_Quotebook_07SEP10_BlueAnt_Quotebook_V3_07SEP11_Internal RFQ River Standalone  Bundle Unibom_v1 2_20080603_EJ_Stream Quotebook (Submittal)_POC2_20081117-1" xfId="4914"/>
    <cellStyle name="好_Creek EE BOM cost_20090425_Leopard_UniBOM_ME_0602_Bolt RFQ Proposal_Foxlink_ (Pricing Summary) 2 25 2011" xfId="4915"/>
    <cellStyle name="_2005 04 DELL SMT Data2 -Process_2006日常管理目標.DIP _DELL廠級目標dip(2月) EXC _DELL MB廠級目標.重要不能刪" xfId="4916"/>
    <cellStyle name="好_River EE BOM_Creak Pearl Reliability Fixture RFQ_2009 04 24_Pearl RFQ(Submittal)ver2_05_12_2009 _Leopard_UniBOM_ME_0603-2_Bolt RFQ Proposal_Foxlink_ (Pricing Summary) 2 25 2011 4 2" xfId="4917"/>
    <cellStyle name="_2005 04 DELL SMT Data2 -Process_2006日常管理目標.DIP _DELL廠級目標dip(2月) EXC _DELL MB廠級目標.重要不能刪_DELL MB廠級目標十一月 (4)" xfId="4918"/>
    <cellStyle name="_2005 04 DELL SMT Data2 -Process_2006日常管理目標.DIP _DELL廠級目標dip(2月) EXC _DELL MB廠級目標_2007DELL SMT廠級目標KPI(MT)1" xfId="4919"/>
    <cellStyle name="差_Creak Pearl Reliability Fixture RFQ_2009 04 24_Leopard_UniBOM_ME_0531_Bolt RFQ_Foxlink_03.1 2011 3 3" xfId="4920"/>
    <cellStyle name="_2006_0410b Ernestine_Cooper tooling and plastic price to MS_Quotebook_07SEP10_BlueAnt_Quotebook_V3_07SEP11_RFQ_River_BAFO_2008 0606_M1" xfId="4921"/>
    <cellStyle name="_2005 04 DELL SMT Data2 -Process_DELL廠級目標dip(2月) EXC _DELL MB廠級目標_DELL MB廠級目標四月 " xfId="4922"/>
    <cellStyle name="_2005 04 DELL SMT Data2 -Process_2006日常管理目標.DIP _DELL廠級目標dip(2月) EXC _DELL MB廠級目標_DELL MB廠級目標十一月 (4)" xfId="4923"/>
    <cellStyle name="_Ernestine Parts Budgetary Quote - LA (20060319)_Stream RFQ Unibom--0626-1756 2" xfId="4924"/>
    <cellStyle name="_2005 04 DELL SMT Data2 -Process_2006日常管理目標.DIP _DELL廠級目標dip(2月) EXC _DELLTEAM入庫資料1_DELL MB廠級目標十一月 (4)" xfId="4925"/>
    <cellStyle name="差_Creak Pearl Reliability Fixture RFQ_2009 04 24_Creek RFQ feedback 04_28_2009_FD Update_Leopard RFQ ME BOM Costs-0618_Bolt RFQ_Foxlink_03.1 2011_nego meeting@MACH 3 3" xfId="4926"/>
    <cellStyle name="好_River EE BOM_Creak Pearl Reliability Fixture RFQ_2009 04 24_Pearl RFQ(Submittal)ver2_05_12_2009 _Leopard_UniBOM_ME_0602_Bolt RFQ_Foxlink_03.1 2011_nego meeting@MACH 5" xfId="4927"/>
    <cellStyle name="_Alvin_Gusano_Production Capacity_Equipments_061122" xfId="4928"/>
    <cellStyle name="好_MB9月管審誤判超標 8D 2" xfId="4929"/>
    <cellStyle name="_2005 04 DELL SMT Data2 -Process_2006日常管理目標.DIP _DELL廠級目標dip(2月) EXC _DELL制程課管理目標" xfId="4930"/>
    <cellStyle name="_2005 04 DELL SMT Data2 -Process_DELL廠級目標dip EXC _DELL廠級目標dip(2月) EXC _DELL MB廠級目標  (2)_DELL MB廠級目標.xls 圖表 1_DELL MB廠級目標十一月 (4)" xfId="4931"/>
    <cellStyle name="_2005 04 DELL SMT Data2 -Process_2006日常管理目標.DIP _DELL廠級目標dip(2月) EXC _DELL制程課管理指標" xfId="4932"/>
    <cellStyle name="好_River EE BOM_Xl0000000_Leopard_UniBOM_ME_0531" xfId="4933"/>
    <cellStyle name="好_Bolt Quotation For Plastics Tooling RFQ Worksheets-2010-12-16" xfId="4934"/>
    <cellStyle name="差_Creak Pearl Reliability Fixture RFQ_2009 04 24_Leopard_UniBOM_ME_0531_Bolt RFQ Proposal_Foxlink_ (Pricing Summary) 2 25 2011 4" xfId="4935"/>
    <cellStyle name="好_Creek Assembly Fixture  Test Equipment RFQ_20090427_Leopard_UniBOM_ME_0602-1_Bolt RFQ Proposal_Foxlink_ (Pricing Summary) 2 25 2011 5 2" xfId="4936"/>
    <cellStyle name="_2005 04 DELL SMT Data2 -Process_2006日常管理目標.DIP _DELL廠級目標dip(2月) EXC _HP制程課2007管理指標匯總-八月匯總" xfId="4937"/>
    <cellStyle name="好_River EE BOM_Xl0000000_Foxlink_Shadow RFQ NREUni BOM_12032009" xfId="4938"/>
    <cellStyle name="_2005 04 DELL SMT Data2 -Process_DELL廠級目標dip EXC _DELL MB廠級目標_DELLTEAM入庫資料1_2007DELL SMT廠級目標KPI(MT)1" xfId="4939"/>
    <cellStyle name="差_HP Mouse 產能評估(Forecast更改後)_Erie 效益分析 (Update)_Jackson 效益分析 (2-1 B0 上系統)_Leopard Flowchart &amp; 產能評估" xfId="4940"/>
    <cellStyle name="_2005 04 DELL SMT Data2 -Process_2006日常管理目標.DIP _DELL廠級目標dip(2月) EXC _MT 2007 KPI" xfId="4941"/>
    <cellStyle name="_2005 04 DELL SMT Data2 -Process_BPI 8D-SMT-2月" xfId="4942"/>
    <cellStyle name="好_River EE BOM_Creak Pearl Reliability Fixture RFQ_2009 04 24_Leopard_UniBOM_ME_0602_Bolt RFQ Proposal_Foxlink_ (Pricing Summary) 2 25 2011 2 3" xfId="4943"/>
    <cellStyle name="_2005 04 DELL SMT Data2 -Process_BPI 8D-SMT-2月 (3)" xfId="4944"/>
    <cellStyle name="_APO緊急應變組織1" xfId="4945"/>
    <cellStyle name="差_Xl0000002_Leopard_UniBOM_ME_0531_Bolt RFQ Proposal_Foxlink_ (Pricing Summary) 2 25 2011 5" xfId="4946"/>
    <cellStyle name="_2005 04 DELL SMT Data2 -Process_BPI 8D-SMT-2月 (3)_2007DELL SMT廠級目標KPI(MT)1" xfId="4947"/>
    <cellStyle name="好_River EE BOM_Creak Pearl Reliability Fixture RFQ_2009 04 24_Xl0000002_Leopard_UniBOM_ME_0602-1_Bolt RFQ_Foxlink_03.1 2011 4" xfId="4948"/>
    <cellStyle name="好_Creek Assembly Fixture  Test Equipment RFQ_20090427_Foxlink_Shadow RFQ NREUni BOM_12032009_Bolt RFQ Proposal_Foxlink_ (Pricing Summary) 2 25 2011 3" xfId="4949"/>
    <cellStyle name="_Actual P&amp;L_Computing Apr ~ May.2006_2009 xBOX ramp up budget code applicaiton 300K --New May26 (3)" xfId="4950"/>
    <cellStyle name="_2005 04 DELL SMT Data2 -Process_BPI 8D-SMT-2月 (3)_DELL MB廠級目標.xls 圖表 1" xfId="4951"/>
    <cellStyle name="好_River EE BOM_Creek RFQ feedback 04_28_2009_FD Update_Bolt RFQ_Foxlink_03.1 2011_nego meeting@MACH 3 3" xfId="4952"/>
    <cellStyle name="_2005 04 DELL SMT Data2 -Process_BPI 8D-SMT-2月 (3)_DELL MB廠級目標.xls 圖表 1_2007DELL SMT廠級目標KPI(MT)1" xfId="4953"/>
    <cellStyle name="差_Creak Pearl Reliability Fixture RFQ_2009 04 24_Leopard RFQ ME BOM Costs-0618 2 3" xfId="4954"/>
    <cellStyle name="Normal 38 3 2" xfId="4955"/>
    <cellStyle name="Normal 43 3 2" xfId="4956"/>
    <cellStyle name="_2005 04 DELL SMT Data2 -Process_BPI 8D-SMT-2月 (3)_DELL MB廠級目標.xls 圖表 1_DELL MB廠級目標" xfId="4957"/>
    <cellStyle name="_2005 04 DELL SMT Data2 -Process_BPI 8D-SMT-2月 (3)_DELL MB廠級目標.xls 圖表 1_DELL MB廠級目標.重要不能刪_2007DELL SMT廠級目標KPI(MT)1" xfId="4958"/>
    <cellStyle name="_2006_0319 Ernestine_Cooper Cost Feedback_Quotebook_V3_07SEP11 2" xfId="4959"/>
    <cellStyle name="_2005 04 DELL SMT Data2 -Process_BPI 8D-SMT-2月 (3)_DELL MB廠級目標.xls 圖表 1_DELL MB廠級目標.重要不能刪_DELL MB廠級目標十一月 (4)" xfId="4960"/>
    <cellStyle name="_2005 04 DELL SMT Data2 -Process_BPI 8D-SMT-2月 (3)_DELL MB廠級目標.xls 圖表 1_DELL MB廠級目標_2007DELL SMT廠級目標KPI(MT)1" xfId="4961"/>
    <cellStyle name="_2005 04 DELL SMT Data2 -Process_BPI 8D-SMT-2月 (3)_DELL MB廠級目標.xls 圖表 1_DELL MB廠級目標_DELL MB廠級目標十一月 (4)" xfId="4962"/>
    <cellStyle name="_2005 04 DELL SMT Data2 -Process_BPI 8D-SMT-2月 (3)_DELL MB廠級目標.xls 圖表 1_DELL MB廠級目標四月 " xfId="4963"/>
    <cellStyle name="_PL Fcst_akl(Friday)_PL Fcst Jul 06-updated G&amp;A Value_Tom OS ( Oct)_Copy of X-BOX for line setup budget" xfId="4964"/>
    <cellStyle name="差_Creak Pearl Reliability Fixture RFQ_2009 04 24_Pearl RFQ(Submittal)ver2_05_12_2009 _Leopard RFQ ME BOM Costs-0618_Bolt RFQ Proposal_Foxlink_ (Pricing Summary) 2 25 2011 2 2 2" xfId="4965"/>
    <cellStyle name="taples Plaza" xfId="4966"/>
    <cellStyle name="_2005 04 DELL SMT Data2 -Process_BPI 8D-SMT-2月 (3)_DELL MB廠級目標.xls 圖表 1_DELL MB廠級目標四月 _2007DELL SMT廠級目標KPI(MT)1" xfId="4967"/>
    <cellStyle name="_Flex Mechanicals Doumen Sales forecast - Dec'05 R1_Volume Fcst Jul 06-update HP _Copy of X-BOX for line setup budget" xfId="4968"/>
    <cellStyle name="差_Flow Chart&amp;PQ分析(12-1)_Jackson 效益分析 (1-18 A7)" xfId="4969"/>
    <cellStyle name="_360 Tooling &amp; Test" xfId="4970"/>
    <cellStyle name="差_dallas產能評估_Dallas效益分析&amp;投資回收期 (12-2 A1)_Flow chart and Fixture(1-4)" xfId="4971"/>
    <cellStyle name="_2005 04 DELL SMT Data2 -Process_BPI 8D-SMT-2月 (3)_DELL MB廠級目標.xls 圖表 1_DELL MB廠級目標四月 _DELL MB廠級目標十一月 (4)" xfId="4972"/>
    <cellStyle name="好_Creek EE BOM cost_20090425_Foxlink_Shadow RFQ NREUni BOM_12032009_Bolt RFQ Proposal_Foxlink_ (Pricing Summary) 2 25 2011 2 3" xfId="4973"/>
    <cellStyle name="_2005 04 DELL SMT Data2 -Process_BPI 8D-SMT-2月_DELL MB廠級目標_DELL MB廠級目標.重要不能刪_2007DELL SMT廠級目標KPI(MT)1" xfId="4974"/>
    <cellStyle name="_Avaya SPICE demand on May-8-06 (based on ramp-up plan)_Scenario 2 of recovery until 1116_Tester Demand Plan 062707" xfId="4975"/>
    <cellStyle name="_2005 04 DELL SMT Data2 -Process_BPI 8D-SMT-2月 (3)_DELL MB廠級目標.xls 圖表 1_DELLTEAM入庫資料1_2007DELL SMT廠級目標KPI(MT)1" xfId="4976"/>
    <cellStyle name="好_0842周 顯卡報廢超標8D 3 2 3" xfId="4977"/>
    <cellStyle name="40% - 强调文字颜色 5 2 5" xfId="4978"/>
    <cellStyle name="_2005 04 DELL SMT Data2 -Process_BPI 8D-SMT-2月_DELL MB廠級目標_DELL MB廠級目標.重要不能刪_DELL MB廠級目標十一月 (4)" xfId="4979"/>
    <cellStyle name="_2005 04 DELL SMT Data2 -Process_BPI 8D-SMT-2月 (3)_DELL MB廠級目標.xls 圖表 1_DELLTEAM入庫資料1_DELL MB廠級目標十一月 (4)" xfId="4980"/>
    <cellStyle name="_BOM_BlueVox (Wiima) &amp; BCM2044 v03022007_Pearl RFQ feedback 04_27_2009 V1 2" xfId="4981"/>
    <cellStyle name="好_River EE BOM_Xl0000000_Foxlink_Shadow RFQ NREUni BOM_12032009_Bolt RFQ Proposal_Foxlink_ (Pricing Summary) 2 25 2011 3" xfId="4982"/>
    <cellStyle name="_2005 04 DELL SMT Data2 -Process_BPI 8D-SMT-2月 (3)_DELL MB廠級目標.xls 圖表 1_HP制程課2007管理指標匯總-八月匯總" xfId="4983"/>
    <cellStyle name="_2006_0412 Ernestine_Cooper tooling and plastic price to MS_JC_Quotebook_07SEP10_BlueAnt_Quotebook_V3_07SEP11_Stream RFQ Unibom--0626-1756 2" xfId="4984"/>
    <cellStyle name="_2005 04 DELL SMT Data2 -Process_BPI 8D-SMT-2月 (3)_DELL MB廠級目標.xls 圖表 1_MT 2007 KPI" xfId="4985"/>
    <cellStyle name="差_Creak Pearl Reliability Fixture RFQ_2009 04 24_Leopard UniBom_Foxlink_6 21 2010-ME_nego_Bolt RFQ_Foxlink_03.1 2011" xfId="4986"/>
    <cellStyle name="Calc Percent (0)" xfId="4987"/>
    <cellStyle name="60% - 强调文字颜色 5 3 4" xfId="4988"/>
    <cellStyle name="_2005 04 DELL SMT Data2 -Process_BPI 8D-SMT-2月 (3)_DELL MB廠級目標_DELL MB廠級目標" xfId="4989"/>
    <cellStyle name="好_River EE BOM_Creak Pearl Reliability Fixture RFQ_2009 04 24_Leopard_UniBOM_ME_0603-2 3" xfId="4990"/>
    <cellStyle name="_2005 04 DELL SMT Data2 -Process_BPI 8D-SMT-2月 (3)_DELL MB廠級目標_DELL MB廠級目標.重要不能刪" xfId="4991"/>
    <cellStyle name="_2005 04 DELL SMT Data2 -Process_BPI 8D-SMT-2月 (3)_DELL MB廠級目標_DELL MB廠級目標.重要不能刪_2007DELL SMT廠級目標KPI(MT)1" xfId="4992"/>
    <cellStyle name="_2005 04 DELL SMT Data2 -Process_BPI 8D-SMT-2月 (3)_DELL MB廠級目標_DELL MB廠級目標_2007DELL SMT廠級目標KPI(MT)1" xfId="4993"/>
    <cellStyle name="好_River EE BOM_Creak Pearl Reliability Fixture RFQ_2009 04 24_Xl0000002_Leopard_UniBOM_ME_0603-2_Bolt RFQ Proposal_Foxlink_ (Pricing Summary) 2 25 2011 3 3" xfId="4994"/>
    <cellStyle name="_2005 04 DELL SMT Data2 -Process_BPI 8D-SMT-2月 (3)_DELL MB廠級目標_DELL MB廠級目標_DELL MB廠級目標十一月 (4)" xfId="4995"/>
    <cellStyle name="_2005 04 DELL SMT Data2 -Process_DELL MB廠級目標  (2)_DELL MB廠級目標.xls 圖表 1_2007DELL SMT廠級目標KPI(MT)1" xfId="4996"/>
    <cellStyle name="好_River EE BOM_Creak Pearl Reliability Fixture RFQ_2009 04 24_Leopard_UniBOM_ME_0602_Bolt RFQ_Foxlink_03.1 2011_nego meeting@MACH 3" xfId="4997"/>
    <cellStyle name="_2005 04 DELL SMT Data2 -Process_BPI 8D-SMT-2月 (3)_DELL MB廠級目標_DELL制程課管理指標" xfId="4998"/>
    <cellStyle name="_2005 04 DELL SMT Data2 -Process_BPI 8D-SMT-2月 (3)_DELL MB廠級目標_DELL MB廠級目標十一月 (4)" xfId="4999"/>
    <cellStyle name="_2005 04 DELL SMT Data2 -Process_BPI 8D-SMT-2月 (3)_DELL MB廠級目標_DELL MB廠級目標四月 _2007DELL SMT廠級目標KPI(MT)1" xfId="5000"/>
    <cellStyle name="_2005 04 DELL SMT Data2 -Process_DELL廠級目標dip EXC _DELL MB廠級目標_DELLTEAM入庫資料1" xfId="5001"/>
    <cellStyle name="好_River EE BOM_Creak Pearl Reliability Fixture RFQ_2009 04 24_Leopard_UniBOM_ME_0531_Bolt RFQ Proposal_Foxlink_ (Pricing Summary) 2 25 2011 5" xfId="5002"/>
    <cellStyle name="_BOM_BlueVox (Wiima) &amp; BCM2044 v03022007_Leopard RFQ ME BOM Costs-0618" xfId="5003"/>
    <cellStyle name="_BOM_BlueVox (Wiima) &amp; BCM2044 v03022007_Leopard RFQ ME BOM Costs-0623" xfId="5004"/>
    <cellStyle name="_2005 04 DELL SMT Data2 -Process_BPI 8D-SMT-2月 (3)_DELL MB廠級目標_DELL MB廠級目標四月 _DELL MB廠級目標十一月 (4)" xfId="5005"/>
    <cellStyle name="好_MB9月管審換線超時8d 2 5" xfId="5006"/>
    <cellStyle name="_2005 04 DELL SMT Data2 -Process_BPI 8D-SMT-2月 (3)_DELL MB廠級目標_DELLTEAM入庫資料1" xfId="5007"/>
    <cellStyle name="好_River EE BOM_Xl0000000_Leopard_UniBOM_ME_0531_Bolt RFQ_Foxlink_03.1 2011 3" xfId="5008"/>
    <cellStyle name="_Flextronics Radon  Build Plan 4-27-2005_Mice Daily Output Plan (2)_Scenario 2 of recovery until 1116_Tester Demand Plan 062707" xfId="5009"/>
    <cellStyle name="_2005 04 DELL SMT Data2 -Process_BPI 8D-SMT-2月 (3)_DELL MB廠級目標_DELLTEAM入庫資料1_2007DELL SMT廠級目標KPI(MT)1" xfId="5010"/>
    <cellStyle name="好_River EE BOM_Creak Pearl Reliability Fixture RFQ_2009 04 24_Pearl RFQ(Submittal)ver2_05_12_2009 _Leopard RFQ ME BOM Costs-0618-2" xfId="5011"/>
    <cellStyle name="20% - Accent3 10" xfId="5012"/>
    <cellStyle name="_2005 04 DELL SMT Data2 -Process_BPI 8D-SMT-2月 (3)_DELL MB廠級目標_DELL制程課管理目標" xfId="5013"/>
    <cellStyle name="差_Creak Pearl Reliability Fixture RFQ_2009 04 24_Leopard_UniBOM_ME_0531_Bolt RFQ Proposal_Foxlink_ (Pricing Summary) 2 25 2011 5 3" xfId="5014"/>
    <cellStyle name="_2005 04 DELL SMT Data2 -Process_BPI 8D-SMT-2月 (3)_DELL MB廠級目標_DELL制程課管理目標 (4)" xfId="5015"/>
    <cellStyle name="_2005 04 DELL SMT Data2 -Process_BPI 8D-SMT-2月 (3)_DELL MB廠級目標_HP制程課2007管理指標匯總-八月匯總" xfId="5016"/>
    <cellStyle name="_2005 04 DELL SMT Data2 -Process_DELL廠級目標dip(2月) EXC _DELL MB廠級目標.xls 圖表 1_DELL MB廠級目標_DELL MB廠級目標十一月 (4)" xfId="5017"/>
    <cellStyle name="好_River EE BOM_Stream Package Quotation_20090311" xfId="5018"/>
    <cellStyle name="好_Creek Assembly Fixture  Test Equipment RFQ_20090427_Xl0000002_Leopard_UniBOM_ME_0603-2_Bolt RFQ_Foxlink_03.1 2011 3 2" xfId="5019"/>
    <cellStyle name="_Flex Mechanicals Doumen Sales forecast - Jan.06_Volume Fcst Jul 06-update HP _Internal Hourly Rate Q1 FY08 Version 06052007 Draft" xfId="5020"/>
    <cellStyle name="_2005 04 DELL SMT Data2 -Process_BPI 8D-SMT-2月 (3)_DELL MB廠級目標_MT 2007 KPI" xfId="5021"/>
    <cellStyle name="差_Creak Pearl Reliability Fixture RFQ_2009 04 24_Pearl RFQ(Submittal)ver2_05_12_2009 _Leopard RFQ ME BOM Costs-0618-2_Bolt RFQ_Foxlink_03.1 2011_nego meeting@MACH 4" xfId="5022"/>
    <cellStyle name="_2006_0406 Ernestine_Cooper tooling_Quotebook_07SEP10_Stream RFQ Unibom--0626-1756_Stream Package Quotation_20090311" xfId="5023"/>
    <cellStyle name="Millions" xfId="5024"/>
    <cellStyle name="_2005 04 DELL SMT Data2 -Process_BPI 8D-SMT-2月 (3)_DELL MB廠級目標十一月 (4)" xfId="5025"/>
    <cellStyle name="_2006_0317 Ernestine_Cooper Cost Feedback_Stream RFQ Unibom--0626-1756_Stream Quotebook (Submittal)_POC2_20081117-1" xfId="5026"/>
    <cellStyle name="_2005 04 DELL SMT Data2 -Process_BPI 8D-SMT-2月_2007DELL SMT廠級目標KPI(MT)1" xfId="5027"/>
    <cellStyle name="差_Creak Pearl Reliability Fixture RFQ_2009 04 24_Creek RFQ feedback 04_28_2009_FD Update_Squirrel UniBom-06.23.2010_update_internal_Bolt RFQ Proposal_Foxlink_ (Pricing Summary) 2 25 2011 5 2" xfId="5028"/>
    <cellStyle name="_2005 04 DELL SMT Data2 -Process_BPI 8D-SMT-2月_DELL MB廠級目標.xls 圖表 1" xfId="5029"/>
    <cellStyle name="_Mechanical Contribution Margins (Q2'06) 0705_Copy of Tom OS ( Oct) new for LOG_X-BOX BB" xfId="5030"/>
    <cellStyle name="_337341SOP_1" xfId="5031"/>
    <cellStyle name="差_Creak Pearl Reliability Fixture RFQ_2009 04 24_Xl0000002_Leopard_UniBOM_ME_0602_Bolt RFQ_Foxlink_03.1 2011 3 2" xfId="5032"/>
    <cellStyle name="_2005 04 DELL SMT Data2 -Process_BPI 8D-SMT-2月_DELL MB廠級目標.xls 圖表 1_2007DELL SMT廠級目標KPI(MT)1" xfId="5033"/>
    <cellStyle name="_2005 04 DELL SMT Data2 -Process_BPI 8D-SMT-2月_DELL MB廠級目標.xls 圖表 1_DELL MB廠級目標" xfId="5034"/>
    <cellStyle name="_2005 US Flex Forecast Ver2_plforecastsample_2009 xBOX ramp up budget code applicaiton 300K --New May26 (3)" xfId="5035"/>
    <cellStyle name="_overall Mulan PTK w28_Copy of MOST Std - S1300 F2lines_FMTQCI-MIS3H064-P027(01)Nazca Copy Exact Flow chart" xfId="5036"/>
    <cellStyle name="好_River EE BOM_Creek RFQ feedback 04_28_2009_FD Update_Leopard Lemur Squirrel UniBom-06.22.2010_EE cost _update_internal_Bolt RFQ_Foxlink_03.1 2011_nego meeting@MACH 2 2" xfId="5037"/>
    <cellStyle name="_2005 US Flex Forecast Ver2_2009 xBOX ramp up budget code applicaiton 300K --New May26 (3)" xfId="5038"/>
    <cellStyle name="差_Creak Pearl Reliability Fixture RFQ_2009 04 24_Creek  Pearl RFQ_May 12_Leopard_UniBOM_ME_0602 3" xfId="5039"/>
    <cellStyle name="好_0842周 顯卡報廢超標8D_HP 2 2 2 2" xfId="5040"/>
    <cellStyle name="_2005 04 DELL SMT Data2 -Process_BPI 8D-SMT-2月_DELL MB廠級目標.xls 圖表 1_DELL MB廠級目標.重要不能刪_2007DELL SMT廠級目標KPI(MT)1" xfId="5041"/>
    <cellStyle name="_2005 04 DELL SMT Data2 -Process_BPI 8D-SMT-2月_DELL MB廠級目標.xls 圖表 1_DELL MB廠級目標.重要不能刪_DELL MB廠級目標十一月 (4)" xfId="5042"/>
    <cellStyle name="_CTB RTP EP2 0505092_Copy of MOST Std - S1300 F2lines_Nazca copy exact flow chart 20120409" xfId="5043"/>
    <cellStyle name="_2005 04 DELL SMT Data2 -Process_BPI 8D-SMT-2月_DELL MB廠級目標.xls 圖表 1_DELL MB廠級目標_2007DELL SMT廠級目標KPI(MT)1" xfId="5044"/>
    <cellStyle name="_2005 04 DELL SMT Data2 -Process_BPI 8D-SMT-2月_DELL MB廠級目標.xls 圖表 1_DELL MB廠級目標_DELL MB廠級目標十一月 (4)" xfId="5045"/>
    <cellStyle name="_2005 04 DELL SMT Data2 -Process_BPI 8D-SMT-2月_DELL MB廠級目標.xls 圖表 1_DELL MB廠級目標十一月 (4)" xfId="5046"/>
    <cellStyle name="差_Creak Pearl Reliability Fixture RFQ_2009 04 24_Pearl RFQ(Submittal)ver2_05_12_2009 _Bolt RFQ_Foxlink_03.1 2011_nego meeting@MACH 5" xfId="5047"/>
    <cellStyle name="_2005 04 DELL SMT Data2 -Process_BPI 8D-SMT-2月_DELL MB廠級目標.xls 圖表 1_DELL MB廠級目標四月 _2007DELL SMT廠級目標KPI(MT)1" xfId="5048"/>
    <cellStyle name="差_Creak Pearl Reliability Fixture RFQ_2009 04 24_Leopard_UniBOM_ME_0531_Bolt RFQ_Foxlink_03.1 2011 2 2" xfId="5049"/>
    <cellStyle name="好_River EE BOM_Creak Pearl Reliability Fixture RFQ_2009 04 24_Pearl RFQ(Submittal)ver2_05_12_2009 _Leopard_UniBOM_ME_0602-1 3 2" xfId="5050"/>
    <cellStyle name="40% - Accent2 2 4 2" xfId="5051"/>
    <cellStyle name="_2005 04 DELL SMT Data2 -Process_BPI 8D-SMT-2月_DELL MB廠級目標.xls 圖表 1_DELL MB廠級目標四月 _DELL MB廠級目標十一月 (4)" xfId="5052"/>
    <cellStyle name="好_Creek EE BOM cost_20090425_Squirrel UniBom-06.23.2010_update_internal_Bolt RFQ_Foxlink_03.1 2011 2" xfId="5053"/>
    <cellStyle name="_PL Fcst_akl(Friday)_PL Fcst Jul 06-updated G&amp;A Value_2009 xBOX ramp up budget code applicaiton" xfId="5054"/>
    <cellStyle name="_2005 04 DELL SMT Data2 -Process_BPI 8D-SMT-2月_DELL MB廠級目標.xls 圖表 1_DELLTEAM入庫資料1_DELL MB廠級目標十一月 (4)" xfId="5055"/>
    <cellStyle name="_2005 04 DELL SMT Data2 -Process_BPI 8D-SMT-2月_DELL MB廠級目標.xls 圖表 1_DELL制程課管理目標" xfId="5056"/>
    <cellStyle name="_Alvin-Development NRE" xfId="5057"/>
    <cellStyle name="好_River EE BOM_Xl0000002_Leopard_UniBOM_ME_0602_Bolt RFQ Proposal_Foxlink_ (Pricing Summary) 2 25 2011 2 3" xfId="5058"/>
    <cellStyle name="_2005 04 DELL SMT Data2 -Process_BPI 8D-SMT-2月_DELL MB廠級目標.xls 圖表 1_DELL制程課管理目標 (4)" xfId="5059"/>
    <cellStyle name="Accent1" xfId="5060"/>
    <cellStyle name="_2005 04 DELL SMT Data2 -Process_BPI 8D-SMT-2月_DELL MB廠級目標.xls 圖表 1_DELL制程課管理指標" xfId="5061"/>
    <cellStyle name="_Sales Breakdown Analysis 3_Volume Fcst 1006 updated_Copy of Tom OS ( Oct) new for LOG_Copy of X-BOX for line setup budget" xfId="5062"/>
    <cellStyle name="_2005 04 DELL SMT Data2 -Process_BPI 8D-SMT-2月_DELL MB廠級目標.xls 圖表 1_HP制程課2007管理指標匯總-八月匯總" xfId="5063"/>
    <cellStyle name="Comma 18 2 2" xfId="5064"/>
    <cellStyle name="_2005 04 DELL SMT Data2 -Process_BPI 8D-SMT-2月_DELL MB廠級目標.xls 圖表 1_MT 2007 KPI" xfId="5065"/>
    <cellStyle name="好_River EE BOM_Xl0000002_Leopard RFQ ME BOM Costs-0618_Bolt RFQ_Foxlink_03.1 2011_nego meeting@MACH 3" xfId="5066"/>
    <cellStyle name="好_Creek EE BOM cost_20090425_Creek RFQ feedback 04_28_2009_FD Update_Leopard_UniBOM_ME_0602-1_Bolt RFQ Proposal_Foxlink_ (Pricing Summary) 2 25 2011 4" xfId="5067"/>
    <cellStyle name="_2005 04 DELL SMT Data2 -Process_BPI 8D-SMT-2月_DELL MB廠級目標_DELL MB廠級目標" xfId="5068"/>
    <cellStyle name="Normal 5 7 2 4" xfId="5069"/>
    <cellStyle name="_2005 04 DELL SMT Data2 -Process_DELL廠級目標dip.EXC _DELL MB廠級目標_DELLTEAM入庫資料1" xfId="5070"/>
    <cellStyle name="_2005 04 DELL SMT Data2 -Process_BPI 8D-SMT-2月_DELL MB廠級目標_DELL MB廠級目標_DELL MB廠級目標十一月 (4)" xfId="5071"/>
    <cellStyle name="_Forecast - Segment WVJune06_Copy of X-BOX for line setup budget" xfId="5072"/>
    <cellStyle name="_2005 04 DELL SMT Data2 -Process_BPI 8D-SMT-2月_DELL MB廠級目標_DELL MB廠級目標十一月 (4)" xfId="5073"/>
    <cellStyle name="_2005 04 DELL SMT Data2 -Process_BPI 8D-SMT-2月_DELL MB廠級目標_DELLTEAM入庫資料1" xfId="5074"/>
    <cellStyle name="_Mechanical Contribution Margins (Q2'06) 0705_Mechanical Contribution Margins forecast 0506 FP_Volume Fcst 1006 updated_2009 xBOX ramp up budget code applicaiton" xfId="5075"/>
    <cellStyle name="_Forecast Summary_Budget GC Other Form" xfId="5076"/>
    <cellStyle name="_Flex Mechanicals Doumen Sales forecast - Dec'05 (updated links)_Volume Fcst Jul 06-update HP _X-BOX Console line setup budget 20080414" xfId="5077"/>
    <cellStyle name="_2005 04 DELL SMT Data2 -Process_BPI 8D-SMT-2月_DELL MB廠級目標_DELLTEAM入庫資料1_2007DELL SMT廠級目標KPI(MT)1" xfId="5078"/>
    <cellStyle name="_2005 04 DELL SMT Data2 -Process_BPI 8D-SMT-2月_DELL MB廠級目標_DELLTEAM入庫資料1_DELL MB廠級目標十一月 (4)" xfId="5079"/>
    <cellStyle name="_9569sop_2" xfId="5080"/>
    <cellStyle name="差_RIO Trial run (Pre-PV 100PCS) QA Report-0610_Dolce   QA Report 2010_0902 (A3)_Dolce   QA Report 2010_0902" xfId="5081"/>
    <cellStyle name="_2006_0329 Ernestine_Cooper Cost Feedback_Quotebook_07SEP10_RFQ_River_BAFO_2008 0606_M1_Stream Quotebook (Submittal)_POC2_20081117-1" xfId="5082"/>
    <cellStyle name="好_River EE BOM_Xl0000000_Squirrel RFQ ME BOM Costs-0623_Bolt RFQ_Foxlink_03.1 2011_nego meeting@MACH 2" xfId="5083"/>
    <cellStyle name="_2005 04 DELL SMT Data2 -Process_BPI 8D-SMT-2月_DELL MB廠級目標_DELL制程課管理目標" xfId="5084"/>
    <cellStyle name="_bom updated on 2002-11-10_Microsoft Xenon Zero Cost_111405" xfId="5085"/>
    <cellStyle name="_Mechanical Contribution Margins (Q2'06) 0705_Mechanical Contribution Margins forecast 0506 FP_Volume Fcst 1006 updated_X-BOX Console line setup budget 20080414" xfId="5086"/>
    <cellStyle name="_2005 04 DELL SMT Data2 -Process_BPI 8D-SMT-2月_DELL MB廠級目標_DELL制程課管理目標 (4)" xfId="5087"/>
    <cellStyle name="_200909所需資料" xfId="5088"/>
    <cellStyle name="_2005 04 DELL SMT Data2 -Process_BPI 8D-SMT-2月_DELL MB廠級目標_HP制程課2007管理指標匯總-八月匯總" xfId="5089"/>
    <cellStyle name="好_Creek Assembly Fixture  Test Equipment RFQ_20090427_Leopard Lemur Squirrel UniBom-06.22.2010_EE cost _update_internal_Bolt RFQ Proposal_Foxlink_ (Pricing Summary) 2 25 2011 2 3" xfId="5090"/>
    <cellStyle name="_2005 04 DELL SMT Data2 -Process_BPI 8D-SMT-2月_DELL MB廠級目標_MT 2007 KPI" xfId="5091"/>
    <cellStyle name="_Flex Mechanicals Doumen Sales forecast - Dec'05 (updated links)_PL Forecast by segment-most final 0806_Tom OS ( Oct)_Copy of X-BOX for line setup budget" xfId="5092"/>
    <cellStyle name="_2005 04 DELL SMT Data2 -Process_BPI 8D-SMT-2月_DELL MB廠級目標十一月 (4)" xfId="5093"/>
    <cellStyle name="差_治具工程課2009年KPI_HP 3 2 3" xfId="5094"/>
    <cellStyle name="_2005 04 DELL SMT Data2 -Process_DELL MB廠級目標" xfId="5095"/>
    <cellStyle name="好_RIO Trial run (Pre-PV 100PCS) QA Report-0610_Dolce   QA Report 2010_0902 (A3)_Dolce   QA Report 2010_0902" xfId="5096"/>
    <cellStyle name="_2005 04 DELL SMT Data2 -Process_DELL MB廠級目標  (2)_DELL MB廠級目標.xls 圖表 1" xfId="5097"/>
    <cellStyle name="好_River EE BOM_Creak Pearl Reliability Fixture RFQ_2009 04 24_Creek RFQ feedback 04_28_2009_FD Update_Leopard_UniBOM_ME_0531_Bolt RFQ Proposal_Foxlink_ (Pricing Summary) 2 25 2011 4 3" xfId="5098"/>
    <cellStyle name="_2005 04 DELL SMT Data2 -Process_DELL MB廠級目標  (2)_DELL MB廠級目標.xls 圖表 1_DELL MB廠級目標.重要不能刪" xfId="5099"/>
    <cellStyle name="_2006_0329 Ernestine_Cooper Cost Feedback_RFQ_River_BAFO_2008 0606_M1_Stream Package Quotation_20090311" xfId="5100"/>
    <cellStyle name="_2005 04 DELL SMT Data2 -Process_DELL MB廠級目標  (2)_DELL MB廠級目標.xls 圖表 1_DELL MB廠級目標.重要不能刪_DELL MB廠級目標十一月 (4)" xfId="5101"/>
    <cellStyle name="差_Creak Pearl Reliability Fixture RFQ_2009 04 24_Creek RFQ feedback 04_28_2009_FD Update_Squirrel RFQ ME BOM Costs-0623_Bolt RFQ_Foxlink_03.1 2011 3 2" xfId="5102"/>
    <cellStyle name="好_River EE BOM_Creak Pearl Reliability Fixture RFQ_2009 04 24_Xl0000002_Bolt RFQ_Foxlink_03.1 2011_nego meeting@MACH 2 3" xfId="5103"/>
    <cellStyle name="_9月份MB成本計算" xfId="5104"/>
    <cellStyle name="壞_Creek EE BOM cost_20090425_Leopard_UniBOM_ME_0602-1_Bolt RFQ Proposal_Foxlink_ (Pricing Summary) 2 25 2011 4 3" xfId="5105"/>
    <cellStyle name="_2005 04 DELL SMT Data2 -Process_DELL MB廠級目標  (2)_DELL MB廠級目標.xls 圖表 1_DELL MB廠級目標_2007DELL SMT廠級目標KPI(MT)1" xfId="5106"/>
    <cellStyle name="好_Creek Assembly Fixture  Test Equipment RFQ_20090427_Leopard RFQ ME BOM Costs-0618-2_Bolt RFQ_Foxlink_03.1 2011 4" xfId="5107"/>
    <cellStyle name="_2006_0409 Ernestine_Cooper tooling_Quotebook_07SEP10_Stream RFQ Unibom--0626-1756" xfId="5108"/>
    <cellStyle name="_2005 04 DELL SMT Data2 -Process_DELL MB廠級目標  (2)_DELL MB廠級目標.xls 圖表 1_DELL MB廠級目標十一月 (4)" xfId="5109"/>
    <cellStyle name="好_Creek Assembly Fixture  Test Equipment RFQ_20090427_Leopard RFQ ME BOM Costs-0618_Bolt RFQ Proposal_Foxlink_ (Pricing Summary) 2 25 2011 4" xfId="5110"/>
    <cellStyle name="_2005 04 DELL SMT Data2 -Process_DELL MB廠級目標  (2)_DELL MB廠級目標.xls 圖表 1_DELLTEAM入庫資料1" xfId="5111"/>
    <cellStyle name="好_Creek Assembly Fixture  Test Equipment RFQ_20090427_Leopard RFQ ME BOM Costs-0618_Bolt RFQ_Foxlink_03.1 2011_nego meeting@MACH_Bolt_Cliff 2" xfId="5112"/>
    <cellStyle name="20% - 强调文字颜色 2 3 2 3" xfId="5113"/>
    <cellStyle name="_2005 04 DELL SMT Data2 -Process_DELL MB廠級目標  (2)_DELL MB廠級目標.xls 圖表 1_DELLTEAM入庫資料1_2007DELL SMT廠級目標KPI(MT)1" xfId="5114"/>
    <cellStyle name="_2005 04 DELL SMT Data2 -Process_DELL MB廠級目標  (2)_DELL MB廠級目標.xls 圖表 1_DELLTEAM入庫資料1_DELL MB廠級目標十一月 (4)" xfId="5115"/>
    <cellStyle name="差_jupite r設備&amp;治工具LIST (總)_Flow Chart&amp;PQ分析(12-1)_Flow chart and Fixture(Jackson)_A1_Jackson 效益分析 (2-1 B0 上系統)" xfId="5116"/>
    <cellStyle name="_2005 04 DELL SMT Data2 -Process_DELL MB廠級目標  (2)_DELL MB廠級目標.xls 圖表 1_DELL制程課管理目標 (4)" xfId="5117"/>
    <cellStyle name="差_Creak Pearl Reliability Fixture RFQ_2009 04 24_Xl0000002_Foxlink_Shadow RFQ NREUni BOM_12032009_Bolt RFQ Proposal_Foxlink_ (Pricing Summary) 2 25 2011 2 3" xfId="5118"/>
    <cellStyle name="_Mickey-UniBOM (2-layer)-0107-05" xfId="5119"/>
    <cellStyle name="_2005 04 DELL SMT Data2 -Process_DELL MB廠級目標  (2)_DELL MB廠級目標.xls 圖表 1_HP制程課2007管理指標匯總-八月匯總" xfId="5120"/>
    <cellStyle name="差_F3   SMT設備明細_jupite r設備&amp;治工具LIST (總)_squirrel效益分析08-17" xfId="5121"/>
    <cellStyle name="_Flex Depot 2005 rev3_plforecastsample_Budget GC Other Form" xfId="5122"/>
    <cellStyle name="_2005 04 DELL SMT Data2 -Process_DELL MB廠級目標  (2)_DELL MB廠級目標_2007DELL SMT廠級目標KPI(MT)1" xfId="5123"/>
    <cellStyle name="差_Xl0000000_Leopard UniBom_Foxlink_6 21 2010-ME_nego_Bolt RFQ Proposal_Foxlink_ (Pricing Summary) 2 25 2011 2 2 3" xfId="5124"/>
    <cellStyle name="_2006_0329 Ernestine_Cooper Cost Feedback_Quotebook_07SEP10_BlueAnt_Quotebook_V3_07SEP11_Stream RFQ Unibom--0626-1756_Stream Quotebook(Submittal)_POC1_20080903" xfId="5125"/>
    <cellStyle name="_2005 04 DELL SMT Data2 -Process_DELL MB廠級目標  (2)_DELL MB廠級目標_DELL MB廠級目標.重要不能刪" xfId="5126"/>
    <cellStyle name="_2005 04 DELL SMT Data2 -Process_DELL廠級目標dip EXC _DELL廠級目標dip(2月) EXC _BPI 8D-SMT-2月 (3)_DELL MB廠級目標.xls 圖表 1_DELL MB廠級目標_DELL MB廠級目標十一月 (4)" xfId="5127"/>
    <cellStyle name="差_F3   SMT設備明細_效益分析_Dallas flow chart&amp;設備&amp;治工具清單(12-8 A0)_Flow Chart&amp;設備治工具清單 _~1159284" xfId="5128"/>
    <cellStyle name="_2005 04 DELL SMT Data2 -Process_DELL廠級目標dip(2月) EXC _DELL MB廠級目標.xls 圖表 1_DELL MB廠級目標四月 " xfId="5129"/>
    <cellStyle name="差_F3   SMT設備明細_效益分析_flow chart 2009.12.12_Jackson 效益分析 (2-1 B0 上系統)_Leopard效益分析08-17" xfId="5130"/>
    <cellStyle name="好_River EE BOM_Xl0000000_Squirrel RFQ ME BOM Costs-0623_Bolt RFQ_Foxlink_03.1 2011_nego meeting@MACH 3" xfId="5131"/>
    <cellStyle name="_2005 04 DELL SMT Data2 -Process_DELL MB廠級目標 (2)_DELL MB廠級目標.xls 圖表 1_MT 2007 KPI" xfId="5132"/>
    <cellStyle name="_2005 04 DELL SMT Data2 -Process_DELL MB廠級目標  (2)_DELL MB廠級目標_DELL MB廠級目標.重要不能刪_2007DELL SMT廠級目標KPI(MT)1" xfId="5133"/>
    <cellStyle name="差_RIO Trial run (Pre-PV 100PCS) QA Report-0610_Rio QA Report-8.12_Dolce   QA Report 2010_0902 (A3)_~7519239" xfId="5134"/>
    <cellStyle name="_PL Fcst_akl(Friday)_PL Forecast by segment-most final 0806_Budget GC Other Form" xfId="5135"/>
    <cellStyle name="_2005 04 DELL SMT Data2 -Process_DELL MB廠級目標  (2)_DELL MB廠級目標_DELL MB廠級目標_DELL MB廠級目標十一月 (4)" xfId="5136"/>
    <cellStyle name="_2005 04 DELL SMT Data2 -Process_DELL MB廠級目標  (2)_DELL MB廠級目標_DELL MB廠級目標十一月 (4)" xfId="5137"/>
    <cellStyle name="好_River EE BOM_Creak Pearl Reliability Fixture RFQ_2009 04 24_Creek RFQ feedback 04_28_2009_FD Update_Leopard_UniBOM_ME_0603-2_Bolt RFQ_Foxlink_03.1 2011 4" xfId="5138"/>
    <cellStyle name="_2005 04 DELL SMT Data2 -Process_DELL MB廠級目標  (2)_DELL MB廠級目標_DELL MB廠級目標四月 _2007DELL SMT廠級目標KPI(MT)1" xfId="5139"/>
    <cellStyle name="_agile_20100112_101401737" xfId="5140"/>
    <cellStyle name="_2005 04 DELL SMT Data2 -Process_DELL MB廠級目標  (2)_DELL MB廠級目標_DELLTEAM入庫資料1_DELL MB廠級目標十一月 (4)" xfId="5141"/>
    <cellStyle name="壞_產能評估 (1-4 Update)" xfId="5142"/>
    <cellStyle name="好_Creek Assembly Fixture  Test Equipment RFQ_20090427_Leopard RFQ ME BOM Costs-0618-2_Bolt RFQ Proposal_Foxlink_ (Pricing Summary) 2 25 2011 6" xfId="5143"/>
    <cellStyle name="_2006_0317 Ernestine_Cooper Cost Feedback_Quotebook_V3_07SEP11_Internal RFQ River Standalone  Bundle Unibom_v1 2_20080603_EJ_Stream Quotebook (Submittal)_POC2_20081117-1" xfId="5144"/>
    <cellStyle name="_2005 04 DELL SMT Data2 -Process_DELL MB廠級目標  (2)_DELL MB廠級目標_DELL制程課管理目標" xfId="5145"/>
    <cellStyle name="好_River EE BOM_Xl0000002_Leopard UniBom_Foxlink_6 21 2010-ME_nego_Bolt RFQ Proposal_Foxlink_ (Pricing Summary) 2 25 2011 2 3" xfId="5146"/>
    <cellStyle name="_2005 04 DELL SMT Data2 -Process_DELL MB廠級目標  (2)_DELL MB廠級目標_DELL制程課管理目標 (4)" xfId="5147"/>
    <cellStyle name="_2005 04 DELL SMT Data2 -Process_DELL MB廠級目標  (2)_DELL MB廠級目標_DELL制程課管理指標" xfId="5148"/>
    <cellStyle name="_2005 04 DELL SMT Data2 -Process_DELL廠級目標dip EXC _DELL廠級目標dip(2月) EXC _DELL MB廠級目標  (2)_DELL MB廠級目標.xls 圖表 1_2007DELL SMT廠級目標KPI(MT)1" xfId="5149"/>
    <cellStyle name="6_P139 CCM 1129" xfId="5150"/>
    <cellStyle name="_2005 04 DELL SMT Data2 -Process_DELL MB廠級目標 (2)" xfId="5151"/>
    <cellStyle name="Normal 9 13" xfId="5152"/>
    <cellStyle name="_Flex Mechanicals Doumen Sales forecast - Jan 06 updated._Volume Fcst Jul 06-update HP _Forecast Template v4" xfId="5153"/>
    <cellStyle name="_2005 04 DELL SMT Data2 -Process_DELL廠級目標dip(2月) EXC _DELL MB廠級目標_HP制程課2007管理指標匯總-八月匯總" xfId="5154"/>
    <cellStyle name="_FCT Pareto By Line-July 17th X808665-001-DEV01282-5-1_yield report for DEV02342" xfId="5155"/>
    <cellStyle name="_PAVO DV BB  Flowchart 2009.05.31_FMTQCI-MIS3H064-P027(01)Nazca Copy Exact Flow chart" xfId="5156"/>
    <cellStyle name="_2005 04 DELL SMT Data2 -Process_DELL MB廠級目標 (2)_DELL MB廠級目標" xfId="5157"/>
    <cellStyle name="_PL Forecast Comparison_Mech Doumen2006_1(preliminary)_Copy of X-BOX for line setup budget" xfId="5158"/>
    <cellStyle name="差_Creak Pearl Reliability Fixture RFQ_2009 04 24_Creek  Pearl RFQ_May 12_Foxlink_Shadow RFQ NREUni BOM_12032009_Bolt RFQ_Foxlink_03.1 2011_nego meeting@MACH 5" xfId="5159"/>
    <cellStyle name="_2006_0412 Ernestine_Cooper tooling and plastic price to MS_JC_Quotebook_07SEP10_BlueAnt_Quotebook_V3_07SEP11_Stream RFQ Unibom--0626-1756_Stream Quotebook(Submittal)_POC1_20080903" xfId="5160"/>
    <cellStyle name="好_Creek Assembly Fixture  Test Equipment RFQ_20090427_Leopard UniBom_Foxlink_6 21 2010-ME_nego_Bolt_Cliff 2" xfId="5161"/>
    <cellStyle name="_2005 04 DELL SMT Data2 -Process_DELL MB廠級目標 (2)_DELL MB廠級目標.xls 圖表 1" xfId="5162"/>
    <cellStyle name="_Book12_八月份周直通率8d1_Book1_複本 0541周周管審" xfId="5163"/>
    <cellStyle name="_2006_0317 Ernestine_Cooper Cost Feedback_Quotebook_V3_07SEP11_Internal RFQ River Standalone  Bundle Unibom_v1 2_20080603_EJ_Stream Package Quotation_20090311" xfId="5164"/>
    <cellStyle name="_X802678-001 Xenon Commodity Costed BOM (3)_4 27_to MS_Line transition plan to B17 rev 5" xfId="5165"/>
    <cellStyle name="_2005 04 DELL SMT Data2 -Process_DELL MB廠級目標 (2)_DELL MB廠級目標.xls 圖表 1_DELL MB廠級目標.重要不能刪_2007DELL SMT廠級目標KPI(MT)1" xfId="5166"/>
    <cellStyle name="好_Bristol RFQ response _20101013_update" xfId="5167"/>
    <cellStyle name="Accent1 14" xfId="5168"/>
    <cellStyle name="Normal 45 2" xfId="5169"/>
    <cellStyle name="Normal 50 2" xfId="5170"/>
    <cellStyle name="_Bach Chicony Scn2 KB+M+Rx Uni-BOM 070118_Cost.xls-rev7" xfId="5171"/>
    <cellStyle name="_2005 04 DELL SMT Data2 -Process_DELL廠級目標dip EXC _DELL廠級目標dip(2月) EXC _DELL制程課管理指標" xfId="5172"/>
    <cellStyle name="_2005 04 DELL SMT Data2 -Process_DELL廠級目標dip EXC _DELL廠級目標dip(2月) EXC _DELL MB廠級目標  (2)_DELL MB廠級目標_DELL MB廠級目標四月 " xfId="5173"/>
    <cellStyle name="_2005 04 DELL SMT Data2 -Process_DELL MB廠級目標 (2)_DELL MB廠級目標.xls 圖表 1_DELL MB廠級目標_DELL MB廠級目標十一月 (4)" xfId="5174"/>
    <cellStyle name="_2005 04 DELL SMT Data2 -Process_DELL MB廠級目標 (2)_DELL MB廠級目標.xls 圖表 1_DELL MB廠級目標十一月 (4)" xfId="5175"/>
    <cellStyle name="_BOM_BlueVox (Wiima) &amp; BCM2044 v03022007_Book2 (2) 2" xfId="5176"/>
    <cellStyle name="_2005 04 DELL SMT Data2 -Process_DELL MB廠級目標 (2)_DELL MB廠級目標.xls 圖表 1_DELL MB廠級目標四月 " xfId="5177"/>
    <cellStyle name="_2005 04 DELL SMT Data2 -Process_DELL廠級目標dip.EXC _DELL廠級目標dip(2月) EXC _BPI 8D-SMT-2月 (3)_DELL MB廠級目標.xls 圖表 1_DELL MB廠級目標.重要不能刪_2007DELL SMT廠級目標KPI(MT)1" xfId="5178"/>
    <cellStyle name="差_jupite r設備&amp;治工具LIST (總)_Leopard Flowchart &amp; 產能評估" xfId="5179"/>
    <cellStyle name="_2005 04 DELL SMT Data2 -Process_DELL MB廠級目標 (2)_DELL MB廠級目標.xls 圖表 1_DELL MB廠級目標四月 _DELL MB廠級目標十一月 (4)" xfId="5180"/>
    <cellStyle name="_2005 04 DELL SMT Data2 -Process_DELL MB廠級目標 (2)_DELL MB廠級目標.xls 圖表 1_DELL制程課管理目標" xfId="5181"/>
    <cellStyle name="好_0842周 顯卡報廢超標8D 3 2" xfId="5182"/>
    <cellStyle name="_2005 04 DELL SMT Data2 -Process_DELL MB廠級目標 (2)_DELL MB廠級目標.xls 圖表 1_DELL制程課管理目標 (4)" xfId="5183"/>
    <cellStyle name="差_Creak Pearl Reliability Fixture RFQ_2009 04 24_Xl0000002_Squirrel UniBom-06.23.2010_update_internal 2 2" xfId="5184"/>
    <cellStyle name="_September Forecast - Peripherals v.2" xfId="5185"/>
    <cellStyle name="_FCT Pareto By Line-July 13th X808665-001-DEV01282-5-1_AllErrorCodes" xfId="5186"/>
    <cellStyle name="_2005 04 DELL SMT Data2 -Process_DELL MB廠級目標 (2)_DELL MB廠級目標_2007DELL SMT廠級目標KPI(MT)1" xfId="5187"/>
    <cellStyle name="好_Creek Assembly Fixture  Test Equipment RFQ_20090427_Xl0000002_Squirrel RFQ ME BOM Costs-0623_Bolt RFQ_Foxlink_03.1 2011 2 3" xfId="5188"/>
    <cellStyle name="好_River EE BOM_Xl0000002_Foxlink_Shadow RFQ NREUni BOM_12032009_Bolt RFQ_Foxlink_03.1 2011 2" xfId="5189"/>
    <cellStyle name="_2005 04 DELL SMT Data2 -Process_DELL MB廠級目標 (2)_DELL MB廠級目標_DELL MB廠級目標.重要不能刪" xfId="5190"/>
    <cellStyle name="_2005 04 DELL SMT Data2 -Process_DELL MB廠級目標 (2)_DELL MB廠級目標_DELL MB廠級目標.重要不能刪_2007DELL SMT廠級目標KPI(MT)1" xfId="5191"/>
    <cellStyle name="_Alvin-Development NRE 2" xfId="5192"/>
    <cellStyle name="_Jul04_WZS_Development_FY06 P6 XBox 360 Mfg Var - Close Pack" xfId="5193"/>
    <cellStyle name="_2006_0409 Ernestine_Cooper tooling and plastic price to MS_Quotebook_07SEP10_BlueAnt_Quotebook_V3_07SEP11_Stream RFQ Unibom--0626-1756_Stream Quotebook(Submittal)_POC1_20080903" xfId="5194"/>
    <cellStyle name="_2005 04 DELL SMT Data2 -Process_DELL MB廠級目標 (2)_DELL MB廠級目標_DELL MB廠級目標.重要不能刪_DELL MB廠級目標十一月 (4)" xfId="5195"/>
    <cellStyle name="_2005 04 DELL SMT Data2 -Process_DELL MB廠級目標 (2)_DELL MB廠級目標_DELL MB廠級目標_DELL MB廠級目標十一月 (4)" xfId="5196"/>
    <cellStyle name="差_Creak Pearl Reliability Fixture RFQ_2009 04 24_Xl0000002_Leopard_UniBOM_ME_0531_Bolt RFQ_Foxlink_03.1 2011_nego meeting@MACH 2" xfId="5197"/>
    <cellStyle name="好_效益分析&amp;產能評估_M1 Squirrel Capacity planFixtureEquipment Cost_A2_06192010_Leopard UniBom_Foxlink_12092010 RevD-jen" xfId="5198"/>
    <cellStyle name="_2005 04 DELL SMT Data2 -Process_DELL MB廠級目標 (2)_DELL MB廠級目標_DELL MB廠級目標四月 _2007DELL SMT廠級目標KPI(MT)1" xfId="5199"/>
    <cellStyle name="_2005 04 DELL SMT Data2 -Process_DELL MB廠級目標 (2)_DELL MB廠級目標_DELLTEAM入庫資料1" xfId="5200"/>
    <cellStyle name="_2006_0319 Ernestine_Cooper Cost Feedback_Erie  Mouse RFQ Pricing IE 2" xfId="5201"/>
    <cellStyle name="_2005 04 DELL SMT Data2 -Process_DELL MB廠級目標 (2)_DELL MB廠級目標_DELLTEAM入庫資料1_2007DELL SMT廠級目標KPI(MT)1" xfId="5202"/>
    <cellStyle name="_2005 04 DELL SMT Data2 -Process_DELL MB廠級目標 (2)_DELL MB廠級目標_DELLTEAM入庫資料1_DELL MB廠級目標十一月 (4)" xfId="5203"/>
    <cellStyle name="好_治具工程課2009年KPI 2 2 4" xfId="5204"/>
    <cellStyle name="_supplier contact way (2)_Nazca copy exact flow chart 20120409" xfId="5205"/>
    <cellStyle name="好_River EE BOM_Creak Pearl Reliability Fixture RFQ_2009 04 24_Pearl RFQ(Submittal)ver2_05_12_2009 _Foxlink_Shadow RFQ NREUni BOM_12032009_Bolt RFQ_Foxlink_03.1 2011_nego meeting@MACH 3 3" xfId="5206"/>
    <cellStyle name="_2005 04 DELL SMT Data2 -Process_DELL MB廠級目標 (2)_DELL MB廠級目標_DELL制程課管理目標" xfId="5207"/>
    <cellStyle name="_Book2_MOST Std - S1300 F2lines_Nazca copy exact flow chart 20120409" xfId="5208"/>
    <cellStyle name="_2005 04 DELL SMT Data2 -Process_DELL MB廠級目標 (2)_DELL MB廠級目標_DELL制程課管理指標" xfId="5209"/>
    <cellStyle name="好_River EE BOM_Creak Pearl Reliability Fixture RFQ_2009 04 24_Creek  Pearl RFQ_May 12_Leopard_UniBOM_ME_0531_Bolt RFQ Proposal_Foxlink_ (Pricing Summary) 2 25 2011 4" xfId="5210"/>
    <cellStyle name="_2005 04 DELL SMT Data2 -Process_DELL MB廠級目標 (2)_DELL MB廠級目標_HP制程課2007管理指標匯總-八月匯總" xfId="5211"/>
    <cellStyle name="_2005 04 DELL SMT Data2 -Process_DELL MB廠級目標 (2)_DELL MB廠級目標_MT 2007 KPI" xfId="5212"/>
    <cellStyle name="_2005 04 DELL SMT Data2 -Process_DELL MB廠級目標 (2)_DELL MB廠級目標十一月 (4)" xfId="5213"/>
    <cellStyle name="好_River EE BOM_Xl0000000_Squirrel UniBom-06.23.2010_update_internal_Bolt RFQ_Foxlink_03.1 2011_nego meeting@MACH 2" xfId="5214"/>
    <cellStyle name="_PL Forecast Comparison_Mech Doumen2006_1(preliminary)_PL Forecast by segment-most final 0806_Tom OS ( Oct)_2009 xBOX ramp up budget code applicaiton" xfId="5215"/>
    <cellStyle name="_Bach Chicony Scn2 KB+M+Rx Uni-BOM 061211" xfId="5216"/>
    <cellStyle name="_PCBA_Senai 0607 08252006" xfId="5217"/>
    <cellStyle name="_2005 04 DELL SMT Data2 -Process_DELL MB廠級目標 _2007DELL SMT廠級目標KPI(MT)1" xfId="5218"/>
    <cellStyle name="_2006_0409 Ernestine_Cooper tooling and plastic price to MS_RFQ_River_BAFO_2008 0606_M1" xfId="5219"/>
    <cellStyle name="_2006_0410 Ernestine_Cooper tooling and plastic price to MS_Quotebook_V3_07SEP11_Stream RFQ Unibom--0626-1756_Stream Quotebook(Submittal)_POC1_20080903" xfId="5220"/>
    <cellStyle name="差_F3   SMT設備明細_Erie mouse 效益分析( 11-19 A1)_Jackson 效益分析 (2-1 B0 上系統)_Leopard效益分析08-17" xfId="5221"/>
    <cellStyle name="_2005 04 DELL SMT Data2 -Process_DELL MB廠級目標 _DELL MB廠級目標.xls 圖表 1" xfId="5222"/>
    <cellStyle name="差_Xl0000000_Squirrel RFQ ME BOM Costs-0623 3" xfId="5223"/>
    <cellStyle name="_Assembly Test Equipment Costs" xfId="5224"/>
    <cellStyle name="_2005 04 DELL SMT Data2 -Process_DELL MB廠級目標 _DELL MB廠級目標.xls 圖表 1_DELL MB廠級目標" xfId="5225"/>
    <cellStyle name="_2006_0409 Ernestine_Cooper tooling and plastic price to MS_RFQ_River_BAFO_2008 0606_M1_Stream Quotebook(Submittal)_POC1_20080903 2" xfId="5226"/>
    <cellStyle name="_2005 04 DELL SMT Data2 -Process_DELL廠級目標dip EXC _DELL廠級目標dip(2月) EXC _DELL MB廠級目標 _DELL MB廠級目標.xls 圖表 1_DELLTEAM入庫資料1_2007DELL SMT廠級目標KPI(MT)1" xfId="5227"/>
    <cellStyle name="差_jupite r設備&amp;治工具LIST (總)_Flow Chart&amp;PQ分析(12-1)_Leopard Flowchart &amp; 產能評估" xfId="5228"/>
    <cellStyle name="_2005 04 DELL SMT Data2 -Process_DELL MB廠級目標 _DELL MB廠級目標.xls 圖表 1_DELL MB廠級目標.重要不能刪" xfId="5229"/>
    <cellStyle name="差_Xl0000000_Jackson and Shadow BOM cost_mainfile_2010 0324 rev.1" xfId="5230"/>
    <cellStyle name="差_Creak Pearl Reliability Fixture RFQ_2009 04 24_Squirrel UniBom-06.23.2010_update_internal_Bolt RFQ_Foxlink_03.1 2011 3 3" xfId="5231"/>
    <cellStyle name="Normal 5 2 3 3 2" xfId="5232"/>
    <cellStyle name="_2005 04 DELL SMT Data2 -Process_DELL MB廠級目標 _DELL MB廠級目標.xls 圖表 1_DELL MB廠級目標.重要不能刪_2007DELL SMT廠級目標KPI(MT)1" xfId="5233"/>
    <cellStyle name="好_River EE BOM_Creak Pearl Reliability Fixture RFQ_2009 04 24_Leopard_UniBOM_ME_0602_Bolt RFQ_Foxlink_03.1 2011_nego meeting@MACH 3 2" xfId="5234"/>
    <cellStyle name="_2005 04 DELL SMT Data2 -Process_DELL MB廠級目標 _DELL MB廠級目標.xls 圖表 1_DELL MB廠級目標.重要不能刪_DELL MB廠級目標十一月 (4)" xfId="5235"/>
    <cellStyle name="_2005 04 DELL SMT Data2 -Process_DELL MB廠級目標 _DELL MB廠級目標.xls 圖表 1_DELL MB廠級目標_DELL MB廠級目標十一月 (4)" xfId="5236"/>
    <cellStyle name="40% - Accent6 7" xfId="5237"/>
    <cellStyle name="40% - Accent3 11" xfId="5238"/>
    <cellStyle name="_2006_0410 Ernestine_Cooper tooling and plastic price to MS_Quotebook_07SEP10_BlueAnt_Quotebook_V3_07SEP11_Internal RFQ River Standalone  Bundle Unibom_v1 2_20080603_EJ 2" xfId="5239"/>
    <cellStyle name="_2005 04 DELL SMT Data2 -Process_DELL MB廠級目標 _DELL MB廠級目標.xls 圖表 1_DELL MB廠級目標十一月 (4)" xfId="5240"/>
    <cellStyle name="_Book2_Mechanical Contribution Margins forecast 0506 FP_Volume Fcst 1006 updated_Tom OS ( Oct)_Forecast Template v4" xfId="5241"/>
    <cellStyle name="_2005 04 DELL SMT Data2 -Process_DELL MB廠級目標 _DELL MB廠級目標.xls 圖表 1_DELL MB廠級目標四月 " xfId="5242"/>
    <cellStyle name="_2005 04 DELL SMT Data2 -Process_DELL MB廠級目標 _DELL MB廠級目標.xls 圖表 1_DELL MB廠級目標四月 _DELL MB廠級目標十一月 (4)" xfId="5243"/>
    <cellStyle name="好_Creek Assembly Fixture  Test Equipment RFQ_20090427_Squirrel UniBom-06.23.2010_update_internal_Bolt RFQ Proposal_Foxlink_ (Pricing Summary) 2 25 2011 5" xfId="5244"/>
    <cellStyle name="好_Creek Assembly Fixture  Test Equipment RFQ_20090427 4" xfId="5245"/>
    <cellStyle name="_2005 04 DELL SMT Data2 -Process_DELL廠級目標dip.EXC _DELL MB廠級目標.xls 圖表 1_DELL制程課管理指標" xfId="5246"/>
    <cellStyle name="好_River EE BOM_Xl0000002_Leopard Lemur Squirrel UniBom-06.22.2010_EE cost _update_internal_Bolt RFQ Proposal_Foxlink_ (Pricing Summary) 2 25 2011 4" xfId="5247"/>
    <cellStyle name="好_Creek Assembly Fixture  Test Equipment RFQ_20090427_Leopard_UniBOM_ME_0602_Bolt RFQ Proposal_Foxlink_ (Pricing Summary) 2 25 2011 3" xfId="5248"/>
    <cellStyle name="好_River EE BOM_Creak Pearl Reliability Fixture RFQ_2009 04 24_Creek  Pearl RFQ_May 12_Bolt RFQ_Foxlink_03.1 2011_nego meeting@MACH 3 2" xfId="5249"/>
    <cellStyle name="_Ind' Mar Summary report for Auguest 2006 (2)_Budget GC Other Form" xfId="5250"/>
    <cellStyle name="_2005 04 DELL SMT Data2 -Process_DELL MB廠級目標 _DELL MB廠級目標.xls 圖表 1_DELLTEAM入庫資料1_DELL MB廠級目標十一月 (4)" xfId="5251"/>
    <cellStyle name="_OP1 DPO Forecast Final_PL Fcst Jul 06-updated G&amp;A Value_Copy of Tom OS ( Oct) new for LOG_2009 xBOX ramp up budget code applicaiton 300K --New May26 (3)" xfId="5252"/>
    <cellStyle name="_2005 04 DELL SMT Data2 -Process_DELL MB廠級目標 _DELL MB廠級目標.xls 圖表 1_DELL制程課管理目標" xfId="5253"/>
    <cellStyle name="_2005 04 DELL SMT Data2 -Process_DELL SMT 廠級目標KPI_DELL MB廠級目標_DELL MB廠級目標四月 _DELL MB廠級目標十一月 (4)" xfId="5254"/>
    <cellStyle name="_2005 04 DELL SMT Data2 -Process_DELL MB廠級目標 _DELL MB廠級目標.xls 圖表 1_DELL制程課管理目標 (4)" xfId="5255"/>
    <cellStyle name="好_River EE BOM_Xl0000002_Leopard_UniBOM_ME_0602-1_Bolt RFQ Proposal_Foxlink_ (Pricing Summary) 2 25 2011 5" xfId="5256"/>
    <cellStyle name="Total 9 2 2" xfId="5257"/>
    <cellStyle name="_2005 04 DELL SMT Data2 -Process_DELL MB廠級目標 _DELL MB廠級目標.xls 圖表 1_DELL制程課管理指標" xfId="5258"/>
    <cellStyle name="好_Creek EE BOM cost_20090425_Leopard RFQ ME BOM Costs-0618 3 3" xfId="5259"/>
    <cellStyle name="_Flex Depot 2005 rev3_Forecast Template v2_Budget GC Other Form" xfId="5260"/>
    <cellStyle name="_2006_0317 Ernestine_Cooper Cost Feedback_RFQ_River_BAFO_2008 0606_M1_Stream Package Quotation_20090311" xfId="5261"/>
    <cellStyle name="好_River EE BOM_Creak Pearl Reliability Fixture RFQ_2009 04 24_Creek RFQ feedback 04_28_2009_FD Update_Leopard Lemur Squirrel UniBom-06.22.2010_EE cost _update_internal_Bolt RFQ_Foxlink_03.1 2011_nego meeting@MACH" xfId="5262"/>
    <cellStyle name="好_Creek Assembly Fixture  Test Equipment RFQ_20090427_Foxlink_Shadow RFQ NREUni BOM_12032009_Bolt RFQ Proposal_Foxlink_ (Pricing Summary) 2 25 2011 7" xfId="5263"/>
    <cellStyle name="_2005 04 DELL SMT Data2 -Process_DELL MB廠級目標 _DELL MB廠級目標.xls 圖表 1_HP制程課2007管理指標匯總-八月匯總" xfId="5264"/>
    <cellStyle name="好_Jupiter_成本明細" xfId="5265"/>
    <cellStyle name="_2005 04 DELL SMT Data2 -Process_DELL MB廠級目標 _DELL MB廠級目標.xls 圖表 1_MT 2007 KPI" xfId="5266"/>
    <cellStyle name="差_Creak Pearl Reliability Fixture RFQ_2009 04 24_Creek RFQ feedback 04_28_2009_FD Update_Leopard Lemur Squirrel UniBom-06.22.2010_EE cost _update_internal 2" xfId="5267"/>
    <cellStyle name="_H&amp;E Reporting Summary_FY06 P4 CM Consigned RM" xfId="5268"/>
    <cellStyle name="_2005 04 DELL SMT Data2 -Process_DELL MB廠級目標 _DELL MB廠級目標_DELL MB廠級目標" xfId="5269"/>
    <cellStyle name="_2005 04 DELL SMT Data2 -Process_DELL MB廠級目標 _DELL MB廠級目標_DELL MB廠級目標.重要不能刪" xfId="5270"/>
    <cellStyle name="好_River EE BOM_Creak Pearl Reliability Fixture RFQ_2009 04 24_Pearl RFQ(Submittal)ver2_05_12_2009 _Leopard_UniBOM_ME_0602 2 2" xfId="5271"/>
    <cellStyle name="_2005 04 DELL SMT Data2 -Process_DELL MB廠級目標 _DELL MB廠級目標_DELL MB廠級目標.重要不能刪_DELL MB廠級目標十一月 (4)" xfId="5272"/>
    <cellStyle name="_internal- uPad-D Quotebook_20080521_v1.2_Internal RFQ River Standalone  Bundle Unibom_v1 2_20080603_EJ 2" xfId="5273"/>
    <cellStyle name="_2005 04 DELL SMT Data2 -Process_DELL MB廠級目標 _DELL MB廠級目標_DELL MB廠級目標_2007DELL SMT廠級目標KPI(MT)1" xfId="5274"/>
    <cellStyle name="差_F3   SMT設備明細_效益分析_~8644671_squirrel效益分析08-17" xfId="5275"/>
    <cellStyle name="_2005 04 DELL SMT Data2 -Process_DELL MB廠級目標 _DELL MB廠級目標_DELL MB廠級目標_DELL MB廠級目標十一月 (4)" xfId="5276"/>
    <cellStyle name="_Actual P&amp;L_Computing Apr &amp; May_X-BOX BB" xfId="5277"/>
    <cellStyle name="_2005 04 DELL SMT Data2 -Process_DELL MB廠級目標 _DELL MB廠級目標_DELL MB廠級目標十一月 (4)" xfId="5278"/>
    <cellStyle name="_2005 04 DELL SMT Data2 -Process_DELL廠級目標dip EXC _DELL MB廠級目標_MT 2007 KPI" xfId="5279"/>
    <cellStyle name="_2005 04 DELL SMT Data2 -Process_DELL MB廠級目標 _DELL MB廠級目標_DELL MB廠級目標四月 " xfId="5280"/>
    <cellStyle name="差_HP Mouse 產能評估(Forecast更改後)_Erie 效益分析 (Update)" xfId="5281"/>
    <cellStyle name="差_Creak Pearl Reliability Fixture RFQ_2009 04 24_Leopard Lemur Squirrel UniBom-06.22.2010_EE cost _update_internal 2 2" xfId="5282"/>
    <cellStyle name="_2005 04 DELL SMT Data2 -Process_DELL MB廠級目標 _DELL MB廠級目標_DELL MB廠級目標四月 _2007DELL SMT廠級目標KPI(MT)1" xfId="5283"/>
    <cellStyle name="_2005 04 DELL SMT Data2 -Process_DELL MB廠級目標 _DELL MB廠級目標_DELL MB廠級目標四月 _DELL MB廠級目標十一月 (4)" xfId="5284"/>
    <cellStyle name="_2006_0409 Ernestine_Cooper tooling_Internal RFQ River Standalone  Bundle Unibom_v1 2_20080603_EJ_Stream Quotebook (Submittal)_POC2_20081117-1" xfId="5285"/>
    <cellStyle name="_SOPP-H1" xfId="5286"/>
    <cellStyle name="_2005 04 DELL SMT Data2 -Process_DELL MB廠級目標 _DELL MB廠級目標_DELLTEAM入庫資料1" xfId="5287"/>
    <cellStyle name="_2005 04 DELL SMT Data2 -Process_DELL MB廠級目標 _DELL MB廠級目標_DELLTEAM入庫資料1_2007DELL SMT廠級目標KPI(MT)1" xfId="5288"/>
    <cellStyle name="好_Creek Assembly Fixture  Test Equipment RFQ_20090427_Leopard_UniBOM_ME_0603-2_Bolt RFQ_Foxlink_03.1 2011_Bolt_Cliff 2 2 2" xfId="5289"/>
    <cellStyle name="_2005 04 DELL SMT Data2 -Process_DELL MB廠級目標 _DELL MB廠級目標_DELLTEAM入庫資料1_DELL MB廠級目標十一月 (4)" xfId="5290"/>
    <cellStyle name="_Forecast - Segment-OCE-June06(1)_Forecast Template v4" xfId="5291"/>
    <cellStyle name="_2005 04 DELL SMT Data2 -Process_DELL MB廠級目標 _DELL MB廠級目標_DELL制程課管理目標 (4)" xfId="5292"/>
    <cellStyle name="_2005 04 DELL SMT Data2 -Process_DELL MB廠級目標 _DELL MB廠級目標_HP制程課2007管理指標匯總-八月匯總" xfId="5293"/>
    <cellStyle name="差_Creak Pearl Reliability Fixture RFQ_2009 04 24_Xl0000002_Leopard_UniBOM_ME_0531 2 2 3" xfId="5294"/>
    <cellStyle name="_2005 04 DELL SMT Data2 -Process_DELL MB廠級目標 _DELL MB廠級目標十一月 (4)" xfId="5295"/>
    <cellStyle name="好_River EE BOM_Creak Pearl Reliability Fixture RFQ_2009 04 24_Creek  Pearl RFQ_May 12_Leopard_UniBOM_ME_0602-1 2 2 2" xfId="5296"/>
    <cellStyle name="差_Creek RFQ feedback 04_28_2009_FD Update_Leopard_UniBOM_ME_0531_Bolt RFQ_Foxlink_03.1 2011 2 3" xfId="5297"/>
    <cellStyle name="_2005 04 DELL SMT Data2 -Process_DELL MB廠級目標.重要不能刪_DELL MB廠級目標十一月 (4)" xfId="5298"/>
    <cellStyle name="差_Xl0000000_Leopard UniBom_Foxlink_6 21 2010-ME_nego_Bolt RFQ Proposal_Foxlink_ (Pricing Summary) 2 25 2011 3 2" xfId="5299"/>
    <cellStyle name="_2005 04 DELL SMT Data2 -Process_DELL MB廠級目標_2007DELL SMT廠級目標KPI(MT)1" xfId="5300"/>
    <cellStyle name="_2006_0410b Ernestine_Cooper tooling and plastic price to MS_Quotebook_07SEP10_BlueAnt_Quotebook_V3_07SEP11_RFQ_River_BAFO_2008 0606_M1 2" xfId="5301"/>
    <cellStyle name="差_Creak Pearl Reliability Fixture RFQ_2009 04 24_Creek  Pearl RFQ_May 12_Leopard Lemur Squirrel UniBom-06.22.2010_EE cost _update_internal_Bolt RFQ Proposal_Foxlink_ (Pricing Summary) 2 25 2011 3 2" xfId="5302"/>
    <cellStyle name="_2005 04 DELL SMT Data2 -Process_DELL MB廠級目標十一月 (4)" xfId="5303"/>
    <cellStyle name="_2005 04 DELL SMT Data2 -Process_DELL MB廠級目標四月 " xfId="5304"/>
    <cellStyle name="_8306" xfId="5305"/>
    <cellStyle name="好_River EE BOM_Creak Pearl Reliability Fixture RFQ_2009 04 24_Creek RFQ feedback 04_28_2009_FD Update_Leopard RFQ ME BOM Costs-0618_Bolt RFQ_Foxlink_03.1 2011_nego meeting@MACH 3 3" xfId="5306"/>
    <cellStyle name="_2005 04 DELL SMT Data2 -Process_DELL SMT 廠級目標KPI" xfId="5307"/>
    <cellStyle name="_Balance Sheet Audit" xfId="5308"/>
    <cellStyle name="_2005 04 DELL SMT Data2 -Process_DELL SMT 廠級目標KPI_2007DELL SMT廠級目標KPI(MT)1" xfId="5309"/>
    <cellStyle name="_2005 04 DELL SMT Data2 -Process_DELL SMT 廠級目標KPI_DELL MB廠級目標.xls 圖表 1_DELL MB廠級目標" xfId="5310"/>
    <cellStyle name="_2005 04 DELL SMT Data2 -Process_DELL SMT 廠級目標KPI_DELL MB廠級目標.xls 圖表 1_DELL MB廠級目標_2007DELL SMT廠級目標KPI(MT)1" xfId="5311"/>
    <cellStyle name="_2005 04 DELL SMT Data2 -Process_DELL SMT 廠級目標KPI_DELL MB廠級目標.xls 圖表 1_DELL MB廠級目標_DELL MB廠級目標十一月 (4)" xfId="5312"/>
    <cellStyle name="_2006_0406 Ernestine_Cooper tooling_Quotebook_07SEP10_BlueAnt_Quotebook_V3_07SEP11_Stream RFQ Unibom--0626-1756_Stream Quotebook(Submittal)_POC1_20080903 2" xfId="5313"/>
    <cellStyle name="_2006_0410 Ernestine_Cooper tooling and plastic price to MS_Quotebook_07SEP10_RFQ_River_BAFO_2008 0606_M1_Stream Quotebook(Submittal)_POC1_20080903 2" xfId="5314"/>
    <cellStyle name="好_River EE BOM_Creak Pearl Reliability Fixture RFQ_2009 04 24_Creek  Pearl RFQ_May 12_Squirrel RFQ ME BOM Costs-0623_Bolt RFQ_Foxlink_03.1 2011_nego meeting@MACH 3" xfId="5315"/>
    <cellStyle name="_2006_0409 Ernestine_Cooper tooling_Quotebook_V3_07SEP11_Internal RFQ River Standalone  Bundle Unibom_v1 2_20080603_EJ_Stream Quotebook(Submittal)_POC1_20080903" xfId="5316"/>
    <cellStyle name="_Ellen Procurement Plan 20050512_FMTQCI-MIS3H064-P027(01)Nazca Copy Exact Flow chart" xfId="5317"/>
    <cellStyle name="_2005 04 DELL SMT Data2 -Process_DELL SMT 廠級目標KPI_DELL MB廠級目標.xls 圖表 1_DELL MB廠級目標十一月 (4)" xfId="5318"/>
    <cellStyle name="_2005 04 DELL SMT Data2 -Process_DELL SMT 廠級目標KPI_DELL MB廠級目標.xls 圖表 1_DELL MB廠級目標四月 _DELL MB廠級目標十一月 (4)" xfId="5319"/>
    <cellStyle name="_2005 04 DELL SMT Data2 -Process_DELL SMT 廠級目標KPI_DELL MB廠級目標.xls 圖表 1_DELLTEAM入庫資料1" xfId="5320"/>
    <cellStyle name="_2005 04 DELL SMT Data2 -Process_DELL SMT 廠級目標KPI_DELL MB廠級目標.xls 圖表 1_DELLTEAM入庫資料1_2007DELL SMT廠級目標KPI(MT)1" xfId="5321"/>
    <cellStyle name="_August-05_plforecastsample_2009 xBOX ramp up budget code applicaiton 300K --New May27" xfId="5322"/>
    <cellStyle name="差_Creak Pearl Reliability Fixture RFQ_2009 04 24_Pearl RFQ(Submittal)ver2_05_12_2009 _Leopard UniBom_Foxlink_6 21 2010-ME_nego_Bolt RFQ Proposal_Foxlink_ (Pricing Summary) 2 25 2011 6" xfId="5323"/>
    <cellStyle name="_2005 04 DELL SMT Data2 -Process_DELL SMT 廠級目標KPI_DELL MB廠級目標.xls 圖表 1_DELL制程課管理目標 (4)" xfId="5324"/>
    <cellStyle name="差_jupite r設備&amp;治工具LIST (總)_Flow Chart(shadow) A3 _Jackson 效益分析 (2-1 B0 上系統)" xfId="5325"/>
    <cellStyle name="好_Creek Assembly Fixture  Test Equipment RFQ_20090427_Xl0000002_Leopard Lemur Squirrel UniBom-06.22.2010_EE cost _update_internal 2 4" xfId="5326"/>
    <cellStyle name="_2005 04 DELL SMT Data2 -Process_DELL SMT 廠級目標KPI_DELL MB廠級目標.xls 圖表 1_DELL制程課管理指標" xfId="5327"/>
    <cellStyle name="_2005 04 DELL SMT Data2 -Process_DELL廠級目標dip EXC _DELL廠級目標dip(2月) EXC _DELL MB廠級目標  (2)_DELL MB廠級目標_DELL MB廠級目標.重要不能刪_2007DELL SMT廠級目標KPI(MT)1" xfId="5328"/>
    <cellStyle name="_2005 04 DELL SMT Data2 -Process_DELL SMT 廠級目標KPI_DELL MB廠級目標.xls 圖表 1_HP制程課2007管理指標匯總-八月匯總" xfId="5329"/>
    <cellStyle name="20% - 强调文字颜色 6 3" xfId="5330"/>
    <cellStyle name="20% - Accent6 2" xfId="5331"/>
    <cellStyle name="_2005 04 DELL SMT Data2 -Process_DELL SMT 廠級目標KPI_DELL MB廠級目標_2007DELL SMT廠級目標KPI(MT)1" xfId="5332"/>
    <cellStyle name="_2005 04 DELL SMT Data2 -Process_DELL SMT 廠級目標KPI_DELL MB廠級目標_DELL MB廠級目標.重要不能刪" xfId="5333"/>
    <cellStyle name="_Sales Forecast (plastic XX)0703_Volume Fcst Jul 06-update HP _Copy of Tom OS ( Oct) new for LOG_X-BOX BB" xfId="5334"/>
    <cellStyle name="_Sales Forecast (plastic XX)1203_Volume Fcst Jul 06-update HP _Copy of Tom OS ( Oct) new for LOG_X-BOX BB" xfId="5335"/>
    <cellStyle name="差_治具工程課2009年KPI_2009MB KPI-0205 3 2 3" xfId="5336"/>
    <cellStyle name="_2005 04 DELL SMT Data2 -Process_DELL SMT 廠級目標KPI_DELL MB廠級目標_DELL MB廠級目標.重要不能刪_2007DELL SMT廠級目標KPI(MT)1" xfId="5337"/>
    <cellStyle name="差_Creak Pearl Reliability Fixture RFQ_2009 04 24_Pearl RFQ(Submittal)ver2_05_12_2009 _Leopard_UniBOM_ME_0603-2_Bolt RFQ_Foxlink_03.1 2011 3 2" xfId="5338"/>
    <cellStyle name="好_River EE BOM_Creak Pearl Reliability Fixture RFQ_2009 04 24_Pearl RFQ(Submittal)ver2_05_12_2009 _Leopard_UniBOM_ME_0531_Bolt RFQ Proposal_Foxlink_ (Pricing Summary) 2 25 2011 4" xfId="5339"/>
    <cellStyle name="_2005 04 DELL SMT Data2 -Process_DELL SMT 廠級目標KPI_DELL MB廠級目標_DELL MB廠級目標.重要不能刪_DELL MB廠級目標十一月 (4)" xfId="5340"/>
    <cellStyle name="差_jupite r設備&amp;治工具LIST (總)_Dallas效益分析&amp;投資回收期 (12-2 A1)_Flow Chart&amp;設備治工具清單 _Leopard效益分析08-17" xfId="5341"/>
    <cellStyle name="_2006_0410 Ernestine_Cooper tooling and plastic price to MS_RFQ_River_BAFO_2008 0606_M1_Stream Quotebook(Submittal)_POC1_20080903" xfId="5342"/>
    <cellStyle name="_2005 04 DELL SMT Data2 -Process_DELL SMT 廠級目標KPI_DELL MB廠級目標_DELL MB廠級目標_2007DELL SMT廠級目標KPI(MT)1" xfId="5343"/>
    <cellStyle name="_2006_0406 Ernestine_Cooper tooling_Quotebook_07SEP10_BlueAnt_Quotebook_V3_07SEP11_Internal RFQ River Standalone  Bundle Unibom_v1 2_20080603_EJ_Stream Quotebook(Submittal)_POC1_20080903 2" xfId="5344"/>
    <cellStyle name="好_Creek Assembly Fixture  Test Equipment RFQ_20090427_Xl0000002_Leopard UniBom_Foxlink_6 21 2010-ME_nego" xfId="5345"/>
    <cellStyle name="好_River EE BOM_Xl0000000_Leopard Lemur Squirrel UniBom-06.22.2010_EE cost _update_internal_Bolt RFQ_Foxlink_03.1 2011 5" xfId="5346"/>
    <cellStyle name="_2005 04 DELL SMT Data2 -Process_DELL SMT 廠級目標KPI_DELL MB廠級目標_DELL MB廠級目標十一月 (4)" xfId="5347"/>
    <cellStyle name="_2005 04 DELL SMT Data2 -Process_DELL SMT 廠級目標KPI_DELL MB廠級目標_DELL MB廠級目標四月 " xfId="5348"/>
    <cellStyle name="差_Creak Pearl Reliability Fixture RFQ_2009 04 24_Creek  Pearl RFQ_May 12_Bolt RFQ Proposal_Foxlink_ (Pricing Summary) 2 25 2011 6" xfId="5349"/>
    <cellStyle name="_2005 04 DELL SMT Data2 -Process_DELL SMT 廠級目標KPI_DELL MB廠級目標_DELLTEAM入庫資料1" xfId="5350"/>
    <cellStyle name="_2005 04 DELL SMT Data2 -Process_DELL SMT 廠級目標KPI_DELL MB廠級目標_DELLTEAM入庫資料1_2007DELL SMT廠級目標KPI(MT)1" xfId="5351"/>
    <cellStyle name="好_River EE BOM_Creak Pearl Reliability Fixture RFQ_2009 04 24_Creek  Pearl RFQ_May 12_Squirrel UniBom-06.23.2010_update_internal_Bolt RFQ_Foxlink_03.1 2011_nego meeting@MACH 2 3" xfId="5352"/>
    <cellStyle name="_2005 04 DELL SMT Data2 -Process_DELL SMT 廠級目標KPI_DELL MB廠級目標_DELLTEAM入庫資料1_DELL MB廠級目標十一月 (4)" xfId="5353"/>
    <cellStyle name="好_River EE BOM_Creak Pearl Reliability Fixture RFQ_2009 04 24_Pearl RFQ(Submittal)ver2_05_12_2009 _Leopard_UniBOM_ME_0602_Bolt RFQ Proposal_Foxlink_ (Pricing Summary) 2 25 2011 5 3" xfId="5354"/>
    <cellStyle name="Normal 3 5" xfId="5355"/>
    <cellStyle name="_2005 04 DELL SMT Data2 -Process_DELL SMT 廠級目標KPI_DELL MB廠級目標_DELL制程課管理目標" xfId="5356"/>
    <cellStyle name="_2007 .10.KPI(ASUS)" xfId="5357"/>
    <cellStyle name="_Flex forecast Depot 2005 rev4A_plforecastsample_2009 xBOX ramp up budget code applicaiton 300K --New May27" xfId="5358"/>
    <cellStyle name="_2006_0329 Ernestine_Cooper Cost Feedback_Quotebook_07SEP10_Internal RFQ River Standalone  Bundle Unibom_v1 2_20080603_EJ_Stream Quotebook(Submittal)_POC1_20080903 2" xfId="5359"/>
    <cellStyle name="_2005 04 DELL SMT Data2 -Process_DELL SMT 廠級目標KPI_DELL MB廠級目標_DELL制程課管理指標" xfId="5360"/>
    <cellStyle name="好_River EE BOM_Creak Pearl Reliability Fixture RFQ_2009 04 24_Pearl RFQ(Submittal)ver2_05_12_2009 _Leopard UniBom_Foxlink_12272010 RevF_shirley" xfId="5361"/>
    <cellStyle name="差_dallas產能評估_~8644671_squirrel效益分析08-17" xfId="5362"/>
    <cellStyle name="_2005 04 DELL SMT Data2 -Process_DELL SMT 廠級目標KPI_DELL MB廠級目標_HP制程課2007管理指標匯總-八月匯總" xfId="5363"/>
    <cellStyle name="_2005 04 DELL SMT Data2 -Process_DELL廠級目標dip(2月) EXC _DELL MB廠級目標.xls 圖表 1_DELL MB廠級目標十一月 (4)" xfId="5364"/>
    <cellStyle name="差_Creak Pearl Reliability Fixture RFQ_2009 04 24_Squirrel RFQ ME BOM Costs-0623_Bolt RFQ_Foxlink_03.1 2011 2 3" xfId="5365"/>
    <cellStyle name="_Flex Mechanicals Doumen Sales forecast - Jan.06-updated_Budget GC Other Form" xfId="5366"/>
    <cellStyle name="_2005 04 DELL SMT Data2 -Process_DELL SMT 廠級目標KPI_DELL MB廠級目標_MT 2007 KPI" xfId="5367"/>
    <cellStyle name="_2006_0329 Ernestine_Cooper Cost Feedback_Quotebook_07SEP10_RFQ_River_BAFO_2008 0606_M1_Stream Package Quotation_20090311" xfId="5368"/>
    <cellStyle name="_2005 04 DELL SMT Data2 -Process_DELL廠級目標dip EXC _DELL廠級目標dip(2月) EXC _DELL MB廠級目標 _DELL MB廠級目標.xls 圖表 1_DELL MB廠級目標_2007DELL SMT廠級目標KPI(MT)1" xfId="5369"/>
    <cellStyle name="_2005 04 DELL SMT Data2 -Process_DELLTEAM入庫資料1" xfId="5370"/>
    <cellStyle name="_x001e__Project A Riskbuy list 20100329 wk141" xfId="5371"/>
    <cellStyle name="_2005 04 DELL SMT Data2 -Process_DELL廠級目標dip EXC " xfId="5372"/>
    <cellStyle name="_HC Planning 0705_Forecast Template v4" xfId="5373"/>
    <cellStyle name="_2005 04 DELL SMT Data2 -Process_DELL廠級目標dip EXC _DELL MB廠級目標" xfId="5374"/>
    <cellStyle name="_2006_0410b Ernestine_Cooper tooling and plastic price to MS_Quotebook_07SEP10_RFQ_River_BAFO_2008 0606_M1_Stream Quotebook(Submittal)_POC1_20080903" xfId="5375"/>
    <cellStyle name="_2005 04 DELL SMT Data2 -Process_DELL廠級目標dip EXC _DELL MB廠級目標.xls 圖表 1_2007DELL SMT廠級目標KPI(MT)1" xfId="5376"/>
    <cellStyle name="_2006_0412 Ernestine_Cooper tooling and plastic price to MS_JC_RFQ_River_BAFO_2008 0606_M1_Stream Quotebook(Submittal)_POC1_20080903" xfId="5377"/>
    <cellStyle name="_2005 04 DELL SMT Data2 -Process_DELL廠級目標dip EXC _DELL MB廠級目標.xls 圖表 1_DELL MB廠級目標.重要不能刪_DELL MB廠級目標十一月 (4)" xfId="5378"/>
    <cellStyle name="_2005 04 DELL SMT Data2 -Process_DELL廠級目標dip EXC _DELL廠級目標dip(2月) EXC _DELL MB廠級目標  (2)_DELL MB廠級目標.xls 圖表 1_DELL MB廠級目標.重要不能刪" xfId="5379"/>
    <cellStyle name="差_Xl0000002_Leopard UniBom_Foxlink_6 21 2010-ME_nego 2 4" xfId="5380"/>
    <cellStyle name="好_River EE BOM_Creak Pearl Reliability Fixture RFQ_2009 04 24_Xl0000002_Leopard_UniBOM_ME_0603-2 3 3" xfId="5381"/>
    <cellStyle name="Normal 5 4 3" xfId="5382"/>
    <cellStyle name="_2005 04 DELL SMT Data2 -Process_DELL廠級目標dip EXC _DELL MB廠級目標.xls 圖表 1_DELL MB廠級目標四月 _2007DELL SMT廠級目標KPI(MT)1" xfId="5383"/>
    <cellStyle name="_2006_0410b Ernestine_Cooper tooling and plastic price to MS_Quotebook_07SEP10_BlueAnt_Quotebook_V3_07SEP11_RFQ_River_BAFO_2008 0606_M1_Stream Package Quotation_20090311" xfId="5384"/>
    <cellStyle name="_2005 04 DELL SMT Data2 -Process_DELL廠級目標dip(2月) EXC _DELL MB廠級目標.xls 圖表 1_DELL MB廠級目標四月 _DELL MB廠級目標十一月 (4)" xfId="5385"/>
    <cellStyle name="差_Creak Pearl Reliability Fixture RFQ_2009 04 24_Xl0000002_Leopard_UniBOM_ME_0603-2 2 2" xfId="5386"/>
    <cellStyle name="_2005 04 DELL SMT Data2 -Process_DELL廠級目標dip EXC _DELL MB廠級目標.xls 圖表 1_DELLTEAM入庫資料1" xfId="5387"/>
    <cellStyle name="_Flex Mechanicals Doumen Sales forecast - Dec'05 R1_PL Fcst Jul 06-updated G&amp;A Value_2009 xBOX ramp up budget code applicaiton 300K --New May26 (3)" xfId="5388"/>
    <cellStyle name="_2005 04 DELL SMT Data2 -Process_DELL廠級目標dip EXC _DELL MB廠級目標.xls 圖表 1_DELLTEAM入庫資料1_DELL MB廠級目標十一月 (4)" xfId="5389"/>
    <cellStyle name="好_River EE BOM_Xl0000000_Leopard_UniBOM_ME_0531_Bolt RFQ_Foxlink_03.1 2011_nego meeting@MACH 3 3" xfId="5390"/>
    <cellStyle name="_PL Fcst_akl(Friday)_PL Fcst Jul 06-updated G&amp;A Value_Tom OS ( Oct)_Budget GC Other Form" xfId="5391"/>
    <cellStyle name="_Flex Mechanicals Doumen Sales forecast - Dec'05 R1_Volume Fcst Jul 06-update HP _Budget GC Other Form" xfId="5392"/>
    <cellStyle name="_2005 04 DELL SMT Data2 -Process_DELL廠級目標dip EXC _DELL MB廠級目標.xls 圖表 1_DELL制程課管理目標 (4)" xfId="5393"/>
    <cellStyle name="60% - 輔色6 2" xfId="5394"/>
    <cellStyle name="_2005 04 DELL SMT Data2 -Process_DELL廠級目標dip EXC _DELL MB廠級目標_2007DELL SMT廠級目標KPI(MT)1" xfId="5395"/>
    <cellStyle name="_2005 04 DELL SMT Data2 -Process_DELL廠級目標dip EXC _DELL MB廠級目標_DELL MB廠級目標.重要不能刪" xfId="5396"/>
    <cellStyle name="_2006_0317 Ernestine_Cooper Cost Feedback_Quotebook_07SEP10_Stream RFQ Unibom--0626-1756 2" xfId="5397"/>
    <cellStyle name="_Flex Mechanicals Doumen Sales forecast - Jan.06-updated_Copy of Tom OS ( Oct) new for LOG_Copy of X-BOX for line setup budget" xfId="5398"/>
    <cellStyle name="_2005 04 DELL SMT Data2 -Process_DELL廠級目標dip EXC _DELL MB廠級目標_DELL MB廠級目標.重要不能刪_2007DELL SMT廠級目標KPI(MT)1" xfId="5399"/>
    <cellStyle name="_2005 04 DELL SMT Data2 -Process_DELL廠級目標dip EXC _DELL MB廠級目標_DELL MB廠級目標.重要不能刪_DELL MB廠級目標十一月 (4)" xfId="5400"/>
    <cellStyle name="好_Creek EE BOM cost_20090425_Creek RFQ feedback 04_28_2009_FD Update_Leopard RFQ ME BOM Costs-0618-2 2 4" xfId="5401"/>
    <cellStyle name="好_Creek EE BOM cost_20090425_Creek RFQ feedback 04_28_2009_FD Update_Leopard RFQ ME BOM Costs-0618_Bolt RFQ_Foxlink_03.1 2011 5" xfId="5402"/>
    <cellStyle name="_2005 04 DELL SMT Data2 -Process_DELL廠級目標dip EXC _DELL MB廠級目標_DELL MB廠級目標_2007DELL SMT廠級目標KPI(MT)1" xfId="5403"/>
    <cellStyle name="好_River EE BOM_Creak Pearl Reliability Fixture RFQ_2009 04 24_Xl0000002_Foxlink_Shadow RFQ NREUni BOM_12032009_Bolt RFQ Proposal_Foxlink_ (Pricing Summary) 2 25 2011 2 4" xfId="5404"/>
    <cellStyle name="_Flex Mechanicals Doumen Sales forecast - Dec'05 R1_Volume Fcst 1006 updated_Tom OS ( Oct)_X-BOX BB" xfId="5405"/>
    <cellStyle name="_2005 04 DELL SMT Data2 -Process_DELL廠級目標dip EXC _DELL MB廠級目標_DELL MB廠級目標_DELL MB廠級目標十一月 (4)" xfId="5406"/>
    <cellStyle name="_Foxlink Xenon Forecast 7-18-2005_RIM Meteor charging pod_Stream RFQ Unibom--0626-1756_Stream Quotebook (Submittal)_POC2_20081117-1" xfId="5407"/>
    <cellStyle name="_2wk呆滯庫存" xfId="5408"/>
    <cellStyle name="_2005 04 DELL SMT Data2 -Process_DELL廠級目標dip EXC _DELL MB廠級目標_DELL MB廠級目標十一月 (4)" xfId="5409"/>
    <cellStyle name="Comma 18" xfId="5410"/>
    <cellStyle name="_2006_0409 Ernestine_Cooper tooling_Quotebook_07SEP10_BlueAnt_Quotebook_V3_07SEP11 2" xfId="5411"/>
    <cellStyle name="_Forecast Template v2_2009 xBOX ramp up budget code applicaiton 300K --New May27" xfId="5412"/>
    <cellStyle name="好_River EE BOM_Xl0000000_Squirrel UniBom-06.23.2010_update_internal_Bolt RFQ Proposal_Foxlink_ (Pricing Summary) 2 25 2011" xfId="5413"/>
    <cellStyle name="好_River EE BOM_Creak Pearl Reliability Fixture RFQ_2009 04 24_Creek RFQ feedback 04_28_2009_FD Update_Leopard RFQ ME BOM Costs-0618-2_Bolt RFQ_Foxlink_03.1 2011 3" xfId="5414"/>
    <cellStyle name="好_Creek EE BOM cost_20090425_Creek RFQ feedback 04_28_2009_FD Update_Leopard RFQ ME BOM Costs-0618_Bolt RFQ_Foxlink_03.1 2011_nego meeting@MACH 3" xfId="5415"/>
    <cellStyle name="好_Creek EE BOM cost_20090425_Creek RFQ feedback 04_28_2009_FD Update_Leopard_UniBOM_ME_0603-2_Bolt RFQ Proposal_Foxlink_ (Pricing Summary) 2 25 2011 4 3" xfId="5416"/>
    <cellStyle name="_2005 04 DELL SMT Data2 -Process_DELL廠級目標dip EXC _DELL MB廠級目標_DELL MB廠級目標四月 _DELL MB廠級目標十一月 (4)" xfId="5417"/>
    <cellStyle name="_2005 04 DELL SMT Data2 -Process_DELL廠級目標dip EXC _DELL MB廠級目標_DELLTEAM入庫資料1_DELL MB廠級目標十一月 (4)" xfId="5418"/>
    <cellStyle name="_Mechanical Contribution Margins (Q2'06) 0705_Mechanical Contribution Margins forecast 0506 FP_Tom OS ( Oct)" xfId="5419"/>
    <cellStyle name="_2005 04 DELL SMT Data2 -Process_DELL廠級目標dip.EXC _DELL MB廠級目標" xfId="5420"/>
    <cellStyle name="_2005 04 DELL SMT Data2 -Process_DELL廠級目標dip EXC _DELL廠級目標dip(2月) EXC _2007DELL SMT廠級目標KPI(MT)1" xfId="5421"/>
    <cellStyle name="好_River EE BOM_Creak Pearl Reliability Fixture RFQ_2009 04 24_Pearl RFQ(Submittal)ver2_05_12_2009 _Foxlink_Shadow RFQ NREUni BOM_12032009 2 3" xfId="5422"/>
    <cellStyle name="好_Dash 2 QA report-4.10" xfId="5423"/>
    <cellStyle name="_D: 1.MS Project Plutto KYE Response RFQ Response-Pluto_1018.doc 的 工作表 2" xfId="5424"/>
    <cellStyle name="_2005 Capacity 051110" xfId="5425"/>
    <cellStyle name="_2005 04 DELL SMT Data2 -Process_DELL廠級目標dip.EXC _DELL廠級目標dip(2月) EXC _BPI 8D-SMT-2月_DELL MB廠級目標.xls 圖表 1_DELL MB廠級目標.重要不能刪_DELL MB廠級目標十一月 (4)" xfId="5426"/>
    <cellStyle name="好_Creek Assembly Fixture  Test Equipment RFQ_20090427_Leopard_UniBOM_ME_0602_Bolt RFQ_Foxlink_03.1 2011" xfId="5427"/>
    <cellStyle name="_2005 04 DELL SMT Data2 -Process_DELL廠級目標dip EXC _DELL廠級目標dip(2月) EXC _BPI 8D-SMT-2月 (3)" xfId="5428"/>
    <cellStyle name="_Mechanical Contribution Margins (Q2'06) 0705_Tom OS ( Oct)_X-BOX Console line setup budget 20080414" xfId="5429"/>
    <cellStyle name="_Mechanical Contribution Margins (Q2'06) 0705_Mechanical Contribution Margins forecast 0506 FP_PL Fcst Jul 06-updated G&amp;A Value_Copy of Tom OS ( Oct) new for LOG_2009 xBOX ramp up budget code applicaiton 300K --New May27" xfId="5430"/>
    <cellStyle name="_2005 04 DELL SMT Data2 -Process_DELL廠級目標dip EXC _DELL廠級目標dip(2月) EXC _BPI 8D-SMT-2月 (3)_2007DELL SMT廠級目標KPI(MT)1" xfId="5431"/>
    <cellStyle name="_2005 04 DELL SMT Data2 -Process_DELL廠級目標dip EXC _DELL廠級目標dip(2月) EXC _BPI 8D-SMT-2月 (3)_DELL MB廠級目標" xfId="5432"/>
    <cellStyle name="_2006_0319 Ernestine_Cooper Cost Feedback_Quotebook_07SEP10_Stream RFQ Unibom--0626-1756_Stream Package Quotation_20090311" xfId="5433"/>
    <cellStyle name="好_River EE BOM_Creak Pearl Reliability Fixture RFQ_2009 04 24_Leopard_UniBOM_ME_0602 2 2 2" xfId="5434"/>
    <cellStyle name="_2005 04 DELL SMT Data2 -Process_DELL廠級目標dip EXC _DELL廠級目標dip(2月) EXC _BPI 8D-SMT-2月 (3)_DELL MB廠級目標.xls 圖表 1" xfId="5435"/>
    <cellStyle name="_2005 04 DELL SMT Data2 -Process_DELL廠級目標dip EXC _DELL廠級目標dip(2月) EXC _DELL MB廠級目標 _DELL MB廠級目標.xls 圖表 1_DELL制程課管理指標" xfId="5436"/>
    <cellStyle name="_2005 04 DELL SMT Data2 -Process_DELL廠級目標dip EXC _DELL廠級目標dip(2月) EXC _BPI 8D-SMT-2月 (3)_DELL MB廠級目標.xls 圖表 1_DELL MB廠級目標" xfId="5437"/>
    <cellStyle name="_Flex Depot 2005 rev3_X-BOX Console line setup budget 20080414" xfId="5438"/>
    <cellStyle name="_Foxlink Xenon Forecast 7-18-2005_RFQ_River_BAFO_2008 0606_M1_Stream Package Quotation_20090311" xfId="5439"/>
    <cellStyle name="_2005 04 DELL SMT Data2 -Process_DELL廠級目標dip EXC _DELL廠級目標dip(2月) EXC _BPI 8D-SMT-2月 (3)_DELL MB廠級目標.xls 圖表 1_DELL MB廠級目標.重要不能刪" xfId="5440"/>
    <cellStyle name="7_Vesuvius-CR NPI tracker0606-US" xfId="5441"/>
    <cellStyle name="60% - Accent3 14" xfId="5442"/>
    <cellStyle name="_200812費用分析_v1_20090101_2010銷售明細實績-201006" xfId="5443"/>
    <cellStyle name="_Fcst March_06(Revised 2.)_PL Forecast by segment-most final 0806_2009 xBOX ramp up budget code applicaiton 300K --New May27" xfId="5444"/>
    <cellStyle name="_2006_0410b Ernestine_Cooper tooling and plastic price to MS_Quotebook_V3_07SEP11_Internal RFQ River Standalone  Bundle Unibom_v1 2_20080603_EJ 2" xfId="5445"/>
    <cellStyle name="_2005 04 DELL SMT Data2 -Process_DELL廠級目標dip EXC _DELL廠級目標dip(2月) EXC _BPI 8D-SMT-2月 (3)_DELL MB廠級目標.xls 圖表 1_DELL MB廠級目標.重要不能刪_DELL MB廠級目標十一月 (4)" xfId="5446"/>
    <cellStyle name="_Project A Pick List 20100312_Copy of FMTTQCI-MIS3H064-P027 扫描COI次数" xfId="5447"/>
    <cellStyle name="_2006_0410b Ernestine_Cooper tooling and plastic price to MS_Quotebook_07SEP10_Stream RFQ Unibom--0626-1756_Stream Package Quotation_20090311" xfId="5448"/>
    <cellStyle name="差_Creak Pearl Reliability Fixture RFQ_2009 04 24_Xl0000002_Leopard_UniBOM_ME_0531 3" xfId="5449"/>
    <cellStyle name="_2005 04 DELL SMT Data2 -Process_DELL廠級目標dip EXC _DELL廠級目標dip(2月) EXC _BPI 8D-SMT-2月 (3)_DELL MB廠級目標.xls 圖表 1_DELL MB廠級目標_2007DELL SMT廠級目標KPI(MT)1" xfId="5450"/>
    <cellStyle name="_2005 04 DELL SMT Data2 -Process_DELL廠級目標dip EXC _DELL廠級目標dip(2月) EXC _BPI 8D-SMT-2月 (3)_DELL MB廠級目標_DELL MB廠級目標四月 _DELL MB廠級目標十一月 (4)" xfId="5451"/>
    <cellStyle name="_2005 04 DELL SMT Data2 -Process_DELL廠級目標dip EXC _DELL廠級目標dip(2月) EXC _BPI 8D-SMT-2月 (3)_DELL MB廠級目標.xls 圖表 1_DELL MB廠級目標四月 " xfId="5452"/>
    <cellStyle name="好_Creek EE BOM cost_20090425_Leopard RFQ ME BOM Costs-0618_Bolt RFQ_Foxlink_03.1 2011 2 2" xfId="5453"/>
    <cellStyle name="_2005 04 DELL SMT Data2 -Process_DELL廠級目標dip EXC _DELL廠級目標dip(2月) EXC _BPI 8D-SMT-2月 (3)_DELL MB廠級目標.xls 圖表 1_DELL MB廠級目標四月 _2007DELL SMT廠級目標KPI(MT)1" xfId="5454"/>
    <cellStyle name="_2005 04 DELL SMT Data2 -Process_DELL廠級目標dip EXC _DELL廠級目標dip(2月) EXC _BPI 8D-SMT-2月 (3)_DELL MB廠級目標.xls 圖表 1_DELLTEAM入庫資料1" xfId="5455"/>
    <cellStyle name="_2005 04 DELL SMT Data2 -Process_DELL廠級目標dip EXC _DELL廠級目標dip(2月) EXC _BPI 8D-SMT-2月 (3)_DELL MB廠級目標.xls 圖表 1_DELLTEAM入庫資料1_2007DELL SMT廠級目標KPI(MT)1" xfId="5456"/>
    <cellStyle name="好_Creek Assembly Fixture  Test Equipment RFQ_20090427_Xl0000002_Leopard_UniBOM_ME_0603-2_Bolt RFQ Proposal_Foxlink_ (Pricing Summary) 2 25 2011 7" xfId="5457"/>
    <cellStyle name="_2005 04 DELL SMT Data2 -Process_DELL廠級目標dip EXC _DELL廠級目標dip(2月) EXC _BPI 8D-SMT-2月 (3)_DELL MB廠級目標.xls 圖表 1_DELLTEAM入庫資料1_DELL MB廠級目標十一月 (4)" xfId="5458"/>
    <cellStyle name="_2005 04 DELL SMT Data2 -Process_DELL廠級目標dip EXC _DELL廠級目標dip(2月) EXC _BPI 8D-SMT-2月 (3)_DELL MB廠級目標.xls 圖表 1_DELL制程課管理目標" xfId="5459"/>
    <cellStyle name="标题 1 2" xfId="5460"/>
    <cellStyle name="_2005 04 DELL SMT Data2 -Process_DELL廠級目標dip EXC _DELL廠級目標dip(2月) EXC _BPI 8D-SMT-2月 (3)_DELL MB廠級目標.xls 圖表 1_DELL制程課管理目標 (4)" xfId="5461"/>
    <cellStyle name="好_River EE BOM_Creak Pearl Reliability Fixture RFQ_2009 04 24_Creek  Pearl RFQ_May 12_Leopard_UniBOM_ME_0603-2_Bolt RFQ Proposal_Foxlink_ (Pricing Summary) 2 25 2011 4 2" xfId="5462"/>
    <cellStyle name="_2005 04 DELL SMT Data2 -Process_DELL廠級目標dip EXC _DELL廠級目標dip(2月) EXC _BPI 8D-SMT-2月 (3)_DELL MB廠級目標_2007DELL SMT廠級目標KPI(MT)1" xfId="5463"/>
    <cellStyle name="_2005 04 DELL SMT Data2 -Process_DELL廠級目標dip EXC _DELL廠級目標dip(2月) EXC _BPI 8D-SMT-2月 (3)_DELL MB廠級目標_DELL MB廠級目標.重要不能刪" xfId="5464"/>
    <cellStyle name="差_HP  專案(設備&amp;治工具需夠買)update_M1 SuedeFixtureEquipment Cost_A0_2010_10_15_Bolt RFQ_Foxlink_03.1 2011_nego meeting@MACH 3 2" xfId="5465"/>
    <cellStyle name="好_River EE BOM_Creak Pearl Reliability Fixture RFQ_2009 04 24_Pearl RFQ(Submittal)ver2_05_12_2009 _Leopard RFQ ME BOM Costs-0618_Bolt RFQ Proposal_Foxlink_ (Pricing Summary) 2 25 2011 3" xfId="5466"/>
    <cellStyle name="_2005 04 DELL SMT Data2 -Process_DELL廠級目標dip EXC _DELL廠級目標dip(2月) EXC _BPI 8D-SMT-2月 (3)_DELL MB廠級目標_DELL MB廠級目標" xfId="5467"/>
    <cellStyle name="_2005 04 DELL SMT Data2 -Process_DELL廠級目標dip EXC _DELL廠級目標dip(2月) EXC _BPI 8D-SMT-2月 (3)_DELL MB廠級目標_DELL MB廠級目標_2007DELL SMT廠級目標KPI(MT)1" xfId="5468"/>
    <cellStyle name="差_jupite r設備&amp;治工具LIST (總)_pq_~5631336" xfId="5469"/>
    <cellStyle name="差_F3   SMT設備明細_效益分析_flow chart 2009.12.12_Flow chart and Fixture(1-4)" xfId="5470"/>
    <cellStyle name="_2005 04 DELL SMT Data2 -Process_DELL廠級目標dip EXC _DELL廠級目標dip(2月) EXC _BPI 8D-SMT-2月 (3)_DELL MB廠級目標_DELL MB廠級目標.重要不能刪_2007DELL SMT廠級目標KPI(MT)1" xfId="5471"/>
    <cellStyle name="_2005 04 DELL SMT Data2 -Process_DELL廠級目標dip EXC _DELL廠級目標dip(2月) EXC _BPI 8D-SMT-2月 (3)_DELL MB廠級目標_DELL MB廠級目標_DELL MB廠級目標十一月 (4)" xfId="5472"/>
    <cellStyle name="_2005 04 DELL SMT Data2 -Process_DELL廠級目標dip EXC _DELL廠級目標dip(2月) EXC _BPI 8D-SMT-2月 (3)_DELL MB廠級目標_DELL MB廠級目標.重要不能刪_DELL MB廠級目標十一月 (4)" xfId="5473"/>
    <cellStyle name="_x001e__Project A Riskbuy list 20100125 2_Nasca Riskbuy list 20110117 wk04-To HM" xfId="5474"/>
    <cellStyle name="_2005 04 DELL SMT Data2 -Process_DELL廠級目標dip EXC _DELL廠級目標dip(2月) EXC _BPI 8D-SMT-2月 (3)_DELL MB廠級目標_DELL MB廠級目標四月 " xfId="5475"/>
    <cellStyle name="_2005 04 DELL SMT Data2 -Process_DELL廠級目標dip EXC _DELL廠級目標dip(2月) EXC _BPI 8D-SMT-2月 (3)_DELL MB廠級目標_DELLTEAM入庫資料1" xfId="5476"/>
    <cellStyle name="_Plutto Uni_BOM 05072006" xfId="5477"/>
    <cellStyle name="_8D_1_八月月報2_0540周直通率8D1_複本 0541周周管審" xfId="5478"/>
    <cellStyle name="_Z9 blueAnt ME BOM 0910_Stream RFQ Unibom--0626-1756" xfId="5479"/>
    <cellStyle name="_Fcst March_06(Revised 2.)_Volume Fcst 1006 updated_Tom OS ( Oct)_X-BOX Console line setup budget and Buyer list" xfId="5480"/>
    <cellStyle name="_2006_0409 Ernestine_Cooper tooling_RFQ_River_BAFO_2008 0606_M1_Stream Quotebook (Submittal)_POC2_20081117-1" xfId="5481"/>
    <cellStyle name="_2005 04 DELL SMT Data2 -Process_DELL廠級目標dip EXC _DELL廠級目標dip(2月) EXC _BPI 8D-SMT-2月 (3)_DELL MB廠級目標_DELLTEAM入庫資料1_2007DELL SMT廠級目標KPI(MT)1" xfId="5482"/>
    <cellStyle name="_ACTUAL DIM FOR IND MAR IN AUG" xfId="5483"/>
    <cellStyle name="_2006_0409 Ernestine_Cooper tooling_Quotebook_07SEP10_Stream RFQ Unibom--0626-1756_Stream Quotebook(Submittal)_POC1_20080903" xfId="5484"/>
    <cellStyle name="好_Creek EE BOM cost_20090425_Squirrel UniBom-06.23.2010_update_internal" xfId="5485"/>
    <cellStyle name="Accent1 11" xfId="5486"/>
    <cellStyle name="_2005 04 DELL SMT Data2 -Process_DELL廠級目標dip EXC _DELL廠級目標dip(2月) EXC _BPI 8D-SMT-2月_DELL MB廠級目標.xls 圖表 1_2007DELL SMT廠級目標KPI(MT)1" xfId="5487"/>
    <cellStyle name="_Xenon Combined Build Plan 3-29-06" xfId="5488"/>
    <cellStyle name="_2005 04 DELL SMT Data2 -Process_DELL廠級目標dip EXC _DELL廠級目標dip(2月) EXC _BPI 8D-SMT-2月 (3)_DELL MB廠級目標_DELL制程課管理目標" xfId="5489"/>
    <cellStyle name="_805-0801" xfId="5490"/>
    <cellStyle name="好_River EE BOM_Creek RFQ feedback 04_28_2009_FD Update_Leopard_UniBOM_ME_0603-2 3 2" xfId="5491"/>
    <cellStyle name="好_River EE BOM_Creak Pearl Reliability Fixture RFQ_2009 04 24_Leopard_UniBOM_ME_0603-2_Bolt RFQ_Foxlink_03.1 2011_nego meeting@MACH 2" xfId="5492"/>
    <cellStyle name="_2005 04 DELL SMT Data2 -Process_DELL廠級目標dip EXC _DELL廠級目標dip(2月) EXC _BPI 8D-SMT-2月 (3)_DELL MB廠級目標_DELL制程課管理指標" xfId="5493"/>
    <cellStyle name="_2005 04 DELL SMT Data2 -Process_DELL廠級目標dip EXC _DELL廠級目標dip(2月) EXC _BPI 8D-SMT-2月 (3)_DELL MB廠級目標_HP制程課2007管理指標匯總-八月匯總" xfId="5494"/>
    <cellStyle name="Input 15 3" xfId="5495"/>
    <cellStyle name="_2005 04 DELL SMT Data2 -Process_DELL廠級目標dip EXC _DELL廠級目標dip(2月) EXC _BPI 8D-SMT-2月 (3)_DELL MB廠級目標_MT 2007 KPI" xfId="5496"/>
    <cellStyle name="_2005 04 DELL SMT Data2 -Process_DELL廠級目標dip EXC _DELL廠級目標dip(2月) EXC _BPI 8D-SMT-2月 (3)_DELL MB廠級目標十一月 (4)" xfId="5497"/>
    <cellStyle name="_bom updated on 2002-11-10-1_Microsoft Xenon Zero Cost_111405" xfId="5498"/>
    <cellStyle name="好_River EE BOM_Creak Pearl Reliability Fixture RFQ_2009 04 24_Creek RFQ feedback 04_28_2009_FD Update_Leopard UniBom_Foxlink_6 21 2010-ME_nego_Bolt RFQ Proposal_Foxlink_ (Pricing Summary) 2 25 2011 2 2 2" xfId="5499"/>
    <cellStyle name="_2005 04 DELL SMT Data2 -Process_DELL廠級目標dip EXC _DELL廠級目標dip(2月) EXC _BPI 8D-SMT-2月_2007DELL SMT廠級目標KPI(MT)1" xfId="5500"/>
    <cellStyle name="_2005 04 DELL SMT Data2 -Process_DELL廠級目標dip EXC _DELL廠級目標dip(2月) EXC _BPI 8D-SMT-2月_DELL MB廠級目標" xfId="5501"/>
    <cellStyle name="_2006_0317 Ernestine_Cooper Cost Feedback_Quotebook_07SEP10 2" xfId="5502"/>
    <cellStyle name="_2006_0317 Ernestine_Cooper Cost Feedback_Quotebook_07SEP10_BlueAnt_Quotebook_V3_07SEP11_Stream RFQ Unibom--0626-1756_Stream Package Quotation_20090311" xfId="5503"/>
    <cellStyle name="好_Creek EE BOM cost_20090425_Creek RFQ feedback 04_28_2009_FD Update_Bolt RFQ_Foxlink_03.1 2011 2" xfId="5504"/>
    <cellStyle name="_2005 04 DELL SMT Data2 -Process_DELL廠級目標dip EXC _DELL廠級目標dip(2月) EXC _BPI 8D-SMT-2月_DELL MB廠級目標.xls 圖表 1_DELL MB廠級目標" xfId="5505"/>
    <cellStyle name="_2005 04 DELL SMT Data2 -Process_DELL廠級目標dip EXC _DELL廠級目標dip(2月) EXC _BPI 8D-SMT-2月_DELL MB廠級目標.xls 圖表 1_DELL MB廠級目標.重要不能刪_2007DELL SMT廠級目標KPI(MT)1" xfId="5506"/>
    <cellStyle name="差_F3   SMT設備明細_Erie 效益分析 (Update)_Flow Chart&amp;設備治工具清單 _Jackson 效益分析 (2-1 B0 上系統)_squirrel效益分析08-17" xfId="5507"/>
    <cellStyle name="好_River EE BOM_Creak Pearl Reliability Fixture RFQ_2009 04 24_Creek RFQ feedback 04_28_2009_FD Update_Foxlink_Shadow RFQ NREUni BOM_12032009_Bolt RFQ_Foxlink_03.1 2011_nego meeting@MACH 4" xfId="5508"/>
    <cellStyle name="_2005 04 DELL SMT Data2 -Process_DELL廠級目標dip EXC _DELL廠級目標dip(2月) EXC _BPI 8D-SMT-2月_DELL MB廠級目標.xls 圖表 1_DELL MB廠級目標.重要不能刪_DELL MB廠級目標十一月 (4)" xfId="5509"/>
    <cellStyle name="_2005 04 DELL SMT Data2 -Process_DELL廠級目標dip EXC _DELL廠級目標dip(2月) EXC _BPI 8D-SMT-2月_DELL MB廠級目標.xls 圖表 1_DELL MB廠級目標_2007DELL SMT廠級目標KPI(MT)1" xfId="5510"/>
    <cellStyle name="好_River EE BOM_Squirrel UniBom-06.23.2010_update_internal_Bolt RFQ_Foxlink_03.1 2011 5" xfId="5511"/>
    <cellStyle name="好_River EE BOM_Creak Pearl Reliability Fixture RFQ_2009 04 24_Pearl RFQ(Submittal)ver2_05_12_2009 _Leopard RFQ ME BOM Costs-0618-2_Bolt RFQ_Foxlink_03.1 2011_nego meeting@MACH 3 3" xfId="5512"/>
    <cellStyle name="Normal 23_Sydney_Premium_Clean_Sheet_12-20" xfId="5513"/>
    <cellStyle name="_2006_0329 Ernestine_Cooper Cost Feedback_Stream RFQ Unibom--0626-1756 2" xfId="5514"/>
    <cellStyle name="_2005 04 DELL SMT Data2 -Process_DELL廠級目標dip EXC _DELL廠級目標dip(2月) EXC _BPI 8D-SMT-2月_DELL MB廠級目標.xls 圖表 1_DELL MB廠級目標十一月 (4)" xfId="5515"/>
    <cellStyle name="_2005 04 DELL SMT Data2 -Process_DELL廠級目標dip EXC _DELL廠級目標dip(2月) EXC _BPI 8D-SMT-2月_DELL MB廠級目標.xls 圖表 1_DELL MB廠級目標四月 " xfId="5516"/>
    <cellStyle name="差_dallas產能評估_Dallas效益分析&amp;投資回收期 (12-2 A1)" xfId="5517"/>
    <cellStyle name="_2005 04 DELL SMT Data2 -Process_DELL廠級目標dip EXC _DELL廠級目標dip(2月) EXC _BPI 8D-SMT-2月_DELL MB廠級目標.xls 圖表 1_DELLTEAM入庫資料1" xfId="5518"/>
    <cellStyle name="好_River EE BOM_Xl0000000_Foxlink_Shadow RFQ NREUni BOM_12032009_Bolt RFQ_Foxlink_03.1 2011_nego meeting@MACH 2 3" xfId="5519"/>
    <cellStyle name="_2005 04 DELL SMT Data2 -Process_DELL廠級目標dip EXC _DELL廠級目標dip(2月) EXC _BPI 8D-SMT-2月_DELL MB廠級目標.xls 圖表 1_DELLTEAM入庫資料1_2007DELL SMT廠級目標KPI(MT)1" xfId="5520"/>
    <cellStyle name="_2005 04 DELL SMT Data2 -Process_DELL廠級目標dip EXC _DELL廠級目標dip(2月) EXC _DELL MB廠級目標  (2)_DELL MB廠級目標_DELL MB廠級目標四月 _DELL MB廠級目標十一月 (4)" xfId="5521"/>
    <cellStyle name="_2005 04 DELL SMT Data2 -Process_DELL廠級目標dip EXC _DELL廠級目標dip(2月) EXC _BPI 8D-SMT-2月_DELL MB廠級目標.xls 圖表 1_DELL制程課管理目標 (4)" xfId="5522"/>
    <cellStyle name="好_River EE BOM_Creak Pearl Reliability Fixture RFQ_2009 04 24_Creek RFQ feedback 04_28_2009_FD Update_Leopard_UniBOM_ME_0602-1_Bolt RFQ_Foxlink_03.1 2011" xfId="5523"/>
    <cellStyle name="好_Creek Assembly Fixture  Test Equipment RFQ_20090427_Foxlink_Shadow RFQ NREUni BOM_12032009_Bolt RFQ_Foxlink_03.1 2011_Bolt_Cliff 3" xfId="5524"/>
    <cellStyle name="20% - Accent5 7" xfId="5525"/>
    <cellStyle name="_2005 04 DELL SMT Data2 -Process_DELL廠級目標dip EXC _DELL廠級目標dip(2月) EXC _DELLTEAM入庫資料1" xfId="5526"/>
    <cellStyle name="_2005 04 DELL SMT Data2 -Process_DELL廠級目標dip EXC _DELL廠級目標dip(2月) EXC _BPI 8D-SMT-2月_DELL MB廠級目標.xls 圖表 1_DELL制程課管理指標" xfId="5527"/>
    <cellStyle name="好_River EE BOM_Creak Pearl Reliability Fixture RFQ_2009 04 24_Creek  Pearl RFQ_May 12_Leopard_UniBOM_ME_0602-1 3" xfId="5528"/>
    <cellStyle name="_Jing and Mulan Edge Cost Down July 21_MOST Std - Project A BB Line_Nazca copy exact flow chart 20120409" xfId="5529"/>
    <cellStyle name="_2005 04 DELL SMT Data2 -Process_DELL廠級目標dip EXC _DELL廠級目標dip(2月) EXC _BPI 8D-SMT-2月_DELL MB廠級目標.xls 圖表 1_HP制程課2007管理指標匯總-八月匯總" xfId="5530"/>
    <cellStyle name="_2005 04 DELL SMT Data2 -Process_DELL廠級目標dip EXC _DELL廠級目標dip(2月) EXC _BPI 8D-SMT-2月_DELL MB廠級目標_2007DELL SMT廠級目標KPI(MT)1" xfId="5531"/>
    <cellStyle name="好_Creek Assembly Fixture  Test Equipment RFQ_20090427_Xl0000002_Foxlink_Shadow RFQ NREUni BOM_12032009_Bolt RFQ_Foxlink_03.1 2011_nego meeting@MACH 3" xfId="5532"/>
    <cellStyle name="_2005 04 DELL SMT Data2 -Process_DELL廠級目標dip EXC _DELL廠級目標dip(2月) EXC _BPI 8D-SMT-2月_DELL MB廠級目標_DELL MB廠級目標.重要不能刪_DELL MB廠級目標十一月 (4)" xfId="5533"/>
    <cellStyle name="差_HP Mouse 產能評估(Forecast更改後)_MS Bolt wireless mouse FixtureEquipment Cost_A5_2010_02_21_Bolt RFQ Proposal_Foxlink_ (Pricing Summary) 2 25 2011 5 2" xfId="5534"/>
    <cellStyle name="好_River EE BOM_Creak Pearl Reliability Fixture RFQ_2009 04 24_Leopard_UniBOM_ME_0531 3 3" xfId="5535"/>
    <cellStyle name="_2005 04 DELL SMT Data2 -Process_DELL廠級目標dip EXC _DELL廠級目標dip(2月) EXC _BPI 8D-SMT-2月_DELL MB廠級目標_DELL MB廠級目標_2007DELL SMT廠級目標KPI(MT)1" xfId="5536"/>
    <cellStyle name="_2005 04 DELL SMT Data2 -Process_DELL廠級目標dip EXC _DELL廠級目標dip(2月) EXC _BPI 8D-SMT-2月_DELL MB廠級目標_DELL MB廠級目標四月 _2007DELL SMT廠級目標KPI(MT)1" xfId="5537"/>
    <cellStyle name="_2005 04 DELL SMT Data2 -Process_DELL廠級目標dip EXC _DELL廠級目標dip(2月) EXC _DELL MB廠級目標  (2)_DELL MB廠級目標_DELL MB廠級目標.重要不能刪" xfId="5538"/>
    <cellStyle name="_2005 04 DELL SMT Data2 -Process_DELL廠級目標dip EXC _DELL廠級目標dip(2月) EXC _BPI 8D-SMT-2月_DELL MB廠級目標_DELL MB廠級目標四月 _DELL MB廠級目標十一月 (4)" xfId="5539"/>
    <cellStyle name="差_F3   SMT設備明細_效益分析_Jackson 效益分析 (2-1 B0 上系統)_Leopard效益分析08-17" xfId="5540"/>
    <cellStyle name="_2005 04 DELL SMT Data2 -Process_DELL廠級目標dip EXC _DELL廠級目標dip(2月) EXC _BPI 8D-SMT-2月_DELL MB廠級目標_DELLTEAM入庫資料1_2007DELL SMT廠級目標KPI(MT)1" xfId="5541"/>
    <cellStyle name="_200809-11費用報表" xfId="5542"/>
    <cellStyle name="_圖書借閱08W18" xfId="5543"/>
    <cellStyle name="_2005 04 DELL SMT Data2 -Process_DELL廠級目標dip EXC _DELL廠級目標dip(2月) EXC _BPI 8D-SMT-2月_DELL MB廠級目標_DELL制程課管理目標" xfId="5544"/>
    <cellStyle name="_8月月管審附件.xls 圖表 1_Book1" xfId="5545"/>
    <cellStyle name="差_pq" xfId="5546"/>
    <cellStyle name="_Mechanical Contribution Margins (Q1'06, applied to Apr'04 Fcst)_Volume Fcst 1006 updated_Tom OS ( Oct)_Copy of X-BOX for line setup budget" xfId="5547"/>
    <cellStyle name="_2005 04 DELL SMT Data2 -Process_DELL廠級目標dip EXC _DELL廠級目標dip(2月) EXC _BPI 8D-SMT-2月_DELL MB廠級目標_DELL制程課管理目標 (4)" xfId="5548"/>
    <cellStyle name="Normal 13 3 2" xfId="5549"/>
    <cellStyle name="_2005 04 DELL SMT Data2 -Process_DELL廠級目標dip EXC _DELL廠級目標dip(2月) EXC _BPI 8D-SMT-2月_DELL MB廠級目標_DELL制程課管理指標" xfId="5550"/>
    <cellStyle name="差_jupite r設備&amp;治工具LIST (總)_效益分析(總 12-28 Update)_Leopard效益分析08-17" xfId="5551"/>
    <cellStyle name="好_River EE BOM_Creek RFQ feedback 04_28_2009_FD Update_Foxlink_Shadow RFQ NREUni BOM_12032009_Bolt RFQ_Foxlink_03.1 2011 5" xfId="5552"/>
    <cellStyle name="_2006_0409 Ernestine_Cooper tooling_Quotebook_07SEP10_BlueAnt_Quotebook_V3_07SEP11_RFQ_River_BAFO_2008 0606_M1_Stream Quotebook (Submittal)_POC2_20081117-1" xfId="5553"/>
    <cellStyle name="_2005 04 DELL SMT Data2 -Process_DELL廠級目標dip EXC _DELL廠級目標dip(2月) EXC _BPI 8D-SMT-2月_DELL MB廠級目標_HP制程課2007管理指標匯總-八月匯總" xfId="5554"/>
    <cellStyle name="差_Xl0000002_Squirrel RFQ ME BOM Costs-0623_Bolt RFQ_Foxlink_03.1 2011_nego meeting@MACH 2" xfId="5555"/>
    <cellStyle name="_Z9 blueAnt ME BOM 0910_BlueAnt_Quotebook_V3_07SEP11" xfId="5556"/>
    <cellStyle name="_Mechanical Contribution Margins (Q1'06, applied to Apr'04 Fcst)_Mechanical Contribution Margins forecast 0506 FP_PL Fcst Jul 06-updated G&amp;A Value_Tom OS ( Oct)_Forecast Template v4" xfId="5557"/>
    <cellStyle name="_2005 04 DELL SMT Data2 -Process_DELL廠級目標dip EXC _DELL廠級目標dip(2月) EXC _BPI 8D-SMT-2月_DELL MB廠級目標_MT 2007 KPI" xfId="5558"/>
    <cellStyle name="_2005 04 DELL SMT Data2 -Process_DELL廠級目標dip EXC _DELL廠級目標dip(2月) EXC _BPI 8D-SMT-2月_DELL MB廠級目標十一月 (4)" xfId="5559"/>
    <cellStyle name="差_Creek RFQ feedback 04_28_2009_FD Update_Leopard UniBom_Foxlink_6 21 2010-ME_nego_Bolt RFQ Proposal_Foxlink_ (Pricing Summary) 2 25 2011" xfId="5560"/>
    <cellStyle name="_2006_0329 Ernestine_Cooper Cost Feedback_Stream RFQ Unibom--0626-1756_Stream Quotebook (Submittal)_POC2_20081117-1" xfId="5561"/>
    <cellStyle name="_DTV Bundles_P2 Waynea review" xfId="5562"/>
    <cellStyle name="_2005 04 DELL SMT Data2 -Process_DELL廠級目標dip EXC _DELL廠級目標dip(2月) EXC _DELL MB廠級目標 _DELL MB廠級目標_DELL MB廠級目標.重要不能刪" xfId="5563"/>
    <cellStyle name="_2005 04 DELL SMT Data2 -Process_DELL廠級目標dip EXC _DELL廠級目標dip(2月) EXC _DELL MB廠級目標" xfId="5564"/>
    <cellStyle name="好_River EE BOM_Xl0000002_Foxlink_Shadow RFQ NREUni BOM_12032009_Bolt RFQ_Foxlink_03.1 2011_nego meeting@MACH 4" xfId="5565"/>
    <cellStyle name="差_Creek RFQ feedback 04_28_2009_FD Update_Bolt RFQ Proposal_Foxlink_ (Pricing Summary) 2 25 2011" xfId="5566"/>
    <cellStyle name="_2005 04 DELL SMT Data2 -Process_DELL廠級目標dip EXC _DELL廠級目標dip(2月) EXC _DELL MB廠級目標 " xfId="5567"/>
    <cellStyle name="_ACTUAL DIM FOR IND MAR IN AUG_Copy of X-BOX for line setup budget" xfId="5568"/>
    <cellStyle name="_2006_0319 Ernestine_Cooper Cost Feedback_Quotebook_07SEP10_BlueAnt_Quotebook_V3_07SEP11_Stream RFQ Unibom--0626-1756_Stream Quotebook(Submittal)_POC1_20080903" xfId="5569"/>
    <cellStyle name="_2005 04 DELL SMT Data2 -Process_DELL廠級目標dip EXC _DELL廠級目標dip(2月) EXC _DELL MB廠級目標  (2)" xfId="5570"/>
    <cellStyle name="_ASUS2 PE 0703月管審" xfId="5571"/>
    <cellStyle name="_2005 04 DELL SMT Data2 -Process_DELL廠級目標dip EXC _DELL廠級目標dip(2月) EXC _DELL MB廠級目標  (2)_2007DELL SMT廠級目標KPI(MT)1" xfId="5572"/>
    <cellStyle name="差_F3   SMT設備明細_MS Bolt wireless mouse FixtureEquipment Cost_A5_2010_02_21 3" xfId="5573"/>
    <cellStyle name="Input 11" xfId="5574"/>
    <cellStyle name="差_Creak Pearl Reliability Fixture RFQ_2009 04 24_Pearl RFQ(Submittal)ver2_05_12_2009 _Jackson EE BOM " xfId="5575"/>
    <cellStyle name="_2006_0409 Ernestine_Cooper tooling and plastic price to MS_Quotebook_07SEP10_RFQ_River_BAFO_2008 0606_M1 2" xfId="5576"/>
    <cellStyle name="_2005 04 DELL SMT Data2 -Process_DELL廠級目標dip EXC _DELL廠級目標dip(2月) EXC _DELL MB廠級目標  (2)_DELL MB廠級目標.xls 圖表 1" xfId="5577"/>
    <cellStyle name="好_Creek EE BOM cost_20090425_Creek RFQ feedback 04_28_2009_FD Update_Leopard Lemur Squirrel UniBom-06.22.2010_EE cost _update_internal_Bolt RFQ_Foxlink_03.1 2011 3 2" xfId="5578"/>
    <cellStyle name="差_HP Mouse 產能評估(Forecast更改後)_M1 Bolt wireless mouse FixtureEquipment Cost_A2_2010_12_07 5" xfId="5579"/>
    <cellStyle name="Normal 5 5 2" xfId="5580"/>
    <cellStyle name="60% - 强调文字颜色 5 2 2 3" xfId="5581"/>
    <cellStyle name="_2006_0410b Ernestine_Cooper tooling and plastic price to MS_Quotebook_V3_07SEP11_Stream RFQ Unibom--0626-1756_Stream Quotebook(Submittal)_POC1_20080903" xfId="5582"/>
    <cellStyle name="_asus wlan 機種SMT線體需求計算表_1_MBO 周加班估算20060403_awl線體需求計算6.6" xfId="5583"/>
    <cellStyle name="_2005 04 DELL SMT Data2 -Process_DELL廠級目標dip EXC _DELL廠級目標dip(2月) EXC _DELL MB廠級目標  (2)_DELL MB廠級目標.xls 圖表 1_DELL MB廠級目標" xfId="5584"/>
    <cellStyle name="_2005 04 DELL SMT Data2 -Process_DELL廠級目標dip EXC _DELL廠級目標dip(2月) EXC _DELL MB廠級目標  (2)_DELL MB廠級目標.xls 圖表 1_DELL MB廠級目標.重要不能刪_2007DELL SMT廠級目標KPI(MT)1" xfId="5585"/>
    <cellStyle name="差_Xl0000002_Leopard RFQ ME BOM Costs-0618-2_Bolt RFQ_Foxlink_03.1 2011_nego meeting@MACH 2 2" xfId="5586"/>
    <cellStyle name="差_F3   SMT設備明細_效益分析_Flow chart and Fixture(1-4)_Jackson 效益分析 (2-1 B0 上系統)_squirrel效益分析08-17" xfId="5587"/>
    <cellStyle name="_Forecast - Segment WGCJune06_Copy of X-BOX for line setup budget" xfId="5588"/>
    <cellStyle name="差_Creak Pearl Reliability Fixture RFQ_2009 04 24_Xl0000002_Bolt RFQ Proposal_Foxlink_ (Pricing Summary) 2 25 2011 3" xfId="5589"/>
    <cellStyle name="_2005 04 DELL SMT Data2 -Process_DELL廠級目標dip EXC _DELL廠級目標dip(2月) EXC _DELL MB廠級目標  (2)_DELL MB廠級目標.xls 圖表 1_DELL MB廠級目標.重要不能刪_DELL MB廠級目標十一月 (4)" xfId="5590"/>
    <cellStyle name="_2006_0412 Ernestine_Cooper tooling and plastic price to MS_JC_Internal RFQ River Standalone  Bundle Unibom_v1 2_20080603_EJ_Stream Package Quotation_20090311" xfId="5591"/>
    <cellStyle name="差_dallas產能評估_~5631336_Jackson 效益分析 (2-1 B0 上系統)_squirrel效益分析08-17" xfId="5592"/>
    <cellStyle name="_2005 04 DELL SMT Data2 -Process_DELL廠級目標dip EXC _DELL廠級目標dip(2月) EXC _DELL MB廠級目標  (2)_DELL MB廠級目標.xls 圖表 1_DELL MB廠級目標_2007DELL SMT廠級目標KPI(MT)1" xfId="5593"/>
    <cellStyle name="差_Creek RFQ feedback 04_28_2009_FD Update_Leopard_UniBOM_ME_0603-2_Bolt RFQ_Foxlink_03.1 2011 4" xfId="5594"/>
    <cellStyle name="_2006_0410b Ernestine_Cooper tooling and plastic price to MS_Quotebook_07SEP10_BlueAnt_Quotebook_V3_07SEP11_Internal RFQ River Standalone  Bundle Unibom_v1 2_20080603_EJ 2" xfId="5595"/>
    <cellStyle name="好_Creek EE BOM cost_20090425_Squirrel RFQ ME BOM Costs-0623_Bolt RFQ Proposal_Foxlink_ (Pricing Summary) 2 25 2011 4 2" xfId="5596"/>
    <cellStyle name="_2005 04 DELL SMT Data2 -Process_DELL廠級目標dip EXC _DELL廠級目標dip(2月) EXC _DELL MB廠級目標  (2)_DELL MB廠級目標.xls 圖表 1_DELL MB廠級目標_DELL MB廠級目標十一月 (4)" xfId="5597"/>
    <cellStyle name="_2005 04 DELL SMT Data2 -Process_DELL廠級目標dip EXC _DELL廠級目標dip(2月) EXC _DELL MB廠級目標  (2)_DELL MB廠級目標.xls 圖表 1_DELL MB廠級目標四月 " xfId="5598"/>
    <cellStyle name="_FCT Pareto By Line-Aug 11th(DEV01286-5)_yield report for DEV02342" xfId="5599"/>
    <cellStyle name="差_效益分析&amp;產能評估_M1 SuedeFixtureEquipment Cost_A0_2010_10_15_Bolt RFQ Proposal_Foxlink_ (Pricing Summary) 2 25 2011 3 3" xfId="5600"/>
    <cellStyle name="_2005 04 DELL SMT Data2 -Process_DELL廠級目標dip EXC _DELL廠級目標dip(2月) EXC _DELL MB廠級目標  (2)_DELL MB廠級目標.xls 圖表 1_DELL MB廠級目標四月 _2007DELL SMT廠級目標KPI(MT)1" xfId="5601"/>
    <cellStyle name="好_River EE BOM_Creak Pearl Reliability Fixture RFQ_2009 04 24_Creek RFQ feedback 04_28_2009_FD Update_Squirrel RFQ ME BOM Costs-0623_Bolt RFQ Proposal_Foxlink_ (Pricing Summary) 2 25 2011 7" xfId="5602"/>
    <cellStyle name="_W522 4 Mulan Edge EP0 CTB_MOST Std - Project A BB Line_Nazca copy exact flow chart 20120409" xfId="5603"/>
    <cellStyle name="_2005 04 DELL SMT Data2 -Process_DELL廠級目標dip EXC _DELL廠級目標dip(2月) EXC _DELL MB廠級目標  (2)_DELL MB廠級目標.xls 圖表 1_DELLTEAM入庫資料1" xfId="5604"/>
    <cellStyle name="_2005 04 DELL SMT Data2 -Process_DELL廠級目標dip EXC _DELL廠級目標dip(2月) EXC _DELL MB廠級目標  (2)_DELL MB廠級目標.xls 圖表 1_DELLTEAM入庫資料1_2007DELL SMT廠級目標KPI(MT)1" xfId="5605"/>
    <cellStyle name="好_River EE BOM_Creak Pearl Reliability Fixture RFQ_2009 04 24" xfId="5606"/>
    <cellStyle name="_200910所需資料" xfId="5607"/>
    <cellStyle name="_2005 04 DELL SMT Data2 -Process_DELL廠級目標dip.EXC _DELL MB廠級目標.xls 圖表 1" xfId="5608"/>
    <cellStyle name="_2005 04 DELL SMT Data2 -Process_DELL廠級目標dip EXC _DELL廠級目標dip(2月) EXC _DELL MB廠級目標  (2)_DELL MB廠級目標.xls 圖表 1_DELLTEAM入庫資料1_DELL MB廠級目標十一月 (4)" xfId="5609"/>
    <cellStyle name="好_River EE BOM_Creak Pearl Reliability Fixture RFQ_2009 04 24_Creek  Pearl RFQ_May 12_Leopard_UniBOM_ME_0602-1_Bolt RFQ_Foxlink_03.1 2011 2 2" xfId="5610"/>
    <cellStyle name="_MBO SMT 机种零件工（2006-8-22）3" xfId="5611"/>
    <cellStyle name="_804_Forecast Template v4" xfId="5612"/>
    <cellStyle name="_Periph Costed BOM Rollup May_rev_8 Budget Flash ROM_FY06 P6 XBox 360 Mfg Var - Close Pack" xfId="5613"/>
    <cellStyle name="b_Dell ASUS NV28GL NPI 10-24-02B" xfId="5614"/>
    <cellStyle name="_2005 04 DELL SMT Data2 -Process_DELL廠級目標dip EXC _DELL廠級目標dip(2月) EXC _DELL MB廠級目標  (2)_DELL MB廠級目標.xls 圖表 1_DELL制程課管理指標" xfId="5615"/>
    <cellStyle name="_Mechanical Contribution Margins forecast 0506 FP_PL Fcst Jul 06-updated G&amp;A Value_Copy of Tom OS ( Oct) new for LOG_Forecast Template v4" xfId="5616"/>
    <cellStyle name="_2005 04 DELL SMT Data2 -Process_DELL廠級目標dip EXC _DELL廠級目標dip(2月) EXC _DELL MB廠級目標  (2)_DELL MB廠級目標.xls 圖表 1_HP制程課2007管理指標匯總-八月匯總" xfId="5617"/>
    <cellStyle name="_2005 04 DELL SMT Data2 -Process_DELL廠級目標dip EXC _DELL廠級目標dip(2月) EXC _DELL MB廠級目標  (2)_DELL MB廠級目標.xls 圖表 1_MT 2007 KPI" xfId="5618"/>
    <cellStyle name="_2005 04 DELL SMT Data2 -Process_DELL廠級目標dip EXC _DELL廠級目標dip(2月) EXC _DELL MB廠級目標  (2)_DELL MB廠級目標_DELL MB廠級目標" xfId="5619"/>
    <cellStyle name="差_Xl0000002_Leopard_UniBOM_ME_0602-1 3" xfId="5620"/>
    <cellStyle name="_2006_0329 Ernestine_Cooper Cost Feedback_Quotebook_07SEP10_BlueAnt_Quotebook_V3_07SEP11_Internal RFQ River Standalone  Bundle Unibom_v1 2_20080603_EJ_Stream Quotebook (Submittal)_POC2_20081117-1" xfId="5621"/>
    <cellStyle name="一般 2 5" xfId="5622"/>
    <cellStyle name="_2005 04 DELL SMT Data2 -Process_DELL廠級目標dip EXC _DELL廠級目標dip(2月) EXC _DELL MB廠級目標  (2)_DELL MB廠級目標_DELL MB廠級目標.重要不能刪_DELL MB廠級目標十一月 (4)" xfId="5623"/>
    <cellStyle name="_2005 04 DELL SMT Data2 -Process_DELL廠級目標dip EXC _DELL廠級目標dip(2月) EXC _DELL MB廠級目標  (2)_DELL MB廠級目標_DELL MB廠級目標_2007DELL SMT廠級目標KPI(MT)1" xfId="5624"/>
    <cellStyle name="_2005 04 DELL SMT Data2 -Process_DELL廠級目標dip EXC _DELL廠級目標dip(2月) EXC _DELL MB廠級目標  (2)_DELL MB廠級目標_DELLTEAM入庫資料1_2007DELL SMT廠級目標KPI(MT)1" xfId="5625"/>
    <cellStyle name="好_River EE BOM_Xl0000000_Leopard RFQ ME BOM Costs-0618_Bolt RFQ Proposal_Foxlink_ (Pricing Summary) 2 25 2011 2 4" xfId="5626"/>
    <cellStyle name="差_Xl0000000_Leopard_UniBOM_ME_0602_Bolt RFQ_Foxlink_03.1 2011_nego meeting@MACH 2 2" xfId="5627"/>
    <cellStyle name="好_River EE BOM_Creak Pearl Reliability Fixture RFQ_2009 04 24_Creek  Pearl RFQ_May 12_Leopard UniBom_Foxlink_6 21 2010-ME_nego_Bolt RFQ Proposal_Foxlink_ (Pricing Summary) 2 25 2011 2 2 2" xfId="5628"/>
    <cellStyle name="_2005 04 DELL SMT Data2 -Process_DELL廠級目標dip EXC _DELL廠級目標dip(2月) EXC _DELL MB廠級目標  (2)_DELL MB廠級目標_DELLTEAM入庫資料1_DELL MB廠級目標十一月 (4)" xfId="5629"/>
    <cellStyle name="_PL Forecast Comparison_Mech Doumen2006_1(preliminary)_Volume Fcst Jul 06-update HP _Copy of X-BOX for line setup budget" xfId="5630"/>
    <cellStyle name="_BB4 Issues-Action Tracker 26 Mart" xfId="5631"/>
    <cellStyle name="差_Xl0000002_Squirrel RFQ ME BOM Costs-0623_Bolt RFQ_Foxlink_03.1 2011 4" xfId="5632"/>
    <cellStyle name="好_Creek Assembly Fixture  Test Equipment RFQ_20090427_Leopard RFQ ME BOM Costs-0618 2 2 2" xfId="5633"/>
    <cellStyle name="_2005 04 DELL SMT Data2 -Process_DELL廠級目標dip EXC _DELL廠級目標dip(2月) EXC _DELL MB廠級目標  (2)_DELL MB廠級目標_DELL制程課管理目標" xfId="5634"/>
    <cellStyle name="_2006_0410b Ernestine_Cooper tooling and plastic price to MS_Quotebook_07SEP10 2" xfId="5635"/>
    <cellStyle name="_PL Fcst Jul 06-updated G&amp;A Value_Tom OS ( Oct)_2009 xBOX ramp up budget code applicaiton 300K --New May27" xfId="5636"/>
    <cellStyle name="_2005 04 DELL SMT Data2 -Process_DELL廠級目標dip EXC _DELL廠級目標dip(2月) EXC _DELL MB廠級目標  (2)_DELL MB廠級目標_DELL制程課管理目標 (4)" xfId="5637"/>
    <cellStyle name="_2005 04 DELL SMT Data2 -Process_DELL廠級目標dip EXC _DELL廠級目標dip(2月) EXC _DELL MB廠級目標  (2)_DELL MB廠級目標_MT 2007 KPI" xfId="5638"/>
    <cellStyle name="_Flex Mechanicals Doumen Sales forecast - Dec'05 R1_X-BOX Console line setup budget and Buyer list" xfId="5639"/>
    <cellStyle name="_2005 04 DELL SMT Data2 -Process_DELL廠級目標dip EXC _DELL廠級目標dip(2月) EXC _DELL MB廠級目標  (2)_DELL MB廠級目標十一月 (4)" xfId="5640"/>
    <cellStyle name="_2006_0410 Ernestine_Cooper tooling and plastic price to MS_Stream RFQ Unibom--0626-1756_Stream Quotebook(Submittal)_POC1_20080903 2" xfId="5641"/>
    <cellStyle name="好_MB9月管審誤判超標 8D_2009MB KPI_MBO3F製造部hp0209-01" xfId="5642"/>
    <cellStyle name="差_F3   SMT設備明細_jupite r設備&amp;治工具LIST (總)_Flow Chart&amp;PQ分析(12-1)_Jackson 效益分析 testing update_16th Jan111_Jackson 效益分析 (2-1 B0 上系統)" xfId="5643"/>
    <cellStyle name="_2005 04 DELL SMT Data2 -Process_DELL廠級目標dip EXC _DELL廠級目標dip(2月) EXC _DELL MB廠級目標 (2)_DELL MB廠級目標" xfId="5644"/>
    <cellStyle name="Normal 3 4 2 3" xfId="5645"/>
    <cellStyle name="_2005 04 DELL SMT Data2 -Process_DELL廠級目標dip EXC _DELL廠級目標dip(2月) EXC _DELL MB廠級目標 (2)_DELL MB廠級目標.xls 圖表 1_2007DELL SMT廠級目標KPI(MT)1" xfId="5646"/>
    <cellStyle name="_BOM_GALAXY_1C_Main Board_Rev. A 141105 2" xfId="5647"/>
    <cellStyle name="_August-05_plforecastsample_2009 xBOX ramp up budget code applicaiton 300K --New May26 (3)" xfId="5648"/>
    <cellStyle name="_2005 04 DELL SMT Data2 -Process_DELL廠級目標dip EXC _DELL廠級目標dip(2月) EXC _DELL MB廠級目標 (2)_DELL MB廠級目標.xls 圖表 1_DELL MB廠級目標.重要不能刪" xfId="5649"/>
    <cellStyle name="_2005 04 DELL SMT Data2 -Process_DELL廠級目標dip EXC _DELL廠級目標dip(2月) EXC _DELL MB廠級目標 (2)_DELL MB廠級目標.xls 圖表 1_DELL MB廠級目標.重要不能刪_DELL MB廠級目標十一月 (4)" xfId="5650"/>
    <cellStyle name="好_Flow Char&amp;PQ分析" xfId="5651"/>
    <cellStyle name="_2005 04 DELL SMT Data2 -Process_DELL廠級目標dip(2月) EXC _DELL MB廠級目標.xls 圖表 1_HP制程課2007管理指標匯總-八月匯總" xfId="5652"/>
    <cellStyle name="_2005 04 DELL SMT Data2 -Process_DELL廠級目標dip EXC _DELL廠級目標dip(2月) EXC _DELL MB廠級目標 (2)_DELL MB廠級目標.xls 圖表 1_DELL MB廠級目標_2007DELL SMT廠級目標KPI(MT)1" xfId="5653"/>
    <cellStyle name="Currency 4 4" xfId="5654"/>
    <cellStyle name="_2005 04 DELL SMT Data2 -Process_DELL廠級目標dip EXC _DELL廠級目標dip(2月) EXC _DELL MB廠級目標 (2)_DELL MB廠級目標.xls 圖表 1_DELL MB廠級目標_DELL MB廠級目標十一月 (4)" xfId="5655"/>
    <cellStyle name="_2005 04 DELL SMT Data2 -Process_DELL廠級目標dip EXC _DELL廠級目標dip(2月) EXC _DELL MB廠級目標 (2)_DELL MB廠級目標.xls 圖表 1_DELL MB廠級目標十一月 (4)" xfId="5656"/>
    <cellStyle name="差_Creak Pearl Reliability Fixture RFQ_2009 04 24_Creek  Pearl RFQ_May 12_Squirrel UniBom-06.23.2010_update_internal 2 2" xfId="5657"/>
    <cellStyle name="_2006_0410b Ernestine_Cooper tooling and plastic price to MS_Quotebook_07SEP10_Internal RFQ River Standalone  Bundle Unibom_v1 2_20080603_EJ_Stream Package Quotation_20090311" xfId="5658"/>
    <cellStyle name="_2005 04 DELL SMT Data2 -Process_DELL廠級目標dip EXC _DELL廠級目標dip(2月) EXC _DELL MB廠級目標 (2)_DELL MB廠級目標.xls 圖表 1_DELL MB廠級目標四月 _2007DELL SMT廠級目標KPI(MT)1" xfId="5659"/>
    <cellStyle name="差_Creak Pearl Reliability Fixture RFQ_2009 04 24_Xl0000002_Bolt RFQ_Foxlink_03.1 2011_nego meeting@MACH 3 2" xfId="5660"/>
    <cellStyle name="好_River EE BOM_Creak Pearl Reliability Fixture RFQ_2009 04 24_Leopard_UniBOM_ME_0531_Bolt RFQ_Foxlink_03.1 2011_nego meeting@MACH 2 2" xfId="5661"/>
    <cellStyle name="好_RIO Trial run (Pre-PV 100PCS) QA Report-0610_Dolce   QA Report 2010_0902_~7519239" xfId="5662"/>
    <cellStyle name="_2005 04 DELL SMT Data2 -Process_DELL廠級目標dip EXC _DELL廠級目標dip(2月) EXC _DELL MB廠級目標 (2)_DELL MB廠級目標.xls 圖表 1_DELLTEAM入庫資料1" xfId="5663"/>
    <cellStyle name="差_pq_效益分析(總 12-28 Update)_Leopard Flowchart &amp; 產能評估" xfId="5664"/>
    <cellStyle name="_2005 04 DELL SMT Data2 -Process_DELL廠級目標dip EXC _DELL廠級目標dip(2月) EXC _DELL MB廠級目標 (2)_DELL MB廠級目標.xls 圖表 1_DELLTEAM入庫資料1_2007DELL SMT廠級目標KPI(MT)1" xfId="5665"/>
    <cellStyle name="好_River EE BOM_Creak Pearl Reliability Fixture RFQ_2009 04 24_Creek  Pearl RFQ_May 12_Foxlink_Shadow RFQ NREUni BOM_12032009 2" xfId="5666"/>
    <cellStyle name="_2005 04 DELL SMT Data2 -Process_DELL廠級目標dip EXC _DELL廠級目標dip(2月) EXC _DELL MB廠級目標 (2)_DELL MB廠級目標.xls 圖表 1_DELL制程課管理指標" xfId="5667"/>
    <cellStyle name="好_River EE BOM_Foxlink_Shadow RFQ NREUni BOM_12032009_Bolt RFQ_Foxlink_03.1 2011_nego meeting@MACH 2" xfId="5668"/>
    <cellStyle name="_Flex Mechanicals Doumen Sales forecast - Jan.06_PL Forecast by segment-most final 0806_Copy of X-BOX for line setup budget" xfId="5669"/>
    <cellStyle name="_2005 04 DELL SMT Data2 -Process_DELL廠級目標dip EXC _DELL廠級目標dip(2月) EXC _DELL MB廠級目標 (2)_DELL MB廠級目標.xls 圖表 1_HP制程課2007管理指標匯總-八月匯總" xfId="5670"/>
    <cellStyle name="_2005 04 DELL SMT Data2 -Process_DELL廠級目標dip EXC _DELL廠級目標dip(2月) EXC _DELL MB廠級目標 (2)_DELL MB廠級目標_2007DELL SMT廠級目標KPI(MT)1" xfId="5671"/>
    <cellStyle name="_Flex Mechanicals Doumen Sales forecast - Jan 06 updated._PL Forecast by segment-most final 0806_Copy of Tom OS ( Oct) new for LOG_Forecast Template v4" xfId="5672"/>
    <cellStyle name="_7月月管審附件.xls 圖表 1_0536周周管審_0536周直通率8d_0540周直通率8D1" xfId="5673"/>
    <cellStyle name="_2005 04 DELL SMT Data2 -Process_DELL廠級目標dip EXC _DELL廠級目標dip(2月) EXC _DELL MB廠級目標 (2)_DELL MB廠級目標_DELL MB廠級目標" xfId="5674"/>
    <cellStyle name="_2005 04 DELL SMT Data2 -Process_DELL廠級目標dip EXC _DELL廠級目標dip(2月) EXC _DELL MB廠級目標 (2)_DELL MB廠級目標_DELL MB廠級目標.重要不能刪" xfId="5675"/>
    <cellStyle name="_2005 04 DELL SMT Data2 -Process_DELL廠級目標dip EXC _DELL廠級目標dip(2月) EXC _DELL MB廠級目標 (2)_DELL MB廠級目標_DELL MB廠級目標.重要不能刪_2007DELL SMT廠級目標KPI(MT)1" xfId="5676"/>
    <cellStyle name="标题 2 2 4" xfId="5677"/>
    <cellStyle name="_2005 04 DELL SMT Data2 -Process_DELL廠級目標dip EXC _DELL廠級目標dip(2月) EXC _DELL MB廠級目標 (2)_DELL MB廠級目標_DELL MB廠級目標.重要不能刪_DELL MB廠級目標十一月 (4)" xfId="5678"/>
    <cellStyle name="_7月ict f.t_0536周周管審_0537周直通率8d1_0541周直通率8D" xfId="5679"/>
    <cellStyle name="好_Creek EE BOM cost_20090425_Creek RFQ feedback 04_28_2009_FD Update_Bolt RFQ_Foxlink_03.1 2011 2 3" xfId="5680"/>
    <cellStyle name="_2005 04 DELL SMT Data2 -Process_DELL廠級目標dip EXC _DELL廠級目標dip(2月) EXC _DELL MB廠級目標 (2)_DELL MB廠級目標_DELL MB廠級目標十一月 (4)" xfId="5681"/>
    <cellStyle name="_2006_0319 Ernestine_Cooper Cost Feedback_RFQ_River_BAFO_2008 0606_M1_Stream Package Quotation_20090311" xfId="5682"/>
    <cellStyle name="_2005 04 DELL SMT Data2 -Process_DELL廠級目標dip EXC _DELL廠級目標dip(2月) EXC _DELL MB廠級目標 (2)_DELL MB廠級目標_DELL MB廠級目標四月 " xfId="5683"/>
    <cellStyle name="_2005 04 DELL SMT Data2 -Process_DELL廠級目標dip EXC _DELL廠級目標dip(2月) EXC _DELL MB廠級目標 (2)_DELL MB廠級目標_DELL MB廠級目標四月 _DELL MB廠級目標十一月 (4)" xfId="5684"/>
    <cellStyle name="差_Xl0000002_Squirrel UniBom-06.23.2010_update_internal_Bolt RFQ_Foxlink_03.1 2011 3 2" xfId="5685"/>
    <cellStyle name="差_dallas產能評估_Dallas效益分析&amp;投資回收期 (12-2 A1)_Flow chart and Fixture(Jackson)_A1_Jackson 效益分析 (2-1 B0 上系統)_Leopard Flowchart &amp; 產能評估" xfId="5686"/>
    <cellStyle name="_2005 04 DELL SMT Data2 -Process_DELL廠級目標dip EXC _DELL廠級目標dip(2月) EXC _DELL MB廠級目標 (2)_DELL MB廠級目標_DELLTEAM入庫資料1" xfId="5687"/>
    <cellStyle name="Input 6" xfId="5688"/>
    <cellStyle name="_2005 04 DELL SMT Data2 -Process_DELL廠級目標dip EXC _DELL廠級目標dip(2月) EXC _DELL MB廠級目標 (2)_DELL MB廠級目標_MT 2007 KPI" xfId="5689"/>
    <cellStyle name="_2006_0319 Ernestine_Cooper Cost Feedback_Quotebook_07SEP10_BlueAnt_Quotebook_V3_07SEP11_RFQ_River_BAFO_2008 0606_M1" xfId="5690"/>
    <cellStyle name="_2005 04 DELL SMT Data2 -Process_DELL廠級目標dip EXC _DELL廠級目標dip(2月) EXC _DELL MB廠級目標 _DELL MB廠級目標" xfId="5691"/>
    <cellStyle name="差_Creak Pearl Reliability Fixture RFQ_2009 04 24_Pearl RFQ(Submittal)ver2_05_12_2009 _Leopard UniBom_Foxlink_6 21 2010-ME_nego_Bolt RFQ_Foxlink_03.1 2011 4" xfId="5692"/>
    <cellStyle name="_2005 04 DELL SMT Data2 -Process_DELL廠級目標dip EXC _DELL廠級目標dip(2月) EXC _DELL MB廠級目標 _DELL MB廠級目標.xls 圖表 1" xfId="5693"/>
    <cellStyle name="_2006_0319 Ernestine_Cooper Cost Feedback_Quotebook_07SEP10_BlueAnt_Quotebook_V3_07SEP11_Stream RFQ Unibom--0626-1756 2" xfId="5694"/>
    <cellStyle name="_2006 Capacity 051209" xfId="5695"/>
    <cellStyle name="_2005 04 DELL SMT Data2 -Process_DELL廠級目標dip EXC _DELL廠級目標dip(2月) EXC _DELL MB廠級目標 _DELL MB廠級目標.xls 圖表 1_DELL MB廠級目標.重要不能刪" xfId="5696"/>
    <cellStyle name="_2005 04 DELL SMT Data2 -Process_DELL廠級目標dip EXC _DELL廠級目標dip(2月) EXC _DELL MB廠級目標 _DELL MB廠級目標.xls 圖表 1_DELL MB廠級目標_DELL MB廠級目標十一月 (4)" xfId="5697"/>
    <cellStyle name="_2005 04 DELL SMT Data2 -Process_DELL廠級目標dip EXC _DELL廠級目標dip(2月) EXC _DELL MB廠級目標 _DELL MB廠級目標.xls 圖表 1_DELL MB廠級目標十一月 (4)" xfId="5698"/>
    <cellStyle name="_Z9 blueAnt ME BOM 0910 final_BlueAnt_Quotebook_V3_07SEP11" xfId="5699"/>
    <cellStyle name="_CTB Mulan EP2Wingboard_20050808 (2)_FMTQCI-MIS3H064-P027(01)Nazca Copy Exact Flow chart" xfId="5700"/>
    <cellStyle name="_2006_0406 Ernestine_Cooper tooling_Quotebook_V3_07SEP11_Internal RFQ River Standalone  Bundle Unibom_v1 2_20080603_EJ_Stream Quotebook(Submittal)_POC1_20080903" xfId="5701"/>
    <cellStyle name="_2005 04 DELL SMT Data2 -Process_DELL廠級目標dip EXC _DELL廠級目標dip(2月) EXC _DELL MB廠級目標 _DELL MB廠級目標.xls 圖表 1_DELL MB廠級目標四月 _DELL MB廠級目標十一月 (4)" xfId="5702"/>
    <cellStyle name="好_River EE BOM_Xl0000002_Leopard_UniBOM_ME_0603-2_Bolt RFQ_Foxlink_03.1 2011 2" xfId="5703"/>
    <cellStyle name="_2005 04 DELL SMT Data2 -Process_DELL廠級目標dip EXC _DELL廠級目標dip(2月) EXC _DELL MB廠級目標 _DELL MB廠級目標.xls 圖表 1_DELLTEAM入庫資料1" xfId="5704"/>
    <cellStyle name="好_Creek EE BOM cost_20090425_Creek RFQ feedback 04_28_2009_FD Update_Leopard_UniBOM_ME_0602_Bolt RFQ_Foxlink_03.1 2011_nego meeting@MACH 5" xfId="5705"/>
    <cellStyle name="_PL Fcst_akl(Friday)_2009 xBOX ramp up budget code applicaiton" xfId="5706"/>
    <cellStyle name="一般 6 3 2 5" xfId="5707"/>
    <cellStyle name="_2005 04 DELL SMT Data2 -Process_DELL廠級目標dip EXC _DELL廠級目標dip(2月) EXC _DELL MB廠級目標 _DELL MB廠級目標.xls 圖表 1_HP制程課2007管理指標匯總-八月匯總" xfId="5708"/>
    <cellStyle name="好_River EE BOM_Creak Pearl Reliability Fixture RFQ_2009 04 24_Foxlink_Shadow RFQ NREUni BOM_12032009_Bolt RFQ_Foxlink_03.1 2011" xfId="5709"/>
    <cellStyle name="_2005 04 DELL SMT Data2 -Process_DELL廠級目標dip EXC _DELL廠級目標dip(2月) EXC _DELL MB廠級目標 _DELL MB廠級目標_DELL MB廠級目標" xfId="5710"/>
    <cellStyle name="_2005 04 DELL SMT Data2 -Process_DELL廠級目標dip EXC _DELL廠級目標dip(2月) EXC _DELL MB廠級目標_2007DELL SMT廠級目標KPI(MT)1" xfId="5711"/>
    <cellStyle name="差_Creak Pearl Reliability Fixture RFQ_2009 04 24_Xl0000002_Bolt RFQ Proposal_Foxlink_ (Pricing Summary) 2 25 2011 7" xfId="5712"/>
    <cellStyle name="_2005 04 DELL SMT Data2 -Process_DELL廠級目標dip EXC _DELL廠級目標dip(2月) EXC _DELL MB廠級目標 _DELL MB廠級目標_DELL MB廠級目標.重要不能刪_2007DELL SMT廠級目標KPI(MT)1" xfId="5713"/>
    <cellStyle name="差_Creak Pearl Reliability Fixture RFQ_2009 04 24_Pearl RFQ(Submittal)ver2_05_12_2009 _Leopard_UniBOM_ME_0602-1_Bolt RFQ Proposal_Foxlink_ (Pricing Summary) 2 25 2011 4 3" xfId="5714"/>
    <cellStyle name="差_Creak Pearl Reliability Fixture RFQ_2009 04 24_Creek  Pearl RFQ_May 12_Squirrel UniBom-06.23.2010_update_internal_Bolt RFQ_Foxlink_03.1 2011_nego meeting@MACH 3 2" xfId="5715"/>
    <cellStyle name="_2006_0410 Ernestine_Cooper tooling and plastic price to MS" xfId="5716"/>
    <cellStyle name="_2006_0410 Ernestine_Cooper tooling and plastic price to MS_RFQ_River_BAFO_2008 0606_M1" xfId="5717"/>
    <cellStyle name="_2005 04 DELL SMT Data2 -Process_DELL廠級目標dip EXC _DELL廠級目標dip(2月) EXC _DELL MB廠級目標_DELL MB廠級目標十一月 (4)" xfId="5718"/>
    <cellStyle name="_2005 04 DELL SMT Data2 -Process_DELL廠級目標dip EXC _DELL廠級目標dip(2月) EXC _DELL MB廠級目標 _DELL MB廠級目標_DELL MB廠級目標.重要不能刪_DELL MB廠級目標十一月 (4)" xfId="5719"/>
    <cellStyle name="_2005 04 DELL SMT Data2 -Process_DELL廠級目標dip EXC _DELL廠級目標dip(2月) EXC _DELL MB廠級目標 _DELL MB廠級目標_DELL MB廠級目標_2007DELL SMT廠級目標KPI(MT)1" xfId="5720"/>
    <cellStyle name="差_Creak Pearl Reliability Fixture RFQ_2009 04 24_Xl0000002_Leopard_UniBOM_ME_0602-1_Bolt RFQ_Foxlink_03.1 2011_nego meeting@MACH 2" xfId="5721"/>
    <cellStyle name="_PL Forecast Comparison_Mech Doumen2006_1(preliminary)_Volume Fcst Jul 06-update HP _Budget GC Other Form" xfId="5722"/>
    <cellStyle name="_Antenna Headcount &amp;  Product Process Time 2006" xfId="5723"/>
    <cellStyle name="_2005 04 DELL SMT Data2 -Process_DELL廠級目標dip EXC _DELL廠級目標dip(2月) EXC _DELL MB廠級目標 _DELL MB廠級目標_DELL MB廠級目標_DELL MB廠級目標十一月 (4)" xfId="5724"/>
    <cellStyle name="_2005 04 DELL SMT Data2 -Process_DELL廠級目標dip EXC _DELL廠級目標dip(2月) EXC _DELL MB廠級目標 _DELL MB廠級目標_DELL MB廠級目標十一月 (4)" xfId="5725"/>
    <cellStyle name="差_F3   SMT設備明細_MS Bolt wireless mouse FixtureEquipment Cost_A5_2010_02_21_Bolt RFQ_Foxlink_03.1 2011 2" xfId="5726"/>
    <cellStyle name="_2005 04 DELL SMT Data2 -Process_DELL廠級目標dip EXC _DELL廠級目標dip(2月) EXC _DELL MB廠級目標 _DELL MB廠級目標_DELL MB廠級目標四月 " xfId="5727"/>
    <cellStyle name="_2005 04 DELL SMT Data2 -Process_DELL廠級目標dip EXC _DELL廠級目標dip(2月) EXC _DELL MB廠級目標 _DELL MB廠級目標_DELL MB廠級目標四月 _DELL MB廠級目標十一月 (4)" xfId="5728"/>
    <cellStyle name="Normal 5 35" xfId="5729"/>
    <cellStyle name="_2005 04 DELL SMT Data2 -Process_DELL廠級目標dip EXC _DELL廠級目標dip(2月) EXC _DELL MB廠級目標 _DELL MB廠級目標_DELLTEAM入庫資料1" xfId="5730"/>
    <cellStyle name="_Flex Mechanicals Doumen Sales forecast - Jan.06-updated_PL Forecast by segment-most final 0806_X-BOX BB" xfId="5731"/>
    <cellStyle name="_2005 04 DELL SMT Data2 -Process_DELL廠級目標dip EXC _DELL廠級目標dip(2月) EXC _DELL MB廠級目標 _DELL MB廠級目標_DELLTEAM入庫資料1_DELL MB廠級目標十一月 (4)" xfId="5732"/>
    <cellStyle name="差_Xl0000002_Leopard RFQ ME BOM Costs-0618-2_Bolt RFQ Proposal_Foxlink_ (Pricing Summary) 2 25 2011 2 3" xfId="5733"/>
    <cellStyle name="_2006_0410 Ernestine_Cooper tooling and plastic price to MS_Quotebook_07SEP10_BlueAnt_Quotebook_V3_07SEP11_Internal RFQ River Standalone  Bundle Unibom_v1 2_20080603_EJ_Stream Quotebook(Submittal)_POC1_20080903" xfId="5734"/>
    <cellStyle name="差_Creak Pearl Reliability Fixture RFQ_2009 04 24_Creek  Pearl RFQ_May 12_Leopard UniBom_Foxlink_6 21 2010-ME_nego_Bolt RFQ Proposal_Foxlink_ (Pricing Summary) 2 25 2011 4 2" xfId="5735"/>
    <cellStyle name="_2005 04 DELL SMT Data2 -Process_DELL廠級目標dip EXC _DELL廠級目標dip(2月) EXC _DELL MB廠級目標 _DELL MB廠級目標_DELL制程課管理指標" xfId="5736"/>
    <cellStyle name="_2005 04 DELL SMT Data2 -Process_DELL廠級目標dip EXC _DELL廠級目標dip(2月) EXC _DELL MB廠級目標 _DELL MB廠級目標_HP制程課2007管理指標匯總-八月匯總" xfId="5737"/>
    <cellStyle name="_2005 04 DELL SMT Data2 -Process_DELL廠級目標dip EXC _DELL廠級目標dip(2月) EXC _DELL MB廠級目標 _DELL MB廠級目標_MT 2007 KPI" xfId="5738"/>
    <cellStyle name="好_River EE BOM_Xl0000000_Foxlink_Shadow RFQ NREUni BOM_12032009_Bolt RFQ_Foxlink_03.1 2011_nego meeting@MACH 3" xfId="5739"/>
    <cellStyle name="好_Creek Assembly Fixture  Test Equipment RFQ_20090427_Xl0000002_Leopard_UniBOM_ME_0602 2 4" xfId="5740"/>
    <cellStyle name="差_Creak Pearl Reliability Fixture RFQ_2009 04 24_Creek  Pearl RFQ_May 12_Leopard RFQ ME BOM Costs-0618_Bolt RFQ_Foxlink_03.1 2011 3 2" xfId="5741"/>
    <cellStyle name="_Flextronics Radon  Build Plan 4-27-2005_Mice Daily Output Plan (2)" xfId="5742"/>
    <cellStyle name="_2005 04 DELL SMT Data2 -Process_DELL廠級目標dip EXC _DELL廠級目標dip(2月) EXC _DELL MB廠級目標 _DELL MB廠級目標十一月 (4)" xfId="5743"/>
    <cellStyle name="_2005 04 DELL SMT Data2 -Process_DELL廠級目標dip EXC _DELL廠級目標dip(2月) EXC _DELL MB廠級目標.重要不能刪" xfId="5744"/>
    <cellStyle name="_2005 04 DELL SMT Data2 -Process_DELL廠級目標dip(1月) EXC _DELL MB廠級目標.xls 圖表 1_2007DELL SMT廠級目標KPI(MT)1" xfId="5745"/>
    <cellStyle name="_2005 04 DELL SMT Data2 -Process_DELL廠級目標dip EXC _DELL廠級目標dip(2月) EXC _DELL MB廠級目標.重要不能刪_DELL MB廠級目標十一月 (4)" xfId="5746"/>
    <cellStyle name="壞_Creek EE BOM cost_20090425_Leopard_UniBOM_ME_0531_Bolt RFQ Proposal_Foxlink_ (Pricing Summary) 2 25 2011 6 3" xfId="5747"/>
    <cellStyle name="Output 14 2" xfId="5748"/>
    <cellStyle name="_PL Fcst_akl(Friday)_PL Forecast by segment-most final 0806_Copy of Tom OS ( Oct) new for LOG_X-BOX Console line setup budget 20080414" xfId="5749"/>
    <cellStyle name="_2005 04 DELL SMT Data2 -Process_DELL廠級目標dip EXC _DELL廠級目標dip(2月) EXC _DELL MB廠級目標十一月 (4)" xfId="5750"/>
    <cellStyle name="好_Creek Assembly Fixture  Test Equipment RFQ_20090427_Jackson EE BOM " xfId="5751"/>
    <cellStyle name="_8月管審" xfId="5752"/>
    <cellStyle name="_2005 04 DELL SMT Data2 -Process_DELL廠級目標dip EXC _DELL廠級目標dip(2月) EXC _DELL MB廠級目標四月 " xfId="5753"/>
    <cellStyle name="好_效益分析&amp;產能評估 2 3" xfId="5754"/>
    <cellStyle name="_2006_0317 Ernestine_Cooper Cost Feedback_Internal RFQ River Standalone  Bundle Unibom_v1 2_20080603_EJ_Stream Quotebook (Submittal)_POC2_20081117-1" xfId="5755"/>
    <cellStyle name="差_Flow Chart&amp;PQ分析(12-1)_Jackson 效益分析 (2-1 B0 上系統)" xfId="5756"/>
    <cellStyle name="差_Creak Pearl Reliability Fixture RFQ_2009 04 24_Creek  Pearl RFQ_May 12_Squirrel RFQ ME BOM Costs-0623 2 2" xfId="5757"/>
    <cellStyle name="_2005 04 DELL SMT Data2 -Process_DELL廠級目標dip EXC _DELL廠級目標dip(2月) EXC _DELL MB廠級目標四月 _DELL MB廠級目標十一月 (4)" xfId="5758"/>
    <cellStyle name="_NGSC Budget May 3rd_Book1" xfId="5759"/>
    <cellStyle name="_2005 04 DELL SMT Data2 -Process_DELL廠級目標dip EXC _DELL廠級目標dip(2月) EXC _DELLTEAM入庫資料1_DELL MB廠級目標十一月 (4)" xfId="5760"/>
    <cellStyle name="_P8 PCHW Review" xfId="5761"/>
    <cellStyle name="_2005 04 DELL SMT Data2 -Process_DELL廠級目標dip EXC _DELL廠級目標dip(2月) EXC _DELL制程課管理目標" xfId="5762"/>
    <cellStyle name="_2005 04 DELL SMT Data2 -Process_DELL廠級目標dip EXC _DELL廠級目標dip(2月) EXC _HP制程課2007管理指標匯總-八月匯總" xfId="5763"/>
    <cellStyle name="_2005 04 DELL SMT Data2 -Process_DELL廠級目標dip EXC _DELL廠級目標dip(2月) EXC _MT 2007 KPI" xfId="5764"/>
    <cellStyle name="差_Creek RFQ feedback 04_28_2009_FD Update_Leopard_UniBOM_ME_0602_Bolt RFQ_Foxlink_03.1 2011 3 2" xfId="5765"/>
    <cellStyle name="_200911所需資料" xfId="5766"/>
    <cellStyle name="好_River EE BOM_Creek RFQ feedback 04_28_2009_FD Update_Leopard RFQ ME BOM Costs-0618_Bolt RFQ Proposal_Foxlink_ (Pricing Summary) 2 25 2011 2 3" xfId="5767"/>
    <cellStyle name="好_Creek Assembly Fixture  Test Equipment RFQ_20090427_Leopard Lemur Squirrel UniBom-06.22.2010_EE cost _update_internal_Bolt RFQ_Foxlink_03.1 2011_Bolt_Cliff 2" xfId="5768"/>
    <cellStyle name="_Mechanical Contribution Margins (Q1'06, applied to Apr'04 Fcst)_Mechanical Contribution Margins forecast 0506 FP_X-BOX Console line setup budget and Buyer list" xfId="5769"/>
    <cellStyle name="_2005 04 DELL SMT Data2 -Process_DELL廠級目標dip(1月) EXC _2007DELL SMT廠級目標KPI(MT)1" xfId="5770"/>
    <cellStyle name="_2005 04 DELL SMT Data2 -Process_DELL廠級目標dip(1月) EXC _DELL MB廠級目標" xfId="5771"/>
    <cellStyle name="_2005 04 DELL SMT Data2 -Process_DELL廠級目標dip(1月) EXC _DELL MB廠級目標.xls 圖表 1" xfId="5772"/>
    <cellStyle name="_2005 04 DELL SMT Data2 -Process_DELL廠級目標dip(1月) EXC _DELL MB廠級目標.xls 圖表 1_DELL MB廠級目標" xfId="5773"/>
    <cellStyle name="差_dallas產能評估_Flow Chart&amp;設備治工具清單 _Leopard Flowchart &amp; 產能評估" xfId="5774"/>
    <cellStyle name="差_Flow Chart&amp;PQ分析(12-1)_Jackson 效益分析 testing update_16th Jan1" xfId="5775"/>
    <cellStyle name="壞_Forecast格式-LLS" xfId="5776"/>
    <cellStyle name="Normal 36 2 3" xfId="5777"/>
    <cellStyle name="Normal 41 2 3" xfId="5778"/>
    <cellStyle name="_Seagate FLAGSHIP DESKTOP ME bom cost_Rev.A2 17" xfId="5779"/>
    <cellStyle name="_Seagate FLAGSHIP DESKTOP ME bom cost_Rev.A2 22" xfId="5780"/>
    <cellStyle name="_2006_0410b Ernestine_Cooper tooling and plastic price to MS_Quotebook_V3_07SEP11_Stream RFQ Unibom--0626-1756_Stream Quotebook(Submittal)_POC1_20080903 2" xfId="5781"/>
    <cellStyle name="_2005 04 DELL SMT Data2 -Process_DELL廠級目標dip(1月) EXC _DELL MB廠級目標.xls 圖表 1_DELL MB廠級目標.重要不能刪" xfId="5782"/>
    <cellStyle name="好_Creek Assembly Fixture  Test Equipment RFQ_20090427_Xl0000002_Leopard_UniBOM_ME_0603-2_Bolt RFQ Proposal_Foxlink_ (Pricing Summary) 2 25 2011 3 3" xfId="5783"/>
    <cellStyle name="_2005 04 DELL SMT Data2 -Process_DELL廠級目標dip(1月) EXC _DELL MB廠級目標.xls 圖表 1_DELL MB廠級目標.重要不能刪_DELL MB廠級目標十一月 (4)" xfId="5784"/>
    <cellStyle name="好_Creek EE BOM cost_20090425_Creek RFQ feedback 04_28_2009_FD Update_Leopard RFQ ME BOM Costs-0618-2_Bolt RFQ_Foxlink_03.1 2011 5" xfId="5785"/>
    <cellStyle name="_Flex Mechanicals Doumen Sales forecast - Dec'05 (updated links)_PL Forecast by segment-most final 0806_Tom OS ( Oct)_X-BOX Console line setup budget and Buyer list" xfId="5786"/>
    <cellStyle name="_2005 04 DELL SMT Data2 -Process_DELL廠級目標dip(1月) EXC _DELL MB廠級目標.xls 圖表 1_DELL MB廠級目標_DELL MB廠級目標十一月 (4)" xfId="5787"/>
    <cellStyle name="Normal 22_Sydney_Premium_Clean_Sheet_12-20" xfId="5788"/>
    <cellStyle name="_2006_0406 Ernestine_Cooper tooling_Quotebook_07SEP10_RFQ_River_BAFO_2008 0606_M1_Stream Package Quotation_20090311" xfId="5789"/>
    <cellStyle name="_Sales Forecast (plastic XX)0703_PL Forecast by segment-most final 0806_Tom OS ( Oct)_2009 xBOX ramp up budget code applicaiton 300K --New May27" xfId="5790"/>
    <cellStyle name="_Sales Forecast (plastic XX)1203_PL Forecast by segment-most final 0806_Tom OS ( Oct)_2009 xBOX ramp up budget code applicaiton 300K --New May27" xfId="5791"/>
    <cellStyle name="_2005 04 DELL SMT Data2 -Process_DELL廠級目標dip(1月) EXC _DELL MB廠級目標.xls 圖表 1_DELL MB廠級目標十一月 (4)" xfId="5792"/>
    <cellStyle name="_2005 04 DELL SMT Data2 -Process_DELL廠級目標dip(1月) EXC _DELL MB廠級目標.xls 圖表 1_DELL MB廠級目標四月 " xfId="5793"/>
    <cellStyle name="好_Creek Assembly Fixture  Test Equipment RFQ_20090427_Xl0000002_Leopard Lemur Squirrel UniBom-06.22.2010_EE cost _update_internal 3 3" xfId="5794"/>
    <cellStyle name="_OP1 DPO Forecast Final_Volume Fcst 1006 updated_Copy of Tom OS ( Oct) new for LOG_2009 xBOX ramp up budget code applicaiton 300K --New May27" xfId="5795"/>
    <cellStyle name="_2005 04 DELL SMT Data2 -Process_DELL廠級目標dip(1月) EXC _DELL MB廠級目標.xls 圖表 1_DELL MB廠級目標四月 _2007DELL SMT廠級目標KPI(MT)1" xfId="5796"/>
    <cellStyle name="差_Xl0000002_Leopard Lemur Squirrel UniBom-06.22.2010_EE cost _update_internal_Bolt RFQ_Foxlink_03.1 2011 3" xfId="5797"/>
    <cellStyle name="_2005 04 DELL SMT Data2 -Process_DELL廠級目標dip(1月) EXC _DELL MB廠級目標.xls 圖表 1_DELL MB廠級目標四月 _DELL MB廠級目標十一月 (4)" xfId="5798"/>
    <cellStyle name="差_Xl0000000_Leopard_UniBOM_ME_0531 2 2" xfId="5799"/>
    <cellStyle name="_2005 04 DELL SMT Data2 -Process_DELL廠級目標dip(1月) EXC _DELL MB廠級目標.xls 圖表 1_DELL制程課管理目標 (4)" xfId="5800"/>
    <cellStyle name="_2005 04 DELL SMT Data2 -Process_DELL廠級目標dip(1月) EXC _DELL MB廠級目標.xls 圖表 1_DELL制程課管理指標" xfId="5801"/>
    <cellStyle name="好_Creek Assembly Fixture  Test Equipment RFQ_20090427_Xl0000002_Leopard RFQ ME BOM Costs-0618_Bolt RFQ_Foxlink_03.1 2011 4" xfId="5802"/>
    <cellStyle name="_Fcst March_06(Revised 2.)_Volume Fcst Jul 06-update HP _Internal Hourly Rate Q1 FY08 Version 06052007 Draft" xfId="5803"/>
    <cellStyle name="_ASUS WLAN  SMT 標準工時表10.30" xfId="5804"/>
    <cellStyle name="_3373SOP_1" xfId="5805"/>
    <cellStyle name="差_dallas產能評估_flow chart 2009.12.12_Flow chart and Fixture(1-4)_Jackson 效益分析 (2-1 B0 上系統)_Leopard Flowchart &amp; 產能評估" xfId="5806"/>
    <cellStyle name="_2005 04 DELL SMT Data2 -Process_DELL廠級目標dip(1月) EXC _DELL MB廠級目標.xls 圖表 1_HP制程課2007管理指標匯總-八月匯總" xfId="5807"/>
    <cellStyle name="差_Creak Pearl Reliability Fixture RFQ_2009 04 24_Squirrel RFQ ME BOM Costs-0623_Bolt RFQ_Foxlink_03.1 2011_nego meeting@MACH 3 3" xfId="5808"/>
    <cellStyle name="_7月月管審附件.xls 圖表 1_0536周周管審_0536周直通率8d_Book1_複本 0541周周管審" xfId="5809"/>
    <cellStyle name="_2005 04 DELL SMT Data2 -Process_DELL廠級目標dip(1月) EXC _DELL MB廠級目標_DELL MB廠級目標.重要不能刪_2007DELL SMT廠級目標KPI(MT)1" xfId="5810"/>
    <cellStyle name="_Balvenie Package shipment info.2_Lenovo Park Format_July 07 05V2" xfId="5811"/>
    <cellStyle name="差_Xl0000002_Leopard Lemur Squirrel UniBom-06.22.2010_EE cost _update_internal_Bolt RFQ_Foxlink_03.1 2011_nego meeting@MACH 3 3" xfId="5812"/>
    <cellStyle name="_7月ict f.t_0536周周管審" xfId="5813"/>
    <cellStyle name="差_Creak Pearl Reliability Fixture RFQ_2009 04 24_Xl0000002_Leopard RFQ ME BOM Costs-0618_Bolt RFQ Proposal_Foxlink_ (Pricing Summary) 2 25 2011 2 4" xfId="5814"/>
    <cellStyle name="Normal 4 10 3" xfId="5815"/>
    <cellStyle name="_OP1 DPO Forecast Final_PL Fcst Jul 06-updated G&amp;A Value_X-BOX Console line setup budget 20080414" xfId="5816"/>
    <cellStyle name="好_River EE BOM_Creek RFQ feedback 04_28_2009_FD Update_Leopard_UniBOM_ME_0602_Bolt RFQ_Foxlink_03.1 2011_nego meeting@MACH 3 3" xfId="5817"/>
    <cellStyle name="_2005 04 DELL SMT Data2 -Process_DELL廠級目標dip(1月) EXC _DELL MB廠級目標_DELL MB廠級目標.重要不能刪_DELL MB廠級目標十一月 (4)" xfId="5818"/>
    <cellStyle name="_2005 04 DELL SMT Data2 -Process_DELL廠級目標dip(1月) EXC _DELL MB廠級目標_DELL MB廠級目標十一月 (4)" xfId="5819"/>
    <cellStyle name="差_Creak Pearl Reliability Fixture RFQ_2009 04 24_Pearl RFQ(Submittal)ver2_05_12_2009 _Leopard Lemur Squirrel UniBom-06.22.2010_EE cost _update_internal_Bolt RFQ Proposal_Foxlink_ (Pricing Summary) 2 25 2011 5" xfId="5820"/>
    <cellStyle name="_2005 04 DELL SMT Data2 -Process_DELL廠級目標dip(1月) EXC _DELL MB廠級目標_DELL MB廠級目標四月 _2007DELL SMT廠級目標KPI(MT)1" xfId="5821"/>
    <cellStyle name="Purple" xfId="5822"/>
    <cellStyle name="_2005 04 DELL SMT Data2 -Process_DELL廠級目標dip(1月) EXC _DELL MB廠級目標_DELL MB廠級目標四月 _DELL MB廠級目標十一月 (4)" xfId="5823"/>
    <cellStyle name="_2005 US Flex Forecast Ver2_plforecastsample_Copy of X-BOX for line setup budget" xfId="5824"/>
    <cellStyle name="Normal 4 4 6" xfId="5825"/>
    <cellStyle name="_GC fixture &amp; tooling purchase list_mass production" xfId="5826"/>
    <cellStyle name="差_Xl0000000_Bolt RFQ Proposal_Foxlink_ (Pricing Summary) 2 25 2011 5 3" xfId="5827"/>
    <cellStyle name="差_dallas產能評估_Dallas flow chart&amp;設備&amp;治工具清單(12-8 A0)_Flow chart and Fixture(1-4)_Jackson 效益分析 (2-1 B0 上系統)_Leopard Flowchart &amp; 產能評估" xfId="5828"/>
    <cellStyle name="_2005 US Flex Forecast Ver2_Copy of X-BOX for line setup budget" xfId="5829"/>
    <cellStyle name="Style 37" xfId="5830"/>
    <cellStyle name="Style 42" xfId="5831"/>
    <cellStyle name="_2005 04 DELL SMT Data2 -Process_DELL廠級目標dip(1月) EXC _DELL MB廠級目標_DELLTEAM入庫資料1" xfId="5832"/>
    <cellStyle name="_Alvin-Development NRE_Stream RFQ Unibom--0626-1756_Stream Quotebook(Submittal)_POC1_20080903" xfId="5833"/>
    <cellStyle name="好_Erie Assembly Fixture  Test Equip Cost_20090716_Foxlink_Shadow RFQ NREUni BOM_12032009_Bolt RFQ_Foxlink_03.1 2011 3 2" xfId="5834"/>
    <cellStyle name="_2005 04 DELL SMT Data2 -Process_DELL廠級目標dip(1月) EXC _DELL MB廠級目標_HP制程課2007管理指標匯總-八月匯總" xfId="5835"/>
    <cellStyle name="_2006_0409 Ernestine_Cooper tooling_Quotebook_07SEP10_BlueAnt_Quotebook_V3_07SEP11_Internal RFQ River Standalone  Bundle Unibom_v1 2_20080603_EJ_Stream Quotebook (Submittal)_POC2_20081117-1" xfId="5836"/>
    <cellStyle name="Normal 5 3 2 2 3" xfId="5837"/>
    <cellStyle name="_2005 04 DELL SMT Data2 -Process_DELL廠級目標dip(2月) EXC " xfId="5838"/>
    <cellStyle name="差_Creak Pearl Reliability Fixture RFQ_2009 04 24_Creek RFQ feedback 04_28_2009_FD Update_Foxlink_Shadow RFQ NREUni BOM_12032009_Bolt RFQ_Foxlink_03.1 2011_nego meeting@MACH 3 2" xfId="5839"/>
    <cellStyle name="差_Creak Pearl Reliability Fixture RFQ_2009 04 24_Creek RFQ feedback 04_28_2009_FD Update_Bolt RFQ_Foxlink_03.1 2011 3 3" xfId="5840"/>
    <cellStyle name="_2005 04 DELL SMT Data2 -Process_DELL廠級目標dip(2月) EXC _2007DELL SMT廠級目標KPI(MT)1" xfId="5841"/>
    <cellStyle name="_Mechanical Contribution Margins (Q1'06, applied to Apr'04 Fcst)_PL Fcst Jul 06-updated G&amp;A Value_Copy of Tom OS ( Oct) new for LOG_X-BOX Console line setup budget and Buyer list" xfId="5842"/>
    <cellStyle name="20% - Accent2 14" xfId="5843"/>
    <cellStyle name="差_Creak Pearl Reliability Fixture RFQ_2009 04 24_Bolt RFQ_Foxlink_03.1 2011_nego meeting@MACH 5" xfId="5844"/>
    <cellStyle name="好_Creek Assembly Fixture  Test Equipment RFQ_20090427_Xl0000002_Leopard_UniBOM_ME_0602-1_Bolt RFQ Proposal_Foxlink_ (Pricing Summary) 2 25 2011 2 2 3" xfId="5845"/>
    <cellStyle name="好_Creek Assembly Fixture  Test Equipment RFQ_20090427_Bolt RFQ Proposal_Foxlink_ (Pricing Summary) 2 25 2011 5" xfId="5846"/>
    <cellStyle name="_asus wlan 機種SMT線體需求計算表3_MBO 周加班估算20060403_awl線體需求計算6.6" xfId="5847"/>
    <cellStyle name="_FCT Pareto By Line-Sep 15th(X808667-001_DEV01288-8)_TestMedia" xfId="5848"/>
    <cellStyle name="_2005 04 DELL SMT Data2 -Process_DELL廠級目標dip(2月) EXC _DELL MB廠級目標" xfId="5849"/>
    <cellStyle name="_2005 04 DELL SMT Data2 -Process_DELL廠級目標dip(2月) EXC _DELL MB廠級目標.xls 圖表 1" xfId="5850"/>
    <cellStyle name="好_Creek Assembly Fixture  Test Equipment RFQ_20090427_Xl0000002_Leopard RFQ ME BOM Costs-0618-2_Bolt RFQ_Foxlink_03.1 2011_nego meeting@MACH 2" xfId="5851"/>
    <cellStyle name="_2005 04 DELL SMT Data2 -Process_DELL廠級目標dip(2月) EXC _DELL MB廠級目標.xls 圖表 1_DELL MB廠級目標.重要不能刪_2007DELL SMT廠級目標KPI(MT)1" xfId="5852"/>
    <cellStyle name="差_Squirrel UniBom-06.23.2010_update_internal_Bolt RFQ Proposal_Foxlink_ (Pricing Summary) 2 25 2011 2 2 3" xfId="5853"/>
    <cellStyle name="差_jupite r設備&amp;治工具LIST (總)_flow chart 2009.12.12_Jackson 效益分析 testing update_16th Jan1_Jackson 效益分析 (2-1 B0 上系統)_Leopard效益分析08-17" xfId="5854"/>
    <cellStyle name="_2005 04 DELL SMT Data2 -Process_DELL廠級目標dip(2月) EXC _DELL MB廠級目標.xls 圖表 1_DELL MB廠級目標四月 _2007DELL SMT廠級目標KPI(MT)1" xfId="5855"/>
    <cellStyle name="_Mpos Forecast on Sep 292005" xfId="5856"/>
    <cellStyle name="_2005 04 DELL SMT Data2 -Process_DELL廠級目標dip(2月) EXC _DELL MB廠級目標.xls 圖表 1_DELLTEAM入庫資料1" xfId="5857"/>
    <cellStyle name="_2005 04 DELL SMT Data2 -Process_DELL廠級目標dip(2月) EXC _DELL MB廠級目標.xls 圖表 1_DELLTEAM入庫資料1_DELL MB廠級目標十一月 (4)" xfId="5858"/>
    <cellStyle name="_7月ict f.t_0536周周管審_0536周直通率8d_0541周直通率8D" xfId="5859"/>
    <cellStyle name="_2005 04 DELL SMT Data2 -Process_DELL廠級目標dip(2月) EXC _DELL MB廠級目標.xls 圖表 1_DELL制程課管理目標" xfId="5860"/>
    <cellStyle name="_2005 04 DELL SMT Data2 -Process_DELL廠級目標dip(2月) EXC _DELL MB廠級目標.xls 圖表 1_DELL制程課管理目標 (4)" xfId="5861"/>
    <cellStyle name="差_Xl0000000_Squirrel RFQ ME BOM Costs-0623 3 2" xfId="5862"/>
    <cellStyle name="_Assembly Test Equipment Costs 2" xfId="5863"/>
    <cellStyle name="_Flex Mechanicals Doumen Sales forecast - Dec'05 R1_PL Forecast by segment-most final 0806_Tom OS ( Oct)_Forecast Template v4" xfId="5864"/>
    <cellStyle name="_2005 04 DELL SMT Data2 -Process_DELL廠級目標dip(2月) EXC _DELL MB廠級目標_2007DELL SMT廠級目標KPI(MT)1" xfId="5865"/>
    <cellStyle name="_2005 04 DELL SMT Data2 -Process_DELL廠級目標dip(2月) EXC _DELL MB廠級目標_DELL MB廠級目標" xfId="5866"/>
    <cellStyle name="_2005 04 DELL SMT Data2 -Process_DELL廠級目標dip(2月) EXC _DELL MB廠級目標_DELL MB廠級目標.重要不能刪_DELL MB廠級目標十一月 (4)" xfId="5867"/>
    <cellStyle name="好_Creek Assembly Fixture  Test Equipment RFQ_20090427_Leopard_UniBOM_ME_0602_Bolt RFQ Proposal_Foxlink_ (Pricing Summary) 2 25 2011 5 3" xfId="5868"/>
    <cellStyle name="Accent6 2" xfId="5869"/>
    <cellStyle name="好_Erie Assembly Fixture  Test Equip Cost_20090716_Foxlink_Shadow RFQ NREUni BOM_12032009_Bolt RFQ_Foxlink_03.1 2011 5" xfId="5870"/>
    <cellStyle name="_2006_0410b Ernestine_Cooper tooling and plastic price to MS_Quotebook_07SEP10_BlueAnt_Quotebook_V3_07SEP11_RFQ_River_BAFO_2008 0606_M1_Stream Quotebook (Submittal)_POC2_20081117-1" xfId="5871"/>
    <cellStyle name="_2005 04 DELL SMT Data2 -Process_DELL廠級目標dip(2月) EXC _DELL MB廠級目標_DELL MB廠級目標_2007DELL SMT廠級目標KPI(MT)1" xfId="5872"/>
    <cellStyle name="好_治具工程課2009年KPI_產線生產規劃KPI 2 2 2 3" xfId="5873"/>
    <cellStyle name="_Book2_Mechanical Contribution Margins forecast 0506 FP_Copy of Tom OS ( Oct) new for LOG_2009 xBOX ramp up budget code applicaiton" xfId="5874"/>
    <cellStyle name="_2005 04 DELL SMT Data2 -Process_DELL廠級目標dip(2月) EXC _DELL MB廠級目標_DELL MB廠級目標十一月 (4)" xfId="5875"/>
    <cellStyle name="_2005 04 DELL SMT Data2 -Process_DELL廠級目標dip(2月) EXC _DELL MB廠級目標_DELL MB廠級目標四月 _DELL MB廠級目標十一月 (4)" xfId="5876"/>
    <cellStyle name="差_Creak Pearl Reliability Fixture RFQ_2009 04 24_Creek  Pearl RFQ_May 12_Leopard RFQ ME BOM Costs-0618 2 3" xfId="5877"/>
    <cellStyle name="差_F3   SMT設備明細_MS Bolt wireless mouse FixtureEquipment Cost_A5_2010_02_21_Bolt RFQ_Foxlink_03.1 2011 5" xfId="5878"/>
    <cellStyle name="_2005 04 DELL SMT Data2 -Process_DELL廠級目標dip(2月) EXC _DELL MB廠級目標_DELLTEAM入庫資料1" xfId="5879"/>
    <cellStyle name="好_River EE BOM_Creak Pearl Reliability Fixture RFQ_2009 04 24_Creek RFQ feedback 04_28_2009_FD Update_Leopard_UniBOM_ME_0603-2_Bolt RFQ Proposal_Foxlink_ (Pricing Summary) 2 25 2011 2 2 3" xfId="5880"/>
    <cellStyle name="_2006_0319 Ernestine_Cooper Cost Feedback_Stream RFQ Unibom--0626-1756_Stream Package Quotation_20090311" xfId="5881"/>
    <cellStyle name="_2005 04 DELL SMT Data2 -Process_DELL廠級目標dip(2月) EXC _DELL MB廠級目標_DELLTEAM入庫資料1_2007DELL SMT廠級目標KPI(MT)1" xfId="5882"/>
    <cellStyle name="_2005 04 DELL SMT Data2 -Process_DELL廠級目標dip(2月) EXC _DELL MB廠級目標_DELLTEAM入庫資料1_DELL MB廠級目標十一月 (4)" xfId="5883"/>
    <cellStyle name="_2005 04 DELL SMT Data2 -Process_DELL廠級目標dip(2月) EXC _DELL MB廠級目標_DELL制程課管理目標 (4)" xfId="5884"/>
    <cellStyle name="_2005 04 DELL SMT Data2 -Process_DELL廠級目標dip(2月) EXC _DELL MB廠級目標_DELL制程課管理指標" xfId="5885"/>
    <cellStyle name="差_Creak Pearl Reliability Fixture RFQ_2009 04 24_Pearl RFQ(Submittal)ver2_05_12_2009 _Leopard_UniBOM_ME_0531_Bolt RFQ_Foxlink_03.1 2011 2 2" xfId="5886"/>
    <cellStyle name="_2005 04 DELL SMT Data2 -Process_DELL廠級目標dip(2月) EXC _DELL MB廠級目標十一月 (4)" xfId="5887"/>
    <cellStyle name="_2005 04 DELL SMT Data2 -Process_DELL廠級目標dip.EXC " xfId="5888"/>
    <cellStyle name="_5S meeting " xfId="5889"/>
    <cellStyle name="差_Xl0000000_Leopard Lemur Squirrel UniBom-06.22.2010_EE cost _update_internal_Bolt RFQ Proposal_Foxlink_ (Pricing Summary) 2 25 2011 2 2 3" xfId="5890"/>
    <cellStyle name="差_Creek RFQ feedback 04_28_2009_FD Update_Leopard Lemur Squirrel UniBom-06.22.2010_EE cost _update_internal_Bolt RFQ Proposal_Foxlink_ (Pricing Summary) 2 25 2011" xfId="5891"/>
    <cellStyle name="_Plantronics_Rainier_Dev Pricing_Apr.16_Stream RFQ Unibom--0626-1756" xfId="5892"/>
    <cellStyle name="_Ernestine Equipment  Fixture List_04_11_2006_FL_Stream RFQ Unibom--0626-1756_Stream Quotebook(Submittal)_POC1_20080903 2" xfId="5893"/>
    <cellStyle name="_2005 04 DELL SMT Data2 -Process_DELL廠級目標dip.EXC _2007DELL SMT廠級目標KPI(MT)1" xfId="5894"/>
    <cellStyle name="_PL Forecast Comparison_Mech Doumen2006_1(preliminary)_Volume Fcst 1006 updated_Copy of Tom OS ( Oct) new for LOG_X-BOX BB" xfId="5895"/>
    <cellStyle name="_2005 04 DELL SMT Data2 -Process_DELL廠級目標dip.EXC _DELL MB廠級目標.xls 圖表 1_DELL MB廠級目標" xfId="5896"/>
    <cellStyle name="_2005 04 DELL SMT Data2 -Process_DELL廠級目標dip.EXC _DELL MB廠級目標.xls 圖表 1_DELL MB廠級目標.重要不能刪" xfId="5897"/>
    <cellStyle name="_2005 04 DELL SMT Data2 -Process_DELL廠級目標dip.EXC _DELL MB廠級目標.xls 圖表 1_DELL MB廠級目標.重要不能刪_DELL MB廠級目標十一月 (4)" xfId="5898"/>
    <cellStyle name="好_River EE BOM_Creak Pearl Reliability Fixture RFQ_2009 04 24_Pearl RFQ(Submittal)ver2_05_12_2009 _Leopard Lemur Squirrel UniBom-06.22.2010_EE cost _update_internal_Bolt RFQ Proposal_Foxlink_ (Pricing Summary) 2 25 2011 5" xfId="5899"/>
    <cellStyle name="_bom updated on 2002-11-10-1_FlexStandardQuoteExample(JasonDated110107)" xfId="5900"/>
    <cellStyle name="_Project A Pick List 20100312_FMTQCI-MIS3H058-P008" xfId="5901"/>
    <cellStyle name="_Account for Tooling 2005-06" xfId="5902"/>
    <cellStyle name="_2006_0410b Ernestine_Cooper tooling and plastic price to MS_Quotebook_07SEP10_BlueAnt_Quotebook_V3_07SEP11_Stream RFQ Unibom--0626-1756" xfId="5903"/>
    <cellStyle name="_2005 04 DELL SMT Data2 -Process_DELL廠級目標dip.EXC _DELL MB廠級目標.xls 圖表 1_DELL MB廠級目標十一月 (4)" xfId="5904"/>
    <cellStyle name="差_Creak Pearl Reliability Fixture RFQ_2009 04 24_Leopard_UniBOM_ME_0603-2_Bolt RFQ_Foxlink_03.1 2011 2" xfId="5905"/>
    <cellStyle name="_2005 04 DELL SMT Data2 -Process_DELL廠級目標dip.EXC _DELL MB廠級目標.xls 圖表 1_DELL MB廠級目標四月 " xfId="5906"/>
    <cellStyle name="_2006_0329 Ernestine_Cooper Cost Feedback_Quotebook_07SEP10_BlueAnt_Quotebook_V3_07SEP11" xfId="5907"/>
    <cellStyle name="_2005 04 DELL SMT Data2 -Process_DELL廠級目標dip.EXC _DELL MB廠級目標.xls 圖表 1_DELL MB廠級目標四月 _2007DELL SMT廠級目標KPI(MT)1" xfId="5908"/>
    <cellStyle name="_Forecast - Segment-OCE-June06(1)_Forecast Template v2_X-BOX BB" xfId="5909"/>
    <cellStyle name="_2005 04 DELL SMT Data2 -Process_DELL廠級目標dip.EXC _DELL MB廠級目標.xls 圖表 1_DELL MB廠級目標四月 _DELL MB廠級目標十一月 (4)" xfId="5910"/>
    <cellStyle name="_2005 04 DELL SMT Data2 -Process_DELL廠級目標dip.EXC _DELL MB廠級目標.xls 圖表 1_HP制程課2007管理指標匯總-八月匯總" xfId="5911"/>
    <cellStyle name="Normal 60 3 3" xfId="5912"/>
    <cellStyle name="_2005 04 DELL SMT Data2 -Process_DELL廠級目標dip.EXC _DELL MB廠級目標_2007DELL SMT廠級目標KPI(MT)1" xfId="5913"/>
    <cellStyle name="_FCT Pareto By Line-Oct 13th(DEV01291-7)_Update yield report for DEV02342(7.6) " xfId="5914"/>
    <cellStyle name="好_River EE BOM_Creak Pearl Reliability Fixture RFQ_2009 04 24_Creek RFQ feedback 04_28_2009_FD Update_Leopard_UniBOM_ME_0603-2_Bolt RFQ_Foxlink_03.1 2011_nego meeting@MACH 2 3" xfId="5915"/>
    <cellStyle name="_2005 04 DELL SMT Data2 -Process_DELL廠級目標dip.EXC _DELL MB廠級目標_DELL MB廠級目標.重要不能刪" xfId="5916"/>
    <cellStyle name="差_Creak Pearl Reliability Fixture RFQ_2009 04 24_Xl0000002_Leopard UniBom_Foxlink_12272010 RevF_shirley" xfId="5917"/>
    <cellStyle name="_2005 04 DELL SMT Data2 -Process_DELL廠級目標dip.EXC _DELL MB廠級目標_DELL MB廠級目標.重要不能刪_2007DELL SMT廠級目標KPI(MT)1" xfId="5918"/>
    <cellStyle name="_Biz Ops By Stream_FY06 P8 CM Consigned RM" xfId="5919"/>
    <cellStyle name="差_Creak Pearl Reliability Fixture RFQ_2009 04 24_Xl0000002_Leopard Lemur Squirrel UniBom-06.22.2010_EE cost _update_internal_Bolt RFQ Proposal_Foxlink_ (Pricing Summary) 2 25 2011 5 3" xfId="5920"/>
    <cellStyle name="60% - Accent3 10" xfId="5921"/>
    <cellStyle name="_2005 04 DELL SMT Data2 -Process_DELL廠級目標dip.EXC _DELL MB廠級目標_DELL MB廠級目標四月 " xfId="5922"/>
    <cellStyle name="_2005 04 DELL SMT Data2 -Process_DELL廠級目標dip.EXC _DELL MB廠級目標_DELL MB廠級目標四月 _2007DELL SMT廠級目標KPI(MT)1" xfId="5923"/>
    <cellStyle name="好_River EE BOM_Creak Pearl Reliability Fixture RFQ_2009 04 24_Pearl RFQ(Submittal)ver2_05_12_2009 _Squirrel UniBom-06.23.2010_update_internal 2 2 3" xfId="5924"/>
    <cellStyle name="_Volume Fcst 1006 updated_Copy of Tom OS ( Oct) new for LOG_Forecast Template v4" xfId="5925"/>
    <cellStyle name="_2006_0406 Ernestine_Cooper tooling_Quotebook_07SEP10_BlueAnt_Quotebook_V3_07SEP11_Internal RFQ River Standalone  Bundle Unibom_v1 2_20080603_EJ_Stream Quotebook(Submittal)_POC1_20080903" xfId="5926"/>
    <cellStyle name="差_pq_Flow chart and Fixture(Jackson)_A1_Jackson 效益分析 (2-1 B0 上系統)_Leopard效益分析08-17" xfId="5927"/>
    <cellStyle name="_2005 04 DELL SMT Data2 -Process_DELL廠級目標dip.EXC _DELL MB廠級目標_DELL MB廠級目標四月 _DELL MB廠級目標十一月 (4)" xfId="5928"/>
    <cellStyle name="好_River EE BOM_Xl0000002_Squirrel UniBom-06.23.2010_update_internal_Bolt RFQ_Foxlink_03.1 2011_nego meeting@MACH 2 3" xfId="5929"/>
    <cellStyle name="_CTB RTP EP2 0505092_MOST Std - Project A BB Line_FMTQCI-MIS3H064-P027(01)Nazca Copy Exact Flow chart" xfId="5930"/>
    <cellStyle name="_2005 04 DELL SMT Data2 -Process_DELL廠級目標dip.EXC _DELL MB廠級目標_HP制程課2007管理指標匯總-八月匯總" xfId="5931"/>
    <cellStyle name="差_Xl0000000_Bolt RFQ Proposal_Foxlink_ (Pricing Summary) 2 25 2011 6" xfId="5932"/>
    <cellStyle name="_2005 04 DELL SMT Data2 -Process_DELL廠級目標dip.EXC _DELL MB廠級目標十一月 (4)" xfId="5933"/>
    <cellStyle name="_2005 04 DELL SMT Data2 -Process_DELL廠級目標dip.EXC _DELL廠級目標dip(2月) EXC _2007DELL SMT廠級目標KPI(MT)1" xfId="5934"/>
    <cellStyle name="差_Creak Pearl Reliability Fixture RFQ_2009 04 24_Pearl RFQ(Submittal)ver2_05_12_2009 _Leopard_UniBOM_ME_0602-1_Bolt RFQ Proposal_Foxlink_ (Pricing Summary) 2 25 2011 5" xfId="5935"/>
    <cellStyle name="_2005 04 DELL SMT Data2 -Process_DELL廠級目標dip.EXC _DELL廠級目標dip(2月) EXC _BPI 8D-SMT-2月 (3)" xfId="5936"/>
    <cellStyle name="_internal- uPad-D Quotebook_20080521_v1.2_Stream RFQ Unibom--0626-1756_Stream Quotebook(Submittal)_POC1_20080903" xfId="5937"/>
    <cellStyle name="_2005 04 DELL SMT Data2 -Process_DELL廠級目標dip.EXC _DELL廠級目標dip(2月) EXC _BPI 8D-SMT-2月 (3)_2007DELL SMT廠級目標KPI(MT)1" xfId="5938"/>
    <cellStyle name="_2006_0317 Ernestine_Cooper Cost Feedback" xfId="5939"/>
    <cellStyle name="_2006_0410 Ernestine_Cooper tooling and plastic price to MS_Quotebook_07SEP10_BlueAnt_Quotebook_V3_07SEP11_RFQ_River_BAFO_2008 0606_M1_Stream Package Quotation_20090311" xfId="5940"/>
    <cellStyle name="_2005 04 DELL SMT Data2 -Process_DELL廠級目標dip.EXC _DELL廠級目標dip(2月) EXC _BPI 8D-SMT-2月 (3)_DELL MB廠級目標.xls 圖表 1_2007DELL SMT廠級目標KPI(MT)1" xfId="5941"/>
    <cellStyle name="_2005 04 DELL SMT Data2 -Process_DELL廠級目標dip.EXC _DELL廠級目標dip(2月) EXC _BPI 8D-SMT-2月 (3)_DELL MB廠級目標.xls 圖表 1_DELL MB廠級目標" xfId="5942"/>
    <cellStyle name="_FCT Pareto By Line-July 13th X807681-001-DEV01282-6_TestMedia" xfId="5943"/>
    <cellStyle name="差_Jackson NRE Uni BOM_update _05072010 rev K_Bristol UniBom_Foxlink_02082011 RevA" xfId="5944"/>
    <cellStyle name="差_Creak Pearl Reliability Fixture RFQ_2009 04 24_Xl0000002_Squirrel RFQ ME BOM Costs-0623 3 2" xfId="5945"/>
    <cellStyle name="_2005 04 DELL SMT Data2 -Process_DELL廠級目標dip.EXC _DELL廠級目標dip(2月) EXC _BPI 8D-SMT-2月 (3)_DELL MB廠級目標.xls 圖表 1_DELL MB廠級目標.重要不能刪" xfId="5946"/>
    <cellStyle name="_2005 04 DELL SMT Data2 -Process_DELL廠級目標dip.EXC _DELL廠級目標dip(2月) EXC _BPI 8D-SMT-2月 (3)_DELL MB廠級目標.xls 圖表 1_DELL MB廠級目標.重要不能刪_DELL MB廠級目標十一月 (4)" xfId="5947"/>
    <cellStyle name="_Balvenie Package shipment info.2_Lenovo PACK  Packing Proposal" xfId="5948"/>
    <cellStyle name="好_River EE BOM_Creak Pearl Reliability Fixture RFQ_2009 04 24_Creek  Pearl RFQ_May 12_Squirrel RFQ ME BOM Costs-0623_Bolt RFQ Proposal_Foxlink_ (Pricing Summary) 2 25 2011 2 2" xfId="5949"/>
    <cellStyle name="_Flex Mechanicals Doumen Sales forecast - Dec'05 R1_PL Forecast by segment-most final 0806_Tom OS ( Oct)_2009 xBOX ramp up budget code applicaiton" xfId="5950"/>
    <cellStyle name="_2005 04 DELL SMT Data2 -Process_DELL廠級目標dip.EXC _DELL廠級目標dip(2月) EXC _BPI 8D-SMT-2月 (3)_DELL MB廠級目標.xls 圖表 1_DELL MB廠級目標_2007DELL SMT廠級目標KPI(MT)1" xfId="5951"/>
    <cellStyle name="好_MB9月管審換線超時8d 5 2 3" xfId="5952"/>
    <cellStyle name="_Ernestine Parts Budgetary Quote - LA (20060319)_Quotebook_07SEP10_Internal RFQ River Standalone  Bundle Unibom_v1 2_20080603_EJ" xfId="5953"/>
    <cellStyle name="_2005 04 DELL SMT Data2 -Process_DELL廠級目標dip.EXC _DELL廠級目標dip(2月) EXC _BPI 8D-SMT-2月 (3)_DELL MB廠級目標.xls 圖表 1_DELL MB廠級目標十一月 (4)" xfId="5954"/>
    <cellStyle name="_作業時間價值效率計算0913(含flow chart)" xfId="5955"/>
    <cellStyle name="_B2 B4成本明細" xfId="5956"/>
    <cellStyle name="_2005 04 DELL SMT Data2 -Process_DELL廠級目標dip.EXC _DELL廠級目標dip(2月) EXC _BPI 8D-SMT-2月 (3)_DELL MB廠級目標.xls 圖表 1_DELLTEAM入庫資料1_2007DELL SMT廠級目標KPI(MT)1" xfId="5957"/>
    <cellStyle name="_2005 04 DELL SMT Data2 -Process_DELL廠級目標dip.EXC _DELL廠級目標dip(2月) EXC _BPI 8D-SMT-2月 (3)_DELL MB廠級目標.xls 圖表 1_DELL制程課管理目標 (4)" xfId="5958"/>
    <cellStyle name="_2005 04 DELL SMT Data2 -Process_DELL廠級目標dip.EXC _DELL廠級目標dip(2月) EXC _BPI 8D-SMT-2月 (3)_DELL MB廠級目標.xls 圖表 1_DELL制程課管理指標" xfId="5959"/>
    <cellStyle name="_PCBA_SENAI_ACT  FCST_Forecast Template v4" xfId="5960"/>
    <cellStyle name="_2005 04 DELL SMT Data2 -Process_DELL廠級目標dip.EXC _DELL廠級目標dip(2月) EXC _BPI 8D-SMT-2月 (3)_DELL MB廠級目標.xls 圖表 1_MT 2007 KPI" xfId="5961"/>
    <cellStyle name="_2005 04 DELL SMT Data2 -Process_DELL廠級目標dip.EXC _DELL廠級目標dip(2月) EXC _BPI 8D-SMT-2月 (3)_DELL MB廠級目標_2007DELL SMT廠級目標KPI(MT)1" xfId="5962"/>
    <cellStyle name="_2005 04 DELL SMT Data2 -Process_DELL廠級目標dip.EXC _DELL廠級目標dip(2月) EXC _BPI 8D-SMT-2月 (3)_DELL MB廠級目標_DELL MB廠級目標" xfId="5963"/>
    <cellStyle name="_2006_0410 Ernestine_Cooper tooling and plastic price to MS_Internal RFQ River Standalone  Bundle Unibom_v1 2_20080603_EJ" xfId="5964"/>
    <cellStyle name="好_River EE BOM_Xl0000002_Leopard_UniBOM_ME_0602-1" xfId="5965"/>
    <cellStyle name="千分位 4" xfId="5966"/>
    <cellStyle name="9_Revised AP DPO Oct 04 v2_PL Fcst Jul 06-updated G&amp;A Value_Copy of Tom OS ( Oct) new for LOG_Copy of X-BOX for line setup budget" xfId="5967"/>
    <cellStyle name="_2005 04 DELL SMT Data2 -Process_DELL廠級目標dip.EXC _DELL廠級目標dip(2月) EXC _BPI 8D-SMT-2月 (3)_DELL MB廠級目標_DELL MB廠級目標.重要不能刪" xfId="5968"/>
    <cellStyle name="_2005 04 DELL SMT Data2 -Process_DELL廠級目標dip.EXC _DELL廠級目標dip(2月) EXC _BPI 8D-SMT-2月 (3)_DELL MB廠級目標_DELL MB廠級目標.重要不能刪_2007DELL SMT廠級目標KPI(MT)1" xfId="5969"/>
    <cellStyle name="_2005 04 DELL SMT Data2 -Process_DELL廠級目標dip.EXC _DELL廠級目標dip(2月) EXC _BPI 8D-SMT-2月 (3)_DELL MB廠級目標_DELL MB廠級目標四月 " xfId="5970"/>
    <cellStyle name="差_Creak Pearl Reliability Fixture RFQ_2009 04 24_Pearl RFQ(Submittal)ver2_05_12_2009 _Bolt RFQ_Foxlink_03.1 2011" xfId="5971"/>
    <cellStyle name="_2005 04 DELL SMT Data2 -Process_DELL廠級目標dip.EXC _DELL廠級目標dip(2月) EXC _BPI 8D-SMT-2月 (3)_DELL MB廠級目標_DELL MB廠級目標四月 _2007DELL SMT廠級目標KPI(MT)1" xfId="5972"/>
    <cellStyle name="好_River EE BOM_Creak Pearl Reliability Fixture RFQ_2009 04 24_Leopard_UniBOM_ME_0531" xfId="5973"/>
    <cellStyle name="好_River EE BOM_Creak Pearl Reliability Fixture RFQ_2009 04 24_Creek RFQ feedback 04_28_2009_FD Update_Squirrel RFQ ME BOM Costs-0623 3" xfId="5974"/>
    <cellStyle name="_FCT Pareto By Line-July 14th X808665-001-DEV01282-5-1_yield report for DEV02342" xfId="5975"/>
    <cellStyle name="_bom updated on 2002-11-10_FlexStandardQuoteExample(JasonDated110107)" xfId="5976"/>
    <cellStyle name="_2005 04 DELL SMT Data2 -Process_DELL廠級目標dip.EXC _DELL廠級目標dip(2月) EXC _BPI 8D-SMT-2月 (3)_DELL MB廠級目標_DELLTEAM入庫資料1_2007DELL SMT廠級目標KPI(MT)1" xfId="5977"/>
    <cellStyle name="_2005 04 DELL SMT Data2 -Process_DELL廠級目標dip.EXC _DELL廠級目標dip(2月) EXC _BPI 8D-SMT-2月 (3)_DELL MB廠級目標_DELL制程課管理目標" xfId="5978"/>
    <cellStyle name="好_River EE BOM_Creak Pearl Reliability Fixture RFQ_2009 04 24_Pearl RFQ(Submittal)ver2_05_12_2009 _Leopard RFQ ME BOM Costs-0618-2 2 4" xfId="5979"/>
    <cellStyle name="差_Creak Pearl Reliability Fixture RFQ_2009 04 24_Creek RFQ feedback 04_28_2009_FD Update_Leopard_UniBOM_ME_0531_Bolt RFQ Proposal_Foxlink_ (Pricing Summary) 2 25 2011 2 2 3" xfId="5980"/>
    <cellStyle name="好_River EE BOM_Creek RFQ feedback 04_28_2009_FD Update_Leopard_UniBOM_ME_0602-1_Bolt RFQ_Foxlink_03.1 2011_nego meeting@MACH 3" xfId="5981"/>
    <cellStyle name="_bom updated on 2002-11-10_Quote for 2WIRE Rev 0" xfId="5982"/>
    <cellStyle name="好_River EE BOM_Creak Pearl Reliability Fixture RFQ_2009 04 24_Pearl RFQ(Submittal)ver2_05_12_2009 _Bolt RFQ Proposal_Foxlink_ (Pricing Summary) 2 25 2011 3 3" xfId="5983"/>
    <cellStyle name="好_HP all model 標準工時(W1130) 3 4" xfId="5984"/>
    <cellStyle name="_2005 04 DELL SMT Data2 -Process_DELL廠級目標dip.EXC _DELL廠級目標dip(2月) EXC _BPI 8D-SMT-2月 (3)_DELL MB廠級目標十一月 (4)" xfId="5985"/>
    <cellStyle name="_2005 04 DELL SMT Data2 -Process_DELL廠級目標dip.EXC _DELL廠級目標dip(2月) EXC _BPI 8D-SMT-2月_DELL MB廠級目標" xfId="5986"/>
    <cellStyle name="40% - Accent3" xfId="5987"/>
    <cellStyle name="_2005 04 DELL SMT Data2 -Process_DELL廠級目標dip.EXC _DELL廠級目標dip(2月) EXC _BPI 8D-SMT-2月_DELL MB廠級目標.xls 圖表 1_2007DELL SMT廠級目標KPI(MT)1" xfId="5988"/>
    <cellStyle name="_Flex Mechanicals Doumen Sales forecast - Dec'05 (updated links)_Forecast Template v4" xfId="5989"/>
    <cellStyle name="好_Creek EE BOM cost_20090425_Leopard RFQ ME BOM Costs-0618_Bolt RFQ Proposal_Foxlink_ (Pricing Summary) 2 25 2011 5" xfId="5990"/>
    <cellStyle name="Heading 2 2 2" xfId="5991"/>
    <cellStyle name="_Flex Mechanicals Doumen Sales forecast - Dec'05 R1_PL Forecast by segment-most final 0806_Tom OS ( Oct)_X-BOX BB" xfId="5992"/>
    <cellStyle name="_2005 04 DELL SMT Data2 -Process_DELL廠級目標dip.EXC _DELL廠級目標dip(2月) EXC _BPI 8D-SMT-2月_DELL MB廠級目標.xls 圖表 1_DELL MB廠級目標" xfId="5993"/>
    <cellStyle name="差_F3   SMT設備明細_jupite r設備&amp;治工具LIST (總)_pq_Flow Chart&amp;設備治工具清單 _Jackson 效益分析 (2-1 B0 上系統)_Leopard Flowchart &amp; 產能評估" xfId="5994"/>
    <cellStyle name="_2005 04 DELL SMT Data2 -Process_DELL廠級目標dip.EXC _DELL廠級目標dip(2月) EXC _BPI 8D-SMT-2月_DELL MB廠級目標.xls 圖表 1_DELL MB廠級目標.重要不能刪_2007DELL SMT廠級目標KPI(MT)1" xfId="5995"/>
    <cellStyle name="好_River EE BOM_Creak Pearl Reliability Fixture RFQ_2009 04 24_Xl0000002_Leopard_UniBOM_ME_0531 2 2 3" xfId="5996"/>
    <cellStyle name="9_Revised AP DPO Oct 04 v2_Copy of Tom OS ( Oct) new for LOG" xfId="5997"/>
    <cellStyle name="_2006_0410b Ernestine_Cooper tooling and plastic price to MS_Quotebook_07SEP10_RFQ_River_BAFO_2008 0606_M1_Stream Quotebook (Submittal)_POC2_20081117-1" xfId="5998"/>
    <cellStyle name="差_Creak Pearl Reliability Fixture RFQ_2009 04 24_Pearl RFQ(Submittal)ver2_05_12_2009 _Leopard_UniBOM_ME_0602-1 2 2" xfId="5999"/>
    <cellStyle name="_Ernestine Parts Budgetary Quote - LA (20060319)_Internal RFQ River Standalone  Bundle Unibom_v1 2_20080603_EJ_Stream Quotebook (Submittal)_POC2_20081117-1" xfId="6000"/>
    <cellStyle name="_2005 04 DELL SMT Data2 -Process_DELL廠級目標dip.EXC _DELL廠級目標dip(2月) EXC _BPI 8D-SMT-2月_DELL MB廠級目標.xls 圖表 1_DELL MB廠級目標_2007DELL SMT廠級目標KPI(MT)1" xfId="6001"/>
    <cellStyle name="_Alvin Plastics RFQ Worksheets - Nypro 062807_RFQ_River_BAFO_2008 0606_M1" xfId="6002"/>
    <cellStyle name="好_River EE BOM_Creak Pearl Reliability Fixture RFQ_2009 04 24_Pearl RFQ(Submittal)ver2_05_12_2009 _Squirrel RFQ ME BOM Costs-0623_Bolt RFQ Proposal_Foxlink_ (Pricing Summary) 2 25 2011 7" xfId="6003"/>
    <cellStyle name="_2005 04 DELL SMT Data2 -Process_DELL廠級目標dip.EXC _DELL廠級目標dip(2月) EXC _BPI 8D-SMT-2月_DELL MB廠級目標.xls 圖表 1_DELL MB廠級目標_DELL MB廠級目標十一月 (4)" xfId="6004"/>
    <cellStyle name="壞_Creek Assembly Fixture  Test Equipment RFQ_20090427_Xl0000002_Leopard_UniBOM_ME_0531_Bolt RFQ Proposal_Foxlink_ (Pricing Summary) 2 25 2011 5 2" xfId="6005"/>
    <cellStyle name="好_Creek Assembly Fixture  Test Equipment RFQ_20090427_Leopard Lemur Squirrel UniBom-06.22.2010_EE cost _update_internal_Bolt RFQ_Foxlink_03.1 2011_nego meeting@MACH_Bolt_Cliff" xfId="6006"/>
    <cellStyle name="_2005 04 DELL SMT Data2 -Process_DELL廠級目標dip.EXC _DELL廠級目標dip(2月) EXC _BPI 8D-SMT-2月_DELL MB廠級目標.xls 圖表 1_DELL MB廠級目標十一月 (4)" xfId="6007"/>
    <cellStyle name="_2005 04 DELL SMT Data2 -Process_DELL廠級目標dip.EXC _DELL廠級目標dip(2月) EXC _BPI 8D-SMT-2月_DELL MB廠級目標.xls 圖表 1_DELL MB廠級目標四月 " xfId="6008"/>
    <cellStyle name="好_River EE BOM_Creak Pearl Reliability Fixture RFQ_2009 04 24_Pearl RFQ(Submittal)ver2_05_12_2009 _Squirrel UniBom-06.23.2010_update_internal_Bolt RFQ Proposal_Foxlink_ (Pricing Summary) 2 25 2011 7" xfId="6009"/>
    <cellStyle name="_2005 04 DELL SMT Data2 -Process_DELL廠級目標dip.EXC _DELL廠級目標dip(2月) EXC _BPI 8D-SMT-2月_DELL MB廠級目標.xls 圖表 1_DELL MB廠級目標四月 _2007DELL SMT廠級目標KPI(MT)1" xfId="6010"/>
    <cellStyle name="_Sheet2_CopyOfP6 Waynea review" xfId="6011"/>
    <cellStyle name="_Flex Mechanicals Doumen Sales forecast - Dec'05 (updated links)_X-BOX Console line setup budget 20080414" xfId="6012"/>
    <cellStyle name="_2006_0409 Ernestine_Cooper tooling and plastic price to MS_Stream RFQ Unibom--0626-1756" xfId="6013"/>
    <cellStyle name="_2005 04 DELL SMT Data2 -Process_DELL廠級目標dip.EXC _DELL廠級目標dip(2月) EXC _BPI 8D-SMT-2月_DELL MB廠級目標.xls 圖表 1_DELLTEAM入庫資料1" xfId="6014"/>
    <cellStyle name="差_HP Mouse 產能評估(上系統)_Bolt RFQ_Foxlink_03.1 2011_nego meeting@MACH 5" xfId="6015"/>
    <cellStyle name="_Ernestine Parts Budgetary Quote - LA (20060319)_Quotebook_07SEP10_Stream RFQ Unibom--0626-1756" xfId="6016"/>
    <cellStyle name="_2005 04 DELL SMT Data2 -Process_DELL廠級目標dip.EXC _DELL廠級目標dip(2月) EXC _BPI 8D-SMT-2月_DELL MB廠級目標.xls 圖表 1_DELLTEAM入庫資料1_DELL MB廠級目標十一月 (4)" xfId="6017"/>
    <cellStyle name="差_Creak Pearl Reliability Fixture RFQ_2009 04 24_Creek RFQ feedback 04_28_2009_FD Update_Leopard_UniBOM_ME_0603-2_Bolt RFQ Proposal_Foxlink_ (Pricing Summary) 2 25 2011 5 2" xfId="6018"/>
    <cellStyle name="_Ernestine Parts Budgetary Quote - LA (20060319)_Quotebook_07SEP10_BlueAnt_Quotebook_V3_07SEP11_RFQ_River_BAFO_2008 0606_M1_Stream Quotebook(Submittal)_POC1_20080903 2" xfId="6019"/>
    <cellStyle name="_2005 04 DELL SMT Data2 -Process_DELL廠級目標dip.EXC _DELL廠級目標dip(2月) EXC _BPI 8D-SMT-2月_DELL MB廠級目標.xls 圖表 1_DELL制程課管理目標" xfId="6020"/>
    <cellStyle name="_2005 04 DELL SMT Data2 -Process_DELL廠級目標dip.EXC _DELL廠級目標dip(2月) EXC _BPI 8D-SMT-2月_DELL MB廠級目標.xls 圖表 1_DELL制程課管理指標" xfId="6021"/>
    <cellStyle name="60% - 强调文字颜色 5 2" xfId="6022"/>
    <cellStyle name="_2005 04 DELL SMT Data2 -Process_DELL廠級目標dip.EXC _DELL廠級目標dip(2月) EXC _BPI 8D-SMT-2月_DELL MB廠級目標.xls 圖表 1_HP制程課2007管理指標匯總-八月匯總" xfId="6023"/>
    <cellStyle name="_FCT Pareto By Line-Oct 12th(DEV01291-2)_Yield report for Jasper DV 0610" xfId="6024"/>
    <cellStyle name="_2005 04 DELL SMT Data2 -Process_DELL廠級目標dip.EXC _DELL廠級目標dip(2月) EXC _BPI 8D-SMT-2月_DELL MB廠級目標.xls 圖表 1_MT 2007 KPI" xfId="6025"/>
    <cellStyle name="好_River EE BOM_Creak Pearl Reliability Fixture RFQ_2009 04 24_Xl0000002_Leopard_UniBOM_ME_0602_Bolt RFQ Proposal_Foxlink_ (Pricing Summary) 2 25 2011 2 4" xfId="6026"/>
    <cellStyle name="好_Creek EE BOM cost_20090425_Leopard_UniBOM_ME_0531_Bolt RFQ_Foxlink_03.1 2011_nego meeting@MACH 3 2" xfId="6027"/>
    <cellStyle name="_2006_0317 Ernestine_Cooper Cost Feedback_Quotebook_07SEP10_BlueAnt_Quotebook_V3_07SEP11_Stream RFQ Unibom--0626-1756_Stream Quotebook(Submittal)_POC1_20080903" xfId="6028"/>
    <cellStyle name="Normal 3 3" xfId="6029"/>
    <cellStyle name="_2005 04 DELL SMT Data2 -Process_DELL廠級目標dip.EXC _DELL廠級目標dip(2月) EXC _BPI 8D-SMT-2月_DELL MB廠級目標_DELL MB廠級目標.重要不能刪_2007DELL SMT廠級目標KPI(MT)1" xfId="6030"/>
    <cellStyle name="好_River EE BOM_Xl0000000_Squirrel UniBom-06.23.2010_update_internal_Bolt RFQ Proposal_Foxlink_ (Pricing Summary) 2 25 2011 6" xfId="6031"/>
    <cellStyle name="_2005 04 DELL SMT Data2 -Process_DELL廠級目標dip.EXC _DELL廠級目標dip(2月) EXC _BPI 8D-SMT-2月_DELL MB廠級目標_DELL MB廠級目標_DELL MB廠級目標十一月 (4)" xfId="6032"/>
    <cellStyle name="_FCT Pareto By Line-July 13th X808665-001-DEV01282-5-1_Yield report for Dev01975 (3)" xfId="6033"/>
    <cellStyle name="_2005 04 DELL SMT Data2 -Process_DELL廠級目標dip.EXC _DELL廠級目標dip(2月) EXC _BPI 8D-SMT-2月_DELL MB廠級目標_DELL MB廠級目標四月 " xfId="6034"/>
    <cellStyle name="_2005 04 DELL SMT Data2 -Process_DELL廠級目標dip.EXC _DELL廠級目標dip(2月) EXC _BPI 8D-SMT-2月_DELL MB廠級目標_DELL MB廠級目標四月 _2007DELL SMT廠級目標KPI(MT)1" xfId="6035"/>
    <cellStyle name="_TC Model_accessories spc 1 0 slide" xfId="6036"/>
    <cellStyle name="_2005 04 DELL SMT Data2 -Process_DELL廠級目標dip.EXC _DELL廠級目標dip(2月) EXC _BPI 8D-SMT-2月_DELL MB廠級目標_DELLTEAM入庫資料1" xfId="6037"/>
    <cellStyle name="好_River EE BOM_Creak Pearl Reliability Fixture RFQ_2009 04 24_Pearl RFQ(Submittal)ver2_05_12_2009 _Squirrel UniBom-06.23.2010_update_internal_Bolt RFQ_Foxlink_03.1 2011 3 3" xfId="6038"/>
    <cellStyle name="_2005 04 DELL SMT Data2 -Process_DELL廠級目標dip.EXC _DELL廠級目標dip(2月) EXC _BPI 8D-SMT-2月_DELL MB廠級目標_DELLTEAM入庫資料1_2007DELL SMT廠級目標KPI(MT)1" xfId="6039"/>
    <cellStyle name="_2005 04 DELL SMT Data2 -Process_DELL廠級目標dip.EXC _DELL廠級目標dip(2月) EXC _BPI 8D-SMT-2月_DELL MB廠級目標_DELLTEAM入庫資料1_DELL MB廠級目標十一月 (4)" xfId="6040"/>
    <cellStyle name="_Flextronics Radon  Build Plan 4-27-2005_Production Head Count Arrangement 01-24-07_Scenario 2 of recovery until 1116_Tester Demand Plan 062707" xfId="6041"/>
    <cellStyle name="_2005 04 DELL SMT Data2 -Process_DELL廠級目標dip.EXC _DELL廠級目標dip(2月) EXC _BPI 8D-SMT-2月_DELL MB廠級目標_DELL制程課管理目標 (4)" xfId="6042"/>
    <cellStyle name="_2005 US Flex Forecast Ver2_plforecastsample" xfId="6043"/>
    <cellStyle name="_2005 US Flex Forecast Ver2" xfId="6044"/>
    <cellStyle name="_2005 US Flex Forecast Ver2_plforecastsample_2009 xBOX ramp up budget code applicaiton" xfId="6045"/>
    <cellStyle name="好_River EE BOM_Xl0000002_Bolt RFQ Proposal_Foxlink_ (Pricing Summary) 2 25 2011 6" xfId="6046"/>
    <cellStyle name="好_River EE BOM_Creak Pearl Reliability Fixture RFQ_2009 04 24_Xl0000002_Leopard_UniBOM_ME_0602_Bolt RFQ Proposal_Foxlink_ (Pricing Summary) 2 25 2011 5 3" xfId="6047"/>
    <cellStyle name="好_Creek Assembly Fixture  Test Equipment RFQ_20090427_Squirrel UniBom-06.23.2010_update_internal 3" xfId="6048"/>
    <cellStyle name="_2005 US Flex Forecast Ver2_2009 xBOX ramp up budget code applicaiton" xfId="6049"/>
    <cellStyle name="好_River EE BOM_Xl0000000_Bolt RFQ Proposal_Foxlink_ (Pricing Summary) 2 25 2011 3 3" xfId="6050"/>
    <cellStyle name="_2005 US Flex Forecast Ver2_plforecastsample_2009 xBOX ramp up budget code applicaiton 300K --New May27" xfId="6051"/>
    <cellStyle name="好_Creek Assembly Fixture  Test Equipment RFQ_20090427_Xl0000002_Leopard RFQ ME BOM Costs-0618_Bolt RFQ_Foxlink_03.1 2011_nego meeting@MACH 4" xfId="6052"/>
    <cellStyle name="_2005 US Flex Forecast Ver2_2009 xBOX ramp up budget code applicaiton 300K --New May27" xfId="6053"/>
    <cellStyle name="Normal - Style4" xfId="6054"/>
    <cellStyle name="_2005 US Flex Forecast Ver2_Forecast Template v2_2009 xBOX ramp up budget code applicaiton 300K --New May27" xfId="6055"/>
    <cellStyle name="_2005 US Flex Forecast Ver2_Forecast Template v2_Budget GC Other Form" xfId="6056"/>
    <cellStyle name="差_Creak Pearl Reliability Fixture RFQ_2009 04 24_Xl0000002_Bolt RFQ_Foxlink_03.1 2011 3" xfId="6057"/>
    <cellStyle name="_2005 US Flex Forecast Ver2_Forecast Template v2_Forecast Template v4" xfId="6058"/>
    <cellStyle name="差_Creek RFQ feedback 04_28_2009_FD Update_Leopard RFQ ME BOM Costs-0618_Bolt RFQ_Foxlink_03.1 2011_nego meeting@MACH 3 2" xfId="6059"/>
    <cellStyle name="_2005 US Flex Forecast Ver2_Forecast Template v2_X-BOX BB" xfId="6060"/>
    <cellStyle name="_Beethoven Salsa  Issue Tracking Meeting Action Log 20080125" xfId="6061"/>
    <cellStyle name="_Mechanical Contribution Margins (Q2'06) 0705_Tom OS ( Oct)_Budget GC Other Form" xfId="6062"/>
    <cellStyle name="_2005 US Flex Forecast Ver2_Forecast Template v2_X-BOX Console line setup budget 20080414" xfId="6063"/>
    <cellStyle name="好_River EE BOM_Xl0000002_Bolt RFQ Proposal_Foxlink_ (Pricing Summary) 2 25 2011" xfId="6064"/>
    <cellStyle name="_2006_0409 Ernestine_Cooper tooling_Quotebook_V3_07SEP11_Stream RFQ Unibom--0626-1756 2" xfId="6065"/>
    <cellStyle name="_MOTO SLIC300MP FOB HK Transport Pricing Targe Vol (R2)_Salcomp FCA HK Transport Pricing Dec11_Lenovo Park Format_July 07 05" xfId="6066"/>
    <cellStyle name="_2005 US Flex Forecast Ver2_Forecast Template v2_X-BOX Console line setup budget and Buyer list" xfId="6067"/>
    <cellStyle name="_ACTUAL DIM FOR IND MAR IN AUG_Budget GC Other Form" xfId="6068"/>
    <cellStyle name="差_Xl0000000 2 2 2" xfId="6069"/>
    <cellStyle name="_2005 US Flex Forecast Ver2_plforecastsample_Forecast Template v4" xfId="6070"/>
    <cellStyle name="_Flex Mechanicals Doumen Sales forecast - Jan.06_PL Fcst Jul 06-updated G&amp;A Value_X-BOX BB" xfId="6071"/>
    <cellStyle name="_2005 US Flex Forecast Ver2_Forecast Template v4" xfId="6072"/>
    <cellStyle name="好_River EE BOM_Xl0000002_Leopard_UniBOM_ME_0602-1_Bolt RFQ Proposal_Foxlink_ (Pricing Summary) 2 25 2011 4 2" xfId="6073"/>
    <cellStyle name="_New Stuff for Part Master_Development_FY06 P4 CM Consigned RM" xfId="6074"/>
    <cellStyle name="_2006_0410 Ernestine_Cooper tooling and plastic price to MS_Quotebook_V3_07SEP11 2" xfId="6075"/>
    <cellStyle name="好_Creek Assembly Fixture  Test Equipment RFQ_20090427_Squirrel UniBom-06.23.2010_update_internal_Bolt RFQ_Foxlink_03.1 2011" xfId="6076"/>
    <cellStyle name="_PL Fcst_akl(Friday)_Volume Fcst Jul 06-update HP _Copy of Tom OS ( Oct) new for LOG_X-BOX BB" xfId="6077"/>
    <cellStyle name="_2005 US Flex Forecast Ver2_X-BOX Console line setup budget 20080414" xfId="6078"/>
    <cellStyle name="差_Creak Pearl Reliability Fixture RFQ_2009 04 24_Creek  Pearl RFQ_May 12_Squirrel RFQ ME BOM Costs-0623 3" xfId="6079"/>
    <cellStyle name="_2005 US Flex Forecast Ver2_plforecastsample_X-BOX Console line setup budget 20080414" xfId="6080"/>
    <cellStyle name="差_Xl0000002_Foxlink_Shadow RFQ NREUni BOM_12032009_Bolt RFQ Proposal_Foxlink_ (Pricing Summary) 2 25 2011 4 3" xfId="6081"/>
    <cellStyle name="_Ernestine Requipment  Fixture List_04_06_2006_Quotebook_V3_07SEP11_Internal RFQ River Standalone  Bundle Unibom_v1 2_20080603_EJ_Stream Quotebook(Submittal)_POC1_20080903" xfId="6082"/>
    <cellStyle name="_2005-CARD手測工時" xfId="6083"/>
    <cellStyle name="好_River EE BOM_Xl0000002_Leopard_UniBOM_ME_0602-1 3 2" xfId="6084"/>
    <cellStyle name="_Tom OnLine Forecast Template PCBA_Computing Dec 2006 V4 ( update on OS allocation)_Budget GC Other Form" xfId="6085"/>
    <cellStyle name="_2005-CARD手測工時 (3)" xfId="6086"/>
    <cellStyle name="_2006_0317 Ernestine_Cooper Cost Feedback 2" xfId="6087"/>
    <cellStyle name="好_River EE BOM_Creak Pearl Reliability Fixture RFQ_2009 04 24_Creek RFQ feedback 04_28_2009_FD Update_Leopard_UniBOM_ME_0602 3" xfId="6088"/>
    <cellStyle name="_2006_0317 Ernestine_Cooper Cost Feedback_Internal RFQ River Standalone  Bundle Unibom_v1 2_20080603_EJ 2" xfId="6089"/>
    <cellStyle name="_Ind' Mar Summary report for Sept  2006 (4)" xfId="6090"/>
    <cellStyle name="20% - 强调文字颜色 2 2 2 2 2" xfId="6091"/>
    <cellStyle name="_2006_0317 Ernestine_Cooper Cost Feedback_Internal RFQ River Standalone  Bundle Unibom_v1 2_20080603_EJ_Stream Package Quotation_20090311" xfId="6092"/>
    <cellStyle name="_2006_0319 Ernestine_Cooper Cost Feedback_Quotebook_07SEP10_Stream RFQ Unibom--0626-1756" xfId="6093"/>
    <cellStyle name="_2006_0317 Ernestine_Cooper Cost Feedback_Internal RFQ River Standalone  Bundle Unibom_v1 2_20080603_EJ_Stream Quotebook(Submittal)_POC1_20080903" xfId="6094"/>
    <cellStyle name="_2006_0319 Ernestine_Cooper Cost Feedback_Quotebook_07SEP10_Stream RFQ Unibom--0626-1756 2" xfId="6095"/>
    <cellStyle name="差_dallas產能評估_Dallas效益分析&amp;投資回收期 (12-2 A1)_Flow Chart&amp;設備治工具清單 _Jackson 效益分析 (2-1 B0 上系統)" xfId="6096"/>
    <cellStyle name="差_Creek RFQ feedback 04_28_2009_FD Update_Leopard RFQ ME BOM Costs-0618 2 3" xfId="6097"/>
    <cellStyle name="5_P139 CCM 11073" xfId="6098"/>
    <cellStyle name="_2006_0317 Ernestine_Cooper Cost Feedback_Internal RFQ River Standalone  Bundle Unibom_v1 2_20080603_EJ_Stream Quotebook(Submittal)_POC1_20080903 2" xfId="6099"/>
    <cellStyle name="_2006_0317 Ernestine_Cooper Cost Feedback_Quotebook_07SEP10" xfId="6100"/>
    <cellStyle name="Output 5 2" xfId="6101"/>
    <cellStyle name="_2006_0317 Ernestine_Cooper Cost Feedback_Quotebook_07SEP10_BlueAnt_Quotebook_V3_07SEP11" xfId="6102"/>
    <cellStyle name="差_Creak Pearl Reliability Fixture RFQ_2009 04 24_Creek  Pearl RFQ_May 12_Leopard_UniBOM_ME_0531_Bolt RFQ Proposal_Foxlink_ (Pricing Summary) 2 25 2011 4" xfId="6103"/>
    <cellStyle name="Output 5 2 2" xfId="6104"/>
    <cellStyle name="_2006_0317 Ernestine_Cooper Cost Feedback_Quotebook_07SEP10_BlueAnt_Quotebook_V3_07SEP11 2" xfId="6105"/>
    <cellStyle name="_2006_0317 Ernestine_Cooper Cost Feedback_Quotebook_07SEP10_BlueAnt_Quotebook_V3_07SEP11_Internal RFQ River Standalone  Bundle Unibom_v1 2_20080603_EJ_Stream Package Quotation_20090311" xfId="6106"/>
    <cellStyle name="_2006_0319 Ernestine_Cooper Cost Feedback_Internal RFQ River Standalone  Bundle Unibom_v1 2_20080603_EJ_Stream Quotebook(Submittal)_POC1_20080903" xfId="6107"/>
    <cellStyle name="Heading 1 3 3" xfId="6108"/>
    <cellStyle name="_2006_0317 Ernestine_Cooper Cost Feedback_Quotebook_07SEP10_BlueAnt_Quotebook_V3_07SEP11_Internal RFQ River Standalone  Bundle Unibom_v1 2_20080603_EJ_Stream Quotebook(Submittal)_POC1_20080903" xfId="6109"/>
    <cellStyle name="好_Creek Assembly Fixture  Test Equipment RFQ_20090427_Leopard Lemur Squirrel UniBom-06.22.2010_EE cost _update_internal_Bolt RFQ_Foxlink_03.1 2011 3 3" xfId="6110"/>
    <cellStyle name="_2006_0317 Ernestine_Cooper Cost Feedback_Quotebook_07SEP10_BlueAnt_Quotebook_V3_07SEP11_Internal RFQ River Standalone  Bundle Unibom_v1 2_20080603_EJ_Stream Quotebook(Submittal)_POC1_20080903 2" xfId="6111"/>
    <cellStyle name="差_HP Mouse 產能評估(上系統)_M1 Bolt wireless mouse FixtureEquipment Cost_A2_2010_12_07_Bolt RFQ Proposal_Foxlink_ (Pricing Summary) 2 25 2011 4 2" xfId="6112"/>
    <cellStyle name="_2006_0317 Ernestine_Cooper Cost Feedback_Quotebook_07SEP10_BlueAnt_Quotebook_V3_07SEP11_RFQ_River_BAFO_2008 0606_M1 2" xfId="6113"/>
    <cellStyle name="_2006_0329 Ernestine_Cooper Cost Feedback_Internal RFQ River Standalone  Bundle Unibom_v1 2_20080603_EJ_Stream Quotebook (Submittal)_POC2_20081117-1" xfId="6114"/>
    <cellStyle name="_7月ict f.t_0536周周管審_0538周直通率8d1" xfId="6115"/>
    <cellStyle name="_2006_0317 Ernestine_Cooper Cost Feedback_Quotebook_07SEP10_BlueAnt_Quotebook_V3_07SEP11_RFQ_River_BAFO_2008 0606_M1_Stream Quotebook (Submittal)_POC2_20081117-1" xfId="6116"/>
    <cellStyle name="_2006_0317 Ernestine_Cooper Cost Feedback_Quotebook_07SEP10_BlueAnt_Quotebook_V3_07SEP11_RFQ_River_BAFO_2008 0606_M1_Stream Quotebook(Submittal)_POC1_20080903 2" xfId="6117"/>
    <cellStyle name="好_Creek Assembly Fixture  Test Equipment RFQ_20090427_Leopard RFQ ME BOM Costs-0618-2_Bolt_Cliff 2 2" xfId="6118"/>
    <cellStyle name="_2006_0317 Ernestine_Cooper Cost Feedback_Quotebook_07SEP10_BlueAnt_Quotebook_V3_07SEP11_Stream RFQ Unibom--0626-1756" xfId="6119"/>
    <cellStyle name="差_Xl0000002_Leopard_UniBOM_ME_0602-1_Bolt RFQ Proposal_Foxlink_ (Pricing Summary) 2 25 2011 3 3" xfId="6120"/>
    <cellStyle name="好_Creek Assembly Fixture  Test Equipment RFQ_20090427_Leopard RFQ ME BOM Costs-0618-2_Bolt_Cliff 2 2 2" xfId="6121"/>
    <cellStyle name="_2006_0317 Ernestine_Cooper Cost Feedback_Quotebook_07SEP10_BlueAnt_Quotebook_V3_07SEP11_Stream RFQ Unibom--0626-1756 2" xfId="6122"/>
    <cellStyle name="_2006_0317 Ernestine_Cooper Cost Feedback_Quotebook_07SEP10_BlueAnt_Quotebook_V3_07SEP11_Stream RFQ Unibom--0626-1756_Stream Quotebook (Submittal)_POC2_20081117-1" xfId="6123"/>
    <cellStyle name="_2006_0317 Ernestine_Cooper Cost Feedback_Quotebook_07SEP10_Internal RFQ River Standalone  Bundle Unibom_v1 2_20080603_EJ" xfId="6124"/>
    <cellStyle name="_Avaya SPICE demand on May-8-06 (based on ramp-up plan)_Scenario 2 of recovery until 1116" xfId="6125"/>
    <cellStyle name="_2006_0317 Ernestine_Cooper Cost Feedback_Quotebook_07SEP10_Internal RFQ River Standalone  Bundle Unibom_v1 2_20080603_EJ 2" xfId="6126"/>
    <cellStyle name="好_Creek EE BOM cost_20090425_Creek RFQ feedback 04_28_2009_FD Update_Leopard RFQ ME BOM Costs-0618-2 2" xfId="6127"/>
    <cellStyle name="_2006_0317 Ernestine_Cooper Cost Feedback_Quotebook_07SEP10_Internal RFQ River Standalone  Bundle Unibom_v1 2_20080603_EJ_Stream Package Quotation_20090311" xfId="6128"/>
    <cellStyle name="_Monaco PCBA time record_Tester Demand Plan" xfId="6129"/>
    <cellStyle name="好_River EE BOM_Creak Pearl Reliability Fixture RFQ_2009 04 24_Creek  Pearl RFQ_May 12_Leopard RFQ ME BOM Costs-0618_Bolt RFQ_Foxlink_03.1 2011_nego meeting@MACH 3" xfId="6130"/>
    <cellStyle name="_2006_0317 Ernestine_Cooper Cost Feedback_Quotebook_07SEP10_Internal RFQ River Standalone  Bundle Unibom_v1 2_20080603_EJ_Stream Quotebook (Submittal)_POC2_20081117-1" xfId="6131"/>
    <cellStyle name="_2006_0317 Ernestine_Cooper Cost Feedback_Quotebook_07SEP10_Internal RFQ River Standalone  Bundle Unibom_v1 2_20080603_EJ_Stream Quotebook(Submittal)_POC1_20080903" xfId="6132"/>
    <cellStyle name="差_Creak Pearl Reliability Fixture RFQ_2009 04 24_Creek  Pearl RFQ_May 12_Leopard UniBom_Foxlink_6 21 2010-ME_nego_Bolt RFQ_Foxlink_03.1 2011 3 3" xfId="6133"/>
    <cellStyle name="差_Creak Pearl Reliability Fixture RFQ_2009 04 24_Creek RFQ feedback 04_28_2009_FD Update_Leopard Lemur Squirrel UniBom-06.22.2010_EE cost _update_internal_Bolt RFQ_Foxlink_03.1 2011 2 3" xfId="6134"/>
    <cellStyle name="_2006_0317 Ernestine_Cooper Cost Feedback_Quotebook_07SEP10_RFQ_River_BAFO_2008 0606_M1" xfId="6135"/>
    <cellStyle name="_2006_0317 Ernestine_Cooper Cost Feedback_Quotebook_07SEP10_RFQ_River_BAFO_2008 0606_M1 2" xfId="6136"/>
    <cellStyle name="_August-05_Forecast Template v2_Copy of X-BOX for line setup budget" xfId="6137"/>
    <cellStyle name="好_效益分析&amp;產能評估_M1 Lemur Capacity planFixtureEquipment Cost_A2_06192010_Leopard UniBom_Foxlink_12092010 RevD-jen" xfId="6138"/>
    <cellStyle name="_2006_0317 Ernestine_Cooper Cost Feedback_Quotebook_07SEP10_RFQ_River_BAFO_2008 0606_M1_Stream Package Quotation_20090311" xfId="6139"/>
    <cellStyle name="_2006_0317 Ernestine_Cooper Cost Feedback_Quotebook_07SEP10_Stream RFQ Unibom--0626-1756" xfId="6140"/>
    <cellStyle name="差_F3   SMT設備明細_MS Bolt wireless mouse FixtureEquipment Cost_A5_2010_02_21_Bolt RFQ_Foxlink_03.1 2011 3" xfId="6141"/>
    <cellStyle name="_2006_0317 Ernestine_Cooper Cost Feedback_Quotebook_07SEP10_Stream RFQ Unibom--0626-1756_Stream Package Quotation_20090311" xfId="6142"/>
    <cellStyle name="_7月月管審附件.xls 圖表 1_0536周周管審_0537周直通率8d_0541周直通率8D" xfId="6143"/>
    <cellStyle name="好_治具工程課2009年KPI 3" xfId="6144"/>
    <cellStyle name="好_River EE BOM_Xl0000002_Leopard UniBom_Foxlink_6 21 2010-ME_nego_Bolt RFQ Proposal_Foxlink_ (Pricing Summary) 2 25 2011 2 2 3" xfId="6145"/>
    <cellStyle name="_2006_0409 Ernestine_Cooper tooling and plastic price to MS_Quotebook_V3_07SEP11_Stream RFQ Unibom--0626-1756" xfId="6146"/>
    <cellStyle name="好_River EE BOM_Creak Pearl Reliability Fixture RFQ_2009 04 24_Creek RFQ feedback 04_28_2009_FD Update_Leopard_UniBOM_ME_0603-2_Bolt RFQ_Foxlink_03.1 2011_nego meeting@MACH 4" xfId="6147"/>
    <cellStyle name="_2006_0317 Ernestine_Cooper Cost Feedback_Quotebook_07SEP10_Stream RFQ Unibom--0626-1756_Stream Quotebook (Submittal)_POC2_20081117-1" xfId="6148"/>
    <cellStyle name="差_Xl0000002_Leopard_UniBOM_ME_0602-1_Bolt RFQ_Foxlink_03.1 2011 3 2" xfId="6149"/>
    <cellStyle name="_2006_0317 Ernestine_Cooper Cost Feedback_Quotebook_07SEP10_Stream RFQ Unibom--0626-1756_Stream Quotebook(Submittal)_POC1_20080903" xfId="6150"/>
    <cellStyle name="_2006_0317 Ernestine_Cooper Cost Feedback_Quotebook_07SEP10_Stream RFQ Unibom--0626-1756_Stream Quotebook(Submittal)_POC1_20080903 2" xfId="6151"/>
    <cellStyle name="_2006_0329 Ernestine_Cooper Cost Feedback_Quotebook_07SEP10 2" xfId="6152"/>
    <cellStyle name="好_0842周 顯卡報廢超標8D 5 3" xfId="6153"/>
    <cellStyle name="_Flex Mechanicals Doumen Sales forecast - Jan.06_PL Forecast by segment-most final 0806_Forecast Template v4" xfId="6154"/>
    <cellStyle name="_2006_0317 Ernestine_Cooper Cost Feedback_Quotebook_V3_07SEP11_Internal RFQ River Standalone  Bundle Unibom_v1 2_20080603_EJ 2" xfId="6155"/>
    <cellStyle name="_2006_0317 Ernestine_Cooper Cost Feedback_Quotebook_V3_07SEP11_Internal RFQ River Standalone  Bundle Unibom_v1 2_20080603_EJ_Stream Quotebook(Submittal)_POC1_20080903" xfId="6156"/>
    <cellStyle name="差_治具工程課2009年KPI 2 2" xfId="6157"/>
    <cellStyle name="_acut_2009 xBOX ramp up budget code applicaiton 300K --New May27" xfId="6158"/>
    <cellStyle name="壞_Creek Assembly Fixture  Test Equipment RFQ_20090427_Xl0000002_Leopard_UniBOM_ME_0603-2_Bolt RFQ_Foxlink_03.1 2011 2" xfId="6159"/>
    <cellStyle name="_2006_0412 Ernestine_Cooper tooling and plastic price to MS_JC_Quotebook_07SEP10_BlueAnt_Quotebook_V3_07SEP11_RFQ_River_BAFO_2008 0606_M1_Stream Quotebook(Submittal)_POC1_20080903" xfId="6160"/>
    <cellStyle name="差_HP Mouse 產能評估(Forecast更改後)_MS Bolt wireless mouse FixtureEquipment Cost_A5_2010_02_21_Bolt RFQ Proposal_Foxlink_ (Pricing Summary) 2 25 2011 6" xfId="6161"/>
    <cellStyle name="_2006_0317 Ernestine_Cooper Cost Feedback_Quotebook_V3_07SEP11_Internal RFQ River Standalone  Bundle Unibom_v1 2_20080603_EJ_Stream Quotebook(Submittal)_POC1_20080903 2" xfId="6162"/>
    <cellStyle name="_2006_0317 Ernestine_Cooper Cost Feedback_Quotebook_V3_07SEP11_RFQ_River_BAFO_2008 0606_M1_Stream Quotebook(Submittal)_POC1_20080903 2" xfId="6163"/>
    <cellStyle name="差_squirrel效益分析08-17" xfId="6164"/>
    <cellStyle name="SAPBEXheaderText" xfId="6165"/>
    <cellStyle name="_Sales Forecast (plastic XX)0703_PL Fcst Jul 06-updated G&amp;A Value_Copy of Tom OS ( Oct) new for LOG_X-BOX Console line setup budget and Buyer list" xfId="6166"/>
    <cellStyle name="_Sales Forecast (plastic XX)1203_PL Fcst Jul 06-updated G&amp;A Value_Copy of Tom OS ( Oct) new for LOG_X-BOX Console line setup budget and Buyer list" xfId="6167"/>
    <cellStyle name="_7月ict f.t_0536周周管審_0540周直通率8D1_複本 0541周周管審" xfId="6168"/>
    <cellStyle name="差_Creak Pearl Reliability Fixture RFQ_2009 04 24_Xl0000002_Foxlink_Shadow RFQ NREUni BOM_12032009 2 2" xfId="6169"/>
    <cellStyle name="_2006_0317 Ernestine_Cooper Cost Feedback_Quotebook_V3_07SEP11_Stream RFQ Unibom--0626-1756" xfId="6170"/>
    <cellStyle name="差_Xl0000002_Leopard_UniBOM_ME_0602-1_Bolt RFQ Proposal_Foxlink_ (Pricing Summary) 2 25 2011 2 3" xfId="6171"/>
    <cellStyle name="好_River EE BOM_Creak Pearl Reliability Fixture RFQ_2009 04 24_Pearl RFQ(Submittal)ver2_05_12_2009 _Foxlink_Shadow RFQ NREUni BOM_12032009" xfId="6172"/>
    <cellStyle name="_2006_0317 Ernestine_Cooper Cost Feedback_Quotebook_V3_07SEP11_Stream RFQ Unibom--0626-1756_Stream Package Quotation_20090311" xfId="6173"/>
    <cellStyle name="_2006_0317 Ernestine_Cooper Cost Feedback_RFQ_River_BAFO_2008 0606_M1" xfId="6174"/>
    <cellStyle name="_2006_0317 Ernestine_Cooper Cost Feedback_RFQ_River_BAFO_2008 0606_M1_Stream Quotebook (Submittal)_POC2_20081117-1" xfId="6175"/>
    <cellStyle name="_2006_0317 Ernestine_Cooper Cost Feedback_RFQ_River_BAFO_2008 0606_M1_Stream Quotebook(Submittal)_POC1_20080903" xfId="6176"/>
    <cellStyle name="_2006_0317 Ernestine_Cooper Cost Feedback_RFQ_River_BAFO_2008 0606_M1_Stream Quotebook(Submittal)_POC1_20080903 2" xfId="6177"/>
    <cellStyle name="差_Creak Pearl Reliability Fixture RFQ_2009 04 24_Xl0000002_Squirrel RFQ ME BOM Costs-0623_Bolt RFQ Proposal_Foxlink_ (Pricing Summary) 2 25 2011 6" xfId="6178"/>
    <cellStyle name="_2006_0317 Ernestine_Cooper Cost Feedback_Stream RFQ Unibom--0626-1756" xfId="6179"/>
    <cellStyle name="差_dallas產能評估_Dallas flow chart&amp;設備&amp;治工具清單(12-8 A0)_效益分析(總 12-28 Update)_squirrel效益分析08-17" xfId="6180"/>
    <cellStyle name="Normal 2 4 2 6" xfId="6181"/>
    <cellStyle name="_2006_0317 Ernestine_Cooper Cost Feedback_Stream RFQ Unibom--0626-1756 2" xfId="6182"/>
    <cellStyle name="差_Creak Pearl Reliability Fixture RFQ_2009 04 24_Creek RFQ feedback 04_28_2009_FD Update_Leopard Lemur Squirrel UniBom-06.22.2010_EE cost _update_internal 2 2 2" xfId="6183"/>
    <cellStyle name="差_Bolt RFQ Proposal_Foxlink_ (Pricing Summary) 2 25 2011 7" xfId="6184"/>
    <cellStyle name="_2006_0317 Ernestine_Cooper Cost Feedback_Stream RFQ Unibom--0626-1756_Stream Package Quotation_20090311" xfId="6185"/>
    <cellStyle name="_2006_0317 Ernestine_Cooper Cost Feedback_Stream RFQ Unibom--0626-1756_Stream Quotebook(Submittal)_POC1_20080903" xfId="6186"/>
    <cellStyle name="_2006_0319 Ernestine_Cooper Cost Feedback" xfId="6187"/>
    <cellStyle name="_2006_0319 Ernestine_Cooper Cost Feedback 2" xfId="6188"/>
    <cellStyle name="_2006_0319 Ernestine_Cooper Cost Feedback_Erie  Mouse RFQ Pricing IE" xfId="6189"/>
    <cellStyle name="差_Xl0000002_Leopard_UniBOM_ME_0602_Bolt RFQ Proposal_Foxlink_ (Pricing Summary) 2 25 2011 7" xfId="6190"/>
    <cellStyle name="差_dallas產能評估_效益分析(總 12-28 Update)_~1159284" xfId="6191"/>
    <cellStyle name="_2006_0319 Ernestine_Cooper Cost Feedback_Internal RFQ River Standalone  Bundle Unibom_v1 2_20080603_EJ" xfId="6192"/>
    <cellStyle name="_Flex Mechanicals Doumen Sales forecast - Jan.06-updated_Volume Fcst 1006 updated_Copy of Tom OS ( Oct) new for LOG_Budget GC Other Form" xfId="6193"/>
    <cellStyle name="_2006_0319 Ernestine_Cooper Cost Feedback_Internal RFQ River Standalone  Bundle Unibom_v1 2_20080603_EJ_Stream Package Quotation_20090311" xfId="6194"/>
    <cellStyle name="好_Erie Trial run  QA Report-1103" xfId="6195"/>
    <cellStyle name="_2006_0319 Ernestine_Cooper Cost Feedback_Quotebook_07SEP10 2" xfId="6196"/>
    <cellStyle name="Total 4 2 2" xfId="6197"/>
    <cellStyle name="_2006_0319 Ernestine_Cooper Cost Feedback_Quotebook_07SEP10_BlueAnt_Quotebook_V3_07SEP11 2" xfId="6198"/>
    <cellStyle name="_9月ict f.t" xfId="6199"/>
    <cellStyle name="好_Creek Assembly Fixture  Test Equipment RFQ_20090427_Bolt RFQ_Foxlink_03.1 2011_Bolt_Cliff 4" xfId="6200"/>
    <cellStyle name="_OP1 DPO Forecast Final_PL Forecast by segment-most final 0806_Copy of Tom OS ( Oct) new for LOG_2009 xBOX ramp up budget code applicaiton" xfId="6201"/>
    <cellStyle name="_2006_0319 Ernestine_Cooper Cost Feedback_Quotebook_07SEP10_BlueAnt_Quotebook_V3_07SEP11_Internal RFQ River Standalone  Bundle Unibom_v1 2_20080603_EJ" xfId="6202"/>
    <cellStyle name="_2006_0319 Ernestine_Cooper Cost Feedback_Quotebook_07SEP10_BlueAnt_Quotebook_V3_07SEP11_Internal RFQ River Standalone  Bundle Unibom_v1 2_20080603_EJ 2" xfId="6203"/>
    <cellStyle name="差_jupite r設備&amp;治工具LIST (總)_Flow chart and Fixture(Jackson)_A1_Jackson 效益分析 (2-1 B0 上系統)_Leopard Flowchart &amp; 產能評估" xfId="6204"/>
    <cellStyle name="_2006_0319 Ernestine_Cooper Cost Feedback_Quotebook_07SEP10_BlueAnt_Quotebook_V3_07SEP11_Internal RFQ River Standalone  Bundle Unibom_v1 2_20080603_EJ_Stream Package Quotation_20090311" xfId="6205"/>
    <cellStyle name="_2008_9-12 損益統計實績_v2_20081205" xfId="6206"/>
    <cellStyle name="_2006_0319 Ernestine_Cooper Cost Feedback_Quotebook_07SEP10_BlueAnt_Quotebook_V3_07SEP11_Internal RFQ River Standalone  Bundle Unibom_v1 2_20080603_EJ_Stream Quotebook(Submittal)_POC1_20080903" xfId="6207"/>
    <cellStyle name="_2006_0319 Ernestine_Cooper Cost Feedback_Quotebook_07SEP10_BlueAnt_Quotebook_V3_07SEP11_RFQ_River_BAFO_2008 0606_M1_Stream Package Quotation_20090311" xfId="6208"/>
    <cellStyle name="差_F3   SMT設備明細_Erie 效益分析 (Update)_Flow Chart&amp;設備治工具清單 _squirrel效益分析08-17" xfId="6209"/>
    <cellStyle name="_2006_0319 Ernestine_Cooper Cost Feedback_Quotebook_07SEP10_BlueAnt_Quotebook_V3_07SEP11_RFQ_River_BAFO_2008 0606_M1_Stream Quotebook (Submittal)_POC2_20081117-1" xfId="6210"/>
    <cellStyle name="好_River EE BOM_Creek RFQ feedback 04_28_2009_FD Update_Leopard_UniBOM_ME_0602 2 2 3" xfId="6211"/>
    <cellStyle name="7" xfId="6212"/>
    <cellStyle name="_2006_0319 Ernestine_Cooper Cost Feedback_Quotebook_07SEP10_BlueAnt_Quotebook_V3_07SEP11_RFQ_River_BAFO_2008 0606_M1_Stream Quotebook(Submittal)_POC1_20080903" xfId="6213"/>
    <cellStyle name="_2006_0319 Ernestine_Cooper Cost Feedback_Quotebook_07SEP10_BlueAnt_Quotebook_V3_07SEP11_RFQ_River_BAFO_2008 0606_M1_Stream Quotebook(Submittal)_POC1_20080903 2" xfId="6214"/>
    <cellStyle name="_2006_0319 Ernestine_Cooper Cost Feedback_Quotebook_07SEP10_BlueAnt_Quotebook_V3_07SEP11_Stream RFQ Unibom--0626-1756_Stream Package Quotation_20090311" xfId="6215"/>
    <cellStyle name="_2006_0319 Ernestine_Cooper Cost Feedback_Quotebook_07SEP10_BlueAnt_Quotebook_V3_07SEP11_Stream RFQ Unibom--0626-1756_Stream Quotebook (Submittal)_POC2_20081117-1" xfId="6216"/>
    <cellStyle name="差_Xl0000002_Leopard_UniBOM_ME_0531_Bolt RFQ Proposal_Foxlink_ (Pricing Summary) 2 25 2011 3" xfId="6217"/>
    <cellStyle name="_2006_0319 Ernestine_Cooper Cost Feedback_Quotebook_07SEP10_Internal RFQ River Standalone  Bundle Unibom_v1 2_20080603_EJ 2" xfId="6218"/>
    <cellStyle name="差_Creek RFQ feedback 04_28_2009_FD Update_Leopard UniBom_Foxlink_6 21 2010-ME_nego_Bolt RFQ_Foxlink_03.1 2011" xfId="6219"/>
    <cellStyle name="40% - Accent5 3 2 2" xfId="6220"/>
    <cellStyle name="_PL Forecast by segment-most final 0806_Tom OS ( Oct)_Copy of X-BOX for line setup budget" xfId="6221"/>
    <cellStyle name="_2006_0319 Ernestine_Cooper Cost Feedback_Quotebook_07SEP10_Internal RFQ River Standalone  Bundle Unibom_v1 2_20080603_EJ_Stream Package Quotation_20090311" xfId="6222"/>
    <cellStyle name="好_River EE BOM_Creak Pearl Reliability Fixture RFQ_2009 04 24_Pearl RFQ(Submittal)ver2_05_12_2009 _Leopard UniBom_Foxlink_6 21 2010-ME_nego_Bolt RFQ Proposal_Foxlink_ (Pricing Summary) 2 25 2011 4 2" xfId="6223"/>
    <cellStyle name="_2006_0319 Ernestine_Cooper Cost Feedback_Quotebook_07SEP10_Internal RFQ River Standalone  Bundle Unibom_v1 2_20080603_EJ_Stream Quotebook (Submittal)_POC2_20081117-1" xfId="6224"/>
    <cellStyle name="_2006_0319 Ernestine_Cooper Cost Feedback_Quotebook_07SEP10_Internal RFQ River Standalone  Bundle Unibom_v1 2_20080603_EJ_Stream Quotebook(Submittal)_POC1_20080903" xfId="6225"/>
    <cellStyle name="_2006_0319 Ernestine_Cooper Cost Feedback_Quotebook_07SEP10_Internal RFQ River Standalone  Bundle Unibom_v1 2_20080603_EJ_Stream Quotebook(Submittal)_POC1_20080903 2" xfId="6226"/>
    <cellStyle name="差_Creak Pearl Reliability Fixture RFQ_2009 04 24_Creek  Pearl RFQ_May 12_Leopard UniBom_Foxlink_6 21 2010-ME_nego_Bolt RFQ Proposal_Foxlink_ (Pricing Summary) 2 25 2011 3 3" xfId="6227"/>
    <cellStyle name="_2006_0319 Ernestine_Cooper Cost Feedback_Quotebook_07SEP10_RFQ_River_BAFO_2008 0606_M1" xfId="6228"/>
    <cellStyle name="差_dallas產能評估_Dallas效益分析&amp;投資回收期 (12-2 A1)_Flow chart and Fixture(Jackson)_A1_Jackson 效益分析 (2-1 B0 上系統)_Leopard效益分析08-17" xfId="6229"/>
    <cellStyle name="_2006_0319 Ernestine_Cooper Cost Feedback_Quotebook_07SEP10_RFQ_River_BAFO_2008 0606_M1 2" xfId="6230"/>
    <cellStyle name="差_Flow Chart&amp;PQ分析(12-1)_效益分析(總 12-28 Update)_Jackson 效益分析 (2-1 B0 上系統)_Leopard Flowchart &amp; 產能評估" xfId="6231"/>
    <cellStyle name="壞_Creek Assembly Fixture  Test Equipment RFQ_20090427_Xl0000002_Leopard Lemur Squirrel UniBom-06.22.2010_EE cost _update_internal_Bolt RFQ Proposal_Foxlink_ (Pricing Summary) 2 25 2011 5 3" xfId="6232"/>
    <cellStyle name="_2006_0319 Ernestine_Cooper Cost Feedback_Quotebook_07SEP10_RFQ_River_BAFO_2008 0606_M1_Stream Quotebook(Submittal)_POC1_20080903 2" xfId="6233"/>
    <cellStyle name="_2006_0319 Ernestine_Cooper Cost Feedback_Quotebook_07SEP10_Stream RFQ Unibom--0626-1756_Stream Quotebook (Submittal)_POC2_20081117-1" xfId="6234"/>
    <cellStyle name="_Mechanical Contribution Margins (Q2'06) 0705_PL Fcst Jul 06-updated G&amp;A Value_X-BOX Console line setup budget and Buyer list" xfId="6235"/>
    <cellStyle name="_2006_0319 Ernestine_Cooper Cost Feedback_Quotebook_07SEP10_Stream RFQ Unibom--0626-1756_Stream Quotebook(Submittal)_POC1_20080903" xfId="6236"/>
    <cellStyle name="_2006_0319 Ernestine_Cooper Cost Feedback_Quotebook_07SEP10_Stream RFQ Unibom--0626-1756_Stream Quotebook(Submittal)_POC1_20080903 2" xfId="6237"/>
    <cellStyle name="_2006_0319 Ernestine_Cooper Cost Feedback_Quotebook_V3_07SEP11" xfId="6238"/>
    <cellStyle name="_Asus Killerbee PMT 0807_B" xfId="6239"/>
    <cellStyle name="_BOM_BlueVox (Wiima) &amp; BCM2044 v03022007_Squirrel UniBom_Foxlink_6 28 2010" xfId="6240"/>
    <cellStyle name="_Alvin-Development NRE_RFQ_River_BAFO_2008 0606_M1_Stream Quotebook(Submittal)_POC1_20080903" xfId="6241"/>
    <cellStyle name="差_dallas產能評估_Dallas效益分析&amp;投資回收期 (12-2 A1)_Leopard效益分析08-17" xfId="6242"/>
    <cellStyle name="_2006_0319 Ernestine_Cooper Cost Feedback_Quotebook_V3_07SEP11_Internal RFQ River Standalone  Bundle Unibom_v1 2_20080603_EJ" xfId="6243"/>
    <cellStyle name="_2006_0409 Ernestine_Cooper tooling_Quotebook_V3_07SEP11_Stream RFQ Unibom--0626-1756" xfId="6244"/>
    <cellStyle name="差_Creak Pearl Reliability Fixture RFQ_2009 04 24_Squirrel UniBom_Foxlink_6 28 2010" xfId="6245"/>
    <cellStyle name="_PL Forecast Comparison_Mech Doumen2006_1(preliminary)_Volume Fcst 1006 updated_Copy of Tom OS ( Oct) new for LOG_X-BOX Console line setup budget 20080414" xfId="6246"/>
    <cellStyle name="_2006_0319 Ernestine_Cooper Cost Feedback_Quotebook_V3_07SEP11_Internal RFQ River Standalone  Bundle Unibom_v1 2_20080603_EJ_Stream Package Quotation_20090311" xfId="6247"/>
    <cellStyle name="_2006_0319 Ernestine_Cooper Cost Feedback_Quotebook_V3_07SEP11_Internal RFQ River Standalone  Bundle Unibom_v1 2_20080603_EJ_Stream Quotebook(Submittal)_POC1_20080903" xfId="6248"/>
    <cellStyle name="好_Creek EE BOM cost_20090425_Leopard UniBom-06 22 2010_update_internal" xfId="6249"/>
    <cellStyle name="Copied" xfId="6250"/>
    <cellStyle name="_2006_0319 Ernestine_Cooper Cost Feedback_Quotebook_V3_07SEP11_RFQ_River_BAFO_2008 0606_M1" xfId="6251"/>
    <cellStyle name="Accent3 17" xfId="6252"/>
    <cellStyle name="_2006_0319 Ernestine_Cooper Cost Feedback_Quotebook_V3_07SEP11_RFQ_River_BAFO_2008 0606_M1_Stream Package Quotation_20090311" xfId="6253"/>
    <cellStyle name="_Seagate FLAGSHIP DESKTOP ME bom cost_Rev.A2 5" xfId="6254"/>
    <cellStyle name="好_River EE BOM_Creek RFQ feedback 04_28_2009_FD Update_Leopard RFQ ME BOM Costs-0618_Bolt RFQ_Foxlink_03.1 2011_nego meeting@MACH 2 3" xfId="6255"/>
    <cellStyle name="Normal 5 17 2" xfId="6256"/>
    <cellStyle name="_2006_0319 Ernestine_Cooper Cost Feedback_Quotebook_V3_07SEP11_RFQ_River_BAFO_2008 0606_M1_Stream Quotebook(Submittal)_POC1_20080903 2" xfId="6257"/>
    <cellStyle name="_2006_0410b Ernestine_Cooper tooling and plastic price to MS_Quotebook_07SEP10_RFQ_River_BAFO_2008 0606_M1_Stream Package Quotation_20090311" xfId="6258"/>
    <cellStyle name="壞_Creek Assembly Fixture  Test Equipment RFQ_20090427_Xl0000002_Squirrel UniBom-06.23.2010_update_internal 4 3" xfId="6259"/>
    <cellStyle name="_2006_0319 Ernestine_Cooper Cost Feedback_Quotebook_V3_07SEP11_Stream RFQ Unibom--0626-1756" xfId="6260"/>
    <cellStyle name="_Opex_P2 Waynea review" xfId="6261"/>
    <cellStyle name="_2006_0319 Ernestine_Cooper Cost Feedback_Quotebook_V3_07SEP11_Stream RFQ Unibom--0626-1756_Stream Package Quotation_20090311" xfId="6262"/>
    <cellStyle name="_Flex Mechanicals Doumen Sales forecast - Jan.06_Internal Hourly Rate Q1 FY08 Version 06142007 excl. Corporate Allocation_Internal Hourly Rate Q1 FY08 Version (2)" xfId="6263"/>
    <cellStyle name="_2006_0319 Ernestine_Cooper Cost Feedback_Quotebook_V3_07SEP11_Stream RFQ Unibom--0626-1756_Stream Quotebook (Submittal)_POC2_20081117-1" xfId="6264"/>
    <cellStyle name="差_Xl0000000_Squirrel RFQ ME BOM Costs-0623_Bolt RFQ_Foxlink_03.1 2011 2 2" xfId="6265"/>
    <cellStyle name="好_River EE BOM_Xl0000002_Leopard UniBom_Foxlink_6 21 2010-ME_nego 3" xfId="6266"/>
    <cellStyle name="好_River EE BOM_Creak Pearl Reliability Fixture RFQ_2009 04 24_Creek RFQ feedback 04_28_2009_FD Update_Bolt RFQ Proposal_Foxlink_ (Pricing Summary) 2 25 2011 2 3" xfId="6267"/>
    <cellStyle name="_2006_0319 Ernestine_Cooper Cost Feedback_Quotebook_V3_07SEP11_Stream RFQ Unibom--0626-1756_Stream Quotebook(Submittal)_POC1_20080903" xfId="6268"/>
    <cellStyle name="_2006_0409 Ernestine_Cooper tooling and plastic price to MS_Quotebook_V3_07SEP11_RFQ_River_BAFO_2008 0606_M1_Stream Quotebook (Submittal)_POC2_20081117-1" xfId="6269"/>
    <cellStyle name="Normal 5 3 2 4 3" xfId="6270"/>
    <cellStyle name="_Final Otter-UniBOM_10-25-2005_Quotebook_07SEP10_Stream RFQ Unibom--0626-1756_Stream Quotebook(Submittal)_POC1_20080903 2" xfId="6271"/>
    <cellStyle name="_2006_0319 Ernestine_Cooper Cost Feedback_RFQ_River_BAFO_2008 0606_M1_Stream Quotebook(Submittal)_POC1_20080903" xfId="6272"/>
    <cellStyle name="_2006_0319 Ernestine_Cooper Cost Feedback_RFQ_River_BAFO_2008 0606_M1_Stream Quotebook(Submittal)_POC1_20080903 2" xfId="6273"/>
    <cellStyle name="_2006_0319 Ernestine_Cooper Cost Feedback_Stream RFQ Unibom--0626-1756" xfId="6274"/>
    <cellStyle name="差_Creak Pearl Reliability Fixture RFQ_2009 04 24_Creek RFQ feedback 04_28_2009_FD Update_Jackson and Shadow BOM cost_mainfile_2010 0324 rev.1" xfId="6275"/>
    <cellStyle name="_2006_0319 Ernestine_Cooper Cost Feedback_Stream RFQ Unibom--0626-1756_Stream Quotebook(Submittal)_POC1_20080903 2" xfId="6276"/>
    <cellStyle name="好_River EE BOM_Creak Pearl Reliability Fixture RFQ_2009 04 24_Creek  Pearl RFQ_May 12_Bolt RFQ_Foxlink_03.1 2011 2 2" xfId="6277"/>
    <cellStyle name="_2006_0329 Ernestine_Cooper Cost Feedback" xfId="6278"/>
    <cellStyle name="_2008年營運績效_v4_20090105" xfId="6279"/>
    <cellStyle name="好_foxlink Bristol for 10063D-2010-10-11_Bristol ME parts tooling cost 20101022 updated" xfId="6280"/>
    <cellStyle name="_2006_0329 Ernestine_Cooper Cost Feedback_Erie  Mouse RFQ Pricing IE" xfId="6281"/>
    <cellStyle name="差_jupite r設備&amp;治工具LIST (總)_Dallas flow chart&amp;設備&amp;治工具清單(12-8 A0)_Flow chart and Fixture(Jackson)_A1_Jackson 效益分析 (2-1 B0 上系統)" xfId="6282"/>
    <cellStyle name="_Opex_Sheet1" xfId="6283"/>
    <cellStyle name="_2006_0329 Ernestine_Cooper Cost Feedback_Internal RFQ River Standalone  Bundle Unibom_v1 2_20080603_EJ" xfId="6284"/>
    <cellStyle name="_2006_0329 Ernestine_Cooper Cost Feedback_Internal RFQ River Standalone  Bundle Unibom_v1 2_20080603_EJ 2" xfId="6285"/>
    <cellStyle name="_7月月管審附件.xls 圖表 1_0540周直通率8D1_複本 0541周周管審" xfId="6286"/>
    <cellStyle name="Currency 2 14" xfId="6287"/>
    <cellStyle name="_2006_0329 Ernestine_Cooper Cost Feedback_Internal RFQ River Standalone  Bundle Unibom_v1 2_20080603_EJ_Stream Package Quotation_20090311" xfId="6288"/>
    <cellStyle name="_2006_0329 Ernestine_Cooper Cost Feedback_Internal RFQ River Standalone  Bundle Unibom_v1 2_20080603_EJ_Stream Quotebook(Submittal)_POC1_20080903" xfId="6289"/>
    <cellStyle name="_2006_0410b Ernestine_Cooper tooling and plastic price to MS_RFQ_River_BAFO_2008 0606_M1_Stream Quotebook(Submittal)_POC1_20080903" xfId="6290"/>
    <cellStyle name="_2006_0329 Ernestine_Cooper Cost Feedback_Internal RFQ River Standalone  Bundle Unibom_v1 2_20080603_EJ_Stream Quotebook(Submittal)_POC1_20080903 2" xfId="6291"/>
    <cellStyle name="Total 8 2 3" xfId="6292"/>
    <cellStyle name="_2006_0329 Ernestine_Cooper Cost Feedback_Quotebook_07SEP10_BlueAnt_Quotebook_V3_07SEP11 2" xfId="6293"/>
    <cellStyle name="差_jupite r設備&amp;治工具LIST (總)_Flow Chart&amp;PQ分析(12-1)_~5631336" xfId="6294"/>
    <cellStyle name="_2006_0329 Ernestine_Cooper Cost Feedback_Quotebook_07SEP10_BlueAnt_Quotebook_V3_07SEP11_Internal RFQ River Standalone  Bundle Unibom_v1 2_20080603_EJ" xfId="6295"/>
    <cellStyle name="好_Creek Assembly Fixture  Test Equipment RFQ_20090427_Xl0000002_Foxlink_Shadow RFQ NREUni BOM_12032009_Bolt RFQ Proposal_Foxlink_ (Pricing Summary) 2 25 2011 5 3" xfId="6296"/>
    <cellStyle name="_2006_0329 Ernestine_Cooper Cost Feedback_Quotebook_07SEP10_BlueAnt_Quotebook_V3_07SEP11_Internal RFQ River Standalone  Bundle Unibom_v1 2_20080603_EJ 2" xfId="6297"/>
    <cellStyle name="_2006_0329 Ernestine_Cooper Cost Feedback_Quotebook_07SEP10_BlueAnt_Quotebook_V3_07SEP11_RFQ_River_BAFO_2008 0606_M1" xfId="6298"/>
    <cellStyle name="_2006_0329 Ernestine_Cooper Cost Feedback_Quotebook_07SEP10_BlueAnt_Quotebook_V3_07SEP11_RFQ_River_BAFO_2008 0606_M1_Stream Quotebook (Submittal)_POC2_20081117-1" xfId="6299"/>
    <cellStyle name="差_Creak Pearl Reliability Fixture RFQ_2009 04 24_Pearl RFQ(Submittal)ver2_05_12_2009 _Leopard RFQ ME BOM Costs-0618_Bolt RFQ Proposal_Foxlink_ (Pricing Summary) 2 25 2011 5" xfId="6300"/>
    <cellStyle name="_Alvin Plastics RFQ Worksheets - Nypro 062807_Stream RFQ Unibom--0626-1756_Stream Quotebook (Submittal)_POC2_20081117-1" xfId="6301"/>
    <cellStyle name="差_Creak Pearl Reliability Fixture RFQ_2009 04 24_Pearl RFQ(Submittal)ver2_05_12_2009 _Leopard UniBom_Foxlink_6 21 2010-ME_nego_Bolt RFQ_Foxlink_03.1 2011_nego meeting@MACH 2 2" xfId="6302"/>
    <cellStyle name="_2006_0329 Ernestine_Cooper Cost Feedback_Quotebook_07SEP10_BlueAnt_Quotebook_V3_07SEP11_RFQ_River_BAFO_2008 0606_M1_Stream Quotebook(Submittal)_POC1_20080903" xfId="6303"/>
    <cellStyle name="好_Creek EE BOM cost_20090425_Creek RFQ feedback 04_28_2009_FD Update_Squirrel UniBom_Foxlink_6 28 2010" xfId="6304"/>
    <cellStyle name="_bom updated on 2002-11-10_Mustang production sample quotation (internal review)3-12-09 Rev3" xfId="6305"/>
    <cellStyle name="_2006_0329 Ernestine_Cooper Cost Feedback_Quotebook_07SEP10_BlueAnt_Quotebook_V3_07SEP11_RFQ_River_BAFO_2008 0606_M1_Stream Quotebook(Submittal)_POC1_20080903 2" xfId="6306"/>
    <cellStyle name="_2006_0329 Ernestine_Cooper Cost Feedback_Quotebook_07SEP10_BlueAnt_Quotebook_V3_07SEP11_Stream RFQ Unibom--0626-1756" xfId="6307"/>
    <cellStyle name="差_Xl0000002_Leopard RFQ ME BOM Costs-0618_Bolt RFQ_Foxlink_03.1 2011 3" xfId="6308"/>
    <cellStyle name="_2006_0329 Ernestine_Cooper Cost Feedback_Quotebook_07SEP10_BlueAnt_Quotebook_V3_07SEP11_Stream RFQ Unibom--0626-1756 2" xfId="6309"/>
    <cellStyle name="差_Xl0000002_Leopard RFQ ME BOM Costs-0618_Bolt RFQ_Foxlink_03.1 2011 3 2" xfId="6310"/>
    <cellStyle name="差_jupite r設備&amp;治工具LIST (總)_Flow Chart&amp;PQ分析(12-1)_Flow Chart&amp;設備治工具清單 _Leopard效益分析08-17" xfId="6311"/>
    <cellStyle name="_2006_0329 Ernestine_Cooper Cost Feedback_Quotebook_07SEP10_BlueAnt_Quotebook_V3_07SEP11_Stream RFQ Unibom--0626-1756_Stream Package Quotation_20090311" xfId="6312"/>
    <cellStyle name="_Flextronics Radon  Build Plan 4-27-2005_Capacity demand for Radon 200k_Scenario 1 of recovery until 1102_Tester Demand Plan 062707" xfId="6313"/>
    <cellStyle name="_2006_0329 Ernestine_Cooper Cost Feedback_Quotebook_07SEP10_BlueAnt_Quotebook_V3_07SEP11_Stream RFQ Unibom--0626-1756_Stream Quotebook (Submittal)_POC2_20081117-1" xfId="6314"/>
    <cellStyle name="好_Creek EE BOM cost_20090425_Leopard RFQ ME BOM Costs-0618-2_Bolt RFQ Proposal_Foxlink_ (Pricing Summary) 2 25 2011 7" xfId="6315"/>
    <cellStyle name="_2006_0329 Ernestine_Cooper Cost Feedback_Quotebook_07SEP10_Internal RFQ River Standalone  Bundle Unibom_v1 2_20080603_EJ" xfId="6316"/>
    <cellStyle name="_工作表 在 Weekly report (W35)2008.8" xfId="6317"/>
    <cellStyle name="_2006_0329 Ernestine_Cooper Cost Feedback_Quotebook_07SEP10_Internal RFQ River Standalone  Bundle Unibom_v1 2_20080603_EJ 2" xfId="6318"/>
    <cellStyle name="20% - 强调文字颜色 2 2 4" xfId="6319"/>
    <cellStyle name="_2006_0329 Ernestine_Cooper Cost Feedback_Quotebook_07SEP10_Internal RFQ River Standalone  Bundle Unibom_v1 2_20080603_EJ_Stream Package Quotation_20090311" xfId="6320"/>
    <cellStyle name="_Mechanical Contribution Margins (Q2'06) 0705_Mechanical Contribution Margins forecast 0506 FP_Volume Fcst 1006 updated_Tom OS ( Oct)_Copy of X-BOX for line setup budget" xfId="6321"/>
    <cellStyle name="_2006_0329 Ernestine_Cooper Cost Feedback_Quotebook_07SEP10_Internal RFQ River Standalone  Bundle Unibom_v1 2_20080603_EJ_Stream Quotebook(Submittal)_POC1_20080903" xfId="6322"/>
    <cellStyle name="差_Creak Pearl Reliability Fixture RFQ_2009 04 24_Pearl RFQ(Submittal)ver2_05_12_2009 _Leopard_UniBOM_ME_0531_Bolt RFQ_Foxlink_03.1 2011_nego meeting@MACH 3 2" xfId="6323"/>
    <cellStyle name="_EMC Koto DDP Durham - 20040707_Lenovo PACK  Packing Proposal" xfId="6324"/>
    <cellStyle name="_2006_0329 Ernestine_Cooper Cost Feedback_Quotebook_07SEP10_RFQ_River_BAFO_2008 0606_M1" xfId="6325"/>
    <cellStyle name="差_F3   SMT設備明細_jupite r設備&amp;治工具LIST (總)_Flow chart and Fixture(1-4)_Jackson 效益分析 (2-1 B0 上系統)_squirrel效益分析08-17" xfId="6326"/>
    <cellStyle name="好_Creek Assembly Fixture  Test Equipment RFQ_20090427_Leopard RFQ ME BOM Costs-0618_Bolt RFQ_Foxlink_03.1 2011_nego meeting@MACH_Bolt_Cliff 6" xfId="6327"/>
    <cellStyle name="_Depot Capacity Rev02 040605-Rev1-2 modified_Forecast Template v2_2009 xBOX ramp up budget code applicaiton 300K --New May26 (3)" xfId="6328"/>
    <cellStyle name="_2006_0329 Ernestine_Cooper Cost Feedback_Quotebook_07SEP10_RFQ_River_BAFO_2008 0606_M1 2" xfId="6329"/>
    <cellStyle name="好_River EE BOM_Creek RFQ feedback 04_28_2009_FD Update_Squirrel RFQ ME BOM Costs-0623_Bolt RFQ Proposal_Foxlink_ (Pricing Summary) 2 25 2011 7" xfId="6330"/>
    <cellStyle name="_2006_0410b Ernestine_Cooper tooling and plastic price to MS_Quotebook_07SEP10_Internal RFQ River Standalone  Bundle Unibom_v1 2_20080603_EJ_Stream Quotebook(Submittal)_POC1_20080903 2" xfId="6331"/>
    <cellStyle name="_2006_0329 Ernestine_Cooper Cost Feedback_Quotebook_07SEP10_RFQ_River_BAFO_2008 0606_M1_Stream Quotebook(Submittal)_POC1_20080903" xfId="6332"/>
    <cellStyle name="_2006_0329 Ernestine_Cooper Cost Feedback_Quotebook_07SEP10_Stream RFQ Unibom--0626-1756" xfId="6333"/>
    <cellStyle name="_2006_0329 Ernestine_Cooper Cost Feedback_Quotebook_07SEP10_Stream RFQ Unibom--0626-1756_Stream Quotebook(Submittal)_POC1_20080903 2" xfId="6334"/>
    <cellStyle name="_2006_0329 Ernestine_Cooper Cost Feedback_Quotebook_V3_07SEP11" xfId="6335"/>
    <cellStyle name="_2006_0409 Ernestine_Cooper tooling and plastic price to MS_Internal RFQ River Standalone  Bundle Unibom_v1 2_20080603_EJ" xfId="6336"/>
    <cellStyle name="_2006_0409 Ernestine_Cooper tooling_Quotebook_07SEP10_RFQ_River_BAFO_2008 0606_M1_Stream Quotebook (Submittal)_POC2_20081117-1" xfId="6337"/>
    <cellStyle name="_2006_0329 Ernestine_Cooper Cost Feedback_Quotebook_V3_07SEP11 2" xfId="6338"/>
    <cellStyle name="_2006_0409 Ernestine_Cooper tooling and plastic price to MS_Internal RFQ River Standalone  Bundle Unibom_v1 2_20080603_EJ 2" xfId="6339"/>
    <cellStyle name="一般 88" xfId="6340"/>
    <cellStyle name="一般 93" xfId="6341"/>
    <cellStyle name="_2006_0329 Ernestine_Cooper Cost Feedback_Quotebook_V3_07SEP11_Internal RFQ River Standalone  Bundle Unibom_v1 2_20080603_EJ" xfId="6342"/>
    <cellStyle name="好_River EE BOM_Creak Pearl Reliability Fixture RFQ_2009 04 24_Xl0000002_Leopard_UniBOM_ME_0602_Bolt RFQ_Foxlink_03.1 2011 3" xfId="6343"/>
    <cellStyle name="一般 88 2" xfId="6344"/>
    <cellStyle name="_2006_0329 Ernestine_Cooper Cost Feedback_Quotebook_V3_07SEP11_Internal RFQ River Standalone  Bundle Unibom_v1 2_20080603_EJ 2" xfId="6345"/>
    <cellStyle name="差_Creak Pearl Reliability Fixture RFQ_2009 04 24_Foxlink_Shadow RFQ NREUni BOM_12032009_Bolt RFQ Proposal_Foxlink_ (Pricing Summary) 2 25 2011" xfId="6346"/>
    <cellStyle name="_2006_0329 Ernestine_Cooper Cost Feedback_Quotebook_V3_07SEP11_Internal RFQ River Standalone  Bundle Unibom_v1 2_20080603_EJ_Stream Package Quotation_20090311" xfId="6347"/>
    <cellStyle name="_2006_0329 Ernestine_Cooper Cost Feedback_Quotebook_V3_07SEP11_Internal RFQ River Standalone  Bundle Unibom_v1 2_20080603_EJ_Stream Quotebook (Submittal)_POC2_20081117-1" xfId="6348"/>
    <cellStyle name="_2006_0329 Ernestine_Cooper Cost Feedback_Quotebook_V3_07SEP11_Internal RFQ River Standalone  Bundle Unibom_v1 2_20080603_EJ_Stream Quotebook(Submittal)_POC1_20080903" xfId="6349"/>
    <cellStyle name="好_Creek Assembly Fixture  Test Equipment RFQ_20090427_Leopard Lemur Squirrel UniBom-06.22.2010_EE cost _update_internal_Bolt RFQ_Foxlink_03.1 2011_nego meeting@MACH_Bolt_Cliff 2 2 2" xfId="6350"/>
    <cellStyle name="_2006_0406 Ernestine_Cooper tooling_Quotebook_V3_07SEP11_Stream RFQ Unibom--0626-1756" xfId="6351"/>
    <cellStyle name="_Flextronics Radon  Build Plan 4-27-2005_Production Head Count Arrangement 01-24-07_Scenario 1 of recovery until 1102_Tester Demand Plan 062707" xfId="6352"/>
    <cellStyle name="好_River EE BOM_Creek RFQ feedback 04_28_2009_FD Update_Leopard RFQ ME BOM Costs-0618-2_Bolt RFQ Proposal_Foxlink_ (Pricing Summary) 2 25 2011" xfId="6353"/>
    <cellStyle name="_2006_0329 Ernestine_Cooper Cost Feedback_Quotebook_V3_07SEP11_RFQ_River_BAFO_2008 0606_M1" xfId="6354"/>
    <cellStyle name="好_River EE BOM_Creak Pearl Reliability Fixture RFQ_2009 04 24_Pearl RFQ(Submittal)ver2_05_12_2009 _Squirrel UniBom-06.23.2010_update_internal_Bolt RFQ Proposal_Foxlink_ (Pricing Summary) 2 25 2011 5" xfId="6355"/>
    <cellStyle name="_2006_0406 Ernestine_Cooper tooling_Quotebook_V3_07SEP11_Stream RFQ Unibom--0626-1756 2" xfId="6356"/>
    <cellStyle name="好_River EE BOM_Creek RFQ feedback 04_28_2009_FD Update_Leopard RFQ ME BOM Costs-0618-2_Bolt RFQ Proposal_Foxlink_ (Pricing Summary) 2 25 2011 2" xfId="6357"/>
    <cellStyle name="_2006_0329 Ernestine_Cooper Cost Feedback_Quotebook_V3_07SEP11_RFQ_River_BAFO_2008 0606_M1 2" xfId="6358"/>
    <cellStyle name="好_River EE BOM_Creak Pearl Reliability Fixture RFQ_2009 04 24_Bolt RFQ Proposal_Foxlink_ (Pricing Summary) 2 25 2011 4 3" xfId="6359"/>
    <cellStyle name="好_River EE BOM_Xl0000002_Leopard_UniBOM_ME_0602_Bolt RFQ Proposal_Foxlink_ (Pricing Summary) 2 25 2011 2" xfId="6360"/>
    <cellStyle name="_8月部門領退料" xfId="6361"/>
    <cellStyle name="_2006_0406 Ernestine_Cooper tooling_Quotebook_V3_07SEP11_Stream RFQ Unibom--0626-1756_Stream Package Quotation_20090311" xfId="6362"/>
    <cellStyle name="_2006_0329 Ernestine_Cooper Cost Feedback_Quotebook_V3_07SEP11_RFQ_River_BAFO_2008 0606_M1_Stream Package Quotation_20090311" xfId="6363"/>
    <cellStyle name="_2006_0406 Ernestine_Cooper tooling_Quotebook_V3_07SEP11_Stream RFQ Unibom--0626-1756_Stream Quotebook(Submittal)_POC1_20080903 2" xfId="6364"/>
    <cellStyle name="差_Bristol RFQ response _20101102_internal (4)_Bristol TC Estimate Update 07292011" xfId="6365"/>
    <cellStyle name="_2006_0329 Ernestine_Cooper Cost Feedback_Quotebook_V3_07SEP11_RFQ_River_BAFO_2008 0606_M1_Stream Quotebook(Submittal)_POC1_20080903 2" xfId="6366"/>
    <cellStyle name="_2006_0329 Ernestine_Cooper Cost Feedback_Quotebook_V3_07SEP11_Stream RFQ Unibom--0626-1756 2" xfId="6367"/>
    <cellStyle name="_7月月管審附件.xls 圖表 1_0536周周管審_0538周直通率8d1" xfId="6368"/>
    <cellStyle name="Normal 5 6 2 3 2 3" xfId="6369"/>
    <cellStyle name="_2006_0329 Ernestine_Cooper Cost Feedback_Quotebook_V3_07SEP11_Stream RFQ Unibom--0626-1756_Stream Package Quotation_20090311" xfId="6370"/>
    <cellStyle name="_Avaya SPICE demand on May-8-06 (based on ramp-up plan)_Tester Demand Plan 062807_Tester Demand Plan 062707" xfId="6371"/>
    <cellStyle name="_2006_0329 Ernestine_Cooper Cost Feedback_Quotebook_V3_07SEP11_Stream RFQ Unibom--0626-1756_Stream Quotebook(Submittal)_POC1_20080903" xfId="6372"/>
    <cellStyle name="好_River EE BOM_Xl0000000_Leopard Lemur Squirrel UniBom-06.22.2010_EE cost _update_internal_Bolt RFQ Proposal_Foxlink_ (Pricing Summary) 2 25 2011 4 2" xfId="6373"/>
    <cellStyle name="_2006_0329 Ernestine_Cooper Cost Feedback_Quotebook_V3_07SEP11_Stream RFQ Unibom--0626-1756_Stream Quotebook(Submittal)_POC1_20080903 2" xfId="6374"/>
    <cellStyle name="_2006_0329 Ernestine_Cooper Cost Feedback_RFQ_River_BAFO_2008 0606_M1 2" xfId="6375"/>
    <cellStyle name="差_Creak Pearl Reliability Fixture RFQ_2009 04 24_Leopard_UniBOM_ME_0602-1_Bolt RFQ Proposal_Foxlink_ (Pricing Summary) 2 25 2011 5 3" xfId="6376"/>
    <cellStyle name="好_River EE BOM_Xl0000000 5" xfId="6377"/>
    <cellStyle name="_2006_0329 Ernestine_Cooper Cost Feedback_RFQ_River_BAFO_2008 0606_M1_Stream Quotebook (Submittal)_POC2_20081117-1" xfId="6378"/>
    <cellStyle name="_2006_0329 Ernestine_Cooper Cost Feedback_RFQ_River_BAFO_2008 0606_M1_Stream Quotebook(Submittal)_POC1_20080903" xfId="6379"/>
    <cellStyle name="_2006_0329 Ernestine_Cooper Cost Feedback_RFQ_River_BAFO_2008 0606_M1_Stream Quotebook(Submittal)_POC1_20080903 2" xfId="6380"/>
    <cellStyle name="_Flex Mechanicals Doumen Sales forecast - Jan.06-updated_Volume Fcst Jul 06-update HP _Copy of Tom OS ( Oct) new for LOG_Copy of X-BOX for line setup budget" xfId="6381"/>
    <cellStyle name="_2006_0329 Ernestine_Cooper Cost Feedback_Stream RFQ Unibom--0626-1756_Stream Package Quotation_20090311" xfId="6382"/>
    <cellStyle name="_2006_0329 Ernestine_Cooper Cost Feedback_Stream RFQ Unibom--0626-1756_Stream Quotebook(Submittal)_POC1_20080903" xfId="6383"/>
    <cellStyle name="_PL Forecast Comparison_Mech Doumen2006_1(preliminary)_Volume Fcst Jul 06-update HP _Copy of Tom OS ( Oct) new for LOG_Copy of X-BOX for line setup budget" xfId="6384"/>
    <cellStyle name="差_Creek RFQ feedback 04_28_2009_FD Update_Leopard_UniBOM_ME_0531_Bolt RFQ_Foxlink_03.1 2011 3 2" xfId="6385"/>
    <cellStyle name="_2006_0329 Ernestine_Cooper Cost Feedback_Stream RFQ Unibom--0626-1756_Stream Quotebook(Submittal)_POC1_20080903 2" xfId="6386"/>
    <cellStyle name="_MANPOWER12 3" xfId="6387"/>
    <cellStyle name="_2006_0406 Ernestine_Cooper tooling 2" xfId="6388"/>
    <cellStyle name="_2006_0406 Ernestine_Cooper tooling_Erie  Mouse RFQ Pricing IE" xfId="6389"/>
    <cellStyle name="_2006_0406 Ernestine_Cooper tooling_Erie  Mouse RFQ Pricing IE 2" xfId="6390"/>
    <cellStyle name="壞_Creek Assembly Fixture  Test Equipment RFQ_20090427_Xl0000002_Leopard UniBom_Foxlink_12092010 RevD-jen" xfId="6391"/>
    <cellStyle name="_Alvin-Development NRE_Stream RFQ Unibom--0626-1756 2" xfId="6392"/>
    <cellStyle name="_2006_0406 Ernestine_Cooper tooling_Internal RFQ River Standalone  Bundle Unibom_v1 2_20080603_EJ" xfId="6393"/>
    <cellStyle name="注释 2 3" xfId="6394"/>
    <cellStyle name="_Flex Mechanicals Doumen Sales forecast - Jan.06-updated_PL Forecast by segment-most final 0806_Tom OS ( Oct)_Copy of X-BOX for line setup budget" xfId="6395"/>
    <cellStyle name="_2006_0406 Ernestine_Cooper tooling_Internal RFQ River Standalone  Bundle Unibom_v1 2_20080603_EJ_Stream Quotebook(Submittal)_POC1_20080903" xfId="6396"/>
    <cellStyle name="_2006_0406 Ernestine_Cooper tooling_Quotebook_07SEP10" xfId="6397"/>
    <cellStyle name="_2006_0406 Ernestine_Cooper tooling_Quotebook_07SEP10 2" xfId="6398"/>
    <cellStyle name="差_jupite r設備&amp;治工具LIST (總)_Dallas效益分析&amp;投資回收期 (12-2 A1)_Flow chart and Fixture(1-4)_Jackson 效益分析 (2-1 B0 上系統)_squirrel效益分析08-17" xfId="6399"/>
    <cellStyle name="好_Erie Assembly Fixture  Test Equip Cost_20090716_Bolt RFQ_Foxlink_03.1 2011 4" xfId="6400"/>
    <cellStyle name="_2006_0409 Ernestine_Cooper tooling_Quotebook_V3_07SEP11_RFQ_River_BAFO_2008 0606_M1_Stream Quotebook (Submittal)_POC2_20081117-1" xfId="6401"/>
    <cellStyle name="差_dallas產能評估_Leopard效益分析08-17" xfId="6402"/>
    <cellStyle name="_2006_0406 Ernestine_Cooper tooling_Quotebook_07SEP10_BlueAnt_Quotebook_V3_07SEP11" xfId="6403"/>
    <cellStyle name="_2006_0406 Ernestine_Cooper tooling_Quotebook_07SEP10_BlueAnt_Quotebook_V3_07SEP11 2" xfId="6404"/>
    <cellStyle name="_2006_0406 Ernestine_Cooper tooling_Quotebook_07SEP10_BlueAnt_Quotebook_V3_07SEP11_Internal RFQ River Standalone  Bundle Unibom_v1 2_20080603_EJ" xfId="6405"/>
    <cellStyle name="_2006_0406 Ernestine_Cooper tooling_Quotebook_07SEP10_BlueAnt_Quotebook_V3_07SEP11_Internal RFQ River Standalone  Bundle Unibom_v1 2_20080603_EJ 2" xfId="6406"/>
    <cellStyle name="Normal 4 5 3 4" xfId="6407"/>
    <cellStyle name="_2006_0406 Ernestine_Cooper tooling_Quotebook_07SEP10_BlueAnt_Quotebook_V3_07SEP11_Internal RFQ River Standalone  Bundle Unibom_v1 2_20080603_EJ_Stream Quotebook (Submittal)_POC2_20081117-1" xfId="6408"/>
    <cellStyle name="差_Creak Pearl Reliability Fixture RFQ_2009 04 24_Creek  Pearl RFQ_May 12_Leopard RFQ ME BOM Costs-0618-2_Bolt RFQ_Foxlink_03.1 2011_nego meeting@MACH 2 3" xfId="6409"/>
    <cellStyle name="_2006_0406 Ernestine_Cooper tooling_Quotebook_07SEP10_BlueAnt_Quotebook_V3_07SEP11_RFQ_River_BAFO_2008 0606_M1" xfId="6410"/>
    <cellStyle name="差_Xl0000002_Leopard_UniBOM_ME_0531_Bolt RFQ_Foxlink_03.1 2011 4" xfId="6411"/>
    <cellStyle name="_2006_0406 Ernestine_Cooper tooling_Quotebook_07SEP10_BlueAnt_Quotebook_V3_07SEP11_RFQ_River_BAFO_2008 0606_M1 2" xfId="6412"/>
    <cellStyle name="_Accessory Manpower(Rev14)" xfId="6413"/>
    <cellStyle name="_2006_0406 Ernestine_Cooper tooling_Quotebook_07SEP10_BlueAnt_Quotebook_V3_07SEP11_RFQ_River_BAFO_2008 0606_M1_Stream Package Quotation_20090311" xfId="6414"/>
    <cellStyle name="_2006_0406 Ernestine_Cooper tooling_Quotebook_07SEP10_BlueAnt_Quotebook_V3_07SEP11_RFQ_River_BAFO_2008 0606_M1_Stream Quotebook(Submittal)_POC1_20080903" xfId="6415"/>
    <cellStyle name="_Z9 blueAnt ME BOM 0910_BlueAnt_Quotebook_V3_07SEP11_Internal RFQ River Standalone  Bundle Unibom_v1 2_20080603_EJ_Stream Quotebook(Submittal)_POC1_20080903 2" xfId="6416"/>
    <cellStyle name="_2006_0406 Ernestine_Cooper tooling_Quotebook_07SEP10_BlueAnt_Quotebook_V3_07SEP11_Stream RFQ Unibom--0626-1756" xfId="6417"/>
    <cellStyle name="regstoresfromspecstores" xfId="6418"/>
    <cellStyle name="_2006_0406 Ernestine_Cooper tooling_Quotebook_07SEP10_BlueAnt_Quotebook_V3_07SEP11_Stream RFQ Unibom--0626-1756 2" xfId="6419"/>
    <cellStyle name="_Game controller quotation summary 8-1" xfId="6420"/>
    <cellStyle name="_2006_0406 Ernestine_Cooper tooling_Quotebook_07SEP10_BlueAnt_Quotebook_V3_07SEP11_Stream RFQ Unibom--0626-1756_Stream Package Quotation_20090311" xfId="6421"/>
    <cellStyle name="差_治具工程課2009年KPI_KPI 1006 3" xfId="6422"/>
    <cellStyle name="_2006_0406 Ernestine_Cooper tooling_Quotebook_07SEP10_BlueAnt_Quotebook_V3_07SEP11_Stream RFQ Unibom--0626-1756_Stream Quotebook (Submittal)_POC2_20081117-1" xfId="6423"/>
    <cellStyle name="壞_Creek Assembly Fixture  Test Equipment RFQ_20090427_Xl0000002_Leopard_UniBOM_ME_0603-2 4 2" xfId="6424"/>
    <cellStyle name="_2006_0406 Ernestine_Cooper tooling_Quotebook_07SEP10_BlueAnt_Quotebook_V3_07SEP11_Stream RFQ Unibom--0626-1756_Stream Quotebook(Submittal)_POC1_20080903" xfId="6425"/>
    <cellStyle name="差_Creek RFQ feedback 04_28_2009_FD Update_Leopard RFQ ME BOM Costs-0618 2 2 2" xfId="6426"/>
    <cellStyle name="_2006_0406 Ernestine_Cooper tooling_Quotebook_07SEP10_Internal RFQ River Standalone  Bundle Unibom_v1 2_20080603_EJ" xfId="6427"/>
    <cellStyle name="Normal 4 7 2 5" xfId="6428"/>
    <cellStyle name="_2006_0406 Ernestine_Cooper tooling_Quotebook_07SEP10_Internal RFQ River Standalone  Bundle Unibom_v1 2_20080603_EJ 2" xfId="6429"/>
    <cellStyle name="_2006_0406 Ernestine_Cooper tooling_Quotebook_07SEP10_Internal RFQ River Standalone  Bundle Unibom_v1 2_20080603_EJ_Stream Package Quotation_20090311" xfId="6430"/>
    <cellStyle name="_2006_0406 Ernestine_Cooper tooling_Quotebook_07SEP10_Internal RFQ River Standalone  Bundle Unibom_v1 2_20080603_EJ_Stream Quotebook (Submittal)_POC2_20081117-1" xfId="6431"/>
    <cellStyle name="差_效益分析&amp;產能評估_M1 SuedeFixtureEquipment Cost_A0_2010_10_15 5" xfId="6432"/>
    <cellStyle name="壞_Creek EE BOM cost_20090425_Squirrel RFQ ME BOM Costs-0623_Bolt RFQ Proposal_Foxlink_ (Pricing Summary) 2 25 2011 4" xfId="6433"/>
    <cellStyle name="_2006_0406 Ernestine_Cooper tooling_Quotebook_07SEP10_Internal RFQ River Standalone  Bundle Unibom_v1 2_20080603_EJ_Stream Quotebook(Submittal)_POC1_20080903" xfId="6434"/>
    <cellStyle name="差_MB9月管審換線超時8d 2 5" xfId="6435"/>
    <cellStyle name="好_Creek Assembly Fixture  Test Equipment RFQ_20090427_Leopard Lemur Squirrel UniBom-06.22.2010_EE cost _update_internal_Bolt RFQ_Foxlink_03.1 2011_nego meeting@MACH 2 2" xfId="6436"/>
    <cellStyle name="计算 2 3" xfId="6437"/>
    <cellStyle name="_2006_0406 Ernestine_Cooper tooling_Quotebook_07SEP10_RFQ_River_BAFO_2008 0606_M1 2" xfId="6438"/>
    <cellStyle name="_2006_0406 Ernestine_Cooper tooling_Quotebook_07SEP10_RFQ_River_BAFO_2008 0606_M1_Stream Quotebook(Submittal)_POC1_20080903" xfId="6439"/>
    <cellStyle name="_2008年營運績效_v4_20090105_2010-05 費用分析0604" xfId="6440"/>
    <cellStyle name="_2006_0406 Ernestine_Cooper tooling_Quotebook_07SEP10_Stream RFQ Unibom--0626-1756" xfId="6441"/>
    <cellStyle name="_Mpos Forecast on Sep 292005_Tester Demand Plan 062807_Tester Demand Plan 062707" xfId="6442"/>
    <cellStyle name="_2006_0406 Ernestine_Cooper tooling_Quotebook_07SEP10_Stream RFQ Unibom--0626-1756 2" xfId="6443"/>
    <cellStyle name="_2006_0406 Ernestine_Cooper tooling_Quotebook_07SEP10_Stream RFQ Unibom--0626-1756_Stream Quotebook (Submittal)_POC2_20081117-1" xfId="6444"/>
    <cellStyle name="_CTB Mulan EP2Wingboard_20050808 (2)_MOST Std - Project A BB Line" xfId="6445"/>
    <cellStyle name="_7月月管審附件.xls 圖表 1_0536周周管審_0538周直通率8d1_0541周直通率8D" xfId="6446"/>
    <cellStyle name="_2006_0412 Ernestine_Cooper tooling and plastic price to MS_JC_Quotebook_V3_07SEP11_RFQ_River_BAFO_2008 0606_M1_Stream Quotebook (Submittal)_POC2_20081117-1" xfId="6447"/>
    <cellStyle name="_2006_0406 Ernestine_Cooper tooling_Quotebook_07SEP10_Stream RFQ Unibom--0626-1756_Stream Quotebook(Submittal)_POC1_20080903 2" xfId="6448"/>
    <cellStyle name="好_Creek Assembly Fixture  Test Equipment RFQ_20090427_Xl0000002_Leopard_UniBOM_ME_0531_Bolt RFQ_Foxlink_03.1 2011" xfId="6449"/>
    <cellStyle name="_2006_0409 Ernestine_Cooper tooling_Quotebook_07SEP10" xfId="6450"/>
    <cellStyle name="计算 2 3 5" xfId="6451"/>
    <cellStyle name="_Mechanical Contribution Margins forecast 0506 FP_X-BOX BB" xfId="6452"/>
    <cellStyle name="_Mechanical Contribution Margins (Q1'06, applied to Apr'04 Fcst)_Mechanical Contribution Margins forecast 0506 FP_Volume Fcst 1006 updated_Tom OS ( Oct)_X-BOX Console line setup budget 20080414" xfId="6453"/>
    <cellStyle name="差_Xl0000002_Leopard_UniBOM_ME_0602_Bolt RFQ Proposal_Foxlink_ (Pricing Summary) 2 25 2011 2 2 2" xfId="6454"/>
    <cellStyle name="_2006_0406 Ernestine_Cooper tooling_Quotebook_V3_07SEP11_Internal RFQ River Standalone  Bundle Unibom_v1 2_20080603_EJ" xfId="6455"/>
    <cellStyle name="差_Creek RFQ feedback 04_28_2009_FD Update_Squirrel UniBom-06.23.2010_update_internal 2 2 3" xfId="6456"/>
    <cellStyle name="好_Creek Assembly Fixture  Test Equipment RFQ_20090427_Xl0000002_Leopard_UniBOM_ME_0531_Bolt RFQ_Foxlink_03.1 2011 2" xfId="6457"/>
    <cellStyle name="_2006_0409 Ernestine_Cooper tooling_Quotebook_07SEP10 2" xfId="6458"/>
    <cellStyle name="_2006_0406 Ernestine_Cooper tooling_Quotebook_V3_07SEP11_Internal RFQ River Standalone  Bundle Unibom_v1 2_20080603_EJ 2" xfId="6459"/>
    <cellStyle name="好_River EE BOM_Xl0000000_Leopard Lemur Squirrel UniBom-06.22.2010_EE cost _update_internal_Bolt RFQ_Foxlink_03.1 2011_nego meeting@MACH 2 3" xfId="6460"/>
    <cellStyle name="好_River EE BOM_Creak Pearl Reliability Fixture RFQ_2009 04 24_Leopard_UniBOM_ME_0602-1_Bolt RFQ_Foxlink_03.1 2011" xfId="6461"/>
    <cellStyle name="_2006_0406 Ernestine_Cooper tooling_Quotebook_V3_07SEP11_Internal RFQ River Standalone  Bundle Unibom_v1 2_20080603_EJ_Stream Package Quotation_20090311" xfId="6462"/>
    <cellStyle name="_2006_0406 Ernestine_Cooper tooling_Quotebook_V3_07SEP11_Internal RFQ River Standalone  Bundle Unibom_v1 2_20080603_EJ_Stream Quotebook (Submittal)_POC2_20081117-1" xfId="6463"/>
    <cellStyle name="好_River EE BOM_Creak Pearl Reliability Fixture RFQ_2009 04 24_Leopard Lemur Squirrel UniBom-06.22.2010_EE cost _update_internal_Bolt RFQ Proposal_Foxlink_ (Pricing Summary) 2 25 2011 3" xfId="6464"/>
    <cellStyle name="Total 11" xfId="6465"/>
    <cellStyle name="_2006_0406 Ernestine_Cooper tooling_Quotebook_V3_07SEP11_RFQ_River_BAFO_2008 0606_M1 2" xfId="6466"/>
    <cellStyle name="_2006_0406 Ernestine_Cooper tooling_Quotebook_V3_07SEP11_RFQ_River_BAFO_2008 0606_M1_Stream Package Quotation_20090311" xfId="6467"/>
    <cellStyle name="好_River EE BOM_Creak Pearl Reliability Fixture RFQ_2009 04 24_Creek RFQ feedback 04_28_2009_FD Update_Leopard_UniBOM_ME_0603-2_Bolt RFQ Proposal_Foxlink_ (Pricing Summary) 2 25 2011 5" xfId="6468"/>
    <cellStyle name="_2006_0406 Ernestine_Cooper tooling_Quotebook_V3_07SEP11_RFQ_River_BAFO_2008 0606_M1_Stream Quotebook(Submittal)_POC1_20080903 2" xfId="6469"/>
    <cellStyle name="好_River EE BOM_Creek RFQ feedback 04_28_2009_FD Update_Leopard_UniBOM_ME_0602-1_Bolt RFQ_Foxlink_03.1 2011 3" xfId="6470"/>
    <cellStyle name="好_River EE BOM_Xl0000000_Leopard Lemur Squirrel UniBom-06.22.2010_EE cost _update_internal_Bolt RFQ_Foxlink_03.1 2011 3 2" xfId="6471"/>
    <cellStyle name="_2006_0406 Ernestine_Cooper tooling_RFQ_River_BAFO_2008 0606_M1 2" xfId="6472"/>
    <cellStyle name="Normal 31 2 3" xfId="6473"/>
    <cellStyle name="_Sheet2_FY06 P5 XBox 360 Mfg Var - Close Pack" xfId="6474"/>
    <cellStyle name="好_Creek Assembly Fixture  Test Equipment RFQ_20090427_Leopard Lemur Squirrel UniBom-06.22.2010_EE cost _update_internal_Bolt RFQ_Foxlink_03.1 2011_Bolt_Cliff" xfId="6475"/>
    <cellStyle name="_2006_0406 Ernestine_Cooper tooling_RFQ_River_BAFO_2008 0606_M1_Stream Package Quotation_20090311" xfId="6476"/>
    <cellStyle name="差_Creak Pearl Reliability Fixture RFQ_2009 04 24_Leopard UniBom_Foxlink_6 21 2010-ME_nego 2 2" xfId="6477"/>
    <cellStyle name="_2006_0406 Ernestine_Cooper tooling_RFQ_River_BAFO_2008 0606_M1_Stream Quotebook(Submittal)_POC1_20080903" xfId="6478"/>
    <cellStyle name="_2006_0406 Ernestine_Cooper tooling_Stream RFQ Unibom--0626-1756" xfId="6479"/>
    <cellStyle name="40% - Accent3 2 4 3" xfId="6480"/>
    <cellStyle name="_2006_0406 Ernestine_Cooper tooling_Stream RFQ Unibom--0626-1756_Stream Package Quotation_20090311" xfId="6481"/>
    <cellStyle name="_2006_0406 Ernestine_Cooper tooling_Stream RFQ Unibom--0626-1756_Stream Quotebook (Submittal)_POC2_20081117-1" xfId="6482"/>
    <cellStyle name="_2006_0406 Ernestine_Cooper tooling_Stream RFQ Unibom--0626-1756_Stream Quotebook(Submittal)_POC1_20080903" xfId="6483"/>
    <cellStyle name="_2006_0409 Ernestine_Cooper tooling 2" xfId="6484"/>
    <cellStyle name="差_Xl0000000_Leopard Lemur Squirrel UniBom-06.22.2010_EE cost _update_internal_Bolt RFQ Proposal_Foxlink_ (Pricing Summary) 2 25 2011 7" xfId="6485"/>
    <cellStyle name="_2006_0409 Ernestine_Cooper tooling and plastic price to MS_Erie  Mouse RFQ Pricing IE" xfId="6486"/>
    <cellStyle name="一般 5 3" xfId="6487"/>
    <cellStyle name="_Opex_FY06 P8 CM Consigned RM" xfId="6488"/>
    <cellStyle name="_2006_0409 Ernestine_Cooper tooling and plastic price to MS_Internal RFQ River Standalone  Bundle Unibom_v1 2_20080603_EJ_Stream Package Quotation_20090311" xfId="6489"/>
    <cellStyle name="_2006_0409 Ernestine_Cooper tooling and plastic price to MS_Internal RFQ River Standalone  Bundle Unibom_v1 2_20080603_EJ_Stream Quotebook(Submittal)_POC1_20080903" xfId="6490"/>
    <cellStyle name="_Flex Mechanicals Doumen Sales forecast - Jan.06-updated_Copy of Tom OS ( Oct) new for LOG_2009 xBOX ramp up budget code applicaiton 300K --New May26 (3)" xfId="6491"/>
    <cellStyle name="_201003所需資料" xfId="6492"/>
    <cellStyle name="_2006_0409 Ernestine_Cooper tooling and plastic price to MS_Internal RFQ River Standalone  Bundle Unibom_v1 2_20080603_EJ_Stream Quotebook(Submittal)_POC1_20080903 2" xfId="6493"/>
    <cellStyle name="差_F3   SMT設備明細_效益分析_Dallas效益分析&amp;投資回收期 (12-2 A1)_效益分析(總 12-28 Update)_Leopard Flowchart &amp; 產能評估" xfId="6494"/>
    <cellStyle name="_2006_0409 Ernestine_Cooper tooling and plastic price to MS_Quotebook_07SEP10" xfId="6495"/>
    <cellStyle name="_2006_0409 Ernestine_Cooper tooling and plastic price to MS_Quotebook_07SEP10 2" xfId="6496"/>
    <cellStyle name="Output 11 2" xfId="6497"/>
    <cellStyle name="_2006_0409 Ernestine_Cooper tooling and plastic price to MS_Quotebook_07SEP10_BlueAnt_Quotebook_V3_07SEP11" xfId="6498"/>
    <cellStyle name="好_River EE BOM_Creak Pearl Reliability Fixture RFQ_2009 04 24_Leopard_UniBOM_ME_0602-1_Bolt RFQ_Foxlink_03.1 2011_nego meeting@MACH 5" xfId="6499"/>
    <cellStyle name="Output 11 2 2" xfId="6500"/>
    <cellStyle name="_2006_0409 Ernestine_Cooper tooling and plastic price to MS_Quotebook_07SEP10_BlueAnt_Quotebook_V3_07SEP11 2" xfId="6501"/>
    <cellStyle name="_2006_0409 Ernestine_Cooper tooling and plastic price to MS_Quotebook_07SEP10_BlueAnt_Quotebook_V3_07SEP11_Internal RFQ River Standalone  Bundle Unibom_v1 2_20080603_EJ 2" xfId="6502"/>
    <cellStyle name="差_Creak Pearl Reliability Fixture RFQ_2009 04 24_Xl0000002_Leopard_UniBOM_ME_0603-2_Bolt RFQ_Foxlink_03.1 2011 4" xfId="6503"/>
    <cellStyle name="_2006_0409 Ernestine_Cooper tooling and plastic price to MS_Quotebook_07SEP10_BlueAnt_Quotebook_V3_07SEP11_Internal RFQ River Standalone  Bundle Unibom_v1 2_20080603_EJ_Stream Package Quotation_20090311" xfId="6504"/>
    <cellStyle name="_2006_0409 Ernestine_Cooper tooling and plastic price to MS_Quotebook_07SEP10_BlueAnt_Quotebook_V3_07SEP11_Internal RFQ River Standalone  Bundle Unibom_v1 2_20080603_EJ_Stream Quotebook(Submittal)_POC1_20080903" xfId="6505"/>
    <cellStyle name="_2006_0409 Ernestine_Cooper tooling and plastic price to MS_Quotebook_07SEP10_BlueAnt_Quotebook_V3_07SEP11_RFQ_River_BAFO_2008 0606_M1 2" xfId="6506"/>
    <cellStyle name="壞_Creek Assembly Fixture  Test Equipment RFQ_20090427_Xl0000002_Squirrel RFQ ME BOM Costs-0623_Bolt RFQ_Foxlink_03.1 2011_nego meeting@MACH 3 3" xfId="6507"/>
    <cellStyle name="差_Xl0000000_Leopard_UniBOM_ME_0603-2_Bolt RFQ_Foxlink_03.1 2011 2" xfId="6508"/>
    <cellStyle name="_Flex Mechanicals Doumen Sales forecast - Dec'05 R1_Volume Fcst 1006 updated_2009 xBOX ramp up budget code applicaiton 300K --New May27" xfId="6509"/>
    <cellStyle name="_2006_0409 Ernestine_Cooper tooling and plastic price to MS_Quotebook_07SEP10_BlueAnt_Quotebook_V3_07SEP11_RFQ_River_BAFO_2008 0606_M1_Stream Quotebook(Submittal)_POC1_20080903" xfId="6510"/>
    <cellStyle name="_2006_0409 Ernestine_Cooper tooling and plastic price to MS_Quotebook_07SEP10_BlueAnt_Quotebook_V3_07SEP11_Stream RFQ Unibom--0626-1756 2" xfId="6511"/>
    <cellStyle name="差_Xl0000002_Leopard_UniBOM_ME_0602-1 2 3" xfId="6512"/>
    <cellStyle name="_8月月管審附件.xls 圖表 1_0540周直通率8D1" xfId="6513"/>
    <cellStyle name="_Sales Breakdown Analysis 3_Tom OS ( Oct)_X-BOX Console line setup budget and Buyer list" xfId="6514"/>
    <cellStyle name="_2006_0409 Ernestine_Cooper tooling and plastic price to MS_Quotebook_07SEP10_BlueAnt_Quotebook_V3_07SEP11_Stream RFQ Unibom--0626-1756_Stream Package Quotation_20090311" xfId="6515"/>
    <cellStyle name="差_Creak Pearl Reliability Fixture RFQ_2009 04 24_Xl0000002_Leopard_UniBOM_ME_0531_Bolt RFQ_Foxlink_03.1 2011_nego meeting@MACH 5" xfId="6516"/>
    <cellStyle name="60% - 强调文字颜色 2 3 3" xfId="6517"/>
    <cellStyle name="_2006_0409 Ernestine_Cooper tooling and plastic price to MS_Quotebook_07SEP10_BlueAnt_Quotebook_V3_07SEP11_Stream RFQ Unibom--0626-1756_Stream Quotebook (Submittal)_POC2_20081117-1" xfId="6518"/>
    <cellStyle name="_2006_0412 Ernestine_Cooper tooling and plastic price to MS_JC_RFQ_River_BAFO_2008 0606_M1_Stream Quotebook(Submittal)_POC1_20080903 2" xfId="6519"/>
    <cellStyle name="_Flex Mechanicals Doumen Sales forecast - Dec'05 (updated links)_PL Fcst Jul 06-updated G&amp;A Value_Copy of Tom OS ( Oct) new for LOG_Forecast Template v4" xfId="6520"/>
    <cellStyle name="_2006_0409 Ernestine_Cooper tooling and plastic price to MS_Quotebook_07SEP10_Internal RFQ River Standalone  Bundle Unibom_v1 2_20080603_EJ" xfId="6521"/>
    <cellStyle name="_HID Capacity Demand Planning7-21" xfId="6522"/>
    <cellStyle name="40% - 强调文字颜色 5 2 2 2 3" xfId="6523"/>
    <cellStyle name="差_Creak Pearl Reliability Fixture RFQ_2009 04 24_Xl0000002_Leopard_UniBOM_ME_0531_Bolt RFQ_Foxlink_03.1 2011 5" xfId="6524"/>
    <cellStyle name="_2006_0409 Ernestine_Cooper tooling and plastic price to MS_Quotebook_07SEP10_Internal RFQ River Standalone  Bundle Unibom_v1 2_20080603_EJ_Stream Package Quotation_20090311" xfId="6525"/>
    <cellStyle name="好_River EE BOM_Xl0000002_Leopard_UniBOM_ME_0531 2" xfId="6526"/>
    <cellStyle name="差_F3   SMT設備明細_效益分析_Dallas flow chart&amp;設備&amp;治工具清單(12-8 A0)_Leopard Flowchart &amp; 產能評估" xfId="6527"/>
    <cellStyle name="_2006_0409 Ernestine_Cooper tooling and plastic price to MS_Quotebook_07SEP10_Internal RFQ River Standalone  Bundle Unibom_v1 2_20080603_EJ_Stream Quotebook (Submittal)_POC2_20081117-1" xfId="6528"/>
    <cellStyle name="差_HP  專案(設備&amp;治工具需夠買)update_Erie 效益分析 (Update)_Jackson 效益分析 testing update_16th Jan1_Jackson 效益分析 (2-1 B0 上系統)_Leopard效益分析08-17" xfId="6529"/>
    <cellStyle name="_Alvin-Development NRE_Internal RFQ River Standalone  Bundle Unibom_v1 2_20080603_EJ" xfId="6530"/>
    <cellStyle name="_PL Fcst_akl(Friday)_PL Fcst Jul 06-updated G&amp;A Value_Copy of Tom OS ( Oct) new for LOG_Copy of X-BOX for line setup budget" xfId="6531"/>
    <cellStyle name="_COGP January Forecast - Accessories v.2" xfId="6532"/>
    <cellStyle name="_2006_0409 Ernestine_Cooper tooling and plastic price to MS_Quotebook_07SEP10_Internal RFQ River Standalone  Bundle Unibom_v1 2_20080603_EJ_Stream Quotebook(Submittal)_POC1_20080903 2" xfId="6533"/>
    <cellStyle name="差_Creak Pearl Reliability Fixture RFQ_2009 04 24_Pearl RFQ(Submittal)ver2_05_12_2009 _Leopard_UniBOM_ME_0602-1_Bolt RFQ Proposal_Foxlink_ (Pricing Summary) 2 25 2011 6" xfId="6534"/>
    <cellStyle name="_2006_0409 Ernestine_Cooper tooling and plastic price to MS_Quotebook_07SEP10_RFQ_River_BAFO_2008 0606_M1" xfId="6535"/>
    <cellStyle name="_Mechanical Contribution Margins (Q1'06, applied to Apr'04 Fcst)_Mechanical Contribution Margins forecast 0506 FP_Volume Fcst 1006 updated_Tom OS ( Oct)_X-BOX Console line setup budget and Buyer list" xfId="6536"/>
    <cellStyle name="_2006_0409 Ernestine_Cooper tooling and plastic price to MS_Quotebook_07SEP10_RFQ_River_BAFO_2008 0606_M1_Stream Package Quotation_20090311" xfId="6537"/>
    <cellStyle name="_2006_0409 Ernestine_Cooper tooling and plastic price to MS_Quotebook_07SEP10_RFQ_River_BAFO_2008 0606_M1_Stream Quotebook (Submittal)_POC2_20081117-1" xfId="6538"/>
    <cellStyle name="差_Creak Pearl Reliability Fixture RFQ_2009 04 24_Creek RFQ feedback 04_28_2009_FD Update_Foxlink_Shadow RFQ NREUni BOM_12032009_Bolt RFQ Proposal_Foxlink_ (Pricing Summary) 2 25 2011 2 4" xfId="6539"/>
    <cellStyle name="_2006_0409 Ernestine_Cooper tooling and plastic price to MS_Quotebook_07SEP10_RFQ_River_BAFO_2008 0606_M1_Stream Quotebook(Submittal)_POC1_20080903 2" xfId="6540"/>
    <cellStyle name="_2006_0409 Ernestine_Cooper tooling and plastic price to MS_Quotebook_07SEP10_Stream RFQ Unibom--0626-1756" xfId="6541"/>
    <cellStyle name="差_HP Mouse 產能評估(上系統)_M1 Lemur Capacity planFixtureEquipment Cost_A2_06192010_Leopard UniBom_Foxlink_12092010 RevD-jen" xfId="6542"/>
    <cellStyle name="好_Creek Assembly Fixture  Test Equipment RFQ_20090427_Leopard_UniBOM_ME_0531_Bolt RFQ Proposal_Foxlink_ (Pricing Summary) 2 25 2011 5 3" xfId="6543"/>
    <cellStyle name="_2006_0409 Ernestine_Cooper tooling and plastic price to MS_Quotebook_07SEP10_Stream RFQ Unibom--0626-1756 2" xfId="6544"/>
    <cellStyle name="_June Monthly Review Preliminary_FY06 P4 CM Consigned RM" xfId="6545"/>
    <cellStyle name="_2006_0409 Ernestine_Cooper tooling and plastic price to MS_Quotebook_07SEP10_Stream RFQ Unibom--0626-1756_Stream Package Quotation_20090311" xfId="6546"/>
    <cellStyle name="_2006_0409 Ernestine_Cooper tooling and plastic price to MS_Quotebook_07SEP10_Stream RFQ Unibom--0626-1756_Stream Quotebook(Submittal)_POC1_20080903" xfId="6547"/>
    <cellStyle name="_2006_0409 Ernestine_Cooper tooling and plastic price to MS_Quotebook_07SEP10_Stream RFQ Unibom--0626-1756_Stream Quotebook(Submittal)_POC1_20080903 2" xfId="6548"/>
    <cellStyle name="差_F3   SMT設備明細_費用統計_Leopard效益分析08-17" xfId="6549"/>
    <cellStyle name="差_dallas產能評估_flow chart 2009.12.12_Jackson 效益分析 testing update_16th Jan111_Jackson 效益分析 (2-1 B0 上系統)" xfId="6550"/>
    <cellStyle name="差_Creak Pearl Reliability Fixture RFQ_2009 04 24_Pearl RFQ(Submittal)ver2_05_12_2009 _Leopard UniBom_Foxlink_6 21 2010-ME_nego_Bolt RFQ Proposal_Foxlink_ (Pricing Summary) 2 25 2011 5 3" xfId="6551"/>
    <cellStyle name="_2006_0412 Ernestine_Cooper tooling and plastic price to MS_JC 2" xfId="6552"/>
    <cellStyle name="_2006_0409 Ernestine_Cooper tooling and plastic price to MS_Quotebook_V3_07SEP11_Internal RFQ River Standalone  Bundle Unibom_v1 2_20080603_EJ 2" xfId="6553"/>
    <cellStyle name="60% - 强调文字颜色 1 2 2 2 3" xfId="6554"/>
    <cellStyle name="_2006_0412 Ernestine_Cooper tooling and plastic price to MS_JC_Stream RFQ Unibom--0626-1756_Stream Quotebook(Submittal)_POC1_20080903 2" xfId="6555"/>
    <cellStyle name="_Summary Fcast v Budget_FY06 P06 360Periphs SPC" xfId="6556"/>
    <cellStyle name="_2006_0409 Ernestine_Cooper tooling_Quotebook_V3_07SEP11_Internal RFQ River Standalone  Bundle Unibom_v1 2_20080603_EJ_Stream Quotebook (Submittal)_POC2_20081117-1" xfId="6557"/>
    <cellStyle name="_2006_0409 Ernestine_Cooper tooling and plastic price to MS_Quotebook_V3_07SEP11_Internal RFQ River Standalone  Bundle Unibom_v1 2_20080603_EJ_Stream Quotebook(Submittal)_POC1_20080903" xfId="6558"/>
    <cellStyle name="差_F3   SMT設備明細_效益分析_效益分析(總 12-28 Update)_Jackson 效益分析 (2-1 B0 上系統)_squirrel效益分析08-17" xfId="6559"/>
    <cellStyle name="_Wistron True-Up File (May)_P2 Waynea review" xfId="6560"/>
    <cellStyle name="_Nov Freight analysis value_FY06 P4 CM Consigned RM" xfId="6561"/>
    <cellStyle name="_Forecast - Segment WTJune06_plforecastsample_Forecast Template v4" xfId="6562"/>
    <cellStyle name="_FY02_BusinessStream_ScrubTemplate_YOY_EMEA_P6 Si Ops review" xfId="6563"/>
    <cellStyle name="_2006_0410b Ernestine_Cooper tooling and plastic price to MS_Quotebook_V3_07SEP11_Internal RFQ River Standalone  Bundle Unibom_v1 2_20080603_EJ_Stream Quotebook(Submittal)_POC1_20080903" xfId="6564"/>
    <cellStyle name="_2006_0409 Ernestine_Cooper tooling and plastic price to MS_Quotebook_V3_07SEP11_Internal RFQ River Standalone  Bundle Unibom_v1 2_20080603_EJ_Stream Quotebook(Submittal)_POC1_20080903 2" xfId="6565"/>
    <cellStyle name="_Monaco PCBA time record_Tester Demand Plan 062807" xfId="6566"/>
    <cellStyle name="_OP1 DPO Forecast Final_Q3 OS_Copy of X-BOX for line setup budget" xfId="6567"/>
    <cellStyle name="_2006_0409 Ernestine_Cooper tooling and plastic price to MS_Quotebook_V3_07SEP11_RFQ_River_BAFO_2008 0606_M1" xfId="6568"/>
    <cellStyle name="好_治具工程課2009年KPI_2009MB KPI-0205 2 4" xfId="6569"/>
    <cellStyle name="_P7 PCHW Review" xfId="6570"/>
    <cellStyle name="_2006_0409 Ernestine_Cooper tooling and plastic price to MS_Quotebook_V3_07SEP11_RFQ_River_BAFO_2008 0606_M1 2" xfId="6571"/>
    <cellStyle name="好_Creek Assembly Fixture  Test Equipment RFQ_20090427_Xl0000002_Leopard_UniBOM_ME_0602-1_Bolt RFQ_Foxlink_03.1 2011_nego meeting@MACH 3 2" xfId="6572"/>
    <cellStyle name="_2006_0409 Ernestine_Cooper tooling and plastic price to MS_Quotebook_V3_07SEP11_RFQ_River_BAFO_2008 0606_M1_Stream Package Quotation_20090311" xfId="6573"/>
    <cellStyle name="差_F3   SMT設備明細_效益分析_Dallas flow chart&amp;設備&amp;治工具清單(12-8 A0)" xfId="6574"/>
    <cellStyle name="好_River EE BOM_Creak Pearl Reliability Fixture RFQ_2009 04 24_Creek  Pearl RFQ_May 12_Jackson and Shadow BOM cost_mainfile_2010 0324 rev.1" xfId="6575"/>
    <cellStyle name="_Accessories Budget Rollup v.1" xfId="6576"/>
    <cellStyle name="壞_Creek Assembly Fixture  Test Equipment RFQ_20090427_Leopard_UniBOM_ME_0602_Bolt RFQ_Foxlink_03.1 2011_nego meeting@MACH 3 3" xfId="6577"/>
    <cellStyle name="_2006_0409 Ernestine_Cooper tooling and plastic price to MS_Quotebook_V3_07SEP11_RFQ_River_BAFO_2008 0606_M1_Stream Quotebook(Submittal)_POC1_20080903" xfId="6578"/>
    <cellStyle name="_2006_0409 Ernestine_Cooper tooling and plastic price to MS_Quotebook_V3_07SEP11_RFQ_River_BAFO_2008 0606_M1_Stream Quotebook(Submittal)_POC1_20080903 2" xfId="6579"/>
    <cellStyle name="好_治具工程課2009年KPI 3 2" xfId="6580"/>
    <cellStyle name="_2006_0409 Ernestine_Cooper tooling and plastic price to MS_Quotebook_V3_07SEP11_Stream RFQ Unibom--0626-1756 2" xfId="6581"/>
    <cellStyle name="_Flex Mechanicals Doumen Sales forecast - Dec'05 R1_Copy of Tom OS ( Oct) new for LOG_Forecast Template v4" xfId="6582"/>
    <cellStyle name="60% - 强调文字颜色 6 3 2" xfId="6583"/>
    <cellStyle name="_2006_0409 Ernestine_Cooper tooling and plastic price to MS_Quotebook_V3_07SEP11_Stream RFQ Unibom--0626-1756_Stream Package Quotation_20090311" xfId="6584"/>
    <cellStyle name="好_River EE BOM_Creak Pearl Reliability Fixture RFQ_2009 04 24_Pearl RFQ(Submittal)ver2_05_12_2009 _Leopard Lemur Squirrel UniBom-06.22.2010_EE cost _update_internal_Bolt RFQ_Foxlink_03.1 2011_nego meeting@MACH 4" xfId="6585"/>
    <cellStyle name="差_HP  專案(設備&amp;治工具需夠買)update_M1 SuedeFixtureEquipment Cost_A0_2010_10_15_Wedge_ME_BOM-v00-11v0630 2 3" xfId="6586"/>
    <cellStyle name="_2006_0409 Ernestine_Cooper tooling and plastic price to MS_Quotebook_V3_07SEP11_Stream RFQ Unibom--0626-1756_Stream Quotebook (Submittal)_POC2_20081117-1" xfId="6587"/>
    <cellStyle name="差_Creak Pearl Reliability Fixture RFQ_2009 04 24_Creek  Pearl RFQ_May 12_Leopard_UniBOM_ME_0531_Bolt RFQ_Foxlink_03.1 2011_nego meeting@MACH 5" xfId="6588"/>
    <cellStyle name="_2006_0409 Ernestine_Cooper tooling and plastic price to MS_Quotebook_V3_07SEP11_Stream RFQ Unibom--0626-1756_Stream Quotebook(Submittal)_POC1_20080903" xfId="6589"/>
    <cellStyle name="Accent2 9" xfId="6590"/>
    <cellStyle name="_2006_0409 Ernestine_Cooper tooling and plastic price to MS_Quotebook_V3_07SEP11_Stream RFQ Unibom--0626-1756_Stream Quotebook(Submittal)_POC1_20080903 2" xfId="6591"/>
    <cellStyle name="_2006_0409 Ernestine_Cooper tooling and plastic price to MS_RFQ_River_BAFO_2008 0606_M1_Stream Quotebook(Submittal)_POC1_20080903" xfId="6592"/>
    <cellStyle name="_2006_0409 Ernestine_Cooper tooling and plastic price to MS_Stream RFQ Unibom--0626-1756 2" xfId="6593"/>
    <cellStyle name="_2006_0409 Ernestine_Cooper tooling and plastic price to MS_Stream RFQ Unibom--0626-1756_Stream Package Quotation_20090311" xfId="6594"/>
    <cellStyle name="差_F3   SMT設備明細_效益分析_Flow chart and Fixture(Jackson)_A1_Jackson 效益分析 (2-1 B0 上系統)_Leopard效益分析08-17" xfId="6595"/>
    <cellStyle name="_2006_0409 Ernestine_Cooper tooling and plastic price to MS_Stream RFQ Unibom--0626-1756_Stream Quotebook(Submittal)_POC1_20080903" xfId="6596"/>
    <cellStyle name="差_Creek RFQ feedback 04_28_2009_FD Update_Squirrel UniBom-06.23.2010_update_internal_Bolt RFQ Proposal_Foxlink_ (Pricing Summary) 2 25 2011 3 3" xfId="6597"/>
    <cellStyle name="_2006_0409 Ernestine_Cooper tooling and plastic price to MS_Stream RFQ Unibom--0626-1756_Stream Quotebook(Submittal)_POC1_20080903 2" xfId="6598"/>
    <cellStyle name="_2006_0409 Ernestine_Cooper tooling_Internal RFQ River Standalone  Bundle Unibom_v1 2_20080603_EJ 2" xfId="6599"/>
    <cellStyle name="差_HP Mouse 產能評估(上系統)_Erie 效益分析 (Update)_Flow Chart&amp;設備治工具清單 _Jackson 效益分析 (2-1 B0 上系統)_Leopard Flowchart &amp; 產能評估" xfId="6600"/>
    <cellStyle name="_2006_0409 Ernestine_Cooper tooling_Internal RFQ River Standalone  Bundle Unibom_v1 2_20080603_EJ_Stream Package Quotation_20090311" xfId="6601"/>
    <cellStyle name="_2006_0409 Ernestine_Cooper tooling_Internal RFQ River Standalone  Bundle Unibom_v1 2_20080603_EJ_Stream Quotebook(Submittal)_POC1_20080903" xfId="6602"/>
    <cellStyle name="_2006_0409 Ernestine_Cooper tooling_Quotebook_07SEP10_BlueAnt_Quotebook_V3_07SEP11" xfId="6603"/>
    <cellStyle name="_2006_0409 Ernestine_Cooper tooling_Quotebook_07SEP10_BlueAnt_Quotebook_V3_07SEP11_Internal RFQ River Standalone  Bundle Unibom_v1 2_20080603_EJ" xfId="6604"/>
    <cellStyle name="差_Xl0000002_Leopard_UniBOM_ME_0602-1 2" xfId="6605"/>
    <cellStyle name="_2006_0410b Ernestine_Cooper tooling and plastic price to MS_Quotebook_07SEP10_BlueAnt_Quotebook_V3_07SEP11_RFQ_River_BAFO_2008 0606_M1_Stream Quotebook(Submittal)_POC1_20080903" xfId="6606"/>
    <cellStyle name="_ACTUAL DIM FOR IND MAR IN AUG_X-BOX Console line setup budget 20080414" xfId="6607"/>
    <cellStyle name="_2006_0410 Ernestine_Cooper tooling and plastic price to MS_Quotebook_V3_07SEP11_Stream RFQ Unibom--0626-1756_Stream Package Quotation_20090311" xfId="6608"/>
    <cellStyle name="_2006_0409 Ernestine_Cooper tooling_Quotebook_07SEP10_BlueAnt_Quotebook_V3_07SEP11_Internal RFQ River Standalone  Bundle Unibom_v1 2_20080603_EJ 2" xfId="6609"/>
    <cellStyle name="差_Xl0000002_Leopard_UniBOM_ME_0602-1 2 2" xfId="6610"/>
    <cellStyle name="差_F3   SMT設備明細_M1 SuedeFixtureEquipment Cost_A0_2010_10_15_Bolt RFQ_Foxlink_03.1 2011_nego meeting@MACH 3 3" xfId="6611"/>
    <cellStyle name="好_River EE BOM_Creak Pearl Reliability Fixture RFQ_2009 04 24_Pearl RFQ(Submittal)ver2_05_12_2009 _Leopard RFQ ME BOM Costs-0618 3 2" xfId="6612"/>
    <cellStyle name="_asus wlan 機種SMT線體需求計算表3" xfId="6613"/>
    <cellStyle name="_2006_0409 Ernestine_Cooper tooling_Quotebook_07SEP10_BlueAnt_Quotebook_V3_07SEP11_Internal RFQ River Standalone  Bundle Unibom_v1 2_20080603_EJ_Stream Package Quotation_20090311" xfId="6614"/>
    <cellStyle name="_2006_0409 Ernestine_Cooper tooling_Quotebook_07SEP10_BlueAnt_Quotebook_V3_07SEP11_RFQ_River_BAFO_2008 0606_M1" xfId="6615"/>
    <cellStyle name="_2006_0409 Ernestine_Cooper tooling_Quotebook_07SEP10_BlueAnt_Quotebook_V3_07SEP11_RFQ_River_BAFO_2008 0606_M1_Stream Package Quotation_20090311" xfId="6616"/>
    <cellStyle name="差_Xl0000000_Squirrel RFQ ME BOM Costs-0623_Bolt RFQ_Foxlink_03.1 2011 3 3" xfId="6617"/>
    <cellStyle name="差_F3   SMT設備明細_效益分析_flow chart 2009.12.12_Flow chart and Fixture(Jackson)_A1_Jackson 效益分析 (2-1 B0 上系統)_squirrel效益分析08-17" xfId="6618"/>
    <cellStyle name="好_River EE BOM_Creak Pearl Reliability Fixture RFQ_2009 04 24_Xl0000002_Leopard_UniBOM_ME_0603-2_Bolt RFQ_Foxlink_03.1 2011_nego meeting@MACH 2 2" xfId="6619"/>
    <cellStyle name="_2006_0409 Ernestine_Cooper tooling_Quotebook_07SEP10_BlueAnt_Quotebook_V3_07SEP11_RFQ_River_BAFO_2008 0606_M1_Stream Quotebook(Submittal)_POC1_20080903" xfId="6620"/>
    <cellStyle name="_2006_0409 Ernestine_Cooper tooling_Quotebook_07SEP10_BlueAnt_Quotebook_V3_07SEP11_RFQ_River_BAFO_2008 0606_M1_Stream Quotebook(Submittal)_POC1_20080903 2" xfId="6621"/>
    <cellStyle name="_2006_0409 Ernestine_Cooper tooling_Quotebook_07SEP10_BlueAnt_Quotebook_V3_07SEP11_Stream RFQ Unibom--0626-1756" xfId="6622"/>
    <cellStyle name="_2006_0409 Ernestine_Cooper tooling_Quotebook_07SEP10_BlueAnt_Quotebook_V3_07SEP11_Stream RFQ Unibom--0626-1756 2" xfId="6623"/>
    <cellStyle name="好_Creek EE BOM cost_20090425_Leopard_UniBOM_ME_0603-2 2" xfId="6624"/>
    <cellStyle name="_2006_0409 Ernestine_Cooper tooling_Quotebook_07SEP10_BlueAnt_Quotebook_V3_07SEP11_Stream RFQ Unibom--0626-1756_Stream Quotebook(Submittal)_POC1_20080903 2" xfId="6625"/>
    <cellStyle name="_2006_0410 Ernestine_Cooper tooling and plastic price to MS_Internal RFQ River Standalone  Bundle Unibom_v1 2_20080603_EJ 2" xfId="6626"/>
    <cellStyle name="_2006_0409 Ernestine_Cooper tooling_Quotebook_07SEP10_Internal RFQ River Standalone  Bundle Unibom_v1 2_20080603_EJ" xfId="6627"/>
    <cellStyle name="_Flex Mechanicals Doumen Sales forecast - Jan.06-updated_Volume Fcst 1006 updated_Copy of Tom OS ( Oct) new for LOG_2009 xBOX ramp up budget code applicaiton 300K --New May26 (3)" xfId="6628"/>
    <cellStyle name="_2006_0409 Ernestine_Cooper tooling_Quotebook_07SEP10_Internal RFQ River Standalone  Bundle Unibom_v1 2_20080603_EJ_Stream Quotebook (Submittal)_POC2_20081117-1" xfId="6629"/>
    <cellStyle name="好_River EE BOM_Creak Pearl Reliability Fixture RFQ_2009 04 24_Xl0000002 2 3" xfId="6630"/>
    <cellStyle name="Linked Cell 3 3" xfId="6631"/>
    <cellStyle name="_Mechanical Contribution Margins forecast 0506 FP_PL Fcst Jul 06-updated G&amp;A Value_Copy of Tom OS ( Oct) new for LOG_2009 xBOX ramp up budget code applicaiton" xfId="6632"/>
    <cellStyle name="_2006_0409 Ernestine_Cooper tooling_Quotebook_07SEP10_Internal RFQ River Standalone  Bundle Unibom_v1 2_20080603_EJ_Stream Quotebook(Submittal)_POC1_20080903" xfId="6633"/>
    <cellStyle name="好_MB9月管審誤判超標 8D_2009MB KPI_MBO3F製造部hp0209-01 5 2 3" xfId="6634"/>
    <cellStyle name="_2006_0409 Ernestine_Cooper tooling_Stream RFQ Unibom--0626-1756_Stream Quotebook (Submittal)_POC2_20081117-1" xfId="6635"/>
    <cellStyle name="Normal 38 3" xfId="6636"/>
    <cellStyle name="Normal 43 3" xfId="6637"/>
    <cellStyle name="_OP1 DPO Forecast Final_PL Forecast by segment-most final 0806_2009 xBOX ramp up budget code applicaiton 300K --New May27" xfId="6638"/>
    <cellStyle name="_2006_0409 Ernestine_Cooper tooling_Quotebook_07SEP10_Internal RFQ River Standalone  Bundle Unibom_v1 2_20080603_EJ_Stream Quotebook(Submittal)_POC1_20080903 2" xfId="6639"/>
    <cellStyle name="_2006_0409 Ernestine_Cooper tooling_Quotebook_07SEP10_RFQ_River_BAFO_2008 0606_M1 2" xfId="6640"/>
    <cellStyle name="差_Xl0000000_Leopard_UniBOM_ME_0602-1 2 2 2" xfId="6641"/>
    <cellStyle name="_BOM update - Supplier List (Purchase) 111102_Quote Format - sample Rev 7" xfId="6642"/>
    <cellStyle name="_2006_0409 Ernestine_Cooper tooling_Quotebook_07SEP10_RFQ_River_BAFO_2008 0606_M1_Stream Package Quotation_20090311" xfId="6643"/>
    <cellStyle name="_Alvin Plastics RFQ Worksheets - Nypro 062807" xfId="6644"/>
    <cellStyle name="_supplier contact way (2)_Copy of MOST Std - S1300 F2lines_FMTQCI-MIS3H064-P027(01)Nazca Copy Exact Flow chart" xfId="6645"/>
    <cellStyle name="_2006_0412 Ernestine_Cooper tooling and plastic price to MS_JC_RFQ_River_BAFO_2008 0606_M1 2" xfId="6646"/>
    <cellStyle name="差_Creak Pearl Reliability Fixture RFQ_2009 04 24_Creek RFQ feedback 04_28_2009_FD Update_Leopard_UniBOM_ME_0602_Bolt RFQ_Foxlink_03.1 2011_nego meeting@MACH 3" xfId="6647"/>
    <cellStyle name="差_F3   SMT設備明細_jupite r設備&amp;治工具LIST (總)_pq_Jackson 效益分析 testing update_16th Jan1_Jackson 效益分析 (2-1 B0 上系統)" xfId="6648"/>
    <cellStyle name="_2006_0409 Ernestine_Cooper tooling_Quotebook_07SEP10_RFQ_River_BAFO_2008 0606_M1_Stream Quotebook(Submittal)_POC1_20080903" xfId="6649"/>
    <cellStyle name="差_Creek RFQ feedback 04_28_2009_FD Update_Leopard_UniBOM_ME_0531_Bolt RFQ_Foxlink_03.1 2011 5" xfId="6650"/>
    <cellStyle name="差_Creak Pearl Reliability Fixture RFQ_2009 04 24_Creek RFQ feedback 04_28_2009_FD Update_Leopard_UniBOM_ME_0602_Bolt RFQ_Foxlink_03.1 2011_nego meeting@MACH 3 2" xfId="6651"/>
    <cellStyle name="壞_Creek EE BOM cost_20090425_Creek RFQ feedback 04_28_2009_FD Update_Leopard RFQ ME BOM Costs-0618 2 3 2" xfId="6652"/>
    <cellStyle name="好_River EE BOM_Xl0000000_Leopard RFQ ME BOM Costs-0618-2_Bolt RFQ_Foxlink_03.1 2011" xfId="6653"/>
    <cellStyle name="_Ernestine Equipment  Fixture List_04_11_2006_FL_Quotebook_V3_07SEP11_RFQ_River_BAFO_2008 0606_M1_Stream Quotebook (Submittal)_POC2_20081117-1" xfId="6654"/>
    <cellStyle name="_2006_0409 Ernestine_Cooper tooling_Quotebook_07SEP10_RFQ_River_BAFO_2008 0606_M1_Stream Quotebook(Submittal)_POC1_20080903 2" xfId="6655"/>
    <cellStyle name="差_HP Mouse 產能評估(Forecast更改後)_Erie 效益分析 (Update)_Jackson 效益分析 testing update_16th Jan111_Jackson 效益分析 (2-1 B0 上系統)_squirrel效益分析08-17" xfId="6656"/>
    <cellStyle name="_2006_0409 Ernestine_Cooper tooling_Quotebook_07SEP10_Stream RFQ Unibom--0626-1756 2" xfId="6657"/>
    <cellStyle name="_2006_0409 Ernestine_Cooper tooling_Quotebook_07SEP10_Stream RFQ Unibom--0626-1756_Stream Package Quotation_20090311" xfId="6658"/>
    <cellStyle name="_Mar Freight analysis value_FY06 P6 XBox 360 Mfg Var - Close Pack" xfId="6659"/>
    <cellStyle name="_2006_0409 Ernestine_Cooper tooling_Quotebook_07SEP10_Stream RFQ Unibom--0626-1756_Stream Quotebook (Submittal)_POC2_20081117-1" xfId="6660"/>
    <cellStyle name="差_Creak Pearl Reliability Fixture RFQ_2009 04 24_Creek RFQ feedback 04_28_2009_FD Update_Leopard UniBom_Foxlink_6 21 2010-ME_nego_Bolt RFQ Proposal_Foxlink_ (Pricing Summary) 2 25 2011 5 3" xfId="6661"/>
    <cellStyle name="_2006_0409 Ernestine_Cooper tooling_Quotebook_V3_07SEP11 2" xfId="6662"/>
    <cellStyle name="好_River EE BOM_Creak Pearl Reliability Fixture RFQ_2009 04 24_Xl0000002_Leopard Lemur Squirrel UniBom-06.22.2010_EE cost _update_internal_Bolt RFQ_Foxlink_03.1 2011_nego meeting@MACH 5" xfId="6663"/>
    <cellStyle name="_PL Fcst_akl(Friday)_Volume Fcst 1006 updated_Tom OS ( Oct)_X-BOX Console line setup budget and Buyer list" xfId="6664"/>
    <cellStyle name="_2006_0409 Ernestine_Cooper tooling_Quotebook_V3_07SEP11_Internal RFQ River Standalone  Bundle Unibom_v1 2_20080603_EJ" xfId="6665"/>
    <cellStyle name="好_River EE BOM_Creak Pearl Reliability Fixture RFQ_2009 04 24_Creek  Pearl RFQ_May 12_Foxlink_Shadow RFQ NREUni BOM_12032009_Bolt RFQ Proposal_Foxlink_ (Pricing Summary) 2 25 2011 4" xfId="6666"/>
    <cellStyle name="_2006_0409 Ernestine_Cooper tooling_Quotebook_V3_07SEP11_Internal RFQ River Standalone  Bundle Unibom_v1 2_20080603_EJ 2" xfId="6667"/>
    <cellStyle name="_51wk呆滯庫存" xfId="6668"/>
    <cellStyle name="好_River EE BOM_Creak Pearl Reliability Fixture RFQ_2009 04 24_Pearl RFQ(Submittal)ver2_05_12_2009 _Leopard UniBom_Foxlink_6 21 2010-nego" xfId="6669"/>
    <cellStyle name="_2006_0409 Ernestine_Cooper tooling_Quotebook_V3_07SEP11_Internal RFQ River Standalone  Bundle Unibom_v1 2_20080603_EJ_Stream Package Quotation_20090311" xfId="6670"/>
    <cellStyle name="差_Xl0000002_Squirrel UniBom-06.23.2010_update_internal_Bolt RFQ_Foxlink_03.1 2011_nego meeting@MACH 3 3" xfId="6671"/>
    <cellStyle name="好_River EE BOM_Creak Pearl Reliability Fixture RFQ_2009 04 24_Creek  Pearl RFQ_May 12_Squirrel RFQ ME BOM Costs-0623_Bolt RFQ_Foxlink_03.1 2011_nego meeting@MACH 3 2" xfId="6672"/>
    <cellStyle name="_2006_0409 Ernestine_Cooper tooling_Quotebook_V3_07SEP11_Internal RFQ River Standalone  Bundle Unibom_v1 2_20080603_EJ_Stream Quotebook(Submittal)_POC1_20080903 2" xfId="6673"/>
    <cellStyle name="好_River EE BOM_Xl0000002_Leopard RFQ ME BOM Costs-0618-2_Bolt RFQ Proposal_Foxlink_ (Pricing Summary) 2 25 2011 2 2" xfId="6674"/>
    <cellStyle name="_2006_0409 Ernestine_Cooper tooling_Quotebook_V3_07SEP11_RFQ_River_BAFO_2008 0606_M1 2" xfId="6675"/>
    <cellStyle name="_2006_0409 Ernestine_Cooper tooling_Quotebook_V3_07SEP11_RFQ_River_BAFO_2008 0606_M1_Stream Package Quotation_20090311" xfId="6676"/>
    <cellStyle name="_2006_0409 Ernestine_Cooper tooling_Quotebook_V3_07SEP11_Stream RFQ Unibom--0626-1756_Stream Package Quotation_20090311" xfId="6677"/>
    <cellStyle name="好_River EE BOM_Xl0000000_Leopard_UniBOM_ME_0602_Bolt RFQ_Foxlink_03.1 2011 2 3" xfId="6678"/>
    <cellStyle name="好_Creek Assembly Fixture  Test Equipment RFQ_20090427_Leopard_UniBOM_ME_0531_Bolt_Cliff 5 2" xfId="6679"/>
    <cellStyle name="_2006_0409 Ernestine_Cooper tooling_Quotebook_V3_07SEP11_Stream RFQ Unibom--0626-1756_Stream Quotebook (Submittal)_POC2_20081117-1" xfId="6680"/>
    <cellStyle name="60% - 輔色4 2" xfId="6681"/>
    <cellStyle name="_Flextronics Radon  Build Plan 4-27-2005_Mice Daily Output Plan (2)_Line transition plan to B17 rev 5_Tester Demand Plan 062707" xfId="6682"/>
    <cellStyle name="_2006_0409 Ernestine_Cooper tooling_Quotebook_V3_07SEP11_Stream RFQ Unibom--0626-1756_Stream Quotebook(Submittal)_POC1_20080903 2" xfId="6683"/>
    <cellStyle name="好_Creek EE BOM cost_20090425_Creek RFQ feedback 04_28_2009_FD Update_Squirrel RFQ ME BOM Costs-0623_Bolt RFQ_Foxlink_03.1 2011 2 2" xfId="6684"/>
    <cellStyle name="出力" xfId="6685"/>
    <cellStyle name="_2006_0409 Ernestine_Cooper tooling_Stream RFQ Unibom--0626-1756" xfId="6686"/>
    <cellStyle name="_2006_0409 Ernestine_Cooper tooling_Stream RFQ Unibom--0626-1756_Stream Package Quotation_20090311" xfId="6687"/>
    <cellStyle name="差_Creak Pearl Reliability Fixture RFQ_2009 04 24_Creek RFQ feedback 04_28_2009_FD Update_Squirrel RFQ ME BOM Costs-0623_Bolt RFQ Proposal_Foxlink_ (Pricing Summary) 2 25 2011 7" xfId="6688"/>
    <cellStyle name="好_River EE BOM_Xl0000002_Leopard UniBom_Foxlink_6 21 2010-ME_nego 2 4" xfId="6689"/>
    <cellStyle name="Header2 2 2" xfId="6690"/>
    <cellStyle name="_2006_0409 Ernestine_Cooper tooling_Stream RFQ Unibom--0626-1756_Stream Quotebook(Submittal)_POC1_20080903" xfId="6691"/>
    <cellStyle name="60% - 强调文字颜色 6 3 2 2" xfId="6692"/>
    <cellStyle name="_2006_0409 Ernestine_Cooper tooling_Stream RFQ Unibom--0626-1756_Stream Quotebook(Submittal)_POC1_20080903 2" xfId="6693"/>
    <cellStyle name="壞_LLS_EV2_DVE_Plan_20101117" xfId="6694"/>
    <cellStyle name="_2006_0412 Ernestine_Cooper tooling and plastic price to MS_JC_Quotebook_V3_07SEP11_RFQ_River_BAFO_2008 0606_M1_Stream Package Quotation_20090311" xfId="6695"/>
    <cellStyle name="_8D_1_Book1_複本 0541周周管審" xfId="6696"/>
    <cellStyle name="差_F3   SMT設備明細_jupite r設備&amp;治工具LIST (總)_Dallas flow chart&amp;設備&amp;治工具清單(12-8 A0)_squirrel效益分析08-17" xfId="6697"/>
    <cellStyle name="差_F3   SMT設備明細_效益分析_Dallas flow chart&amp;設備&amp;治工具清單(12-8 A0)_Flow Chart&amp;設備治工具清單 " xfId="6698"/>
    <cellStyle name="_2006_0410 Ernestine_Cooper tooling and plastic price to MS_Erie  Mouse RFQ Pricing IE" xfId="6699"/>
    <cellStyle name="差_Xl0000002_Leopard RFQ ME BOM Costs-0618-2_Bolt RFQ Proposal_Foxlink_ (Pricing Summary) 2 25 2011 7" xfId="6700"/>
    <cellStyle name="_2006_0410 Ernestine_Cooper tooling and plastic price to MS_Erie  Mouse RFQ Pricing IE 2" xfId="6701"/>
    <cellStyle name="好_River EE BOM_Xl0000000_Leopard UniBom_Foxlink_6 21 2010-ME_nego_Bolt RFQ_Foxlink_03.1 2011 2" xfId="6702"/>
    <cellStyle name="_2006_0410 Ernestine_Cooper tooling and plastic price to MS_Internal RFQ River Standalone  Bundle Unibom_v1 2_20080603_EJ_Stream Quotebook(Submittal)_POC1_20080903 2" xfId="6703"/>
    <cellStyle name="_Quote Format - sample" xfId="6704"/>
    <cellStyle name="_2006_0410 Ernestine_Cooper tooling and plastic price to MS_Quotebook_07SEP10 2" xfId="6705"/>
    <cellStyle name="差_Creak Pearl Reliability Fixture RFQ_2009 04 24_Creek RFQ feedback 04_28_2009_FD Update_Bolt RFQ Proposal_Foxlink_ (Pricing Summary) 2 25 2011 3 3" xfId="6706"/>
    <cellStyle name="_Mulan Edge Procurement Plan July 12 P1A_Mulan Edge EP0 KRH CTB wk28_2_FMTQCI-MIS3H064-P027(01)Nazca Copy Exact Flow chart" xfId="6707"/>
    <cellStyle name="壞_Creek Assembly Fixture  Test Equipment RFQ_20090427_Leopard RFQ ME BOM Costs-0618-2_Bolt RFQ Proposal_Foxlink_ (Pricing Summary) 2 25 2011 2 3" xfId="6708"/>
    <cellStyle name="_2006_0410 Ernestine_Cooper tooling and plastic price to MS_Quotebook_07SEP10_BlueAnt_Quotebook_V3_07SEP11_Internal RFQ River Standalone  Bundle Unibom_v1 2_20080603_EJ" xfId="6709"/>
    <cellStyle name="_ACTUAL DIM FOR IND MAR IN AUG_2009 xBOX ramp up budget code applicaiton" xfId="6710"/>
    <cellStyle name="_2006_0410 Ernestine_Cooper tooling and plastic price to MS_Quotebook_07SEP10_BlueAnt_Quotebook_V3_07SEP11_Internal RFQ River Standalone  Bundle Unibom_v1 2_20080603_EJ_Stream Quotebook (Submittal)_POC2_20081117-1" xfId="6711"/>
    <cellStyle name="_Summary Fcast v Budget_FY06 P7 XBox 360 Mfg Var - Close Pack" xfId="6712"/>
    <cellStyle name="_Sales Forecast (plastic XX)0703" xfId="6713"/>
    <cellStyle name="_Sales Forecast (plastic XX)1203" xfId="6714"/>
    <cellStyle name="_2006_0410 Ernestine_Cooper tooling and plastic price to MS_Quotebook_07SEP10_BlueAnt_Quotebook_V3_07SEP11_RFQ_River_BAFO_2008 0606_M1" xfId="6715"/>
    <cellStyle name="好_Wedge_ME_BOM-v00-11v0715" xfId="6716"/>
    <cellStyle name="_Actual P&amp;L_Computing Apr ~ May.2006_X-BOX BB" xfId="6717"/>
    <cellStyle name="壞_Creek Assembly Fixture  Test Equipment RFQ_20090427_Leopard_UniBOM_ME_0603-2 3 3" xfId="6718"/>
    <cellStyle name="_2006_0410 Ernestine_Cooper tooling and plastic price to MS_Quotebook_07SEP10_BlueAnt_Quotebook_V3_07SEP11_RFQ_River_BAFO_2008 0606_M1 2" xfId="6719"/>
    <cellStyle name="_2006_0410 Ernestine_Cooper tooling and plastic price to MS_Quotebook_07SEP10_BlueAnt_Quotebook_V3_07SEP11_RFQ_River_BAFO_2008 0606_M1_Stream Quotebook(Submittal)_POC1_20080903 2" xfId="6720"/>
    <cellStyle name="_2006_0410 Ernestine_Cooper tooling and plastic price to MS_Quotebook_07SEP10_BlueAnt_Quotebook_V3_07SEP11_Stream RFQ Unibom--0626-1756 2" xfId="6721"/>
    <cellStyle name="差_Creak Pearl Reliability Fixture RFQ_2009 04 24_Leopard_UniBOM_ME_0531_Bolt RFQ_Foxlink_03.1 2011 4" xfId="6722"/>
    <cellStyle name="_2006_0410 Ernestine_Cooper tooling and plastic price to MS_Quotebook_07SEP10_BlueAnt_Quotebook_V3_07SEP11_Stream RFQ Unibom--0626-1756_Stream Quotebook (Submittal)_POC2_20081117-1" xfId="6723"/>
    <cellStyle name="_2006_0410 Ernestine_Cooper tooling and plastic price to MS_Quotebook_07SEP10_BlueAnt_Quotebook_V3_07SEP11_Stream RFQ Unibom--0626-1756_Stream Quotebook(Submittal)_POC1_20080903" xfId="6724"/>
    <cellStyle name="_2006_0410 Ernestine_Cooper tooling and plastic price to MS_Quotebook_07SEP10_BlueAnt_Quotebook_V3_07SEP11_Stream RFQ Unibom--0626-1756_Stream Quotebook(Submittal)_POC1_20080903 2" xfId="6725"/>
    <cellStyle name="40% - アクセント 5" xfId="6726"/>
    <cellStyle name="_2006_0410b Ernestine_Cooper tooling and plastic price to MS_Quotebook_V3_07SEP11_RFQ_River_BAFO_2008 0606_M1_Stream Quotebook(Submittal)_POC1_20080903 2" xfId="6727"/>
    <cellStyle name="差_Creak Pearl Reliability Fixture RFQ_2009 04 24_Leopard_UniBOM_ME_0603-2_Bolt RFQ Proposal_Foxlink_ (Pricing Summary) 2 25 2011 2 2 3" xfId="6728"/>
    <cellStyle name="差_Creak Pearl Reliability Fixture RFQ_2009 04 24_Pearl RFQ(Submittal)ver2_05_12_2009 _Leopard_UniBOM_ME_0602_Bolt RFQ_Foxlink_03.1 2011_nego meeting@MACH 3 3" xfId="6729"/>
    <cellStyle name="_2006_0410 Ernestine_Cooper tooling and plastic price to MS_Quotebook_07SEP10_Internal RFQ River Standalone  Bundle Unibom_v1 2_20080603_EJ" xfId="6730"/>
    <cellStyle name="_2006_0410 Ernestine_Cooper tooling and plastic price to MS_Quotebook_07SEP10_Internal RFQ River Standalone  Bundle Unibom_v1 2_20080603_EJ_Stream Quotebook (Submittal)_POC2_20081117-1" xfId="6731"/>
    <cellStyle name="_CTB Mulan EP2Wingboard_20050808 (2)_MOST Std - S1300 F2lines_Nazca copy exact flow chart 20120409" xfId="6732"/>
    <cellStyle name="_2006_0410 Ernestine_Cooper tooling and plastic price to MS_Quotebook_07SEP10_Internal RFQ River Standalone  Bundle Unibom_v1 2_20080603_EJ_Stream Quotebook(Submittal)_POC1_20080903" xfId="6733"/>
    <cellStyle name="Normal 4 7 4" xfId="6734"/>
    <cellStyle name="好_Creek Assembly Fixture  Test Equipment RFQ_20090427_Leopard_UniBOM_ME_0602-1_Bolt RFQ Proposal_Foxlink_ (Pricing Summary) 2 25 2011 2 2" xfId="6735"/>
    <cellStyle name="_2009年各部門費用1-5月" xfId="6736"/>
    <cellStyle name="_2006_0410 Ernestine_Cooper tooling and plastic price to MS_Quotebook_07SEP10_Internal RFQ River Standalone  Bundle Unibom_v1 2_20080603_EJ_Stream Quotebook(Submittal)_POC1_20080903 2" xfId="6737"/>
    <cellStyle name="_FCT Pareto By Line-Oct 14th(DEV01291-7)_Test Time" xfId="6738"/>
    <cellStyle name="_2006_0410 Ernestine_Cooper tooling and plastic price to MS_Quotebook_07SEP10_RFQ_River_BAFO_2008 0606_M1 2" xfId="6739"/>
    <cellStyle name="_2006_0410 Ernestine_Cooper tooling and plastic price to MS_Quotebook_07SEP10_RFQ_River_BAFO_2008 0606_M1_Stream Package Quotation_20090311" xfId="6740"/>
    <cellStyle name="差_Erie mouse 效益分析( 11-19 A1)_Flow chart and Fixture(1-4)_Jackson 效益分析 (2-1 B0 上系統)_squirrel效益分析08-17" xfId="6741"/>
    <cellStyle name="_Book12_八月份周直通率8d1_Book1" xfId="6742"/>
    <cellStyle name="标题 4 2 2 2" xfId="6743"/>
    <cellStyle name="_2006_0410 Ernestine_Cooper tooling and plastic price to MS_Quotebook_07SEP10_RFQ_River_BAFO_2008 0606_M1_Stream Quotebook (Submittal)_POC2_20081117-1" xfId="6744"/>
    <cellStyle name="好_River EE BOM_Creak Pearl Reliability Fixture RFQ_2009 04 24_Leopard RFQ ME BOM Costs-0618-2 2 2 3" xfId="6745"/>
    <cellStyle name="好_River EE BOM_Creak Pearl Reliability Fixture RFQ_2009 04 24_Creek  Pearl RFQ_May 12_Leopard Lemur Squirrel UniBom-06.22.2010_EE cost _update_internal_Bolt RFQ Proposal_Foxlink_ (Pricing Summary) 2 25 2011 6" xfId="6746"/>
    <cellStyle name="_2006_0410 Ernestine_Cooper tooling and plastic price to MS_Quotebook_07SEP10_RFQ_River_BAFO_2008 0606_M1_Stream Quotebook(Submittal)_POC1_20080903" xfId="6747"/>
    <cellStyle name="_2006_0410 Ernestine_Cooper tooling and plastic price to MS_Quotebook_07SEP10_Stream RFQ Unibom--0626-1756 2" xfId="6748"/>
    <cellStyle name="好_River EE BOM_Creek RFQ feedback 04_28_2009_FD Update_Leopard_UniBOM_ME_0602_Bolt RFQ_Foxlink_03.1 2011_nego meeting@MACH 4" xfId="6749"/>
    <cellStyle name="_2006_0410 Ernestine_Cooper tooling and plastic price to MS_Quotebook_07SEP10_Stream RFQ Unibom--0626-1756_Stream Quotebook(Submittal)_POC1_20080903 2" xfId="6750"/>
    <cellStyle name="好_River EE BOM_Xl0000002_Leopard_UniBOM_ME_0602-1_Bolt RFQ Proposal_Foxlink_ (Pricing Summary) 2 25 2011 4" xfId="6751"/>
    <cellStyle name="_2006_0410 Ernestine_Cooper tooling and plastic price to MS_Quotebook_V3_07SEP11" xfId="6752"/>
    <cellStyle name="_2006_0410 Ernestine_Cooper tooling and plastic price to MS_Quotebook_V3_07SEP11_Internal RFQ River Standalone  Bundle Unibom_v1 2_20080603_EJ" xfId="6753"/>
    <cellStyle name="差_jupite r設備&amp;治工具LIST (總)_Dallas效益分析&amp;投資回收期 (12-2 A1)_Flow chart and Fixture(1-4)_Jackson 效益分析 (2-1 B0 上系統)_Leopard Flowchart &amp; 產能評估" xfId="6754"/>
    <cellStyle name="_Mechanical Contribution Margins (Q1'06, applied to Apr'04 Fcst)_Mechanical Contribution Margins forecast 0506 FP_PL Fcst Jul 06-updated G&amp;A Value_Tom OS ( Oct)_X-BOX Console line setup budget 20080414" xfId="6755"/>
    <cellStyle name="_7月ict f.t_0536周周管審_0538周直通率8d1_複本 0541周周管審" xfId="6756"/>
    <cellStyle name="_2006_0410 Ernestine_Cooper tooling and plastic price to MS_Quotebook_V3_07SEP11_Internal RFQ River Standalone  Bundle Unibom_v1 2_20080603_EJ 2" xfId="6757"/>
    <cellStyle name="_April COGP FC - Final" xfId="6758"/>
    <cellStyle name="差_MS Bolt wireless mouse FixtureEquipment Cost_A5_2010_02_21 3 2" xfId="6759"/>
    <cellStyle name="_2006_0410 Ernestine_Cooper tooling and plastic price to MS_Quotebook_V3_07SEP11_Internal RFQ River Standalone  Bundle Unibom_v1 2_20080603_EJ_Stream Package Quotation_20090311" xfId="6760"/>
    <cellStyle name="好_River EE BOM_Bolt RFQ Proposal_Foxlink_ (Pricing Summary) 2 25 2011 6" xfId="6761"/>
    <cellStyle name="_August-05_plforecastsample_Budget GC Other Form" xfId="6762"/>
    <cellStyle name="Heading 2 15" xfId="6763"/>
    <cellStyle name="_Flex Mechanicals Doumen Sales forecast - Jan.06-updated_PL Fcst Jul 06-updated G&amp;A Value_Tom OS ( Oct)_Budget GC Other Form" xfId="6764"/>
    <cellStyle name="_2006_0410 Ernestine_Cooper tooling and plastic price to MS_Quotebook_V3_07SEP11_Internal RFQ River Standalone  Bundle Unibom_v1 2_20080603_EJ_Stream Quotebook (Submittal)_POC2_20081117-1" xfId="6765"/>
    <cellStyle name="好_River EE BOM_Creak Pearl Reliability Fixture RFQ_2009 04 24_Creek  Pearl RFQ_May 12_Leopard_UniBOM_ME_0602-1_Bolt RFQ_Foxlink_03.1 2011_nego meeting@MACH 3 3" xfId="6766"/>
    <cellStyle name="_2006_0410 Ernestine_Cooper tooling and plastic price to MS_Quotebook_V3_07SEP11_Internal RFQ River Standalone  Bundle Unibom_v1 2_20080603_EJ_Stream Quotebook(Submittal)_POC1_20080903" xfId="6767"/>
    <cellStyle name="_2006_0410 Ernestine_Cooper tooling and plastic price to MS_Quotebook_V3_07SEP11_Internal RFQ River Standalone  Bundle Unibom_v1 2_20080603_EJ_Stream Quotebook(Submittal)_POC1_20080903 2" xfId="6768"/>
    <cellStyle name="好_Creek EE BOM cost_20090425_Creek RFQ feedback 04_28_2009_FD Update_Squirrel UniBom-06.23.2010_update_internal_Bolt RFQ Proposal_Foxlink_ (Pricing Summary) 2 25 2011 7" xfId="6769"/>
    <cellStyle name="_2006_0410 Ernestine_Cooper tooling and plastic price to MS_Quotebook_V3_07SEP11_RFQ_River_BAFO_2008 0606_M1" xfId="6770"/>
    <cellStyle name="好_River EE BOM_Xl0000000_Leopard_UniBOM_ME_0602-1 2" xfId="6771"/>
    <cellStyle name="_2006_0410 Ernestine_Cooper tooling and plastic price to MS_Quotebook_V3_07SEP11_RFQ_River_BAFO_2008 0606_M1_Stream Quotebook (Submittal)_POC2_20081117-1" xfId="6772"/>
    <cellStyle name="_2006_0410 Ernestine_Cooper tooling and plastic price to MS_RFQ_River_BAFO_2008 0606_M1_Stream Quotebook (Submittal)_POC2_20081117-1" xfId="6773"/>
    <cellStyle name="差_jupite r設備&amp;治工具LIST (總)_Dallas flow chart&amp;設備&amp;治工具清單(12-8 A0)_效益分析(總 12-28 Update)_squirrel效益分析08-17" xfId="6774"/>
    <cellStyle name="_2006_0410 Ernestine_Cooper tooling and plastic price to MS_Stream RFQ Unibom--0626-1756" xfId="6775"/>
    <cellStyle name="差_F3   SMT設備明細_jupite r設備&amp;治工具LIST (總)_pq_Jackson 效益分析 (2-1 B0 上系統)_Leopard Flowchart &amp; 產能評估" xfId="6776"/>
    <cellStyle name="_Mechanical Contribution Margins forecast 0506 FP_Copy of Tom OS ( Oct) new for LOG_2009 xBOX ramp up budget code applicaiton 300K --New May27" xfId="6777"/>
    <cellStyle name="_2007 KPI" xfId="6778"/>
    <cellStyle name="_2006_0410 Ernestine_Cooper tooling and plastic price to MS_Stream RFQ Unibom--0626-1756 2" xfId="6779"/>
    <cellStyle name="40% - 强调文字颜色 4 2 2 2 3" xfId="6780"/>
    <cellStyle name="_2006_0410 Ernestine_Cooper tooling and plastic price to MS_Stream RFQ Unibom--0626-1756_Stream Package Quotation_20090311" xfId="6781"/>
    <cellStyle name="好_Creek Assembly Fixture  Test Equipment RFQ_20090427_Squirrel UniBom-06.23.2010_update_internal_Bolt RFQ_Foxlink_03.1 2011 5" xfId="6782"/>
    <cellStyle name="_me bug" xfId="6783"/>
    <cellStyle name="_2006_0410 Ernestine_Cooper tooling and plastic price to MS_Stream RFQ Unibom--0626-1756_Stream Quotebook(Submittal)_POC1_20080903" xfId="6784"/>
    <cellStyle name="差_Creak Pearl Reliability Fixture RFQ_2009 04 24_Creek  Pearl RFQ_May 12 2 4" xfId="6785"/>
    <cellStyle name="好_Creek EE BOM cost_20090425_Creek RFQ feedback 04_28_2009_FD Update_Leopard UniBom_Foxlink_6 21 2010-ME_nego_Bolt RFQ Proposal_Foxlink_ (Pricing Summary) 2 25 2011 3 3" xfId="6786"/>
    <cellStyle name="_2006_0410b Ernestine_Cooper tooling and plastic price to MS" xfId="6787"/>
    <cellStyle name="_人力編制 (3)" xfId="6788"/>
    <cellStyle name="_2006_0410b Ernestine_Cooper tooling and plastic price to MS_Erie  Mouse RFQ Pricing IE" xfId="6789"/>
    <cellStyle name="_Biz Ops By Stream_Book1" xfId="6790"/>
    <cellStyle name="差_Creak Pearl Reliability Fixture RFQ_2009 04 24_Creek  Pearl RFQ_May 12_Leopard_UniBOM_ME_0602-1 2 2 3" xfId="6791"/>
    <cellStyle name="_2006_0410b Ernestine_Cooper tooling and plastic price to MS_Internal RFQ River Standalone  Bundle Unibom_v1 2_20080603_EJ" xfId="6792"/>
    <cellStyle name="_2006_0410b Ernestine_Cooper tooling and plastic price to MS_Internal RFQ River Standalone  Bundle Unibom_v1 2_20080603_EJ 2" xfId="6793"/>
    <cellStyle name="_2006_0410b Ernestine_Cooper tooling and plastic price to MS_Internal RFQ River Standalone  Bundle Unibom_v1 2_20080603_EJ_Stream Quotebook (Submittal)_POC2_20081117-1" xfId="6794"/>
    <cellStyle name="_2006_0410b Ernestine_Cooper tooling and plastic price to MS_Quotebook_07SEP10" xfId="6795"/>
    <cellStyle name="差_Creak Pearl Reliability Fixture RFQ_2009 04 24_Creek RFQ feedback 04_28_2009_FD Update_Leopard_UniBOM_ME_0603-2_Bolt RFQ Proposal_Foxlink_ (Pricing Summary) 2 25 2011 2 3" xfId="6796"/>
    <cellStyle name="好_River EE BOM_Creak Pearl Reliability Fixture RFQ_2009 04 24_Creek  Pearl RFQ_May 12_Leopard UniBom_Foxlink_6 21 2010-ME_nego_Bolt RFQ Proposal_Foxlink_ (Pricing Summary) 2 25 2011 7" xfId="6797"/>
    <cellStyle name="_Forecast - Segment WVJune06_plforecastsample" xfId="6798"/>
    <cellStyle name="_2006_0410b Ernestine_Cooper tooling and plastic price to MS_Quotebook_07SEP10_BlueAnt_Quotebook_V3_07SEP11" xfId="6799"/>
    <cellStyle name="_2006_0410b Ernestine_Cooper tooling and plastic price to MS_Quotebook_07SEP10_BlueAnt_Quotebook_V3_07SEP11 2" xfId="6800"/>
    <cellStyle name="_2006_0410b Ernestine_Cooper tooling and plastic price to MS_Quotebook_07SEP10_BlueAnt_Quotebook_V3_07SEP11_Internal RFQ River Standalone  Bundle Unibom_v1 2_20080603_EJ" xfId="6801"/>
    <cellStyle name="好_River EE BOM_Creak Pearl Reliability Fixture RFQ_2009 04 24_Creek  Pearl RFQ_May 12_Squirrel UniBom-06.23.2010_update_internal 3 3" xfId="6802"/>
    <cellStyle name="_FCT Pareto By Line-Aug 11th(DEV01286-5)" xfId="6803"/>
    <cellStyle name="Normal 4 4 3 3" xfId="6804"/>
    <cellStyle name="_Flex Mechanicals Doumen Sales forecast - Jan.06-updated_Volume Fcst Jul 06-update HP _Copy of Tom OS ( Oct) new for LOG_X-BOX BB" xfId="6805"/>
    <cellStyle name="_asus wlan 機種SMT線體需求計算表_本周產能(0404FC111_awl線體需求計算5.25" xfId="6806"/>
    <cellStyle name="好_River EE BOM_Creak Pearl Reliability Fixture RFQ_2009 04 24_Pearl RFQ(Submittal)ver2_05_12_2009 _Leopard UniBom_Foxlink_6 21 2010-ME_nego_Bolt RFQ Proposal_Foxlink_ (Pricing Summary) 2 25 2011 3 2" xfId="6807"/>
    <cellStyle name="_2006_0410b Ernestine_Cooper tooling and plastic price to MS_Quotebook_07SEP10_BlueAnt_Quotebook_V3_07SEP11_Internal RFQ River Standalone  Bundle Unibom_v1 2_20080603_EJ_Stream Quotebook (Submittal)_POC2_20081117-1" xfId="6808"/>
    <cellStyle name="_2006_0410b Ernestine_Cooper tooling and plastic price to MS_Quotebook_07SEP10_BlueAnt_Quotebook_V3_07SEP11_Internal RFQ River Standalone  Bundle Unibom_v1 2_20080603_EJ_Stream Quotebook(Submittal)_POC1_20080903" xfId="6809"/>
    <cellStyle name="好_Creek Assembly Fixture  Test Equipment RFQ_20090427_Leopard_UniBOM_ME_0602_Bolt RFQ_Foxlink_03.1 2011_Bolt_Cliff 2 2" xfId="6810"/>
    <cellStyle name="计算 3" xfId="6811"/>
    <cellStyle name="_Alvin Plastics RFQ Worksheets - Nypro 062807_Stream RFQ Unibom--0626-1756_Stream Quotebook(Submittal)_POC1_20080903" xfId="6812"/>
    <cellStyle name="_2006_0410b Ernestine_Cooper tooling and plastic price to MS_Quotebook_07SEP10_BlueAnt_Quotebook_V3_07SEP11_Stream RFQ Unibom--0626-1756_Stream Quotebook (Submittal)_POC2_20081117-1" xfId="6813"/>
    <cellStyle name="_2006_0410b Ernestine_Cooper tooling and plastic price to MS_Quotebook_07SEP10_BlueAnt_Quotebook_V3_07SEP11_Stream RFQ Unibom--0626-1756_Stream Quotebook(Submittal)_POC1_20080903 2" xfId="6814"/>
    <cellStyle name="好_River EE BOM_Creak Pearl Reliability Fixture RFQ_2009 04 24_Pearl RFQ(Submittal)ver2_05_12_2009 _Leopard Lemur Squirrel UniBom-06.22.2010_EE cost _update_internal_Bolt RFQ_Foxlink_03.1 2011 3 3" xfId="6815"/>
    <cellStyle name="_2006_0410b Ernestine_Cooper tooling and plastic price to MS_Quotebook_07SEP10_Internal RFQ River Standalone  Bundle Unibom_v1 2_20080603_EJ" xfId="6816"/>
    <cellStyle name="好_River EE BOM_Xl0000000_Bolt RFQ Proposal_Foxlink_ (Pricing Summary) 2 25 2011 4 2" xfId="6817"/>
    <cellStyle name="Normal 5 2 7" xfId="6818"/>
    <cellStyle name="Calc Units (2)" xfId="6819"/>
    <cellStyle name="_2006_0410b Ernestine_Cooper tooling and plastic price to MS_Quotebook_07SEP10_Internal RFQ River Standalone  Bundle Unibom_v1 2_20080603_EJ 2" xfId="6820"/>
    <cellStyle name="_Fcst March_06(Revised 2.)_Volume Fcst Jul 06-update HP _Tom OS ( Oct)_X-BOX Console line setup budget 20080414" xfId="6821"/>
    <cellStyle name="差_Creak Pearl Reliability Fixture RFQ_2009 04 24_Xl0000002_Leopard_UniBOM_ME_0602-1_Bolt RFQ Proposal_Foxlink_ (Pricing Summary) 2 25 2011 4" xfId="6822"/>
    <cellStyle name="_BOM_BlueVox (Wiima) &amp; BCM2044 v03022007_Rio Quotation Proposal_v22102008_Final version 2" xfId="6823"/>
    <cellStyle name="_2006_0410b Ernestine_Cooper tooling and plastic price to MS_Quotebook_07SEP10_Internal RFQ River Standalone  Bundle Unibom_v1 2_20080603_EJ_Stream Quotebook (Submittal)_POC2_20081117-1" xfId="6824"/>
    <cellStyle name="差_F3   SMT設備明細_jupite r設備&amp;治工具LIST (總)_Dallas效益分析&amp;投資回收期 (12-2 A1)_Flow chart and Fixture(1-4)_Jackson 效益分析 (2-1 B0 上系統)_Leopard效益分析08-17" xfId="6825"/>
    <cellStyle name="好_foxlink Bristol for 10063D-2010-10-11_Bristol ME parts tooling cost 20101022 updated_Bristol TC Estimate Update 08042011_MS" xfId="6826"/>
    <cellStyle name="壞_Creek EE BOM cost_20090425_Creek RFQ feedback 04_28_2009_FD Update_Leopard UniBom_Foxlink_6 21 2010-ME_nego_Bolt RFQ_Foxlink_03.1 2011_nego meeting@MACH" xfId="6827"/>
    <cellStyle name="_2006_0410b Ernestine_Cooper tooling and plastic price to MS_Quotebook_07SEP10_RFQ_River_BAFO_2008 0606_M1" xfId="6828"/>
    <cellStyle name="_Mechanical Contribution Margins forecast 0506 FP_PL Forecast by segment-most final 0806_Copy of Tom OS ( Oct) new for LOG_2009 xBOX ramp up budget code applicaiton 300K --New May27" xfId="6829"/>
    <cellStyle name="_2006_0410b Ernestine_Cooper tooling and plastic price to MS_Quotebook_07SEP10_RFQ_River_BAFO_2008 0606_M1_Stream Quotebook(Submittal)_POC1_20080903 2" xfId="6830"/>
    <cellStyle name="_2006_0410b Ernestine_Cooper tooling and plastic price to MS_Quotebook_07SEP10_Stream RFQ Unibom--0626-1756 2" xfId="6831"/>
    <cellStyle name="_2006_0410b Ernestine_Cooper tooling and plastic price to MS_Quotebook_07SEP10_Stream RFQ Unibom--0626-1756_Stream Quotebook(Submittal)_POC1_20080903" xfId="6832"/>
    <cellStyle name="差_Xl0000002_Leopard_UniBOM_ME_0531_Bolt RFQ Proposal_Foxlink_ (Pricing Summary) 2 25 2011 3 2" xfId="6833"/>
    <cellStyle name="差_Creak Pearl Reliability Fixture RFQ_2009 04 24_Xl0000002_Squirrel UniBom_Foxlink_7.27.2010" xfId="6834"/>
    <cellStyle name="_2006_0410b Ernestine_Cooper tooling and plastic price to MS_Quotebook_V3_07SEP11" xfId="6835"/>
    <cellStyle name="好_River EE BOM_Creak Pearl Reliability Fixture RFQ_2009 04 24_Xl0000002_Leopard RFQ ME BOM Costs-0618-2_Bolt RFQ Proposal_Foxlink_ (Pricing Summary) 2 25 2011 6" xfId="6836"/>
    <cellStyle name="好_Creek Assembly Fixture  Test Equipment RFQ_20090427_Xl0000002_Bolt RFQ_Foxlink_03.1 2011" xfId="6837"/>
    <cellStyle name="_2006_0410b Ernestine_Cooper tooling and plastic price to MS_Quotebook_V3_07SEP11_RFQ_River_BAFO_2008 0606_M1" xfId="6838"/>
    <cellStyle name="_Book2_Mechanical Contribution Margins forecast 0506 FP_PL Fcst Jul 06-updated G&amp;A Value_Forecast Template v4" xfId="6839"/>
    <cellStyle name="Linked Cell 2 3" xfId="6840"/>
    <cellStyle name="_2006_0410b Ernestine_Cooper tooling and plastic price to MS_Quotebook_V3_07SEP11_RFQ_River_BAFO_2008 0606_M1_Stream Quotebook (Submittal)_POC2_20081117-1" xfId="6841"/>
    <cellStyle name="_Flex Mechanicals Doumen Sales forecast - Jan.06-updated" xfId="6842"/>
    <cellStyle name="_2006_0410b Ernestine_Cooper tooling and plastic price to MS_Quotebook_V3_07SEP11_RFQ_River_BAFO_2008 0606_M1_Stream Quotebook(Submittal)_POC1_20080903" xfId="6843"/>
    <cellStyle name="_2006_0410b Ernestine_Cooper tooling and plastic price to MS_Quotebook_V3_07SEP11_Stream RFQ Unibom--0626-1756" xfId="6844"/>
    <cellStyle name="_2006_0410b Ernestine_Cooper tooling and plastic price to MS_Quotebook_V3_07SEP11_Stream RFQ Unibom--0626-1756 2" xfId="6845"/>
    <cellStyle name="_2006_0410b Ernestine_Cooper tooling and plastic price to MS_Quotebook_V3_07SEP11_Stream RFQ Unibom--0626-1756_Stream Package Quotation_20090311" xfId="6846"/>
    <cellStyle name="_Book2_PL Fcst Jul 06-updated G&amp;A Value_Tom OS ( Oct)_X-BOX Console line setup budget 20080414" xfId="6847"/>
    <cellStyle name="_2006_0410b Ernestine_Cooper tooling and plastic price to MS_Quotebook_V3_07SEP11_Stream RFQ Unibom--0626-1756_Stream Quotebook (Submittal)_POC2_20081117-1" xfId="6848"/>
    <cellStyle name="9_Revised AP DPO Oct 04 v2_Volume Fcst 1006 updated_Copy of Tom OS ( Oct) new for LOG" xfId="6849"/>
    <cellStyle name="_2006_0410b Ernestine_Cooper tooling and plastic price to MS_RFQ_River_BAFO_2008 0606_M1_Stream Quotebook (Submittal)_POC2_20081117-1" xfId="6850"/>
    <cellStyle name="好_River EE BOM_Creek RFQ feedback 04_28_2009_FD Update_Squirrel UniBom-06.23.2010_update_internal_Bolt RFQ_Foxlink_03.1 2011_nego meeting@MACH 4" xfId="6851"/>
    <cellStyle name="_2006_0410b Ernestine_Cooper tooling and plastic price to MS_RFQ_River_BAFO_2008 0606_M1_Stream Quotebook(Submittal)_POC1_20080903 2" xfId="6852"/>
    <cellStyle name="_2006_0410b Ernestine_Cooper tooling and plastic price to MS_Stream RFQ Unibom--0626-1756 2" xfId="6853"/>
    <cellStyle name="Percent 22 4" xfId="6854"/>
    <cellStyle name="_2006_0410b Ernestine_Cooper tooling and plastic price to MS_Stream RFQ Unibom--0626-1756_Stream Quotebook(Submittal)_POC1_20080903" xfId="6855"/>
    <cellStyle name="_2006_0410b Ernestine_Cooper tooling and plastic price to MS_Stream RFQ Unibom--0626-1756_Stream Quotebook(Submittal)_POC1_20080903 2" xfId="6856"/>
    <cellStyle name="差_jupite r設備&amp;治工具LIST (總)_Dolce設備治工具明細表(TE Update)_Jackson 效益分析 (2-1 B0 上系統)" xfId="6857"/>
    <cellStyle name="_2006_0412 Ernestine_Cooper tooling and plastic price to MS_JC_Erie  Mouse RFQ Pricing IE 2" xfId="6858"/>
    <cellStyle name="_2006_0412 Ernestine_Cooper tooling and plastic price to MS_JC_Quotebook_07SEP10" xfId="6859"/>
    <cellStyle name="_2006_0412 Ernestine_Cooper tooling and plastic price to MS_JC_Quotebook_07SEP10 2" xfId="6860"/>
    <cellStyle name="_2006_0412 Ernestine_Cooper tooling and plastic price to MS_JC_Quotebook_07SEP10_BlueAnt_Quotebook_V3_07SEP11 2" xfId="6861"/>
    <cellStyle name="_2006_0412 Ernestine_Cooper tooling and plastic price to MS_JC_Quotebook_07SEP10_BlueAnt_Quotebook_V3_07SEP11_Internal RFQ River Standalone  Bundle Unibom_v1 2_20080603_EJ_Stream Quotebook (Submittal)_POC2_20081117-1" xfId="6862"/>
    <cellStyle name="差_效益分析&amp;產能評估_M1 Squirrel Capacity planFixtureEquipment Cost_A2_06192010_Leopard UniBom_Foxlink_12272010 RevF_shirley" xfId="6863"/>
    <cellStyle name="_acut_2009 xBOX ramp up budget code applicaiton" xfId="6864"/>
    <cellStyle name="_35wk周報" xfId="6865"/>
    <cellStyle name="差_HP Mouse 產能評估(上系統)_MS Bolt wireless mouse FixtureEquipment Cost_A5_2010_02_21_Bolt RFQ_Foxlink_03.1 2011 2 2" xfId="6866"/>
    <cellStyle name="好_Creek EE BOM cost_20090425_Creek RFQ feedback 04_28_2009_FD Update_Foxlink_Shadow RFQ NREUni BOM_12032009_Bolt RFQ Proposal_Foxlink_ (Pricing Summary) 2 25 2011 5 2" xfId="6867"/>
    <cellStyle name="_2006_0412 Ernestine_Cooper tooling and plastic price to MS_JC_Quotebook_07SEP10_BlueAnt_Quotebook_V3_07SEP11_Internal RFQ River Standalone  Bundle Unibom_v1 2_20080603_EJ_Stream Quotebook(Submittal)_POC1_20080903" xfId="6868"/>
    <cellStyle name="好_Creek Assembly Fixture  Test Equipment RFQ_20090427_Leopard_UniBOM_ME_0602_Bolt RFQ_Foxlink_03.1 2011_nego meeting@MACH_Bolt_Cliff 4" xfId="6869"/>
    <cellStyle name="_2006_0412 Ernestine_Cooper tooling and plastic price to MS_JC_Quotebook_07SEP10_BlueAnt_Quotebook_V3_07SEP11_RFQ_River_BAFO_2008 0606_M1_Stream Quotebook (Submittal)_POC2_20081117-1" xfId="6870"/>
    <cellStyle name="壞_Creek Assembly Fixture  Test Equipment RFQ_20090427_Xl0000002_Leopard_UniBOM_ME_0603-2_Bolt RFQ_Foxlink_03.1 2011 2 2" xfId="6871"/>
    <cellStyle name="_2006_0412 Ernestine_Cooper tooling and plastic price to MS_JC_Quotebook_07SEP10_BlueAnt_Quotebook_V3_07SEP11_RFQ_River_BAFO_2008 0606_M1_Stream Quotebook(Submittal)_POC1_20080903 2" xfId="6872"/>
    <cellStyle name="_2006_0412 Ernestine_Cooper tooling and plastic price to MS_JC_Quotebook_07SEP10_BlueAnt_Quotebook_V3_07SEP11_Stream RFQ Unibom--0626-1756_Stream Quotebook (Submittal)_POC2_20081117-1" xfId="6873"/>
    <cellStyle name="差_Foxlink_Shadow RFQ NREUni BOM_12032009_Bolt RFQ_Foxlink_03.1 2011_nego meeting@MACH 4" xfId="6874"/>
    <cellStyle name="40% - Accent5 15" xfId="6875"/>
    <cellStyle name="差_Xl0000002_Leopard RFQ ME BOM Costs-0618-2 2 2 3" xfId="6876"/>
    <cellStyle name="_2006_0412 Ernestine_Cooper tooling and plastic price to MS_JC_Quotebook_07SEP10_BlueAnt_Quotebook_V3_07SEP11_Stream RFQ Unibom--0626-1756_Stream Quotebook(Submittal)_POC1_20080903 2" xfId="6877"/>
    <cellStyle name="_BOM update - Supplier List (Purchase) 111102_Lenovo PACK  Packing Proposal" xfId="6878"/>
    <cellStyle name="_Biz Ops By Stream_P6 Waynea review" xfId="6879"/>
    <cellStyle name="_2006_0412 Ernestine_Cooper tooling and plastic price to MS_JC_Quotebook_07SEP10_Internal RFQ River Standalone  Bundle Unibom_v1 2_20080603_EJ 2" xfId="6880"/>
    <cellStyle name="_50w bug" xfId="6881"/>
    <cellStyle name="_2006_0412 Ernestine_Cooper tooling and plastic price to MS_JC_Quotebook_07SEP10_Internal RFQ River Standalone  Bundle Unibom_v1 2_20080603_EJ_Stream Package Quotation_20090311" xfId="6882"/>
    <cellStyle name="差_F3   SMT設備明細_M1 SuedeFixtureEquipment Cost_A0_2010_10_15 2 3" xfId="6883"/>
    <cellStyle name="好_Creek Assembly Fixture  Test Equipment RFQ_20090427_Leopard_UniBOM_ME_0602_Bolt_Cliff 2 4" xfId="6884"/>
    <cellStyle name="好_River EE BOM_Creak Pearl Reliability Fixture RFQ_2009 04 24_Leopard_UniBOM_ME_0603-2_Bolt RFQ_Foxlink_03.1 2011_nego meeting@MACH 5" xfId="6885"/>
    <cellStyle name="_2006_0412 Ernestine_Cooper tooling and plastic price to MS_JC_Quotebook_07SEP10_Internal RFQ River Standalone  Bundle Unibom_v1 2_20080603_EJ_Stream Quotebook (Submittal)_POC2_20081117-1" xfId="6886"/>
    <cellStyle name="_2006_0412 Ernestine_Cooper tooling and plastic price to MS_JC_Quotebook_07SEP10_Internal RFQ River Standalone  Bundle Unibom_v1 2_20080603_EJ_Stream Quotebook(Submittal)_POC1_20080903" xfId="6887"/>
    <cellStyle name="差_Xl0000002_Leopard RFQ ME BOM Costs-0618-2 2 2" xfId="6888"/>
    <cellStyle name="_220071-78(Oct 2006)_X-BOX Console line setup budget 20080414" xfId="6889"/>
    <cellStyle name="好_River EE BOM_Creak Pearl Reliability Fixture RFQ_2009 04 24_Creek  Pearl RFQ_May 12_Leopard UniBom_Foxlink_6 21 2010-ME_nego_Bolt RFQ Proposal_Foxlink_ (Pricing Summary) 2 25 2011 3 2" xfId="6890"/>
    <cellStyle name="_Forecast - Segment-OCE-June06(1)_2009 xBOX ramp up budget code applicaiton 300K --New May27" xfId="6891"/>
    <cellStyle name="_2006_0412 Ernestine_Cooper tooling and plastic price to MS_JC_Quotebook_07SEP10_RFQ_River_BAFO_2008 0606_M1" xfId="6892"/>
    <cellStyle name="_2006_0412 Ernestine_Cooper tooling and plastic price to MS_JC_Quotebook_07SEP10_RFQ_River_BAFO_2008 0606_M1_Stream Package Quotation_20090311" xfId="6893"/>
    <cellStyle name="_Mechanical Contribution Margins (Q1'06, applied to Apr'04 Fcst)_X-BOX Console line setup budget and Buyer list" xfId="6894"/>
    <cellStyle name="_2006_0412 Ernestine_Cooper tooling and plastic price to MS_JC_Quotebook_07SEP10_RFQ_River_BAFO_2008 0606_M1_Stream Quotebook (Submittal)_POC2_20081117-1" xfId="6895"/>
    <cellStyle name="差_HP  專案(設備&amp;治工具需夠買)update_M1 SuedeFixtureEquipment Cost_A0_2010_10_15_Bolt RFQ Proposal_Foxlink_ (Pricing Summary) 2 25 2011 4 3" xfId="6896"/>
    <cellStyle name="_337341SOP" xfId="6897"/>
    <cellStyle name="差_HP Mouse 產能評估(Forecast更改後)_M1 Bolt wireless mouse FixtureEquipment Cost_A2_2010_12_07 2" xfId="6898"/>
    <cellStyle name="_2006_0412 Ernestine_Cooper tooling and plastic price to MS_JC_Quotebook_07SEP10_RFQ_River_BAFO_2008 0606_M1_Stream Quotebook(Submittal)_POC1_20080903" xfId="6899"/>
    <cellStyle name="差_HP Mouse 產能評估(Forecast更改後)_M1 Bolt wireless mouse FixtureEquipment Cost_A2_2010_12_07 2 2" xfId="6900"/>
    <cellStyle name="好_Foxlink_Shadow RFQ NREUni BOM_12032009" xfId="6901"/>
    <cellStyle name="_2006_0412 Ernestine_Cooper tooling and plastic price to MS_JC_Quotebook_07SEP10_RFQ_River_BAFO_2008 0606_M1_Stream Quotebook(Submittal)_POC1_20080903 2" xfId="6902"/>
    <cellStyle name="_2006_0412 Ernestine_Cooper tooling and plastic price to MS_JC_Quotebook_07SEP10_Stream RFQ Unibom--0626-1756" xfId="6903"/>
    <cellStyle name="_2006_0412 Ernestine_Cooper tooling and plastic price to MS_JC_Quotebook_07SEP10_Stream RFQ Unibom--0626-1756 2" xfId="6904"/>
    <cellStyle name="_2006_0412 Ernestine_Cooper tooling and plastic price to MS_JC_Quotebook_07SEP10_Stream RFQ Unibom--0626-1756_Stream Quotebook (Submittal)_POC2_20081117-1" xfId="6905"/>
    <cellStyle name="_2006_0412 Ernestine_Cooper tooling and plastic price to MS_JC_Quotebook_07SEP10_Stream RFQ Unibom--0626-1756_Stream Quotebook(Submittal)_POC1_20080903" xfId="6906"/>
    <cellStyle name="_August-05_Forecast Template v2_X-BOX Console line setup budget and Buyer list" xfId="6907"/>
    <cellStyle name="_Mechanical Contribution Margins forecast 0506 FP_Volume Fcst 1006 updated_Forecast Template v4" xfId="6908"/>
    <cellStyle name="_2006_0412 Ernestine_Cooper tooling and plastic price to MS_JC_Quotebook_07SEP10_Stream RFQ Unibom--0626-1756_Stream Quotebook(Submittal)_POC1_20080903 2" xfId="6909"/>
    <cellStyle name="差_jupite r設備&amp;治工具LIST (總)_Dallas效益分析&amp;投資回收期 (12-2 A1)_Flow chart and Fixture(Jackson)_A1_Jackson 效益分析 (2-1 B0 上系統)" xfId="6910"/>
    <cellStyle name="_XBOX MB RR Transport Cost - Air  Express 040506R1_Lenovo Park Format_July 07 05" xfId="6911"/>
    <cellStyle name="_2006_0412 Ernestine_Cooper tooling and plastic price to MS_JC_Quotebook_V3_07SEP11" xfId="6912"/>
    <cellStyle name="Normal 5 3 3 3 5" xfId="6913"/>
    <cellStyle name="9_Revised AP DPO Oct 04 v2_Tom OS ( Oct)_2009 xBOX ramp up budget code applicaiton 300K --New May27" xfId="6914"/>
    <cellStyle name="_Flex Mechanicals Doumen Sales forecast - Jan.06-updated_PL Forecast by segment-most final 0806_Copy of Tom OS ( Oct) new for LOG_X-BOX Console line setup budget and Buyer list" xfId="6915"/>
    <cellStyle name="_2006_0412 Ernestine_Cooper tooling and plastic price to MS_JC_Quotebook_V3_07SEP11 2" xfId="6916"/>
    <cellStyle name="壞_Jupiter_forecast" xfId="6917"/>
    <cellStyle name="一般 3 2 2 3" xfId="6918"/>
    <cellStyle name="Comma 9" xfId="6919"/>
    <cellStyle name="_2006_0412 Ernestine_Cooper tooling and plastic price to MS_JC_Quotebook_V3_07SEP11_Internal RFQ River Standalone  Bundle Unibom_v1 2_20080603_EJ 2" xfId="6920"/>
    <cellStyle name="_2006_0412 Ernestine_Cooper tooling and plastic price to MS_JC_Quotebook_V3_07SEP11_Internal RFQ River Standalone  Bundle Unibom_v1 2_20080603_EJ_Stream Quotebook (Submittal)_POC2_20081117-1" xfId="6921"/>
    <cellStyle name="_OP1 DPO Forecast Final_Volume Fcst 1006 updated_X-BOX Console line setup budget 20080414" xfId="6922"/>
    <cellStyle name="_2006_0412 Ernestine_Cooper tooling and plastic price to MS_JC_Quotebook_V3_07SEP11_Internal RFQ River Standalone  Bundle Unibom_v1 2_20080603_EJ_Stream Quotebook(Submittal)_POC1_20080903 2" xfId="6923"/>
    <cellStyle name="_Flex Mechanicals Doumen Sales forecast - Dec'05 (updated links)_Volume Fcst 1006 updated_Budget GC Other Form" xfId="6924"/>
    <cellStyle name="_ASUS PD0540周周報=" xfId="6925"/>
    <cellStyle name="_ASUS PD0535周周報=" xfId="6926"/>
    <cellStyle name="差_jupite r設備&amp;治工具LIST (總)_Dallas flow chart&amp;設備&amp;治工具清單(12-8 A0)_~5631336_Jackson 效益分析 (2-1 B0 上系統)" xfId="6927"/>
    <cellStyle name="差_F3   SMT設備明細_M1 Bolt wireless mouse FixtureEquipment Cost_A2_2010_12_07_Bolt RFQ Proposal_Foxlink_ (Pricing Summary) 2 25 2011 3 2" xfId="6928"/>
    <cellStyle name="差_dallas產能評估_flow chart 2009.12.12_Jackson 效益分析 testing update_16th Jan111_Jackson 效益分析 (2-1 B0 上系統)_Leopard Flowchart &amp; 產能評估" xfId="6929"/>
    <cellStyle name="_2006_0412 Ernestine_Cooper tooling and plastic price to MS_JC_Quotebook_V3_07SEP11_RFQ_River_BAFO_2008 0606_M1" xfId="6930"/>
    <cellStyle name="_2006_0412 Ernestine_Cooper tooling and plastic price to MS_JC_Quotebook_V3_07SEP11_RFQ_River_BAFO_2008 0606_M1 2" xfId="6931"/>
    <cellStyle name="_2006_0412 Ernestine_Cooper tooling and plastic price to MS_JC_Quotebook_V3_07SEP11_RFQ_River_BAFO_2008 0606_M1_Stream Quotebook(Submittal)_POC1_20080903" xfId="6932"/>
    <cellStyle name="差_Creak Pearl Reliability Fixture RFQ_2009 04 24_Xl0000002_Leopard RFQ ME BOM Costs-0618_Bolt RFQ_Foxlink_03.1 2011 3 3" xfId="6933"/>
    <cellStyle name="_2006_0412 Ernestine_Cooper tooling and plastic price to MS_JC_Quotebook_V3_07SEP11_Stream RFQ Unibom--0626-1756" xfId="6934"/>
    <cellStyle name="_2006_0412 Ernestine_Cooper tooling and plastic price to MS_JC_Quotebook_V3_07SEP11_Stream RFQ Unibom--0626-1756_Stream Package Quotation_20090311" xfId="6935"/>
    <cellStyle name="_2006_0412 Ernestine_Cooper tooling and plastic price to MS_JC_Quotebook_V3_07SEP11_Stream RFQ Unibom--0626-1756_Stream Quotebook(Submittal)_POC1_20080903" xfId="6936"/>
    <cellStyle name="_2006_0412 Ernestine_Cooper tooling and plastic price to MS_JC_Quotebook_V3_07SEP11_Stream RFQ Unibom--0626-1756_Stream Quotebook(Submittal)_POC1_20080903 2" xfId="6937"/>
    <cellStyle name="_2006_0412 Ernestine_Cooper tooling and plastic price to MS_JC_RFQ_River_BAFO_2008 0606_M1_Stream Package Quotation_20090311" xfId="6938"/>
    <cellStyle name="_2006_0412 Ernestine_Cooper tooling and plastic price to MS_JC_Stream RFQ Unibom--0626-1756" xfId="6939"/>
    <cellStyle name="_2006_0412 Ernestine_Cooper tooling and plastic price to MS_JC_Stream RFQ Unibom--0626-1756 2" xfId="6940"/>
    <cellStyle name="差_dallas產能評估_Dallas flow chart&amp;設備&amp;治工具清單(12-8 A0)_Flow chart and Fixture(1-4)_Jackson 效益分析 (2-1 B0 上系統)" xfId="6941"/>
    <cellStyle name="差_Creek RFQ feedback 04_28_2009_FD Update 2 3" xfId="6942"/>
    <cellStyle name="_Forecast Summary_Tester Demand Plan 062807_Tester Demand Plan 062707" xfId="6943"/>
    <cellStyle name="_ACTUAL DIM FOR IND MAR IN AUG_Forecast Template v4" xfId="6944"/>
    <cellStyle name="好_River EE BOM_Creak Pearl Reliability Fixture RFQ_2009 04 24_Creek RFQ feedback 04_28_2009_FD Update_Leopard_UniBOM_ME_0603-2_Bolt RFQ_Foxlink_03.1 2011 5" xfId="6945"/>
    <cellStyle name="_2006_0412 Ernestine_Cooper tooling and plastic price to MS_JC_Stream RFQ Unibom--0626-1756_Stream Quotebook(Submittal)_POC1_20080903" xfId="6946"/>
    <cellStyle name="_2007 NEW0210 REV08--QA 0740" xfId="6947"/>
    <cellStyle name="差_Xl0000000_Leopard_UniBOM_ME_0603-2_Bolt RFQ_Foxlink_03.1 2011 5" xfId="6948"/>
    <cellStyle name="好_River EE BOM_Creak Pearl Reliability Fixture RFQ_2009 04 24_Creek RFQ feedback 04_28_2009_FD Update_Leopard UniBom_Foxlink_6 21 2010-ME_nego_Bolt RFQ_Foxlink_03.1 2011_nego meeting@MACH 2" xfId="6949"/>
    <cellStyle name="差_dallas產能評估_~8644671_Leopard Flowchart &amp; 產能評估" xfId="6950"/>
    <cellStyle name="20% - Accent3 2 4 2" xfId="6951"/>
    <cellStyle name="_2007 ODM DV BOM COST-070227" xfId="6952"/>
    <cellStyle name="差_F3   SMT設備明細_Erie 效益分析 (Update)_Flow Chart&amp;設備治工具清單 _~1159284" xfId="6953"/>
    <cellStyle name="b_Dell ASUS NV28GL NPI 11-13-02" xfId="6954"/>
    <cellStyle name="_Flex Mechanicals Doumen Sales forecast - Jan.06_X-BOX BB" xfId="6955"/>
    <cellStyle name="_2008_9-12 損益統計實績_v2_20081205_2010-05 費用分析0604" xfId="6956"/>
    <cellStyle name="_FMTTQCI-MISH485-P002_Nazca copy exact flow chart 20120409" xfId="6957"/>
    <cellStyle name="_200808經管月報費用與加班" xfId="6958"/>
    <cellStyle name="_Forecast - Segment WVJune06_plforecastsample_X-BOX BB" xfId="6959"/>
    <cellStyle name="_200809-11費用報表_2010-05 費用分析0604" xfId="6960"/>
    <cellStyle name="_2009 銷售預測統計" xfId="6961"/>
    <cellStyle name="壞_Creek EE BOM cost_20090425_Creek RFQ feedback 04_28_2009_FD Update_Leopard_UniBOM_ME_0531_Bolt RFQ_Foxlink_03.1 2011 3 2" xfId="6962"/>
    <cellStyle name="好_River EE BOM_Xl0000002_Leopard_UniBOM_ME_0603-2_Bolt RFQ_Foxlink_03.1 2011_nego meeting@MACH 2" xfId="6963"/>
    <cellStyle name="差_Creak Pearl Reliability Fixture RFQ_2009 04 24_Pearl RFQ(Submittal)ver2_05_12_2009 _Leopard_UniBOM_ME_0531_Bolt RFQ_Foxlink_03.1 2011_nego meeting@MACH 2 2" xfId="6964"/>
    <cellStyle name="_20090402資料" xfId="6965"/>
    <cellStyle name="40% - Accent1 3 3" xfId="6966"/>
    <cellStyle name="_acut_2009 xBOX ramp up budget code applicaiton 300K --New May26 (3)" xfId="6967"/>
    <cellStyle name="好_Erie Assembly Fixture  Test Equip Cost_20090716_Foxlink_Shadow RFQ NREUni BOM_12032009_Bolt RFQ_Foxlink_03.1 2011 3" xfId="6968"/>
    <cellStyle name="_Copy of Tom OS ( Oct) new for LOG" xfId="6969"/>
    <cellStyle name="_201001所需資料" xfId="6970"/>
    <cellStyle name="PrePop Units (2)" xfId="6971"/>
    <cellStyle name="_201002所需資料" xfId="6972"/>
    <cellStyle name="差_F3   SMT設備明細_MS Bolt wireless mouse FixtureEquipment Cost_A5_2010_02_21_Bolt RFQ_Foxlink_03.1 2011_nego meeting@MACH 5" xfId="6973"/>
    <cellStyle name="_201004所需資料" xfId="6974"/>
    <cellStyle name="_2011年 KPI PMC -W52 (2)" xfId="6975"/>
    <cellStyle name="_7月ict f.t_Book1" xfId="6976"/>
    <cellStyle name="差_Xl0000000_Squirrel UniBom-06.23.2010_update_internal_Bolt RFQ_Foxlink_03.1 2011_nego meeting@MACH 3 2" xfId="6977"/>
    <cellStyle name="_220071-78(Aug 103&amp;105)" xfId="6978"/>
    <cellStyle name="40% - Accent4 3 2" xfId="6979"/>
    <cellStyle name="_Sales Breakdown Analysis 3_X-BOX Console line setup budget and Buyer list" xfId="6980"/>
    <cellStyle name="好_River EE BOM_Xl0000000_Leopard Lemur Squirrel UniBom-06.22.2010_EE cost _update_internal_Bolt RFQ_Foxlink_03.1 2011_nego meeting@MACH 4" xfId="6981"/>
    <cellStyle name="_220071-78(Aug 103&amp;105)_2009 xBOX ramp up budget code applicaiton" xfId="6982"/>
    <cellStyle name="_220071-78(Aug 103&amp;105)_2009 xBOX ramp up budget code applicaiton 300K --New May26 (3)" xfId="6983"/>
    <cellStyle name="_220071-78(Aug 103&amp;105)_2009 xBOX ramp up budget code applicaiton 300K --New May27" xfId="6984"/>
    <cellStyle name="差_Creak Pearl Reliability Fixture RFQ_2009 04 24_Xl0000002_Squirrel UniBom-06.23.2010_update_internal 3 2" xfId="6985"/>
    <cellStyle name="_220071-78(Aug 103&amp;105)_X-BOX Console line setup budget 20080414" xfId="6986"/>
    <cellStyle name="_220071-78(Oct 2006) (2)_2009 xBOX ramp up budget code applicaiton 300K --New May26 (3)" xfId="6987"/>
    <cellStyle name="_8月月管審附件.xls 圖表 1_0541周直通率8D" xfId="6988"/>
    <cellStyle name="_PPV ALLOCATION-Nov04_Gutenberg Manufacturing Pricing_Erie  Mouse RFQ Pricing IE" xfId="6989"/>
    <cellStyle name="_FCT Pareto By Line-July 13th X807681-001-DEV01282-6_Update yield report for DEV02342(7.6) " xfId="6990"/>
    <cellStyle name="_220071-78(Oct 2006) (2)_2009 xBOX ramp up budget code applicaiton 300K --New May27" xfId="6991"/>
    <cellStyle name="差_Xl0000000_Leopard_UniBOM_ME_0531_Bolt RFQ Proposal_Foxlink_ (Pricing Summary) 2 25 2011 4 2" xfId="6992"/>
    <cellStyle name="60% - Accent5 2" xfId="6993"/>
    <cellStyle name="_220071-78(Oct 2006) (2)_Copy of X-BOX for line setup budget" xfId="6994"/>
    <cellStyle name="_Mechanical Contribution Margins (Q2'06) 0705_PL Fcst Jul 06-updated G&amp;A Value_Copy of X-BOX for line setup budget" xfId="6995"/>
    <cellStyle name="_220071-78(Oct 2006) (2)_Forecast Template v4" xfId="6996"/>
    <cellStyle name="_Ernestine Parts Budgetary Quote - LA (20060319)_Quotebook_V3_07SEP11_RFQ_River_BAFO_2008 0606_M1_Stream Quotebook(Submittal)_POC1_20080903" xfId="6997"/>
    <cellStyle name="_220071-78(Oct 2006) (2)_X-BOX Console line setup budget 20080414" xfId="6998"/>
    <cellStyle name="好_Creek Assembly Fixture  Test Equipment RFQ_20090427_Leopard Lemur Squirrel UniBom-06.22.2010_EE cost _update_internal_Bolt RFQ Proposal_Foxlink_ (Pricing Summary) 2 25 2011 2 4" xfId="6999"/>
    <cellStyle name="_PL Fcst_akl(Friday)_Volume Fcst Jul 06-update HP _Internal Hourly Rate Q1 FY08 Version 06142007 excl. Corporate Allocation" xfId="7000"/>
    <cellStyle name="_220071-78(Oct 2006) (2)_X-BOX Console line setup budget and Buyer list" xfId="7001"/>
    <cellStyle name="壞_Creek EE BOM cost_20090425_Creek RFQ feedback 04_28_2009_FD Update_Bolt RFQ Proposal_Foxlink_ (Pricing Summary) 2 25 2011 2 2 3" xfId="7002"/>
    <cellStyle name="_220071-78(Oct 2006)_2009 xBOX ramp up budget code applicaiton" xfId="7003"/>
    <cellStyle name="_220071-78(Oct 2006)_2009 xBOX ramp up budget code applicaiton 300K --New May27" xfId="7004"/>
    <cellStyle name="Normal 4 3 2" xfId="7005"/>
    <cellStyle name="_Xenon Build Plan Wistron 090605" xfId="7006"/>
    <cellStyle name="_220071-78(Oct 2006)_Budget GC Other Form" xfId="7007"/>
    <cellStyle name="_H&amp;E Reporting Summary_FY06 P7 CM Consigned RM" xfId="7008"/>
    <cellStyle name="好_River EE BOM_Xl0000002_Bolt RFQ Proposal_Foxlink_ (Pricing Summary) 2 25 2011 2 2 3" xfId="7009"/>
    <cellStyle name="_220071-78(Oct 2006)_Forecast Template v4" xfId="7010"/>
    <cellStyle name="_Sales Breakdown Analysis 3_PL Forecast by segment-most final 0806" xfId="7011"/>
    <cellStyle name="_220071-78(Oct 2006)_X-BOX BB" xfId="7012"/>
    <cellStyle name="好_Creek EE BOM cost_20090425_Creek RFQ feedback 04_28_2009_FD Update_Leopard RFQ ME BOM Costs-0618-2_Bolt RFQ_Foxlink_03.1 2011_nego meeting@MACH 3 3" xfId="7013"/>
    <cellStyle name="_220071-78(Oct 2006)_X-BOX Console line setup budget and Buyer list" xfId="7014"/>
    <cellStyle name="_220076-78(Sep 2006)_2009 xBOX ramp up budget code applicaiton" xfId="7015"/>
    <cellStyle name="差_HP Mouse 產能評估(上系統)_M1 SuedeFixtureEquipment Cost_A0_2010_10_15 5" xfId="7016"/>
    <cellStyle name="_Sales Forecast (plastic XX)0703_X-BOX Console line setup budget 20080414" xfId="7017"/>
    <cellStyle name="_Sales Forecast (plastic XX)1203_X-BOX Console line setup budget 20080414" xfId="7018"/>
    <cellStyle name="_220076-78(Sep 2006)_2009 xBOX ramp up budget code applicaiton 300K --New May26 (3)" xfId="7019"/>
    <cellStyle name="_220076-78(Sep 2006)_Budget GC Other Form" xfId="7020"/>
    <cellStyle name="_220076-78(Sep 2006)_Copy of X-BOX for line setup budget" xfId="7021"/>
    <cellStyle name="_Book3_FY06 P7 XBox Mfg Var - Close Pack" xfId="7022"/>
    <cellStyle name="_220076-78(Sep 2006)_X-BOX BB" xfId="7023"/>
    <cellStyle name="_220076-78(Sep 2006)_X-BOX Console line setup budget and Buyer list" xfId="7024"/>
    <cellStyle name="_44周資料" xfId="7025"/>
    <cellStyle name="好_River EE BOM_Xl0000000_Leopard RFQ ME BOM Costs-0618-2_Bolt RFQ Proposal_Foxlink_ (Pricing Summary) 2 25 2011 2 2 3" xfId="7026"/>
    <cellStyle name="好_River EE BOM_Xl0000000_Squirrel UniBom-06.23.2010_update_internal_Bolt RFQ_Foxlink_03.1 2011_nego meeting@MACH 4" xfId="7027"/>
    <cellStyle name="壞_Creek Assembly Fixture  Test Equipment RFQ_20090427_Xl0000002_Leopard UniBom_Foxlink_6 21 2010-ME_nego_Bolt RFQ Proposal_Foxlink_ (Pricing Summary) 2 25 2011 5" xfId="7028"/>
    <cellStyle name="9_Revised AP DPO Oct 04 v2_PL Fcst Jul 06-updated G&amp;A Value_X-BOX Console line setup budget 20080414" xfId="7029"/>
    <cellStyle name="_29周資料" xfId="7030"/>
    <cellStyle name="_2wk周報" xfId="7031"/>
    <cellStyle name="差_Creak Pearl Reliability Fixture RFQ_2009 04 24_Creek  Pearl RFQ_May 12_Leopard Lemur Squirrel UniBom-06.22.2010_EE cost _update_internal_Bolt RFQ_Foxlink_03.1 2011_nego meeting@MACH 4" xfId="7032"/>
    <cellStyle name="40% - 强调文字颜色 5 2 2" xfId="7033"/>
    <cellStyle name="好_Creek EE BOM cost_20090425_Squirrel RFQ ME BOM Costs-0623_Bolt RFQ Proposal_Foxlink_ (Pricing Summary) 2 25 2011" xfId="7034"/>
    <cellStyle name="_3373SOP" xfId="7035"/>
    <cellStyle name="60% - 强调文字颜色 5 2 2 2" xfId="7036"/>
    <cellStyle name="_33wk周報" xfId="7037"/>
    <cellStyle name="_386896SOP_1021會議資料" xfId="7038"/>
    <cellStyle name="_386896SOP_organization051020" xfId="7039"/>
    <cellStyle name="_386896SOP_Plan" xfId="7040"/>
    <cellStyle name="_386896SOP1_2" xfId="7041"/>
    <cellStyle name="_3wk呆滯庫存" xfId="7042"/>
    <cellStyle name="好_River EE BOM_Xl0000000_Leopard_UniBOM_ME_0602-1" xfId="7043"/>
    <cellStyle name="好_River EE BOM_Creak Pearl Reliability Fixture RFQ_2009 04 24_Creek  Pearl RFQ_May 12_Foxlink_Shadow RFQ NREUni BOM_12032009_Bolt RFQ_Foxlink_03.1 2011_nego meeting@MACH 5" xfId="7044"/>
    <cellStyle name="_3月份領退" xfId="7045"/>
    <cellStyle name="_USDM - Galaxy 1C (SATA) Master Cost - v5(BB)" xfId="7046"/>
    <cellStyle name="好_River EE BOM_Creak Pearl Reliability Fixture RFQ_2009 04 24_Creek RFQ feedback 04_28_2009_FD Update_Bolt RFQ Proposal_Foxlink_ (Pricing Summary) 2 25 2011" xfId="7047"/>
    <cellStyle name="_3月份騰飛費用" xfId="7048"/>
    <cellStyle name="差_Creek RFQ feedback 04_28_2009_FD Update_Leopard RFQ ME BOM Costs-0618_Bolt RFQ Proposal_Foxlink_ (Pricing Summary) 2 25 2011 2 2 3" xfId="7049"/>
    <cellStyle name="_42wk周報" xfId="7050"/>
    <cellStyle name="壞_Creek EE BOM cost_20090425_Creek RFQ feedback 04_28_2009_FD Update_Bolt RFQ_Foxlink_03.1 2011 2 2" xfId="7051"/>
    <cellStyle name="_Wistron True-Up File (May)" xfId="7052"/>
    <cellStyle name="_50wk周報" xfId="7053"/>
    <cellStyle name="_45wk周報" xfId="7054"/>
    <cellStyle name="_47wk呆滯庫存" xfId="7055"/>
    <cellStyle name="_48周資料明細" xfId="7056"/>
    <cellStyle name="_4wk呆滯庫存" xfId="7057"/>
    <cellStyle name="_Alvin Plastics RFQ Worksheets - Nypro 062807 2" xfId="7058"/>
    <cellStyle name="_49周資料明細" xfId="7059"/>
    <cellStyle name="_asus wlan 機種SMT線體需求計算表3_本周產能(0404FC111" xfId="7060"/>
    <cellStyle name="_Book2_Volume Fcst 1006 updated_Copy of Tom OS ( Oct) new for LOG_X-BOX Console line setup budget and Buyer list" xfId="7061"/>
    <cellStyle name="_4wk周報" xfId="7062"/>
    <cellStyle name="_5wk周報" xfId="7063"/>
    <cellStyle name="_5月Bug" xfId="7064"/>
    <cellStyle name="好_治具工程課2009年KPI_2009MB KPI-0205 4" xfId="7065"/>
    <cellStyle name="好_Creek Assembly Fixture  Test Equipment RFQ_20090427_Leopard RFQ ME BOM Costs-0618_Bolt RFQ Proposal_Foxlink_ (Pricing Summary) 2 25 2011 4 2" xfId="7066"/>
    <cellStyle name="_645095" xfId="7067"/>
    <cellStyle name="好_River EE BOM_Xl0000002_Foxlink_Shadow RFQ NREUni BOM_12032009 3 3" xfId="7068"/>
    <cellStyle name="_7天以上呆滯包材金額分析---5.26" xfId="7069"/>
    <cellStyle name="Check Cell 2" xfId="7070"/>
    <cellStyle name="_FMTTQCI-MISH485-P018_Nazca copy exact flow chart 20120409" xfId="7071"/>
    <cellStyle name="_BOM update - Supplier List (Purchase) 111102_Captial Investment Mustang Dated 022609 (2)" xfId="7072"/>
    <cellStyle name="好_River EE BOM_Creak Pearl Reliability Fixture RFQ_2009 04 24_Creek RFQ feedback 04_28_2009_FD Update_Squirrel UniBom-06.23.2010_update_internal 2 4" xfId="7073"/>
    <cellStyle name="_7月ict f.t_0536周周管審_0536周直通率8d_Book1_複本 0541周周管審" xfId="7074"/>
    <cellStyle name="_7月ict f.t_0536周周管審_0537周直通率8d" xfId="7075"/>
    <cellStyle name="好_River EE BOM_Creak Pearl Reliability Fixture RFQ_2009 04 24_Squirrel UniBom-06.23.2010_update_internal 4" xfId="7076"/>
    <cellStyle name="_Flex Mechanicals Doumen Sales forecast - Dec'05 R1_PL Forecast by segment-most final 0806_2009 xBOX ramp up budget code applicaiton" xfId="7077"/>
    <cellStyle name="_7月ict f.t_0536周周管審_0537周直通率8d1_複本 0541周周管審" xfId="7078"/>
    <cellStyle name="_7月ict f.t_0536周周管審_0540周直通率8D1" xfId="7079"/>
    <cellStyle name="_7月ict f.t_0536周周管審_複本 0541周周管審" xfId="7080"/>
    <cellStyle name="差_HP Mouse 產能評估(上系統)_Bolt RFQ Proposal_Foxlink_ (Pricing Summary) 2 25 2011 5 2" xfId="7081"/>
    <cellStyle name="_7月ict f.t_0538周周管審--FINl" xfId="7082"/>
    <cellStyle name="差_Creak Pearl Reliability Fixture RFQ_2009 04 24_Pearl RFQ(Submittal)ver2_05_12_2009 _Leopard RFQ ME BOM Costs-0618_Bolt RFQ_Foxlink_03.1 2011_nego meeting@MACH 3" xfId="7083"/>
    <cellStyle name="一般 4 3 2 5" xfId="7084"/>
    <cellStyle name="差_HP Mouse 產能評估(Forecast更改後)_Erie 效益分析 (Update)_~1159284" xfId="7085"/>
    <cellStyle name="_7月ict f.t_0540周直通率8D1_複本 0541周周管審" xfId="7086"/>
    <cellStyle name="好_River EE BOM_Creak Pearl Reliability Fixture RFQ_2009 04 24_Xl0000002_Leopard_UniBOM_ME_0602_Bolt RFQ Proposal_Foxlink_ (Pricing Summary) 2 25 2011 2 2 3" xfId="7087"/>
    <cellStyle name="_WK49呆滯料" xfId="7088"/>
    <cellStyle name="_7月ict f.t_複本 0541周周管審" xfId="7089"/>
    <cellStyle name="_7月月管審附件.xls 圖表 1_0534周SMT周管審" xfId="7090"/>
    <cellStyle name="_7月月管審附件.xls 圖表 1_0536周周管審_0536周直通率8d_0540周直通率8D1_複本 0541周周管審" xfId="7091"/>
    <cellStyle name="_7月月管審附件.xls 圖表 1_0536周周管審_0536周直通率8d_0541周直通率8D" xfId="7092"/>
    <cellStyle name="差_Creak Pearl Reliability Fixture RFQ_2009 04 24_Pearl RFQ(Submittal)ver2_05_12_2009 _Leopard RFQ ME BOM Costs-0618-2_Bolt RFQ_Foxlink_03.1 2011 2" xfId="7093"/>
    <cellStyle name="_7月月管審附件.xls 圖表 1_0536周周管審_0536周直通率8d_Book1" xfId="7094"/>
    <cellStyle name="差_F3   SMT設備明細_jupite r設備&amp;治工具LIST (總)_Jackson 效益分析 (2-1 B0 上系統)_Leopard Flowchart &amp; 產能評估" xfId="7095"/>
    <cellStyle name="好_Creek Assembly Fixture  Test Equipment RFQ_20090427_Squirrel RFQ ME BOM Costs-0623_Bolt RFQ_Foxlink_03.1 2011 4" xfId="7096"/>
    <cellStyle name="_7月月管審附件.xls 圖表 1_0536周周管審_0537周直通率8d" xfId="7097"/>
    <cellStyle name="差_Creak Pearl Reliability Fixture RFQ_2009 04 24_Creek RFQ feedback 04_28_2009_FD Update_Leopard UniBom_Foxlink_6 21 2010-ME_nego_Bolt RFQ_Foxlink_03.1 2011 3" xfId="7098"/>
    <cellStyle name="_7月月管審附件.xls 圖表 1_0536周周管審_0537周直通率8d_複本 0541周周管審" xfId="7099"/>
    <cellStyle name="_7月月管審附件.xls 圖表 1_0536周周管審_0537周直通率8d1" xfId="7100"/>
    <cellStyle name="_7月月管審附件.xls 圖表 1_0536周周管審_0537周直通率8d1_0541周直通率8D" xfId="7101"/>
    <cellStyle name="_Book2_Tom OS ( Oct)_2009 xBOX ramp up budget code applicaiton 300K --New May26 (3)" xfId="7102"/>
    <cellStyle name="差_Foxlink_Shadow RFQ NREUni BOM_12032009_Bolt RFQ_Foxlink_03.1 2011 2" xfId="7103"/>
    <cellStyle name="_7月月管審附件.xls 圖表 1_0536周周管審_0537周直通率8d1_複本 0541周周管審" xfId="7104"/>
    <cellStyle name="_7月月管審附件.xls 圖表 1_0536周周管審_0538周直通率8d1_複本 0541周周管審" xfId="7105"/>
    <cellStyle name="差_Xl0000000_Leopard RFQ ME BOM Costs-0618_Bolt RFQ_Foxlink_03.1 2011 3" xfId="7106"/>
    <cellStyle name="_7月月管審附件.xls 圖表 1_0536周周管審_0540周直通率8D1" xfId="7107"/>
    <cellStyle name="_7月月管審附件.xls 圖表 1_0536周周管審_Book1" xfId="7108"/>
    <cellStyle name="差_Creak Pearl Reliability Fixture RFQ_2009 04 24_Creek  Pearl RFQ_May 12_Leopard RFQ ME BOM Costs-0618-2_Bolt RFQ Proposal_Foxlink_ (Pricing Summary) 2 25 2011 2 2 2" xfId="7109"/>
    <cellStyle name="_7月月管審附件.xls 圖表 1_0536周周管審_Book1_複本 0541周周管審" xfId="7110"/>
    <cellStyle name="_ASUS PD0541周周報" xfId="7111"/>
    <cellStyle name="_ASUS PD0536周周報" xfId="7112"/>
    <cellStyle name="Input 9 2 3" xfId="7113"/>
    <cellStyle name="好_Creek Assembly Fixture  Test Equipment RFQ_20090427_Leopard UniBom_Foxlink_6 21 2010-ME_nego_Bolt RFQ_Foxlink_03.1 2011_Bolt_Cliff 2" xfId="7114"/>
    <cellStyle name="差_F3   SMT設備明細_jupite r設備&amp;治工具LIST (總)_Flow Chart&amp;PQ分析(12-1)_Flow chart and Fixture(1-4)_Jackson 效益分析 (2-1 B0 上系統)_Leopard Flowchart &amp; 產能評估" xfId="7115"/>
    <cellStyle name="_7月月管審附件.xls 圖表 1_0538周周管審--FINl" xfId="7116"/>
    <cellStyle name="_bom updated on 2002-11-10_Quote Format - sample Rev 7 (not approve yet)" xfId="7117"/>
    <cellStyle name="_7月月管審附件.xls 圖表 1_0538周周管審--FINl_複本 0541周周管審" xfId="7118"/>
    <cellStyle name="差_Creak Pearl Reliability Fixture RFQ_2009 04 24_Xl0000002_Leopard UniBom_Foxlink_6 21 2010-ME_nego 2 4" xfId="7119"/>
    <cellStyle name="好_Creek Assembly Fixture  Test Equipment RFQ_20090427_Leopard_UniBOM_ME_0531_Bolt_Cliff 2 2" xfId="7120"/>
    <cellStyle name="差_pq_Flow chart and Fixture(1-4)_Jackson 效益分析 (2-1 B0 上系統)_squirrel效益分析08-17" xfId="7121"/>
    <cellStyle name="60% - Accent6 4" xfId="7122"/>
    <cellStyle name="40% - Accent4 2 6" xfId="7123"/>
    <cellStyle name="_7月月管審附件.xls 圖表 1_0540周直通率8D1" xfId="7124"/>
    <cellStyle name="差_Xl0000000_Leopard UniBom_Foxlink_6 21 2010-ME_nego_Bolt RFQ Proposal_Foxlink_ (Pricing Summary) 2 25 2011" xfId="7125"/>
    <cellStyle name="_7月月管審附件.xls 圖表 1_Book1_複本 0541周周管審" xfId="7126"/>
    <cellStyle name="差_Creak Pearl Reliability Fixture RFQ_2009 04 24_Creek RFQ feedback 04_28_2009_FD Update_Leopard RFQ ME BOM Costs-0618 2 2 2" xfId="7127"/>
    <cellStyle name="8" xfId="7128"/>
    <cellStyle name="_7月月管審附件.xls 圖表 1_複本 0541周周管審" xfId="7129"/>
    <cellStyle name="_804" xfId="7130"/>
    <cellStyle name="好_Creek EE BOM cost_20090425_Creek RFQ feedback 04_28_2009_FD Update_Leopard RFQ ME BOM Costs-0618-2_Bolt RFQ Proposal_Foxlink_ (Pricing Summary) 2 25 2011 2 2" xfId="7131"/>
    <cellStyle name="_ABG ECO Combo ww22.2" xfId="7132"/>
    <cellStyle name="_804_2009 xBOX ramp up budget code applicaiton 300K --New May26 (3)" xfId="7133"/>
    <cellStyle name="_804_Copy of X-BOX for line setup budget" xfId="7134"/>
    <cellStyle name="好_Creek Assembly Fixture  Test Equipment RFQ_20090427_Xl0000002_Leopard Lemur Squirrel UniBom-06.22.2010_EE cost _update_internal_Bolt RFQ Proposal_Foxlink_ (Pricing Summary) 2 25 2011 3 3" xfId="7135"/>
    <cellStyle name="_804_X-BOX BB" xfId="7136"/>
    <cellStyle name="差_F3   SMT設備明細_效益分析_Dallas flow chart&amp;設備&amp;治工具清單(12-8 A0)_效益分析(總 12-28 Update)_Leopard效益分析08-17" xfId="7137"/>
    <cellStyle name="好_RIO Trial run (Pre-PV 100PCS) QA Report-0610_Dolce   QA Report 2010_0902 (A3)_~7519239" xfId="7138"/>
    <cellStyle name="_804_X-BOX Console line setup budget 20080414" xfId="7139"/>
    <cellStyle name="_804-0804" xfId="7140"/>
    <cellStyle name="壞_Creek Assembly Fixture  Test Equipment RFQ_20090427_Foxlink_Shadow RFQ NREUni BOM_12032009_Bolt RFQ Proposal_Foxlink_ (Pricing Summary) 2 25 2011 5" xfId="7141"/>
    <cellStyle name="_8306_1" xfId="7142"/>
    <cellStyle name="_8D" xfId="7143"/>
    <cellStyle name="好_River EE BOM_Creak Pearl Reliability Fixture RFQ_2009 04 24_Pearl RFQ(Submittal)ver2_05_12_2009 _Leopard_UniBOM_ME_0531_Bolt RFQ_Foxlink_03.1 2011_nego meeting@MACH 5" xfId="7144"/>
    <cellStyle name="_8D_1" xfId="7145"/>
    <cellStyle name="差_Creak Pearl Reliability Fixture RFQ_2009 04 24_Xl0000002_Leopard_UniBOM_ME_0603-2_Bolt RFQ Proposal_Foxlink_ (Pricing Summary) 2 25 2011 2" xfId="7146"/>
    <cellStyle name="_8D_1_0538周周管審--FINl_複本 0541周周管審" xfId="7147"/>
    <cellStyle name="_8D_1_0540周直通率8D1" xfId="7148"/>
    <cellStyle name="差_Xl0000002_Leopard_UniBOM_ME_0602-1_Bolt RFQ_Foxlink_03.1 2011_nego meeting@MACH 5" xfId="7149"/>
    <cellStyle name="Percent [2]" xfId="7150"/>
    <cellStyle name="_8D_1_0540周直通率8D1_複本 0541周周管審" xfId="7151"/>
    <cellStyle name="好_River EE BOM_Xl0000002_Foxlink_Shadow RFQ NREUni BOM_12032009_Bolt RFQ Proposal_Foxlink_ (Pricing Summary) 2 25 2011 3" xfId="7152"/>
    <cellStyle name="_Avaya SPICE demand on Apr-25-06 (based on ramp-up plan)_Scenario 2 of recovery until 1116_Tester Demand Plan 062707" xfId="7153"/>
    <cellStyle name="_8D_1_0541周周報" xfId="7154"/>
    <cellStyle name="_8D_1_八月月報2_0538周周管審--FINl" xfId="7155"/>
    <cellStyle name="差_F3   SMT設備明細_費用統計_squirrel效益分析08-17" xfId="7156"/>
    <cellStyle name="Currency 4 2 2 5" xfId="7157"/>
    <cellStyle name="_8D_1_八月月報2_0540周直通率8D1" xfId="7158"/>
    <cellStyle name="差_Xl0000000_Leopard_UniBOM_ME_0602-1_Bolt RFQ_Foxlink_03.1 2011 5" xfId="7159"/>
    <cellStyle name="_Flextronics Radon  Build Plan 4-27-2005_Manpower review summary 080109" xfId="7160"/>
    <cellStyle name="_8D_1_八月月報2_Book1" xfId="7161"/>
    <cellStyle name="好_River EE BOM_Creak Pearl Reliability Fixture RFQ_2009 04 24_Pearl RFQ(Submittal)ver2_05_12_2009 _Foxlink_Shadow RFQ NREUni BOM_12032009_Bolt RFQ Proposal_Foxlink_ (Pricing Summary) 2 25 2011 2 4" xfId="7162"/>
    <cellStyle name="_8月月管審附件.xls 圖表 1_0538周周管審--FINl" xfId="7163"/>
    <cellStyle name="差_HP Mouse 產能評估(上系統)_MS Bolt wireless mouse FixtureEquipment Cost_A5_2010_02_21 2 3" xfId="7164"/>
    <cellStyle name="Normal 4 4 4 2" xfId="7165"/>
    <cellStyle name="_8月月管審附件.xls 圖表 1_0540周直通率8D1_複本 0541周周管審" xfId="7166"/>
    <cellStyle name="_8月月管審附件.xls 圖表 1_Book1_複本 0541周周管審" xfId="7167"/>
    <cellStyle name="差_Creak Pearl Reliability Fixture RFQ_2009 04 24_Creek  Pearl RFQ_May 12_Squirrel UniBom-06.23.2010_update_internal_Bolt RFQ Proposal_Foxlink_ (Pricing Summary) 2 25 2011 2 3" xfId="7168"/>
    <cellStyle name="_8月月管審附件.xls 圖表 1_八月份周直通率8d1_0538周周管審--FINl" xfId="7169"/>
    <cellStyle name="_8月月管審附件.xls 圖表 1_八月份周直通率8d1_0538周周管審--FINl_複本 0541周周管審" xfId="7170"/>
    <cellStyle name="差_Creak Pearl Reliability Fixture RFQ_2009 04 24_Xl0000002_Leopard_UniBOM_ME_0602_Bolt RFQ Proposal_Foxlink_ (Pricing Summary) 2 25 2011 5 2" xfId="7171"/>
    <cellStyle name="_8廠逃生動線規劃0624" xfId="7172"/>
    <cellStyle name="_Ernestine Equipment  Fixture List_04_11_2006_FL_Quotebook_07SEP10_Internal RFQ River Standalone  Bundle Unibom_v1 2_20080603_EJ_Stream Quotebook (Submittal)_POC2_20081117-1" xfId="7173"/>
    <cellStyle name="差_Creak Pearl Reliability Fixture RFQ_2009 04 24_Pearl RFQ(Submittal)ver2_05_12_2009 _Leopard_UniBOM_ME_0603-2_Bolt RFQ Proposal_Foxlink_ (Pricing Summary) 2 25 2011 3" xfId="7174"/>
    <cellStyle name="好_River EE BOM_Creak Pearl Reliability Fixture RFQ_2009 04 24_Creek  Pearl RFQ_May 12_Leopard RFQ ME BOM Costs-0618_Bolt RFQ_Foxlink_03.1 2011_nego meeting@MACH" xfId="7175"/>
    <cellStyle name="_9137采購項目申請表" xfId="7176"/>
    <cellStyle name="_9569sop" xfId="7177"/>
    <cellStyle name="_Opex Seasonality_accessories spc 1 0 slide" xfId="7178"/>
    <cellStyle name="_9月加班" xfId="7179"/>
    <cellStyle name="60% - 强调文字颜色 6 3 3" xfId="7180"/>
    <cellStyle name="_asus wlan 機種SMT線體需求計算表_1_MBO 周加班估算20060403_awl線體需求計算5.25" xfId="7181"/>
    <cellStyle name="_Mechanical Contribution Margins (Q2'06) 0705_Volume Fcst 1006 updated_Tom OS ( Oct)_Forecast Template v4" xfId="7182"/>
    <cellStyle name="_9月費用" xfId="7183"/>
    <cellStyle name="_Accessories Budget Rollup v.4" xfId="7184"/>
    <cellStyle name="好_Creek Assembly Fixture  Test Equipment RFQ_20090427_Leopard_UniBOM_ME_0603-2_Bolt_Cliff 5" xfId="7185"/>
    <cellStyle name="好_效益分析&amp;產能評估_MS Bolt wireless mouse FixtureEquipment Cost_A5_2010_02_21_Bolt RFQ Proposal_Foxlink_ (Pricing Summary) 2 25 2011 7" xfId="7186"/>
    <cellStyle name="_BOM update - Supplier List (Purchase) 111102_Quote Format - sample" xfId="7187"/>
    <cellStyle name="差_Creak Pearl Reliability Fixture RFQ_2009 04 24_Xl0000002_Leopard UniBom_Foxlink_6 21 2010-ME_nego_Bolt RFQ Proposal_Foxlink_ (Pricing Summary) 2 25 2011 5 3" xfId="7188"/>
    <cellStyle name="_ACTUAL DIM FOR IND MAR IN AUG_2009 xBOX ramp up budget code applicaiton 300K --New May26 (3)" xfId="7189"/>
    <cellStyle name="好_River EE BOM_Creek RFQ feedback 04_28_2009_FD Update_Leopard_UniBOM_ME_0603-2_Bolt RFQ Proposal_Foxlink_ (Pricing Summary) 2 25 2011 4 2" xfId="7190"/>
    <cellStyle name="_Mpos Forecast on Oct102005_Tester Demand Plan 062807" xfId="7191"/>
    <cellStyle name="_ACTUAL DIM FOR IND MAR IN AUG_2009 xBOX ramp up budget code applicaiton 300K --New May27" xfId="7192"/>
    <cellStyle name="_ACTUAL DIM FOR IND MAR IN AUG_X-BOX BB" xfId="7193"/>
    <cellStyle name="_ACTUAL DIM FOR IND MAR IN AUG_X-BOX Console line setup budget and Buyer list" xfId="7194"/>
    <cellStyle name="_Actual P&amp;L_Computing Apr &amp; May" xfId="7195"/>
    <cellStyle name="_CVR_1" xfId="7196"/>
    <cellStyle name="_Actual P&amp;L_Computing Apr &amp; May_2009 xBOX ramp up budget code applicaiton" xfId="7197"/>
    <cellStyle name="_Actual P&amp;L_Computing Apr &amp; May_2009 xBOX ramp up budget code applicaiton 300K --New May26 (3)" xfId="7198"/>
    <cellStyle name="_Actual P&amp;L_Computing Apr &amp; May_2009 xBOX ramp up budget code applicaiton 300K --New May27" xfId="7199"/>
    <cellStyle name="差_Creak Pearl Reliability Fixture RFQ_2009 04 24_Creek RFQ feedback 04_28_2009_FD Update_Leopard_UniBOM_ME_0603-2_Bolt RFQ Proposal_Foxlink_ (Pricing Summary) 2 25 2011 3 3" xfId="7200"/>
    <cellStyle name="_Actual P&amp;L_Computing Apr &amp; May_Actual P&amp;L_Computing Apr ~ May.2006" xfId="7201"/>
    <cellStyle name="_DV90-061130" xfId="7202"/>
    <cellStyle name="_Actual P&amp;L_Computing Apr &amp; May_Actual P&amp;L_Computing Apr ~ May.2006_2009 xBOX ramp up budget code applicaiton 300K --New May27" xfId="7203"/>
    <cellStyle name="_Actual P&amp;L_Computing Apr &amp; May_Actual P&amp;L_Computing Apr ~ May.2006_Forecast Template v4" xfId="7204"/>
    <cellStyle name="_Actual P&amp;L_Computing Apr &amp; May_Copy of X-BOX for line setup budget" xfId="7205"/>
    <cellStyle name="好_0842周 顯卡報廢超標8D_HP 3 2 3" xfId="7206"/>
    <cellStyle name="_Inventory Summ  Obso_FY06 Xenon Console Other Mfg Costs Forecast - january v1" xfId="7207"/>
    <cellStyle name="_FCT Pareto By Line-July 14th X808665-001-DEV01282-5-1_yield report for DEV0xxxx(Jasper DV2) " xfId="7208"/>
    <cellStyle name="_Actual P&amp;L_Computing Apr ~ May.2006_2009 xBOX ramp up budget code applicaiton 300K --New May27" xfId="7209"/>
    <cellStyle name="_Actual P&amp;L_Computing Apr ~ May.2006_Copy of X-BOX for line setup budget" xfId="7210"/>
    <cellStyle name="_Actual P&amp;L_Computing Apr ~ May.2006_Forecast Template v4" xfId="7211"/>
    <cellStyle name="_Actual P&amp;L_Computing Apr ~ May.2006_X-BOX Console line setup budget 20080414" xfId="7212"/>
    <cellStyle name="_Book2_Mechanical Contribution Margins forecast 0506 FP_PL Fcst Jul 06-updated G&amp;A Value_Copy of X-BOX for line setup budget" xfId="7213"/>
    <cellStyle name="_Actual P&amp;L_Computing Apr ~ May.2006_X-BOX Console line setup budget and Buyer list" xfId="7214"/>
    <cellStyle name="差_F3   SMT設備明細_jupite r設備&amp;治工具LIST (總)_Dallas效益分析&amp;投資回收期 (12-2 A1)_效益分析(總 12-28 Update)_Leopard效益分析08-17" xfId="7215"/>
    <cellStyle name="_acut_Copy of X-BOX for line setup budget" xfId="7216"/>
    <cellStyle name="_acut_Forecast Template v4" xfId="7217"/>
    <cellStyle name="好_治具工程課2009年KPI_產線生產規劃KPI 5 2 3" xfId="7218"/>
    <cellStyle name="_acut_X-BOX Console line setup budget 20080414" xfId="7219"/>
    <cellStyle name="_acut_X-BOX Console line setup budget and Buyer list" xfId="7220"/>
    <cellStyle name="_AD Forecast 032706-Wireless" xfId="7221"/>
    <cellStyle name="好_River EE BOM_Creak Pearl Reliability Fixture RFQ_2009 04 24_Foxlink_Shadow RFQ NREUni BOM_12032009_Bolt RFQ Proposal_Foxlink_ (Pricing Summary) 2 25 2011 3 2" xfId="7222"/>
    <cellStyle name="好_Creek EE BOM cost_20090425_Squirrel RFQ ME BOM Costs-0623_Bolt RFQ_Foxlink_03.1 2011_nego meeting@MACH 4" xfId="7223"/>
    <cellStyle name="_Airquote - DELL chasis (FP)" xfId="7224"/>
    <cellStyle name="好_Creek EE BOM cost_20090425_Creek RFQ feedback 04_28_2009_FD Update_Squirrel RFQ ME BOM Costs-0623_Bolt RFQ Proposal_Foxlink_ (Pricing Summary) 2 25 2011 3" xfId="7225"/>
    <cellStyle name="_Alvin &amp; Gusano RFQ Proposal_110106 的 工作表" xfId="7226"/>
    <cellStyle name="好_Creek Assembly Fixture  Test Equipment RFQ_20090427_Squirrel RFQ ME BOM Costs-0623 3 3" xfId="7227"/>
    <cellStyle name="好_River EE BOM_Creak Pearl Reliability Fixture RFQ_2009 04 24_Creek RFQ feedback 04_28_2009_FD Update_Foxlink_Shadow RFQ NREUni BOM_12032009_Bolt RFQ Proposal_Foxlink_ (Pricing Summary) 2 25 2011 2 2" xfId="7228"/>
    <cellStyle name="40% - 强调文字颜色 4 3" xfId="7229"/>
    <cellStyle name="_Alvin Plastics RFQ Worksheets - Nypro 062807_Internal RFQ River Standalone  Bundle Unibom_v1 2_20080603_EJ" xfId="7230"/>
    <cellStyle name="_Alvin Plastics RFQ Worksheets - Nypro 062807_Internal RFQ River Standalone  Bundle Unibom_v1 2_20080603_EJ_Stream Quotebook(Submittal)_POC1_20080903" xfId="7231"/>
    <cellStyle name="_Alvin Plastics RFQ Worksheets - Nypro 062807_Internal RFQ River Standalone  Bundle Unibom_v1 2_20080603_EJ_Stream Quotebook(Submittal)_POC1_20080903 2" xfId="7232"/>
    <cellStyle name="_Alvin Plastics RFQ Worksheets - Nypro 062807_RFQ_River_BAFO_2008 0606_M1 2" xfId="7233"/>
    <cellStyle name="_Alvin Plastics RFQ Worksheets - Nypro 062807_RFQ_River_BAFO_2008 0606_M1_Stream Package Quotation_20090311" xfId="7234"/>
    <cellStyle name="_Alvin Plastics RFQ Worksheets - Nypro 062807_RFQ_River_BAFO_2008 0606_M1_Stream Quotebook (Submittal)_POC2_20081117-1" xfId="7235"/>
    <cellStyle name="_Alvin Plastics RFQ Worksheets - Nypro 062807_RFQ_River_BAFO_2008 0606_M1_Stream Quotebook(Submittal)_POC1_20080903 2" xfId="7236"/>
    <cellStyle name="_Alvin Plastics RFQ Worksheets - Nypro 062807_Stream RFQ Unibom--0626-1756 2" xfId="7237"/>
    <cellStyle name="_HID Capacity Demand Planning 7-04 2" xfId="7238"/>
    <cellStyle name="_Alvin-Development NRE_RFQ_River_BAFO_2008 0606_M1_Stream Quotebook (Submittal)_POC2_20081117-1" xfId="7239"/>
    <cellStyle name="_Book2_Mechanical Contribution Margins forecast 0506 FP_PL Forecast by segment-most final 0806_2009 xBOX ramp up budget code applicaiton" xfId="7240"/>
    <cellStyle name="差_jupite r設備&amp;治工具LIST (總)_Dallas flow chart&amp;設備&amp;治工具清單(12-8 A0)_Flow Chart&amp;設備治工具清單 _squirrel效益分析08-17" xfId="7241"/>
    <cellStyle name="_Sales Forecast (plastic XX)0703_PL Fcst Jul 06-updated G&amp;A Value_Tom OS ( Oct)_2009 xBOX ramp up budget code applicaiton 300K --New May26 (3)" xfId="7242"/>
    <cellStyle name="_Sales Forecast (plastic XX)1203_PL Fcst Jul 06-updated G&amp;A Value_Tom OS ( Oct)_2009 xBOX ramp up budget code applicaiton 300K --New May26 (3)" xfId="7243"/>
    <cellStyle name="_Alvin-Development NRE_Stream RFQ Unibom--0626-1756_Stream Quotebook(Submittal)_POC1_20080903 2" xfId="7244"/>
    <cellStyle name="好_Creek EE BOM cost_20090425_Foxlink_Shadow RFQ NREUni BOM_12032009_Bolt RFQ_Foxlink_03.1 2011_nego meeting@MACH" xfId="7245"/>
    <cellStyle name="_Antenna Headcount &amp;  Product Process Time 2006_Copy of MOST Std - S1300 F2lines_FMTQCI-MIS3H064-P027(01)Nazca Copy Exact Flow chart" xfId="7246"/>
    <cellStyle name="_Antenna Headcount &amp;  Product Process Time 2006_Copy of MOST Std - S1300 F2lines_Nazca copy exact flow chart 20120409" xfId="7247"/>
    <cellStyle name="标题 3 2 2 4" xfId="7248"/>
    <cellStyle name="_Antenna Headcount &amp;  Product Process Time 2006_Copy of MOST Std - S1300 F2lines_Nazca copy exact flow chart 2012313" xfId="7249"/>
    <cellStyle name="好_Creek Assembly Fixture  Test Equipment RFQ_20090427_Xl0000002_Squirrel RFQ ME BOM Costs-0623_Bolt RFQ_Foxlink_03.1 2011 2 2" xfId="7250"/>
    <cellStyle name="_PL Fcst Jul 06-updated G&amp;A Value_X-BOX Console line setup budget and Buyer list" xfId="7251"/>
    <cellStyle name="_Antenna Headcount &amp;  Product Process Time 2006_FMTQCI-MIS3H064-P027(01)Nazca Copy Exact Flow chart" xfId="7252"/>
    <cellStyle name="好_River EE BOM_Creak Pearl Reliability Fixture RFQ_2009 04 24_Leopard UniBom_Foxlink_6 21 2010-ME_nego_Bolt RFQ Proposal_Foxlink_ (Pricing Summary) 2 25 2011 3 3" xfId="7253"/>
    <cellStyle name="_Antenna Headcount &amp;  Product Process Time 2006_MOST Std - Project A BB Line_FMTQCI-MIS3H064-P027(01)Nazca Copy Exact Flow chart" xfId="7254"/>
    <cellStyle name="好_River EE BOM_Xl0000002_Squirrel RFQ ME BOM Costs-0623_Bolt RFQ_Foxlink_03.1 2011_nego meeting@MACH 2 2" xfId="7255"/>
    <cellStyle name="_OP1 DPO Forecast Final_Copy of Tom OS ( Oct) new for LOG" xfId="7256"/>
    <cellStyle name="_Antenna Headcount &amp;  Product Process Time 2006_MOST Std - Project A BB Line_Nazca copy exact flow chart 20120409" xfId="7257"/>
    <cellStyle name="_Antenna Headcount &amp;  Product Process Time 2006_MOST Std - Project A BB Line_Nazca copy exact flow chart 2012313" xfId="7258"/>
    <cellStyle name="_Antenna Headcount &amp;  Product Process Time 2006_MOST Std - S1300 F2lines_Nazca copy exact flow chart 2012313" xfId="7259"/>
    <cellStyle name="好_River EE BOM_Creak Pearl Reliability Fixture RFQ_2009 04 24_Leopard RFQ ME BOM Costs-0618_Bolt RFQ Proposal_Foxlink_ (Pricing Summary) 2 25 2011 2 2" xfId="7260"/>
    <cellStyle name="差_Xl0000000_Leopard RFQ ME BOM Costs-0618_Bolt RFQ Proposal_Foxlink_ (Pricing Summary) 2 25 2011 2" xfId="7261"/>
    <cellStyle name="_Antenna Headcount &amp;  Product Process Time 2006_Nazca copy exact flow chart 20120409" xfId="7262"/>
    <cellStyle name="_Antenna Headcount &amp;  Product Process Time 2006_Nazca copy exact flow chart 2012313" xfId="7263"/>
    <cellStyle name="差_F3   SMT設備明細_Bolt RFQ_Foxlink_03.1 2011 4" xfId="7264"/>
    <cellStyle name="Normal 35 5" xfId="7265"/>
    <cellStyle name="Normal 40 5" xfId="7266"/>
    <cellStyle name="_ANT-Thunder Audit Items" xfId="7267"/>
    <cellStyle name="_APO_5S巡檢辦法0616-sample" xfId="7268"/>
    <cellStyle name="_APO巡檢幹部認證流程" xfId="7269"/>
    <cellStyle name="好_River EE BOM_Creek RFQ feedback 04_28_2009_FD Update_Leopard RFQ ME BOM Costs-0618-2_Bolt RFQ_Foxlink_03.1 2011 5" xfId="7270"/>
    <cellStyle name="壞_Creek Assembly Fixture  Test Equipment RFQ_20090427_Xl0000002_Leopard RFQ ME BOM Costs-0618-2" xfId="7271"/>
    <cellStyle name="_Mulan Edge EP0 KRH material drive_FMTQCI-MIS3H064-P027(01)Nazca Copy Exact Flow chart" xfId="7272"/>
    <cellStyle name="_April Forecast - Accessories v.2" xfId="7273"/>
    <cellStyle name="好_River EE BOM_Xl0000000_Leopard_UniBOM_ME_0531_Bolt RFQ_Foxlink_03.1 2011 2 2" xfId="7274"/>
    <cellStyle name="_Arctic-Uni_BOM-0607'07" xfId="7275"/>
    <cellStyle name="_Asia" xfId="7276"/>
    <cellStyle name="_ASUS PD0534周周報" xfId="7277"/>
    <cellStyle name="差_Creek RFQ feedback 04_28_2009_FD Update_Leopard RFQ ME BOM Costs-0618-2 3 2" xfId="7278"/>
    <cellStyle name="好_River EE BOM_Creak Pearl Reliability Fixture RFQ_2009 04 24_Leopard_UniBOM_ME_0603-2_Bolt RFQ Proposal_Foxlink_ (Pricing Summary) 2 25 2011 5 2" xfId="7279"/>
    <cellStyle name="_ASUS PD0542周周報" xfId="7280"/>
    <cellStyle name="_ASUS PD0537周周報" xfId="7281"/>
    <cellStyle name="_ASUS WIRELESS STD-1101" xfId="7282"/>
    <cellStyle name="_asus wireless std-6.23" xfId="7283"/>
    <cellStyle name="_ASUS WL SMT標準工時2" xfId="7284"/>
    <cellStyle name="差_Creak Pearl Reliability Fixture RFQ_2009 04 24_Pearl RFQ(Submittal)ver2_05_12_2009 _Foxlink_Shadow RFQ NREUni BOM_12032009_Bolt RFQ Proposal_Foxlink_ (Pricing Summary) 2 25 2011 5 2" xfId="7285"/>
    <cellStyle name="好_Creek Assembly Fixture  Test Equipment RFQ_20090427_Xl0000002_Leopard_UniBOM_ME_0603-2_Bolt RFQ Proposal_Foxlink_ (Pricing Summary) 2 25 2011 2 2 3" xfId="7286"/>
    <cellStyle name="_ASUS WL SMT標準工時2_MBO 周加班估算20060403_awl線體需求計算5.25" xfId="7287"/>
    <cellStyle name="差_Creak Pearl Reliability Fixture RFQ_2009 04 24_Xl0000002_Leopard RFQ ME BOM Costs-0618_Bolt RFQ Proposal_Foxlink_ (Pricing Summary) 2 25 2011 7" xfId="7288"/>
    <cellStyle name="好_Creek EE BOM cost_20090425_Leopard_UniBOM_ME_0531_Bolt RFQ Proposal_Foxlink_ (Pricing Summary) 2 25 2011 4" xfId="7289"/>
    <cellStyle name="_ASUS WL SMT標準工時2_MBO 周加班估算20060403_awl線體需求計算6.6" xfId="7290"/>
    <cellStyle name="_ASUS WL SMT標準工時2_本周產能(0404FC111" xfId="7291"/>
    <cellStyle name="差_Creak Pearl Reliability Fixture RFQ_2009 04 24_Pearl RFQ(Submittal)ver2_05_12_2009 _Leopard_UniBOM_ME_0531 2" xfId="7292"/>
    <cellStyle name="_OP1 DPO Forecast Final_PL Fcst Jul 06-updated G&amp;A Value_Budget GC Other Form" xfId="7293"/>
    <cellStyle name="_ASUS WL SMT標準工時2_本周產能(0404FC111_awl線體需求計算5.25" xfId="7294"/>
    <cellStyle name="_Flex Mechanicals Doumen Sales forecast - Jan.06-updated_Internal Hourly Rate Q1 FY08 Version 06142007 excl. Corporate Allocation_Internal Hourly Rate Q1 FY08 Version (2)" xfId="7295"/>
    <cellStyle name="_asus wlan 機種SMT線體需求計算表" xfId="7296"/>
    <cellStyle name="差_RIO Trial run QA Report-7.21（SEA97217)" xfId="7297"/>
    <cellStyle name="_asus wlan 機種SMT線體需求計算表_本周產能(0404FC111" xfId="7298"/>
    <cellStyle name="_asus wlan 機種SMT線體需求計算表3_MBO 周加班估算20060403" xfId="7299"/>
    <cellStyle name="_Volume Fcst Jul 06-update HP " xfId="7300"/>
    <cellStyle name="_asus wlan 機種SMT線體需求計算表3_本周產能(0404FC111_awl線體需求計算5.25" xfId="7301"/>
    <cellStyle name="_ASUS2 PE 0702月管審--ym" xfId="7302"/>
    <cellStyle name="_PL Forecast Comparison_Mech Doumen2006_1(preliminary)_Volume Fcst 1006 updated_Budget GC Other Form" xfId="7303"/>
    <cellStyle name="差_Bolt RFQ Proposal_Foxlink_ (Pricing Summary) 2 25 2011 4" xfId="7304"/>
    <cellStyle name="差_HP Mouse 產能評估(上系統)_Bolt RFQ Proposal_Foxlink_ (Pricing Summary) 2 25 2011 3 2" xfId="7305"/>
    <cellStyle name="_ASUS2 SMT標準工時--CPH" xfId="7306"/>
    <cellStyle name="_August-05" xfId="7307"/>
    <cellStyle name="_August-05_Copy of X-BOX for line setup budget" xfId="7308"/>
    <cellStyle name="_Dell Fields Return Cost Estimaton - 20040308" xfId="7309"/>
    <cellStyle name="_August-05_Forecast Template v2_2009 xBOX ramp up budget code applicaiton" xfId="7310"/>
    <cellStyle name="_August-05_Forecast Template v2_2009 xBOX ramp up budget code applicaiton 300K --New May26 (3)" xfId="7311"/>
    <cellStyle name="_August-05_Forecast Template v2_Budget GC Other Form" xfId="7312"/>
    <cellStyle name="Calculation 6 2 2" xfId="7313"/>
    <cellStyle name="_August-05_Forecast Template v2_X-BOX BB" xfId="7314"/>
    <cellStyle name="差_Creak Pearl Reliability Fixture RFQ_2009 04 24_Xl0000002_Squirrel RFQ ME BOM Costs-0623 3 3" xfId="7315"/>
    <cellStyle name="_overall Mulan PTK w28_Copy of MOST Std - S1300 F2lines_Nazca copy exact flow chart 2012313" xfId="7316"/>
    <cellStyle name="_Avaya SPICE demand on Apr-25-06 (based on ramp-up plan)_Line transition plan to B17 rev 5" xfId="7317"/>
    <cellStyle name="壞_Creek EE BOM cost_20090425_Creek RFQ feedback 04_28_2009_FD Update_Foxlink_Shadow RFQ NREUni BOM_12032009_Bolt RFQ_Foxlink_03.1 2011 3 2" xfId="7318"/>
    <cellStyle name="_Mechanical Contribution Margins (Q2'06) 0705_Mechanical Contribution Margins forecast 0506 FP_PL Forecast by segment-most final 0806_Tom OS ( Oct)_2009 xBOX ramp up budget code applicaiton 300K --New May27" xfId="7319"/>
    <cellStyle name="_August-05_Forecast Template v2_X-BOX Console line setup budget 20080414" xfId="7320"/>
    <cellStyle name="差_效益分析&amp;產能評估_M1 Bolt wireless mouse FixtureEquipment Cost_A2_2010_12_07_Bolt RFQ Proposal_Foxlink_ (Pricing Summary) 2 25 2011 2 2" xfId="7321"/>
    <cellStyle name="_August-05_Forecast Template v4" xfId="7322"/>
    <cellStyle name="好_River EE BOM_Foxlink_Shadow RFQ NREUni BOM_12032009_Bolt RFQ_Foxlink_03.1 2011_nego meeting@MACH 2 3" xfId="7323"/>
    <cellStyle name="_August-05_plforecastsample" xfId="7324"/>
    <cellStyle name="壞_Creek Assembly Fixture  Test Equipment RFQ_20090427_Xl0000002_Bolt RFQ_Foxlink_03.1 2011_nego meeting@MACH 3 2" xfId="7325"/>
    <cellStyle name="_Book2_MOST Std - Project A BB Line_Nazca copy exact flow chart 20120409" xfId="7326"/>
    <cellStyle name="差_HP Mouse 產能評估(上系統)_Bolt RFQ Proposal_Foxlink_ (Pricing Summary) 2 25 2011 4 3" xfId="7327"/>
    <cellStyle name="好_River EE BOM_Creak Pearl Reliability Fixture RFQ_2009 04 24_Creek RFQ feedback 04_28_2009_FD Update_Squirrel RFQ ME BOM Costs-0623_Bolt RFQ Proposal_Foxlink_ (Pricing Summary) 2 25 2011" xfId="7328"/>
    <cellStyle name="_August-05_plforecastsample_Copy of X-BOX for line setup budget" xfId="7329"/>
    <cellStyle name="_August-05_plforecastsample_Forecast Template v4" xfId="7330"/>
    <cellStyle name="差_Creek RFQ feedback 04_28_2009_FD Update_Bolt RFQ_Foxlink_03.1 2011_nego meeting@MACH 3" xfId="7331"/>
    <cellStyle name="差_Creak Pearl Reliability Fixture RFQ_2009 04 24_Creek RFQ feedback 04_28_2009_FD Update_Leopard_UniBOM_ME_0603-2_Bolt RFQ_Foxlink_03.1 2011_nego meeting@MACH 5" xfId="7332"/>
    <cellStyle name="_August-05_plforecastsample_X-BOX Console line setup budget 20080414" xfId="7333"/>
    <cellStyle name="Currency 4 2 2 3 3" xfId="7334"/>
    <cellStyle name="_bom updated on 2002-11-10-1_Captial Investment Mustang Dated 022609 (2)" xfId="7335"/>
    <cellStyle name="_August-05_X-BOX Console line setup budget 20080414" xfId="7336"/>
    <cellStyle name="_August-05_X-BOX Console line setup budget and Buyer list" xfId="7337"/>
    <cellStyle name="差_Foxlink_Shadow RFQ NREUni BOM_12032009_Bolt RFQ_Foxlink_03.1 2011 3" xfId="7338"/>
    <cellStyle name="_CTB RTP EP2 0505092_MOST Std - Project A BB Line_Nazca copy exact flow chart 20120409" xfId="7339"/>
    <cellStyle name="_Avaya Spice demand  forecast on May-22-06 (based on ramp-up plan)_Line transition plan to B17 rev 5_Tester Demand Plan 062707" xfId="7340"/>
    <cellStyle name="好_Creek EE BOM cost_20090425_Squirrel RFQ ME BOM Costs-0623_Bolt RFQ_Foxlink_03.1 2011_nego meeting@MACH 3 3" xfId="7341"/>
    <cellStyle name="差_Creak Pearl Reliability Fixture RFQ_2009 04 24_Creek RFQ feedback 04_28_2009_FD Update_Leopard_UniBOM_ME_0602 2 3" xfId="7342"/>
    <cellStyle name="壞_Gear Train  Reliability Test plan EV Schedule" xfId="7343"/>
    <cellStyle name="_Avaya Spice demand  forecast on May-22-06 (based on ramp-up plan)_Scenario 1 of recovery until 1102" xfId="7344"/>
    <cellStyle name="_Book2_Mechanical Contribution Margins forecast 0506 FP_PL Fcst Jul 06-updated G&amp;A Value_Tom OS ( Oct)_X-BOX BB" xfId="7345"/>
    <cellStyle name="_Avaya Spice demand  forecast on May-22-06 (based on ramp-up plan)_Scenario 2 of recovery until 1116_Tester Demand Plan 062707" xfId="7346"/>
    <cellStyle name="_Avaya Spice demand  forecast on May-22-06 (based on ramp-up plan)_Tester Demand Plan 062807" xfId="7347"/>
    <cellStyle name="差_Creek RFQ feedback 04_28_2009_FD Update_Leopard_UniBOM_ME_0603-2_Bolt RFQ Proposal_Foxlink_ (Pricing Summary) 2 25 2011 2" xfId="7348"/>
    <cellStyle name="好_River EE BOM_Creak Pearl Reliability Fixture RFQ_2009 04 24_Creek  Pearl RFQ_May 12_Leopard UniBom_Foxlink_6 21 2010-ME_nego_Bolt RFQ_Foxlink_03.1 2011_nego meeting@MACH 3" xfId="7349"/>
    <cellStyle name="_Avaya SPICE demand on Apr-25-06 (based on ramp-up plan)" xfId="7350"/>
    <cellStyle name="好_0842周 顯卡報廢超標8D 2 2 2 2" xfId="7351"/>
    <cellStyle name="_Avaya SPICE demand on Apr-25-06 (based on ramp-up plan)_Line transition plan to B17 rev 5_Tester Demand Plan 062707" xfId="7352"/>
    <cellStyle name="_Avaya SPICE demand on Apr-25-06 (based on ramp-up plan)_Scenario 1 of recovery until 1102_Tester Demand Plan 062707" xfId="7353"/>
    <cellStyle name="差_dallas產能評估_flow chart 2009.12.12_Jackson 效益分析 (2-1 B0 上系統)" xfId="7354"/>
    <cellStyle name="_Prepayment Listing-June_P2 Waynea review" xfId="7355"/>
    <cellStyle name="_FCT Pareto By Line-Sep 18th(X808667-001_DEV01288-5)_AllErrorCodes" xfId="7356"/>
    <cellStyle name="_Commercial PL's 22.06.01Phased" xfId="7357"/>
    <cellStyle name="_Avaya SPICE demand on Apr-25-06 (based on ramp-up plan)_Tester Demand Plan_Tester Demand Plan 062707" xfId="7358"/>
    <cellStyle name="_Avaya SPICE demand on May-8-06 (based on ramp-up plan)" xfId="7359"/>
    <cellStyle name="_Avaya SPICE demand on May-8-06 (based on ramp-up plan)_Line transition plan to B17 rev 5_Tester Demand Plan 062707" xfId="7360"/>
    <cellStyle name="_B2 B4 Forecast" xfId="7361"/>
    <cellStyle name="_Avaya SPICE demand on May-8-06 (based on ramp-up plan)_Scenario 1 of recovery until 1102_Tester Demand Plan 062707" xfId="7362"/>
    <cellStyle name="_Avaya SPICE demand on May-8-06 (based on ramp-up plan)_Tester Demand Plan" xfId="7363"/>
    <cellStyle name="_AWL SMT CT(HS60+GSM2)" xfId="7364"/>
    <cellStyle name="差_治具工程課2009年KPI_HP 2 3" xfId="7365"/>
    <cellStyle name="_AWL SMT CT(HS60+GSM2)_awl線體需求計算6.6" xfId="7366"/>
    <cellStyle name="好_Creek Assembly Fixture  Test Equipment RFQ_20090427_Leopard_UniBOM_ME_0602_Bolt RFQ_Foxlink_03.1 2011_nego meeting@MACH 2 2" xfId="7367"/>
    <cellStyle name="_AWL SMT STD7.25" xfId="7368"/>
    <cellStyle name="_AWL SMT STD7.25_AWL SMT STD10.17" xfId="7369"/>
    <cellStyle name="Accent1 13" xfId="7370"/>
    <cellStyle name="_Bach Chicony Scn2 KB+M+Rx Uni-BOM 070118_Cost.xls-rev6" xfId="7371"/>
    <cellStyle name="_Ernestine Equipment  Fixture List_04_11_2006_FL_Stream RFQ Unibom--0626-1756_Stream Quotebook (Submittal)_POC2_20081117-1" xfId="7372"/>
    <cellStyle name="_Bach Chicony Scn2 KB+M+Rx Uni-BOM 070402 xls-rev8" xfId="7373"/>
    <cellStyle name="_Balance Sheet Audit_FY06 P6 CM Consigned RM" xfId="7374"/>
    <cellStyle name="_Xbox Build Plan_102705 - Mfg Cap 4" xfId="7375"/>
    <cellStyle name="_Biz Ops By Stream_FY06 P06 360Periphs SPC" xfId="7376"/>
    <cellStyle name="_Biz Ops By Stream_FY06 P7 XBox 360 Mfg Var - Close Pack" xfId="7377"/>
    <cellStyle name="_Biz Ops By Stream_FY06 P7 XBox Mfg Var - Close Pack" xfId="7378"/>
    <cellStyle name="_Biz Ops By Stream_Sheet1" xfId="7379"/>
    <cellStyle name="好_Creek EE BOM cost_20090425_Creek RFQ feedback 04_28_2009_FD Update_Leopard_UniBOM_ME_0531 2 2" xfId="7380"/>
    <cellStyle name="差_Creak Pearl Reliability Fixture RFQ_2009 04 24_Creek RFQ feedback 04_28_2009_FD Update_Leopard_UniBOM_ME_0602_Bolt RFQ Proposal_Foxlink_ (Pricing Summary) 2 25 2011 2" xfId="7381"/>
    <cellStyle name="_Blue" xfId="7382"/>
    <cellStyle name="_BlueAnt_DEV_Quote_V2 0_07SEP13" xfId="7383"/>
    <cellStyle name="差_效益分析&amp;產能評估_M1 Lemur Capacity planFixtureEquipment Cost_A2_06192010_Bristol UniBom_Foxlink_02082011 RevA" xfId="7384"/>
    <cellStyle name="差_Creak Pearl Reliability Fixture RFQ_2009 04 24_Creek RFQ feedback 04_28_2009_FD Update_Leopard RFQ ME BOM Costs-0618_Bolt RFQ Proposal_Foxlink_ (Pricing Summary) 2 25 2011 4 3" xfId="7385"/>
    <cellStyle name="_BOM Cost for Dell Carrier 20070103_standard" xfId="7386"/>
    <cellStyle name="差_Creek RFQ feedback 04_28_2009_FD Update_Squirrel RFQ ME BOM Costs-0623 2" xfId="7387"/>
    <cellStyle name="_BOM Cost_Fusion mouse v0.3" xfId="7388"/>
    <cellStyle name="_BOM update - Supplier List (Purchase) 111102_FlexStandardQuoteExample(JasonDated110107)" xfId="7389"/>
    <cellStyle name="_BOM update - Supplier List (Purchase) 111102_IBM SC Zero Cost_010405" xfId="7390"/>
    <cellStyle name="_BOM update - Supplier List (Purchase) 111102_Lenovo Park Format_July 07 05" xfId="7391"/>
    <cellStyle name="_BOM update - Supplier List (Purchase) 111102_Mustang production assembly quotation (internal review)3-16 Rev7" xfId="7392"/>
    <cellStyle name="_BOM update - Supplier List (Purchase) 111102_Mustang production assembly quotation (internal review)4-1 Rev8" xfId="7393"/>
    <cellStyle name="_BOM update - Supplier List (Purchase) 111102_Overall quote format 27th Nov 07" xfId="7394"/>
    <cellStyle name="好_Creek EE BOM cost_20090425_Leopard_UniBOM_ME_0603-2_Bolt RFQ_Foxlink_03.1 2011 3 3" xfId="7395"/>
    <cellStyle name="_PL Forecast Comparison_Mech Doumen2006_1(preliminary)_PL Fcst Jul 06-updated G&amp;A Value_Copy of Tom OS ( Oct) new for LOG_X-BOX BB" xfId="7396"/>
    <cellStyle name="_BOM update - Supplier List (Purchase) 111102_Quote for 2WIRE Rev 0" xfId="7397"/>
    <cellStyle name="_bom updated on 2002-11-10" xfId="7398"/>
    <cellStyle name="_bom updated on 2002-11-10_Captial Investment Mustang Dated 022609 (2)" xfId="7399"/>
    <cellStyle name="Black" xfId="7400"/>
    <cellStyle name="_bom updated on 2002-11-10_IBM SC Zero Cost_010405" xfId="7401"/>
    <cellStyle name="_bom updated on 2002-11-10_Lenovo Park Format_July 07 05" xfId="7402"/>
    <cellStyle name="差_效益分析&amp;產能評估_Bolt RFQ_Foxlink_03.1 2011 5" xfId="7403"/>
    <cellStyle name="_bom updated on 2002-11-10_Overall quote format 27th Nov 07" xfId="7404"/>
    <cellStyle name="好_Creek EE BOM cost_20090425_Foxlink_Shadow RFQ NREUni BOM_12032009_Bolt RFQ Proposal_Foxlink_ (Pricing Summary) 2 25 2011 2 2 2" xfId="7405"/>
    <cellStyle name="_bom updated on 2002-11-10_Quote Format - sample" xfId="7406"/>
    <cellStyle name="好_River EE BOM_Creak Pearl Reliability Fixture RFQ_2009 04 24_Creek  Pearl RFQ_May 12_Leopard_UniBOM_ME_0602_Bolt RFQ_Foxlink_03.1 2011 3" xfId="7407"/>
    <cellStyle name="_bom updated on 2002-11-10-1" xfId="7408"/>
    <cellStyle name="_bom updated on 2002-11-10-1_IBM SC Zero Cost_010405" xfId="7409"/>
    <cellStyle name="_bom updated on 2002-11-10-1_Lenovo Park Format_July 07 05" xfId="7410"/>
    <cellStyle name="好_Erie Assembly Fixture  Test Equip Cost_20090716_Bolt RFQ Proposal_Foxlink_ (Pricing Summary) 2 25 2011 5" xfId="7411"/>
    <cellStyle name="_bom updated on 2002-11-10-1_Lenovo Park Format_July 07 05V2" xfId="7412"/>
    <cellStyle name="好_Creek EE BOM cost_20090425_Squirrel UniBom-06.23.2010_update_internal_Bolt RFQ Proposal_Foxlink_ (Pricing Summary) 2 25 2011 2 3" xfId="7413"/>
    <cellStyle name="_PL Fcst_akl(Friday)_Copy of Tom OS ( Oct) new for LOG_X-BOX Console line setup budget 20080414" xfId="7414"/>
    <cellStyle name="_bom updated on 2002-11-10-1_Mustang production assembly quotation (internal review)4-1 Rev8" xfId="7415"/>
    <cellStyle name="_bom updated on 2002-11-10-1_Mustang production sample quotation (internal review)3-12-09 Rev3" xfId="7416"/>
    <cellStyle name="_Mechanical Contribution Margins (Q1'06, applied to Apr'04 Fcst)_Mechanical Contribution Margins forecast 0506 FP_Volume Fcst 1006 updated_Copy of Tom OS ( Oct) new for LOG_Copy of X-BOX for line setup budget" xfId="7417"/>
    <cellStyle name="_bom updated on 2002-11-10-1_Overall quote format 27th Nov 07" xfId="7418"/>
    <cellStyle name="Normal 5 2 2" xfId="7419"/>
    <cellStyle name="_bom updated on 2002-11-10-1_Quote for 2WIRE Rev 0" xfId="7420"/>
    <cellStyle name="好_Creek Assembly Fixture  Test Equipment RFQ_20090427_Xl0000002_Bolt RFQ_Foxlink_03.1 2011_nego meeting@MACH 5" xfId="7421"/>
    <cellStyle name="_bom updated on 2002-11-10-1_Quote Format - sample" xfId="7422"/>
    <cellStyle name="_bom updated on 2002-11-10-1_Quote Format - sample Rev 7" xfId="7423"/>
    <cellStyle name="差_Creak Pearl Reliability Fixture RFQ_2009 04 24_Xl0000002_Leopard UniBom_Foxlink_6 21 2010-ME_nego_Bolt RFQ_Foxlink_03.1 2011_nego meeting@MACH 2" xfId="7424"/>
    <cellStyle name="_Forecast Summary_2009 xBOX ramp up budget code applicaiton" xfId="7425"/>
    <cellStyle name="_bom updated on 2002-11-10-1_Quote Format - sample Rev 7 (not approve yet)" xfId="7426"/>
    <cellStyle name="_bom updated on 2002-11-10-1_Radon chill_Quotation_Price(Internal) 6-9" xfId="7427"/>
    <cellStyle name="_BOM_BlueVox (Wiima) &amp; BCM2044 v03022007" xfId="7428"/>
    <cellStyle name="_BOM_BlueVox (Wiima) &amp; BCM2044 v03022007 2" xfId="7429"/>
    <cellStyle name="_BOM_BlueVox (Wiima) &amp; BCM2044 v03022007_080923_Rio_BOM_1" xfId="7430"/>
    <cellStyle name="_Book2_Mechanical Contribution Margins forecast 0506 FP_PL Forecast by segment-most final 0806_Tom OS ( Oct)_X-BOX BB" xfId="7431"/>
    <cellStyle name="好_River EE BOM_Creek RFQ feedback 04_28_2009_FD Update_Leopard RFQ ME BOM Costs-0618_Bolt RFQ_Foxlink_03.1 2011 3" xfId="7432"/>
    <cellStyle name="_BOM_BlueVox (Wiima) &amp; BCM2044 v03022007_080923_Rio_BOM_1 2" xfId="7433"/>
    <cellStyle name="差_jupite r設備&amp;治工具LIST (總)_pq_Flow Chart&amp;設備治工具清單 _Leopard Flowchart &amp; 產能評估" xfId="7434"/>
    <cellStyle name="_Pluto uni-bom" xfId="7435"/>
    <cellStyle name="_BOM_BlueVox (Wiima) &amp; BCM2044 v03022007_Book2 (2)" xfId="7436"/>
    <cellStyle name="_BOM_BlueVox (Wiima) &amp; BCM2044 v03022007_Creak Pearl Reliability Fixture RFQ_2009 04 24" xfId="7437"/>
    <cellStyle name="差_F3   SMT設備明細_jupite r設備&amp;治工具LIST (總)_pq_squirrel效益分析08-17" xfId="7438"/>
    <cellStyle name="_BOM_BlueVox (Wiima) &amp; BCM2044 v03022007_Creak Pearl Reliability Fixture RFQ_2009 04 24 2" xfId="7439"/>
    <cellStyle name="_YellowLight 3" xfId="7440"/>
    <cellStyle name="_BOM_BlueVox (Wiima) &amp; BCM2044 v03022007_Creek  Pearl RFQ_May 12" xfId="7441"/>
    <cellStyle name="_Mechanical Contribution Margins (Q2'06) 0705_Volume Fcst 1006 updated_Copy of Tom OS ( Oct) new for LOG_Budget GC Other Form" xfId="7442"/>
    <cellStyle name="差_Creak Pearl Reliability Fixture RFQ_2009 04 24_Creek RFQ feedback 04_28_2009_FD Update_Leopard RFQ ME BOM Costs-0618_Bolt RFQ_Foxlink_03.1 2011_nego meeting@MACH" xfId="7443"/>
    <cellStyle name="_YellowLight 3 2" xfId="7444"/>
    <cellStyle name="_BOM_BlueVox (Wiima) &amp; BCM2044 v03022007_Creek  Pearl RFQ_May 12 2" xfId="7445"/>
    <cellStyle name="差_Jackson and Shadow test cost update _7th Feb 2010 (2)_Bristol TC Estimate Update 07292011" xfId="7446"/>
    <cellStyle name="好_River EE BOM_Creak Pearl Reliability Fixture RFQ_2009 04 24_Creek RFQ feedback 04_28_2009_FD Update_Squirrel UniBom-06.23.2010_update_internal_Bolt RFQ_Foxlink_03.1 2011 2 2" xfId="7447"/>
    <cellStyle name="好_Creek Assembly Fixture  Test Equipment RFQ_20090427_Leopard Lemur Squirrel UniBom-06.22.2010_EE cost _update_internal_Bolt RFQ Proposal_Foxlink_ (Pricing Summary) 2 25 2011 3 2" xfId="7448"/>
    <cellStyle name="_BOM_BlueVox (Wiima) &amp; BCM2044 v03022007_Creek EE BOM cost_20090425" xfId="7449"/>
    <cellStyle name="_BOM_BlueVox (Wiima) &amp; BCM2044 v03022007_Creek EE BOM cost_20090425 2" xfId="7450"/>
    <cellStyle name="_BOM_BlueVox (Wiima) &amp; BCM2044 v03022007_Creek RFQ feedback 04_27_2009 V1" xfId="7451"/>
    <cellStyle name="_Mechanical Contribution Margins (Q1'06, applied to Apr'04 Fcst)_PL Fcst Jul 06-updated G&amp;A Value_Copy of Tom OS ( Oct) new for LOG_2009 xBOX ramp up budget code applicaiton 300K --New May27" xfId="7452"/>
    <cellStyle name="_BOM_BlueVox (Wiima) &amp; BCM2044 v03022007_Creek RFQ feedback 04_27_2009 V1 2" xfId="7453"/>
    <cellStyle name="Normal 9 9" xfId="7454"/>
    <cellStyle name="_Xbox Build Plan 08 01 05 xls (MRP Plan)" xfId="7455"/>
    <cellStyle name="_BOM_BlueVox (Wiima) &amp; BCM2044 v03022007_Creek RFQ feedback 04_27_2009 V1_Steven" xfId="7456"/>
    <cellStyle name="_BOM_BlueVox (Wiima) &amp; BCM2044 v03022007_Creek RFQ feedback 04_27_2009 V1_Steven 2" xfId="7457"/>
    <cellStyle name="_BOM_BlueVox (Wiima) &amp; BCM2044 v03022007_Creek RFQ feedback 04_28_2009_FD Update" xfId="7458"/>
    <cellStyle name="_BOM_BlueVox (Wiima) &amp; BCM2044 v03022007_Creek RFQ template" xfId="7459"/>
    <cellStyle name="_BOM_BlueVox (Wiima) &amp; BCM2044 v03022007_Creek RFQ template 2" xfId="7460"/>
    <cellStyle name="_Flextronics Radon  Build Plan 4-27-2005_Line transition plan to B17 revised 2 _Scenario 1 of recovery until 1102" xfId="7461"/>
    <cellStyle name="_BOM_BlueVox (Wiima) &amp; BCM2044 v03022007_Creek_OEM_foxlink" xfId="7462"/>
    <cellStyle name="_BOM_BlueVox (Wiima) &amp; BCM2044 v03022007_Creek_OEM_foxlink 2" xfId="7463"/>
    <cellStyle name="好_River EE BOM_Creak Pearl Reliability Fixture RFQ_2009 04 24_Creek  Pearl RFQ_May 12_Leopard_UniBOM_ME_0602_Bolt RFQ_Foxlink_03.1 2011 4" xfId="7464"/>
    <cellStyle name="_BOM_BlueVox (Wiima) &amp; BCM2044 v03022007_Creek_億源_foxlink" xfId="7465"/>
    <cellStyle name="好_River EE BOM_Creek RFQ feedback 04_28_2009_FD Update_Leopard UniBom_Foxlink_6 21 2010-ME_nego_Bolt RFQ Proposal_Foxlink_ (Pricing Summary) 2 25 2011 4 3" xfId="7466"/>
    <cellStyle name="_BOM_BlueVox (Wiima) &amp; BCM2044 v03022007_Creek_億源_foxlink 2" xfId="7467"/>
    <cellStyle name="_BOM_BlueVox (Wiima) &amp; BCM2044 v03022007_Erie 5 line quote_11.6.09(chaz)" xfId="7468"/>
    <cellStyle name="差_Creak Pearl Reliability Fixture RFQ_2009 04 24_Pearl RFQ(Submittal)ver2_05_12_2009 _Leopard_UniBOM_ME_0531_Bolt RFQ_Foxlink_03.1 2011 5" xfId="7469"/>
    <cellStyle name="_BOM_BlueVox (Wiima) &amp; BCM2044 v03022007_Erie 5 line quote_11.6.09(chaz) 2" xfId="7470"/>
    <cellStyle name="_BOM_BlueVox (Wiima) &amp; BCM2044 v03022007_Erie_RFQ_Uni BOM 07_21_2009_V0" xfId="7471"/>
    <cellStyle name="好_Squirrel EV1 ME Cross Build Plan-0915" xfId="7472"/>
    <cellStyle name="_BOM_BlueVox (Wiima) &amp; BCM2044 v03022007_Erie_RFQ_Uni BOM 07_21_2009_V0 2" xfId="7473"/>
    <cellStyle name="差_MS Bolt wireless mouse FixtureEquipment Cost_A5_2010_02_21_Bolt RFQ_Foxlink_03.1 2011 2" xfId="7474"/>
    <cellStyle name="_BOM_BlueVox (Wiima) &amp; BCM2044 v03022007_Erie_RFQ_Uni BOM Draft 07_17_2009" xfId="7475"/>
    <cellStyle name="差_MS Bolt wireless mouse FixtureEquipment Cost_A5_2010_02_21_Bolt RFQ_Foxlink_03.1 2011 2 2" xfId="7476"/>
    <cellStyle name="_BOM_BlueVox (Wiima) &amp; BCM2044 v03022007_Erie_RFQ_Uni BOM Draft 07_17_2009 2" xfId="7477"/>
    <cellStyle name="差_Creak Pearl Reliability Fixture RFQ_2009 04 24_Xl0000002_Squirrel UniBom_Foxlink_6 28 2010" xfId="7478"/>
    <cellStyle name="_BOM_BlueVox (Wiima) &amp; BCM2044 v03022007_Foxlink Erie BAFO feedback_10.13.09." xfId="7479"/>
    <cellStyle name="差_F3   SMT設備明細_效益分析_Dallas效益分析&amp;投資回收期 (12-2 A1)_效益分析(總 12-28 Update)_squirrel效益分析08-17" xfId="7480"/>
    <cellStyle name="_BOM_BlueVox (Wiima) &amp; BCM2044 v03022007_Foxlink Erie BAFO feedback_10.13.09. 2" xfId="7481"/>
    <cellStyle name="_BOM_BlueVox (Wiima) &amp; BCM2044 v03022007_Foxlink_Shadow RFQ NREUni BOM_12032009" xfId="7482"/>
    <cellStyle name="好_River EE BOM_Xl0000000_Leopard UniBom_Foxlink_6 21 2010-ME_nego_Bolt RFQ_Foxlink_03.1 2011_nego meeting@MACH 5" xfId="7483"/>
    <cellStyle name="_BOM_BlueVox (Wiima) &amp; BCM2044 v03022007_Foxlink_Shadow RFQ NREUni BOM_12032009 2" xfId="7484"/>
    <cellStyle name="_BOM_BlueVox (Wiima) &amp; BCM2044 v03022007_Internal RFQ River Standalone  Bundle Unibom_v1 2_20080603_EJ" xfId="7485"/>
    <cellStyle name="差_Creak Pearl Reliability Fixture RFQ_2009 04 24_Leopard UniBom_Foxlink_6 21 2010-ME_nego_Bolt RFQ Proposal_Foxlink_ (Pricing Summary) 2 25 2011 2 4" xfId="7486"/>
    <cellStyle name="良い" xfId="7487"/>
    <cellStyle name="好_Creek Assembly Fixture  Test Equipment RFQ_20090427_Foxlink_Shadow RFQ NREUni BOM_12032009_Bolt RFQ_Foxlink_03.1 2011_Bolt_Cliff 4" xfId="7488"/>
    <cellStyle name="20% - Accent5 8" xfId="7489"/>
    <cellStyle name="_BOM_BlueVox (Wiima) &amp; BCM2044 v03022007_Internal RFQ River Standalone  Bundle Unibom_v1 2_20080603_EJ_Stream Package Quotation_20090311" xfId="7490"/>
    <cellStyle name="差_Creek RFQ feedback 04_28_2009_FD Update_Squirrel UniBom-06.23.2010_update_internal 2 4" xfId="7491"/>
    <cellStyle name="好_Creek Assembly Fixture  Test Equipment RFQ_20090427_Xl0000002_Leopard_UniBOM_ME_0603-2 2" xfId="7492"/>
    <cellStyle name="_BOM_BlueVox (Wiima) &amp; BCM2044 v03022007_Internal RFQ River Standalone  Bundle Unibom_v1 2_20080603_EJ_Stream Quotebook (Submittal)_POC2_20081117-1" xfId="7493"/>
    <cellStyle name="_BOM_BlueVox (Wiima) &amp; BCM2044 v03022007_Internal RFQ River Standalone  Bundle Unibom_v1 2_20080603_EJ_Stream Quotebook(Submittal)_POC1_20080903" xfId="7494"/>
    <cellStyle name="_BOM_BlueVox (Wiima) &amp; BCM2044 v03022007_Internal RFQ River Standalone  Bundle Unibom_v1 2_20080603_EJ_Stream Quotebook(Submittal)_POC1_20080903 2" xfId="7495"/>
    <cellStyle name="_KYE Krosa Uni_BOM-20071017" xfId="7496"/>
    <cellStyle name="Currency 4 2 2 3" xfId="7497"/>
    <cellStyle name="_BOM_BlueVox (Wiima) &amp; BCM2044 v03022007_Jackson NRE Uni BOM_update _05072010 rev K" xfId="7498"/>
    <cellStyle name="差_Creak Pearl Reliability Fixture RFQ_2009 04 24_Creek RFQ feedback 04_28_2009_FD Update_Bolt RFQ Proposal_Foxlink_ (Pricing Summary) 2 25 2011 3" xfId="7499"/>
    <cellStyle name="_BOM_BlueVox (Wiima) &amp; BCM2044 v03022007_Lemur RFQ ME BOM Costs-0623" xfId="7500"/>
    <cellStyle name="好_River EE BOM_Xl0000002_Leopard_UniBOM_ME_0603-2 2 3" xfId="7501"/>
    <cellStyle name="_BOM_BlueVox (Wiima) &amp; BCM2044 v03022007_Leopard Lemur Squirrel UniBom-06.22.2010_EE cost _update_internal" xfId="7502"/>
    <cellStyle name="_Flex Mechanicals Doumen Sales forecast - Jan.06_Volume Fcst Jul 06-update HP _Internal Hourly Rate Q1 FY08 Version 06052007 Draft_Internal Hourly Rate Q1 FY08 Version (2)" xfId="7503"/>
    <cellStyle name="_BOM_BlueVox (Wiima) &amp; BCM2044 v03022007_Leopard Lemur Squirrel UniBom-06.22.2010_EE cost _update_internal 2" xfId="7504"/>
    <cellStyle name="好_River EE BOM_Creak Pearl Reliability Fixture RFQ_2009 04 24_Leopard_UniBOM_ME_0531_Bolt RFQ Proposal_Foxlink_ (Pricing Summary) 2 25 2011 5 2" xfId="7505"/>
    <cellStyle name="_BOM_BlueVox (Wiima) &amp; BCM2044 v03022007_Leopard RFQ ME BOM Costs-0618 2" xfId="7506"/>
    <cellStyle name="好_Creek EE BOM cost_20090425_Squirrel UniBom-06.23.2010_update_internal_Bolt RFQ Proposal_Foxlink_ (Pricing Summary) 2 25 2011 4 2" xfId="7507"/>
    <cellStyle name="_BOM_BlueVox (Wiima) &amp; BCM2044 v03022007_Leopard RFQ ME BOM Costs-0618-2" xfId="7508"/>
    <cellStyle name="_BOM_BlueVox (Wiima) &amp; BCM2044 v03022007_Leopard RFQ ME BOM Costs-0618-2 2" xfId="7509"/>
    <cellStyle name="差_Xl0000002_Leopard RFQ ME BOM Costs-0618_Bolt RFQ_Foxlink_03.1 2011" xfId="7510"/>
    <cellStyle name="_BOM_BlueVox (Wiima) &amp; BCM2044 v03022007_Leopard UniBom_Foxlink_12092010 RevD-jen" xfId="7511"/>
    <cellStyle name="_BOM_BlueVox (Wiima) &amp; BCM2044 v03022007_Leopard UniBom_Foxlink_12272010 RevF_shirley" xfId="7512"/>
    <cellStyle name="_BOM_BlueVox (Wiima) &amp; BCM2044 v03022007_Leopard UniBom_Foxlink_6 21 2010-ME_nego" xfId="7513"/>
    <cellStyle name="_BOM_BlueVox (Wiima) &amp; BCM2044 v03022007_Leopard UniBom_Foxlink_6 21 2010-ME_nego 2" xfId="7514"/>
    <cellStyle name="_Headcount (3)" xfId="7515"/>
    <cellStyle name="_BOM_BlueVox (Wiima) &amp; BCM2044 v03022007_Leopard UniBom_Foxlink_6 21 2010-nego" xfId="7516"/>
    <cellStyle name="_BOM_BlueVox (Wiima) &amp; BCM2044 v03022007_Leopard UniBom_true cost_6.23.2010" xfId="7517"/>
    <cellStyle name="差_F3   SMT設備明細_Erie 效益分析 (Update)_Flow chart and Fixture(Jackson)_A1_Jackson 效益分析 (2-1 B0 上系統)_Leopard Flowchart &amp; 產能評估" xfId="7518"/>
    <cellStyle name="_BOM_BlueVox (Wiima) &amp; BCM2044 v03022007_Leopard UniBom-06 22 2010_update_internal" xfId="7519"/>
    <cellStyle name="_Dash_BOM_FLK_Sinatra3_Jan05-07 (worksheet)_Stream RFQ Unibom--0626-1756_Stream Quotebook(Submittal)_POC1_20080903 2" xfId="7520"/>
    <cellStyle name="_BOM_BlueVox (Wiima) &amp; BCM2044 v03022007_Leopard_UniBOM_ME_0531" xfId="7521"/>
    <cellStyle name="_BOM_BlueVox (Wiima) &amp; BCM2044 v03022007_Leopard_UniBOM_ME_0531 2" xfId="7522"/>
    <cellStyle name="_BOM_BlueVox (Wiima) &amp; BCM2044 v03022007_Leopard_UniBOM_ME_0602" xfId="7523"/>
    <cellStyle name="_BOM_BlueVox (Wiima) &amp; BCM2044 v03022007_Leopard_UniBOM_ME_0602-1" xfId="7524"/>
    <cellStyle name="_Mulan Edge EP0 KRH CTB wk28_2_MOST Std - S1300 F2lines_FMTQCI-MIS3H064-P027(01)Nazca Copy Exact Flow chart" xfId="7525"/>
    <cellStyle name="_BOM_BlueVox (Wiima) &amp; BCM2044 v03022007_Leopard_UniBOM_ME_0602-1 2" xfId="7526"/>
    <cellStyle name="60% - 强调文字颜色 6 2 3" xfId="7527"/>
    <cellStyle name="_Mechanical Contribution Margins (Q1'06, applied to Apr'04 Fcst)_Tom OS ( Oct)_X-BOX Console line setup budget 20080414" xfId="7528"/>
    <cellStyle name="_BOM_BlueVox (Wiima) &amp; BCM2044 v03022007_Leopard_UniBOM_ME_0603-2 2" xfId="7529"/>
    <cellStyle name="_DOI for ww17.4-6 DOI-buyer" xfId="7530"/>
    <cellStyle name="_BOM_BlueVox (Wiima) &amp; BCM2044 v03022007_Pearl RFQ feedback 04_27_2009 V1" xfId="7531"/>
    <cellStyle name="_BOM_BlueVox (Wiima) &amp; BCM2044 v03022007_Pearl RFQ feedback 04_27_2009 V1_Steven" xfId="7532"/>
    <cellStyle name="好_Creek Assembly Fixture  Test Equipment RFQ_20090427_Xl0000002_Leopard_UniBOM_ME_0603-2_Bolt RFQ Proposal_Foxlink_ (Pricing Summary) 2 25 2011 5 3" xfId="7533"/>
    <cellStyle name="_BOM_BlueVox (Wiima) &amp; BCM2044 v03022007_Pearl RFQ feedback 04_27_2009 V1_Steven 2" xfId="7534"/>
    <cellStyle name="_BOM_BlueVox (Wiima) &amp; BCM2044 v03022007_Pearl RFQ template(assembly fixtures) (4)" xfId="7535"/>
    <cellStyle name="_BOM_BlueVox (Wiima) &amp; BCM2044 v03022007_Pearl RFQ(Submittal)ver2_05_12_2009 " xfId="7536"/>
    <cellStyle name="好_River EE BOM_Xl0000002_Leopard_UniBOM_ME_0531_Bolt RFQ Proposal_Foxlink_ (Pricing Summary) 2 25 2011 3" xfId="7537"/>
    <cellStyle name="_BOM_BlueVox (Wiima) &amp; BCM2044 v03022007_Pearl RFQ(Submittal)ver2_05_12_2009  2" xfId="7538"/>
    <cellStyle name="好_Creek Assembly Fixture  Test Equipment RFQ_20090427_Leopard UniBom_Foxlink_6 21 2010-ME_nego_Bolt RFQ_Foxlink_03.1 2011_nego meeting@MACH 3" xfId="7539"/>
    <cellStyle name="好_River EE BOM_Creak Pearl Reliability Fixture RFQ_2009 04 24_Creek  Pearl RFQ_May 12_Leopard_UniBOM_ME_0602_Bolt RFQ_Foxlink_03.1 2011_nego meeting@MACH 2 3" xfId="7540"/>
    <cellStyle name="_BOM_BlueVox (Wiima) &amp; BCM2044 v03022007_Pearl_OEM_foxlink" xfId="7541"/>
    <cellStyle name="_FY0304_XBOX  CHANNEL RESERVE" xfId="7542"/>
    <cellStyle name="_BOM_BlueVox (Wiima) &amp; BCM2044 v03022007_Pearl_OEM_foxlink 2" xfId="7543"/>
    <cellStyle name="差_Creak Pearl Reliability Fixture RFQ_2009 04 24_Creek  Pearl RFQ_May 12_Bolt RFQ Proposal_Foxlink_ (Pricing Summary) 2 25 2011 2 3" xfId="7544"/>
    <cellStyle name="_BOM_BlueVox (Wiima) &amp; BCM2044 v03022007_Pearl_億源_foxlink" xfId="7545"/>
    <cellStyle name="_BOM_BlueVox (Wiima) &amp; BCM2044 v03022007_Pearl_億源_foxlink 2" xfId="7546"/>
    <cellStyle name="_Mechanical Contribution Margins (Q2'06) 0705_Volume Fcst 1006 updated_Tom OS ( Oct)_2009 xBOX ramp up budget code applicaiton" xfId="7547"/>
    <cellStyle name="9_Revised AP DPO Oct 04 v2_PL Forecast by segment-most final 0806_Copy of Tom OS ( Oct) new for LOG_Forecast Template v4" xfId="7548"/>
    <cellStyle name="_Flex Mechanicals Doumen Sales forecast - Jan.06_Volume Fcst Jul 06-update HP _Tom OS ( Oct)_2009 xBOX ramp up budget code applicaiton 300K --New May27" xfId="7549"/>
    <cellStyle name="_BOM_BlueVox (Wiima) &amp; BCM2044 v03022007_RFQ_River_BAFO_2008 0606_M1" xfId="7550"/>
    <cellStyle name="Normal 5 6 5" xfId="7551"/>
    <cellStyle name="_BOM_BlueVox (Wiima) &amp; BCM2044 v03022007_RFQ_River_BAFO_2008 0606_M1 2" xfId="7552"/>
    <cellStyle name="输出 2 2 4" xfId="7553"/>
    <cellStyle name="差_HP Mouse 產能評估(上系統)_Bolt RFQ Proposal_Foxlink_ (Pricing Summary) 2 25 2011 2" xfId="7554"/>
    <cellStyle name="_BOM_BlueVox (Wiima) &amp; BCM2044 v03022007_RFQ_River_BAFO_2008 0606_M1_Stream Package Quotation_20090311" xfId="7555"/>
    <cellStyle name="_BOM_BlueVox (Wiima) &amp; BCM2044 v03022007_RFQ_River_BAFO_2008 0606_M1_Stream Quotebook(Submittal)_POC1_20080903 2" xfId="7556"/>
    <cellStyle name="_Forecast Summary_2009 xBOX ramp up budget code applicaiton 300K --New May26 (3)" xfId="7557"/>
    <cellStyle name="Normal 16 2 2 3" xfId="7558"/>
    <cellStyle name="Normal 21 2 2 3" xfId="7559"/>
    <cellStyle name="_BOM_BlueVox (Wiima) &amp; BCM2044 v03022007_Rio Quotation 10_02_2008" xfId="7560"/>
    <cellStyle name="好_River EE BOM_Creak Pearl Reliability Fixture RFQ_2009 04 24_Leopard UniBom_Foxlink_6 21 2010-ME_nego_Bolt RFQ Proposal_Foxlink_ (Pricing Summary) 2 25 2011 5 3" xfId="7561"/>
    <cellStyle name="_FMTTQCI-MISH485-P008_Nazca copy exact flow chart 2012313" xfId="7562"/>
    <cellStyle name="_BOM_BlueVox (Wiima) &amp; BCM2044 v03022007_Rio Quotation 10_02_2008 2" xfId="7563"/>
    <cellStyle name="差_效益分析&amp;產能評估_MS Bolt wireless mouse FixtureEquipment Cost_A5_2010_02_21 2 3" xfId="7564"/>
    <cellStyle name="_BOM_BlueVox (Wiima) &amp; BCM2044 v03022007_Rio Quotation Proposal_v22102008_Draft_Raymond" xfId="7565"/>
    <cellStyle name="好_River EE BOM_Creak Pearl Reliability Fixture RFQ_2009 04 24_Pearl RFQ(Submittal)ver2_05_12_2009 _Leopard_UniBOM_ME_0531_Bolt RFQ Proposal_Foxlink_ (Pricing Summary) 2 25 2011 2 3" xfId="7566"/>
    <cellStyle name="_BOM_BlueVox (Wiima) &amp; BCM2044 v03022007_Rio Quotation Proposal_v22102008_Draft_Raymond 2" xfId="7567"/>
    <cellStyle name="_BOM_BlueVox (Wiima) &amp; BCM2044 v03022007_Rio Quotation Proposal_v22102008_Final version" xfId="7568"/>
    <cellStyle name="Accent5 7" xfId="7569"/>
    <cellStyle name="_BOM_BlueVox (Wiima) &amp; BCM2044 v03022007_Rio Quotation Proposal_v23102008_Draft_Raymond" xfId="7570"/>
    <cellStyle name="_BOM_BlueVox (Wiima) &amp; BCM2044 v03022007_Rio Quotation Proposal_v23102008_Draft_Raymond 2" xfId="7571"/>
    <cellStyle name="差_Creek RFQ feedback 04_28_2009_FD Update_Leopard_UniBOM_ME_0531_Bolt RFQ_Foxlink_03.1 2011" xfId="7572"/>
    <cellStyle name="好_River EE BOM_Xl0000000_Leopard RFQ ME BOM Costs-0618_Bolt RFQ_Foxlink_03.1 2011 2" xfId="7573"/>
    <cellStyle name="好_Bolt Measurement Drawing and data" xfId="7574"/>
    <cellStyle name="_BOM_BlueVox (Wiima) &amp; BCM2044 v03022007_Rio_Mouse EV1 Reliability Test Plan_20081212_A0" xfId="7575"/>
    <cellStyle name="好_0842周 顯卡報廢超標8D_HP 3 3" xfId="7576"/>
    <cellStyle name="差_Creek RFQ feedback 04_28_2009_FD Update_Leopard_UniBOM_ME_0531_Bolt RFQ_Foxlink_03.1 2011 2" xfId="7577"/>
    <cellStyle name="好_River EE BOM_Xl0000000_Leopard RFQ ME BOM Costs-0618_Bolt RFQ_Foxlink_03.1 2011 2 2" xfId="7578"/>
    <cellStyle name="_BOM_BlueVox (Wiima) &amp; BCM2044 v03022007_Rio_Mouse EV1 Reliability Test Plan_20081212_A0 2" xfId="7579"/>
    <cellStyle name="好_River EE BOM_Creak Pearl Reliability Fixture RFQ_2009 04 24_Creek RFQ feedback 04_28_2009_FD Update_Leopard RFQ ME BOM Costs-0618_Bolt RFQ_Foxlink_03.1 2011_nego meeting@MACH" xfId="7580"/>
    <cellStyle name="_BOM_BlueVox (Wiima) &amp; BCM2044 v03022007_Squirrel RFQ ME BOM Costs-0623" xfId="7581"/>
    <cellStyle name="好_River EE BOM_Creak Pearl Reliability Fixture RFQ_2009 04 24_Creek RFQ feedback 04_28_2009_FD Update_Leopard RFQ ME BOM Costs-0618_Bolt RFQ_Foxlink_03.1 2011_nego meeting@MACH 2" xfId="7582"/>
    <cellStyle name="_BOM_BlueVox (Wiima) &amp; BCM2044 v03022007_Squirrel RFQ ME BOM Costs-0623 2" xfId="7583"/>
    <cellStyle name="_FCT Pareto By Line-Oct 13th(DEV01291-7)_Yield report for Dev01975 (3)" xfId="7584"/>
    <cellStyle name="_BOM_BlueVox (Wiima) &amp; BCM2044 v03022007_Squirrel UniBom_Foxlink_7.27.2010" xfId="7585"/>
    <cellStyle name="好_Creek EE BOM cost_20090425_Leopard Lemur Squirrel UniBom-06.22.2010_EE cost _update_internal 3 3" xfId="7586"/>
    <cellStyle name="_BOM_BlueVox (Wiima) &amp; BCM2044 v03022007_Squirrel UniBom-06 23 2010_update_internal" xfId="7587"/>
    <cellStyle name="Comma [00] 3" xfId="7588"/>
    <cellStyle name="_BOM_BlueVox (Wiima) &amp; BCM2044 v03022007_Squirrel UniBom-06.23.2010_update_internal" xfId="7589"/>
    <cellStyle name="_BOM_BlueVox (Wiima) &amp; BCM2044 v03022007_Squirrel UniBom-06.23.2010_update_internal 2" xfId="7590"/>
    <cellStyle name="差_HP  專案(設備&amp;治工具需夠買)update_Erie 效益分析 (Update)_Jackson 效益分析 (1-18 A7)" xfId="7591"/>
    <cellStyle name="_BOM_BlueVox (Wiima) &amp; BCM2044 v03022007_Stream Quotebook(Worksheet)_POC1_20080916" xfId="7592"/>
    <cellStyle name="好_River EE BOM_Creak Pearl Reliability Fixture RFQ_2009 04 24_Pearl RFQ(Submittal)ver2_05_12_2009 _Leopard_UniBOM_ME_0602-1_Bolt RFQ Proposal_Foxlink_ (Pricing Summary) 2 25 2011 6" xfId="7593"/>
    <cellStyle name="Heading 3 15" xfId="7594"/>
    <cellStyle name="_BOM_BlueVox (Wiima) &amp; BCM2044 v03022007_Stream Quotebook(Worksheet)_POC1_20080916 2" xfId="7595"/>
    <cellStyle name="好_River EE BOM_Creak Pearl Reliability Fixture RFQ_2009 04 24_Creek  Pearl RFQ_May 12_Leopard Lemur Squirrel UniBom-06.22.2010_EE cost _update_internal_Bolt RFQ Proposal_Foxlink_ (Pricing Summary) 2 25 2011 2 2 3" xfId="7596"/>
    <cellStyle name="好_Creek EE BOM cost_20090425_Creek RFQ feedback 04_28_2009_FD Update_Leopard UniBom_Foxlink_6 21 2010-ME_nego_Bolt RFQ_Foxlink_03.1 2011 3" xfId="7597"/>
    <cellStyle name="40% - 强调文字颜色 5 3 2" xfId="7598"/>
    <cellStyle name="_BOM_BlueVox (Wiima) &amp; BCM2044 v03022007_Stream RFQ Unibom--0626-1756" xfId="7599"/>
    <cellStyle name="好_Creek EE BOM cost_20090425_Creek RFQ feedback 04_28_2009_FD Update_Leopard UniBom_Foxlink_6 21 2010-ME_nego_Bolt RFQ_Foxlink_03.1 2011 3 2" xfId="7600"/>
    <cellStyle name="40% - 强调文字颜色 5 3 2 2" xfId="7601"/>
    <cellStyle name="_BOM_BlueVox (Wiima) &amp; BCM2044 v03022007_Stream RFQ Unibom--0626-1756 2" xfId="7602"/>
    <cellStyle name="20% - 强调文字颜色 6 4" xfId="7603"/>
    <cellStyle name="20% - Accent6 3" xfId="7604"/>
    <cellStyle name="_BOM_BlueVox (Wiima) &amp; BCM2044 v03022007_Stream RFQ Unibom--0626-1756_Stream Package Quotation_20090311" xfId="7605"/>
    <cellStyle name="差_MB9月管審換線超時8d_2009MB KPI_MBO3F製造部hp0209-01 3 2 2" xfId="7606"/>
    <cellStyle name="千分位 5" xfId="7607"/>
    <cellStyle name="_BOM_BlueVox (Wiima) &amp; BCM2044 v03022007_Stream RFQ Unibom--0626-1756_Stream Quotebook (Submittal)_POC2_20081117-1" xfId="7608"/>
    <cellStyle name="_BOM_BlueVox (Wiima) &amp; BCM2044 v03022007_Stream RFQ Unibom--0626-1756_Stream Quotebook(Submittal)_POC1_20080903" xfId="7609"/>
    <cellStyle name="_BOM_BlueVox (Wiima) &amp; BCM2044 v03022007_Stream RFQ Unibom--0626-1756_Stream Quotebook(Submittal)_POC1_20080903 2" xfId="7610"/>
    <cellStyle name="_BOM_BlueVox (Wiima) &amp; BCM2044 v03022007_Xl0000000" xfId="7611"/>
    <cellStyle name="差_jupite r設備&amp;治工具LIST (總)_~5631336_Jackson 效益分析 (2-1 B0 上系統)_Leopard Flowchart &amp; 產能評估" xfId="7612"/>
    <cellStyle name="_BOM_BlueVox (Wiima) &amp; BCM2044 v03022007_Xl0000000 2" xfId="7613"/>
    <cellStyle name="好_River EE BOM_Creak Pearl Reliability Fixture RFQ_2009 04 24_Xl0000002_Leopard RFQ ME BOM Costs-0618-2_Bolt RFQ_Foxlink_03.1 2011_nego meeting@MACH" xfId="7614"/>
    <cellStyle name="好_River EE BOM_Creak Pearl Reliability Fixture RFQ_2009 04 24_Creek RFQ feedback 04_28_2009_FD Update_Leopard_UniBOM_ME_0602-1_Bolt RFQ Proposal_Foxlink_ (Pricing Summary) 2 25 2011 2 2" xfId="7615"/>
    <cellStyle name="_BOM_BlueVox (Wiima) &amp; BCM2044 v03022007_Xl0000002" xfId="7616"/>
    <cellStyle name="好_River EE BOM_Creak Pearl Reliability Fixture RFQ_2009 04 24_Xl0000002_Leopard RFQ ME BOM Costs-0618-2_Bolt RFQ_Foxlink_03.1 2011_nego meeting@MACH 2" xfId="7617"/>
    <cellStyle name="好_River EE BOM_Creak Pearl Reliability Fixture RFQ_2009 04 24_Creek RFQ feedback 04_28_2009_FD Update_Leopard_UniBOM_ME_0602-1_Bolt RFQ Proposal_Foxlink_ (Pricing Summary) 2 25 2011 2 2 2" xfId="7618"/>
    <cellStyle name="_BOM_BlueVox (Wiima) &amp; BCM2044 v03022007_Xl0000002 2" xfId="7619"/>
    <cellStyle name="_BOM_BlueVox (Wiima) &amp; BCM2044 v03022007_複本 Creek RFQ feedback 04_27_2009 V2" xfId="7620"/>
    <cellStyle name="_BOM_BlueVox (Wiima) &amp; BCM2044 v03022007_複本 Creek RFQ feedback 04_27_2009 V2 2" xfId="7621"/>
    <cellStyle name="_BOM_BlueVox (Wiima) &amp; BCM2044 v03022007_複本 Erie_EE and ME BOM_Quotation update by factory_20090716" xfId="7622"/>
    <cellStyle name="_BOM_BlueVox (Wiima) &amp; BCM2044 v03022007_複本 Erie_EE and ME BOM_Quotation update by factory_20090716 2" xfId="7623"/>
    <cellStyle name="一般 4 3 6" xfId="7624"/>
    <cellStyle name="_PL Fcst_akl(Friday)_Volume Fcst Jul 06-update HP _2009 xBOX ramp up budget code applicaiton 300K --New May26 (3)" xfId="7625"/>
    <cellStyle name="_BOM_GALAXY_1T_Main Board_Rev. A 141105 " xfId="7626"/>
    <cellStyle name="_BOM_GALAXY_1T_Main Board_Rev. A 141105  2" xfId="7627"/>
    <cellStyle name="_Book1" xfId="7628"/>
    <cellStyle name="Normal 16 4" xfId="7629"/>
    <cellStyle name="Normal 21 4" xfId="7630"/>
    <cellStyle name="_Book1_Copy of Console PCBA BB line Readiness Review 080625" xfId="7631"/>
    <cellStyle name="差_F3   SMT設備明細_Erie 效益分析 (Update)_Jackson 效益分析 testing update_16th Jan1_Jackson 效益分析 (2-1 B0 上系統)_squirrel效益分析08-17" xfId="7632"/>
    <cellStyle name="_Book1_Flex Proposal Recovery Plan" xfId="7633"/>
    <cellStyle name="差_Creak Pearl Reliability Fixture RFQ_2009 04 24_Creek  Pearl RFQ_May 12_Leopard_UniBOM_ME_0603-2_Bolt RFQ Proposal_Foxlink_ (Pricing Summary) 2 25 2011 3 2" xfId="7634"/>
    <cellStyle name="_FCT Pareto By Line-Oct 13th(DEV01291-7)_yield report for DEV0xxxx " xfId="7635"/>
    <cellStyle name="壞_Creek EE BOM cost_20090425_Leopard UniBom_Foxlink_6 21 2010-ME_nego_Bolt RFQ Proposal_Foxlink_ (Pricing Summary) 2 25 2011 5 2" xfId="7636"/>
    <cellStyle name="_Book12_0534周SMT周管審" xfId="7637"/>
    <cellStyle name="_Book12_0536周SMT周管審" xfId="7638"/>
    <cellStyle name="_Book12_0541周SMT周管審" xfId="7639"/>
    <cellStyle name="_Book12_0537周SMT周管審" xfId="7640"/>
    <cellStyle name="_Book12_0537周SMT周管審1" xfId="7641"/>
    <cellStyle name="60% - 强调文字颜色 4 3" xfId="7642"/>
    <cellStyle name="_Book12_0537周直通率8d" xfId="7643"/>
    <cellStyle name="壞_Creek EE BOM cost_20090425_Leopard_UniBOM_ME_0531_Bolt RFQ Proposal_Foxlink_ (Pricing Summary) 2 25 2011 5 3" xfId="7644"/>
    <cellStyle name="_Book12_0538周周管審--FINl_複本 0541周周管審" xfId="7645"/>
    <cellStyle name="Output 13 2" xfId="7646"/>
    <cellStyle name="_Flex Mechanicals Doumen Sales forecast - Dec'05 (updated links)_Tom OS ( Oct)_2009 xBOX ramp up budget code applicaiton 300K --New May27" xfId="7647"/>
    <cellStyle name="_Book12_0540周周管審" xfId="7648"/>
    <cellStyle name="_Book12_0540周周管審_0541周直通率8D" xfId="7649"/>
    <cellStyle name="_Book12_0540周周管審_複本 0541周周管審" xfId="7650"/>
    <cellStyle name="_Book12_0540周直通率8D1" xfId="7651"/>
    <cellStyle name="差_Creak Pearl Reliability Fixture RFQ_2009 04 24_Pearl RFQ(Submittal)ver2_05_12_2009 _Leopard UniBom_Foxlink_6 21 2010-ME_nego_Bolt RFQ_Foxlink_03.1 2011_nego meeting@MACH 3" xfId="7652"/>
    <cellStyle name="_Ernestine Requipment  Fixture List_04_06_2006_Internal RFQ River Standalone  Bundle Unibom_v1 2_20080603_EJ_Stream Quotebook(Submittal)_POC1_20080903" xfId="7653"/>
    <cellStyle name="_Book12_0541周直通率8D" xfId="7654"/>
    <cellStyle name="一般 2 2 2 2" xfId="7655"/>
    <cellStyle name="_Book12_Book1" xfId="7656"/>
    <cellStyle name="_Book12_Book1_複本 0541周周管審" xfId="7657"/>
    <cellStyle name="Normal 6 2 2 3" xfId="7658"/>
    <cellStyle name="_Book12_九月份直通率8D" xfId="7659"/>
    <cellStyle name="_Open Select License_Book1" xfId="7660"/>
    <cellStyle name="_Book12_九月份直通率8D1" xfId="7661"/>
    <cellStyle name="_Book12_八月份周直通率8d1" xfId="7662"/>
    <cellStyle name="_Book12_八月份周直通率8d1_0538周周管審--FINl" xfId="7663"/>
    <cellStyle name="差_Creak Pearl Reliability Fixture RFQ_2009 04 24_Creek RFQ feedback 04_28_2009_FD Update_Leopard_UniBOM_ME_0603-2_Bolt RFQ Proposal_Foxlink_ (Pricing Summary) 2 25 2011 4" xfId="7664"/>
    <cellStyle name="_Book12_八月份周直通率8d1_0538周周管審--FINl_複本 0541周周管審" xfId="7665"/>
    <cellStyle name="_Book12_八月份周直通率8d1_0540周直通率8D1" xfId="7666"/>
    <cellStyle name="差_Xl0000000_Leopard_UniBOM_ME_0602_Bolt RFQ Proposal_Foxlink_ (Pricing Summary) 2 25 2011 3 3" xfId="7667"/>
    <cellStyle name="_Book12_八月份周直通率8d1_0540周直通率8D1_複本 0541周周管審" xfId="7668"/>
    <cellStyle name="_Foxlink Xenon Forecast 7-18-2005_RFQ_River_BAFO_2008 0606_M1 2" xfId="7669"/>
    <cellStyle name="_Book12_八月份周直通率8d1_0541周直通率8D" xfId="7670"/>
    <cellStyle name="差_HP  專案(設備&amp;治工具需夠買)update_M1 Lemur Capacity planFixtureEquipment Cost_A2_06192010_Leopard UniBom_Foxlink_12272010 RevF_shirley" xfId="7671"/>
    <cellStyle name="_Book12_八月份周直通率8d1_複本 0541周周管審" xfId="7672"/>
    <cellStyle name="差_Creek RFQ feedback 04_28_2009_FD Update_Leopard RFQ ME BOM Costs-0618_Bolt RFQ Proposal_Foxlink_ (Pricing Summary) 2 25 2011 4 2" xfId="7673"/>
    <cellStyle name="好_效益分析&amp;產能評估_MS Bolt wireless mouse FixtureEquipment Cost_A5_2010_02_21 2 2" xfId="7674"/>
    <cellStyle name="_Book12_複本 0541周周管審" xfId="7675"/>
    <cellStyle name="_Book2" xfId="7676"/>
    <cellStyle name="_FCT Pareto By Line-Sep 16th(X808667-001_DEV01288-5)_TS3 80 6 Yield Tracking 0502 update" xfId="7677"/>
    <cellStyle name="好_River EE BOM_Creak Pearl Reliability Fixture RFQ_2009 04 24_Leopard Lemur Squirrel UniBom-06.22.2010_EE cost _update_internal_Bolt RFQ Proposal_Foxlink_ (Pricing Summary) 2 25 2011 4 3" xfId="7678"/>
    <cellStyle name="_Book2_2009 xBOX ramp up budget code applicaiton" xfId="7679"/>
    <cellStyle name="差_0842周 顯卡報廢超標8D_2009MB KPI_MBO3F製造部hp0209-01 2 2 2" xfId="7680"/>
    <cellStyle name="好_River EE BOM_Creak Pearl Reliability Fixture RFQ_2009 04 24_Xl0000002_Leopard_UniBOM_ME_0603-2_Bolt RFQ Proposal_Foxlink_ (Pricing Summary) 2 25 2011 2 4" xfId="7681"/>
    <cellStyle name="好_River EE BOM_Creak Pearl Reliability Fixture RFQ_2009 04 24_Xl0000002_Leopard_UniBOM_ME_0602" xfId="7682"/>
    <cellStyle name="_Book2_2009 xBOX ramp up budget code applicaiton 300K --New May26 (3)" xfId="7683"/>
    <cellStyle name="_Book2_2009 xBOX ramp up budget code applicaiton 300K --New May27" xfId="7684"/>
    <cellStyle name="差_F3   SMT設備明細_效益分析_Dallas效益分析&amp;投資回收期 (12-2 A1)_效益分析(總 12-28 Update)_Jackson 效益分析 (2-1 B0 上系統)" xfId="7685"/>
    <cellStyle name="_Book2_Budget GC Other Form" xfId="7686"/>
    <cellStyle name="20% - Accent4" xfId="7687"/>
    <cellStyle name="差_F3   SMT設備明細_M1 SuedeFixtureEquipment Cost_A0_2010_10_15_Bolt RFQ Proposal_Foxlink_ (Pricing Summary) 2 25 2011 2 2 2" xfId="7688"/>
    <cellStyle name="_Book2_Copy of MOST Std - S1300 F2lines" xfId="7689"/>
    <cellStyle name="40% - Accent5 2 3 3" xfId="7690"/>
    <cellStyle name="_Book2_Copy of MOST Std - S1300 F2lines_FMTQCI-MIS3H064-P027(01)Nazca Copy Exact Flow chart" xfId="7691"/>
    <cellStyle name="_Book2_Copy of MOST Std - S1300 F2lines_Nazca copy exact flow chart 20120409" xfId="7692"/>
    <cellStyle name="差_Xl0000002_Squirrel RFQ ME BOM Costs-0623 2" xfId="7693"/>
    <cellStyle name="_Book2_Copy of MOST Std - S1300 F2lines_Nazca copy exact flow chart 2012313" xfId="7694"/>
    <cellStyle name="_Mulan Edge EP0 KRH material drive_MOST Std - Project A BB Line_FMTQCI-MIS3H064-P027(01)Nazca Copy Exact Flow chart" xfId="7695"/>
    <cellStyle name="壞_Creek EE BOM cost_20090425_Leopard_UniBOM_ME_0602 2 3 2" xfId="7696"/>
    <cellStyle name="_Book2_Copy of Tom OS ( Oct) new for LOG" xfId="7697"/>
    <cellStyle name="_Book2_Copy of Tom OS ( Oct) new for LOG_2009 xBOX ramp up budget code applicaiton" xfId="7698"/>
    <cellStyle name="_W522 4 Mulan Edge EP0 CTB_MOST Std - S1300 F2lines_Nazca copy exact flow chart 2012313" xfId="7699"/>
    <cellStyle name="_Book2_Copy of Tom OS ( Oct) new for LOG_2009 xBOX ramp up budget code applicaiton 300K --New May26 (3)" xfId="7700"/>
    <cellStyle name="好_River EE BOM_Creak Pearl Reliability Fixture RFQ_2009 04 24_Creek  Pearl RFQ_May 12_Leopard_UniBOM_ME_0602_Bolt RFQ_Foxlink_03.1 2011 2" xfId="7701"/>
    <cellStyle name="_Book2_Copy of Tom OS ( Oct) new for LOG_2009 xBOX ramp up budget code applicaiton 300K --New May27" xfId="7702"/>
    <cellStyle name="_Book2_Copy of Tom OS ( Oct) new for LOG_Budget GC Other Form" xfId="7703"/>
    <cellStyle name="Normal 4 5 2 2 3 2" xfId="7704"/>
    <cellStyle name="_Book2_Copy of Tom OS ( Oct) new for LOG_Forecast Template v4" xfId="7705"/>
    <cellStyle name="_Book2_Copy of Tom OS ( Oct) new for LOG_X-BOX BB" xfId="7706"/>
    <cellStyle name="好_Creek Assembly Fixture  Test Equipment RFQ_20090427_Xl0000002_Leopard RFQ ME BOM Costs-0618_Bolt RFQ_Foxlink_03.1 2011 2 3" xfId="7707"/>
    <cellStyle name="_Book2_Copy of Tom OS ( Oct) new for LOG_X-BOX Console line setup budget 20080414" xfId="7708"/>
    <cellStyle name="_Book2_Copy of Tom OS ( Oct) new for LOG_X-BOX Console line setup budget and Buyer list" xfId="7709"/>
    <cellStyle name="差_HP Mouse 產能評估(上系統)_Bolt RFQ Proposal_Foxlink_ (Pricing Summary) 2 25 2011 2 3" xfId="7710"/>
    <cellStyle name="_Book2_Copy of X-BOX for line setup budget" xfId="7711"/>
    <cellStyle name="_PMC Record for Xenon 2005" xfId="7712"/>
    <cellStyle name="壞_Creek Assembly Fixture  Test Equipment RFQ_20090427_Xl0000002_Leopard Lemur Squirrel UniBom-06.22.2010_EE cost _update_internal_Bolt RFQ_Foxlink_03.1 2011 2 2" xfId="7713"/>
    <cellStyle name="_Book2_FMTQCI-MIS3H064-P027(01)Nazca Copy Exact Flow chart" xfId="7714"/>
    <cellStyle name="_Book2_Forecast Template v4" xfId="7715"/>
    <cellStyle name="_Book2_Internal Hourly Rate Q1 FY08 Version (2)" xfId="7716"/>
    <cellStyle name="差_Creak Pearl Reliability Fixture RFQ_2009 04 24_Leopard Lemur Squirrel UniBom-06.22.2010_EE cost _update_internal_Bolt RFQ Proposal_Foxlink_ (Pricing Summary) 2 25 2011 2" xfId="7717"/>
    <cellStyle name="_Book2_Internal Hourly Rate Q1 FY08 Version 06052007 Draft" xfId="7718"/>
    <cellStyle name="_Flex Mechanicals Doumen Sales forecast - Dec'05 (updated links)_Tom OS ( Oct)_X-BOX BB" xfId="7719"/>
    <cellStyle name="壞_Creek Assembly Fixture  Test Equipment RFQ_20090427_Xl0000002_Leopard_UniBOM_ME_0602_Bolt RFQ Proposal_Foxlink_ (Pricing Summary) 2 25 2011" xfId="7720"/>
    <cellStyle name="_Book2_Internal Hourly Rate Q1 FY08 Version 06052007 Draft_Internal Hourly Rate Q1 FY08 Version (2)" xfId="7721"/>
    <cellStyle name="差_Creek RFQ feedback 04_28_2009_FD Update_Leopard RFQ ME BOM Costs-0618-2_Bolt RFQ_Foxlink_03.1 2011_nego meeting@MACH 5" xfId="7722"/>
    <cellStyle name="差_Creak Pearl Reliability Fixture RFQ_2009 04 24_Xl0000002_Leopard_UniBOM_ME_0602-1_Bolt RFQ Proposal_Foxlink_ (Pricing Summary) 2 25 2011" xfId="7723"/>
    <cellStyle name="_Book2_Internal Hourly Rate Q1 FY08 Version 06142007 excl. Corporate Allocation" xfId="7724"/>
    <cellStyle name="_Book2_Internal Hourly Rate Q1 FY08 Version 06142007 excl. Corporate Allocation_Internal Hourly Rate Q1 FY08 Version (2)" xfId="7725"/>
    <cellStyle name="_Book2_Mechanical Contribution Margins forecast 0506 FP" xfId="7726"/>
    <cellStyle name="_最新手測工時 (5)" xfId="7727"/>
    <cellStyle name="_Book2_Mechanical Contribution Margins forecast 0506 FP_2009 xBOX ramp up budget code applicaiton" xfId="7728"/>
    <cellStyle name="_Book2_Mechanical Contribution Margins forecast 0506 FP_2009 xBOX ramp up budget code applicaiton 300K --New May26 (3)" xfId="7729"/>
    <cellStyle name="_Book2_Mechanical Contribution Margins forecast 0506 FP_Budget GC Other Form" xfId="7730"/>
    <cellStyle name="差_Xl0000000_Squirrel UniBom-06.23.2010_update_internal_Bolt RFQ_Foxlink_03.1 2011_nego meeting@MACH 4" xfId="7731"/>
    <cellStyle name="_Book2_Mechanical Contribution Margins forecast 0506 FP_Copy of Tom OS ( Oct) new for LOG" xfId="7732"/>
    <cellStyle name="40% - Accent4 4" xfId="7733"/>
    <cellStyle name="好_River EE BOM_Xl0000002_Leopard_UniBOM_ME_0602 3" xfId="7734"/>
    <cellStyle name="好_Creek EE BOM cost_20090425_Creek RFQ feedback 04_28_2009_FD Update_Squirrel UniBom-06.23.2010_update_internal_Bolt RFQ_Foxlink_03.1 2011_nego meeting@MACH 3 3" xfId="7735"/>
    <cellStyle name="_Book2_Mechanical Contribution Margins forecast 0506 FP_Copy of Tom OS ( Oct) new for LOG_2009 xBOX ramp up budget code applicaiton 300K --New May26 (3)" xfId="7736"/>
    <cellStyle name="差_MB9月管審誤判超標 8D_2009MB KPI_MBO3F製造部hp0209-01 2 4" xfId="7737"/>
    <cellStyle name="_Book2_Mechanical Contribution Margins forecast 0506 FP_Copy of Tom OS ( Oct) new for LOG_2009 xBOX ramp up budget code applicaiton 300K --New May27" xfId="7738"/>
    <cellStyle name="差_Xl0000000_Squirrel UniBom-06.23.2010_update_internal_Bolt RFQ_Foxlink_03.1 2011 3 3" xfId="7739"/>
    <cellStyle name="_Book2_Mechanical Contribution Margins forecast 0506 FP_Copy of Tom OS ( Oct) new for LOG_Copy of X-BOX for line setup budget" xfId="7740"/>
    <cellStyle name="_MS Alvin Plastics RFQ Worksheets - Nypro 030307_Internal RFQ River Standalone  Bundle Unibom_v1 2_20080603_EJ_Stream Quotebook(Submittal)_POC1_20080903" xfId="7741"/>
    <cellStyle name="_Book2_Mechanical Contribution Margins forecast 0506 FP_Copy of Tom OS ( Oct) new for LOG_X-BOX BB" xfId="7742"/>
    <cellStyle name="_Book2_Mechanical Contribution Margins forecast 0506 FP_Copy of Tom OS ( Oct) new for LOG_X-BOX Console line setup budget 20080414" xfId="7743"/>
    <cellStyle name="_Book2_Mechanical Contribution Margins forecast 0506 FP_Copy of Tom OS ( Oct) new for LOG_X-BOX Console line setup budget and Buyer list" xfId="7744"/>
    <cellStyle name="一般 2_200901費用分析_v2_20090209" xfId="7745"/>
    <cellStyle name="Normal 26 5" xfId="7746"/>
    <cellStyle name="Normal 31 5" xfId="7747"/>
    <cellStyle name="_PL Forecast Comparison_Mech Doumen2006_1(preliminary)_Volume Fcst 1006 updated_Copy of Tom OS ( Oct) new for LOG_2009 xBOX ramp up budget code applicaiton 300K --New May26 (3)" xfId="7748"/>
    <cellStyle name="_Book2_Mechanical Contribution Margins forecast 0506 FP_Copy of X-BOX for line setup budget" xfId="7749"/>
    <cellStyle name="_co9663sb_1_co8058sb" xfId="7750"/>
    <cellStyle name="_Book2_Mechanical Contribution Margins forecast 0506 FP_Forecast Template v4" xfId="7751"/>
    <cellStyle name="差_治具工程課2009年KPI_2009MB KPI-0205 5 4" xfId="7752"/>
    <cellStyle name="差_Creek RFQ feedback 04_28_2009_FD Update_Squirrel RFQ ME BOM Costs-0623 2 2 3" xfId="7753"/>
    <cellStyle name="_Book2_Mechanical Contribution Margins forecast 0506 FP_Internal Hourly Rate Q1 FY08 Version (2)" xfId="7754"/>
    <cellStyle name="_Book2_Mechanical Contribution Margins forecast 0506 FP_Internal Hourly Rate Q1 FY08 Version 06052007 Draft" xfId="7755"/>
    <cellStyle name="好_River EE BOM_Creak Pearl Reliability Fixture RFQ_2009 04 24_Leopard_UniBOM_ME_0602-1_Bolt RFQ Proposal_Foxlink_ (Pricing Summary) 2 25 2011 2 2 3" xfId="7756"/>
    <cellStyle name="_Book2_Mechanical Contribution Margins forecast 0506 FP_Internal Hourly Rate Q1 FY08 Version 06052007 Draft_Internal Hourly Rate Q1 FY08 Version (2)" xfId="7757"/>
    <cellStyle name="Comma [00]" xfId="7758"/>
    <cellStyle name="差_Creak Pearl Reliability Fixture RFQ_2009 04 24_Xl0000002_Foxlink_Shadow RFQ NREUni BOM_12032009 3 2" xfId="7759"/>
    <cellStyle name="_Book2_Mechanical Contribution Margins forecast 0506 FP_Internal Hourly Rate Q1 FY08 Version 06142007 excl. Corporate Allocation" xfId="7760"/>
    <cellStyle name="差_Creak Pearl Reliability Fixture RFQ_2009 04 24_Pearl RFQ(Submittal)ver2_05_12_2009 _Leopard RFQ ME BOM Costs-0618-2_Bolt RFQ_Foxlink_03.1 2011_nego meeting@MACH 5" xfId="7761"/>
    <cellStyle name="_Book2_Mechanical Contribution Margins forecast 0506 FP_Internal Hourly Rate Q1 FY08 Version 06142007 excl. Corporate Allocation_Internal Hourly Rate Q1 FY08 Version (2)" xfId="7762"/>
    <cellStyle name="好_治具工程課2009年KPI_2009MB KPI-0205 6 2" xfId="7763"/>
    <cellStyle name="_Copy of W527 3 Mulan Edge EP0 CTB_MOST Std - S1300 F2lines_FMTQCI-MIS3H064-P027(01)Nazca Copy Exact Flow chart" xfId="7764"/>
    <cellStyle name="_Book2_Mechanical Contribution Margins forecast 0506 FP_PL Fcst Jul 06-updated G&amp;A Value" xfId="7765"/>
    <cellStyle name="Mon?taire_!!!GO" xfId="7766"/>
    <cellStyle name="_Book2_Mechanical Contribution Margins forecast 0506 FP_PL Fcst Jul 06-updated G&amp;A Value_2009 xBOX ramp up budget code applicaiton" xfId="7767"/>
    <cellStyle name="_Book2_Mechanical Contribution Margins forecast 0506 FP_PL Fcst Jul 06-updated G&amp;A Value_2009 xBOX ramp up budget code applicaiton 300K --New May26 (3)" xfId="7768"/>
    <cellStyle name="_Book2_Mechanical Contribution Margins forecast 0506 FP_PL Fcst Jul 06-updated G&amp;A Value_2009 xBOX ramp up budget code applicaiton 300K --New May27" xfId="7769"/>
    <cellStyle name="_Sales Breakdown Analysis 3_Volume Fcst Jul 06-update HP _X-BOX Console line setup budget 20080414" xfId="7770"/>
    <cellStyle name="_Book2_Mechanical Contribution Margins forecast 0506 FP_PL Fcst Jul 06-updated G&amp;A Value_Budget GC Other Form" xfId="7771"/>
    <cellStyle name="差_Creak Pearl Reliability Fixture RFQ_2009 04 24_Creek RFQ feedback 04_28_2009_FD Update_Leopard RFQ ME BOM Costs-0618-2 2 4" xfId="7772"/>
    <cellStyle name="好_River EE BOM_Creak Pearl Reliability Fixture RFQ_2009 04 24_Xl0000002_Leopard_UniBOM_ME_0602_Bolt RFQ Proposal_Foxlink_ (Pricing Summary) 2 25 2011 2 2 2" xfId="7773"/>
    <cellStyle name="_Book2_Mechanical Contribution Margins forecast 0506 FP_PL Fcst Jul 06-updated G&amp;A Value_Copy of Tom OS ( Oct) new for LOG" xfId="7774"/>
    <cellStyle name="_Book2_Mechanical Contribution Margins forecast 0506 FP_PL Fcst Jul 06-updated G&amp;A Value_Copy of Tom OS ( Oct) new for LOG_2009 xBOX ramp up budget code applicaiton" xfId="7775"/>
    <cellStyle name="_Flex Depot 2005 rev3_plforecastsample_X-BOX BB" xfId="7776"/>
    <cellStyle name="_Book2_Mechanical Contribution Margins forecast 0506 FP_PL Fcst Jul 06-updated G&amp;A Value_Copy of Tom OS ( Oct) new for LOG_2009 xBOX ramp up budget code applicaiton 300K --New May26 (3)" xfId="7777"/>
    <cellStyle name="差_Xl0000002_Leopard_UniBOM_ME_0531 2 2" xfId="7778"/>
    <cellStyle name="_Book2_Mechanical Contribution Margins forecast 0506 FP_PL Fcst Jul 06-updated G&amp;A Value_Copy of Tom OS ( Oct) new for LOG_2009 xBOX ramp up budget code applicaiton 300K --New May27" xfId="7779"/>
    <cellStyle name="_Book2_Mechanical Contribution Margins forecast 0506 FP_PL Fcst Jul 06-updated G&amp;A Value_Copy of Tom OS ( Oct) new for LOG_Budget GC Other Form" xfId="7780"/>
    <cellStyle name="_Book2_Mechanical Contribution Margins forecast 0506 FP_PL Fcst Jul 06-updated G&amp;A Value_Copy of Tom OS ( Oct) new for LOG_Copy of X-BOX for line setup budget" xfId="7781"/>
    <cellStyle name="_Book2_Mechanical Contribution Margins forecast 0506 FP_PL Fcst Jul 06-updated G&amp;A Value_Copy of Tom OS ( Oct) new for LOG_X-BOX BB" xfId="7782"/>
    <cellStyle name="_Book2_Mechanical Contribution Margins forecast 0506 FP_PL Fcst Jul 06-updated G&amp;A Value_Copy of Tom OS ( Oct) new for LOG_X-BOX Console line setup budget 20080414" xfId="7783"/>
    <cellStyle name="_Book2_Mechanical Contribution Margins forecast 0506 FP_PL Fcst Jul 06-updated G&amp;A Value_Copy of Tom OS ( Oct) new for LOG_X-BOX Console line setup budget and Buyer list" xfId="7784"/>
    <cellStyle name="_Book2_Mechanical Contribution Margins forecast 0506 FP_PL Fcst Jul 06-updated G&amp;A Value_Internal Hourly Rate Q1 FY08 Version 06052007 Draft_Internal Hourly Rate Q1 FY08 Version (2)" xfId="7785"/>
    <cellStyle name="_Book2_Mechanical Contribution Margins forecast 0506 FP_PL Fcst Jul 06-updated G&amp;A Value_Internal Hourly Rate Q1 FY08 Version 06142007 excl. Corporate Allocation" xfId="7786"/>
    <cellStyle name="_Book2_Mechanical Contribution Margins forecast 0506 FP_PL Fcst Jul 06-updated G&amp;A Value_Internal Hourly Rate Q1 FY08 Version 06142007 excl. Corporate Allocation_Internal Hourly Rate Q1 FY08 Version (2)" xfId="7787"/>
    <cellStyle name="_Book2_Mechanical Contribution Margins forecast 0506 FP_PL Fcst Jul 06-updated G&amp;A Value_Tom OS ( Oct)" xfId="7788"/>
    <cellStyle name="_Flex Mechanicals Doumen Sales forecast - Dec'05 R1_PL Forecast by segment-most final 0806_X-BOX Console line setup budget 20080414" xfId="7789"/>
    <cellStyle name="好_效益分析&amp;產能評估_Bolt RFQ Proposal_Foxlink_ (Pricing Summary) 2 25 2011 2 4" xfId="7790"/>
    <cellStyle name="好_River EE BOM 3 3" xfId="7791"/>
    <cellStyle name="壞_Bristol ME parts quotation 20101021-Rev4_Bristol RFQ response _20101102_internal (4)_Bristol TC Estimate Update 07292011_internal from Tony" xfId="7792"/>
    <cellStyle name="_Book2_Mechanical Contribution Margins forecast 0506 FP_PL Fcst Jul 06-updated G&amp;A Value_Tom OS ( Oct)_2009 xBOX ramp up budget code applicaiton" xfId="7793"/>
    <cellStyle name="Normal 26 4 2" xfId="7794"/>
    <cellStyle name="Normal 31 4 2" xfId="7795"/>
    <cellStyle name="_Book2_Mechanical Contribution Margins forecast 0506 FP_PL Fcst Jul 06-updated G&amp;A Value_Tom OS ( Oct)_2009 xBOX ramp up budget code applicaiton 300K --New May26 (3)" xfId="7796"/>
    <cellStyle name="_WD UULC_RET Test Matrix &amp; Cost_20060712 2" xfId="7797"/>
    <cellStyle name="_Book2_Mechanical Contribution Margins forecast 0506 FP_PL Fcst Jul 06-updated G&amp;A Value_Tom OS ( Oct)_2009 xBOX ramp up budget code applicaiton 300K --New May27" xfId="7798"/>
    <cellStyle name="_Book2_Mechanical Contribution Margins forecast 0506 FP_PL Fcst Jul 06-updated G&amp;A Value_Tom OS ( Oct)_Budget GC Other Form" xfId="7799"/>
    <cellStyle name="差_F3   SMT設備明細_Flow chart and Fixture(1-4)" xfId="7800"/>
    <cellStyle name="_Book2_Mechanical Contribution Margins forecast 0506 FP_PL Fcst Jul 06-updated G&amp;A Value_Tom OS ( Oct)_Copy of X-BOX for line setup budget" xfId="7801"/>
    <cellStyle name="_Book2_Mechanical Contribution Margins forecast 0506 FP_PL Fcst Jul 06-updated G&amp;A Value_Tom OS ( Oct)_Forecast Template v4" xfId="7802"/>
    <cellStyle name="_Book2_Mechanical Contribution Margins forecast 0506 FP_PL Fcst Jul 06-updated G&amp;A Value_Tom OS ( Oct)_X-BOX Console line setup budget 20080414" xfId="7803"/>
    <cellStyle name="_Book2_Mechanical Contribution Margins forecast 0506 FP_PL Fcst Jul 06-updated G&amp;A Value_Tom OS ( Oct)_X-BOX Console line setup budget and Buyer list" xfId="7804"/>
    <cellStyle name="_Book2_Mechanical Contribution Margins forecast 0506 FP_PL Fcst Jul 06-updated G&amp;A Value_X-BOX BB" xfId="7805"/>
    <cellStyle name="差_Creak Pearl Reliability Fixture RFQ_2009 04 24_Pearl RFQ(Submittal)ver2_05_12_2009 _Bolt RFQ_Foxlink_03.1 2011 5" xfId="7806"/>
    <cellStyle name="好_River EE BOM_Creak Pearl Reliability Fixture RFQ_2009 04 24_Pearl RFQ(Submittal)ver2_05_12_2009 _Leopard_UniBOM_ME_0602_Bolt RFQ_Foxlink_03.1 2011 4" xfId="7807"/>
    <cellStyle name="_Book2_Mechanical Contribution Margins forecast 0506 FP_PL Fcst Jul 06-updated G&amp;A Value_X-BOX Console line setup budget 20080414" xfId="7808"/>
    <cellStyle name="_HC Planning 0705_plforecastsample_X-BOX BB" xfId="7809"/>
    <cellStyle name="_Book2_Mechanical Contribution Margins forecast 0506 FP_PL Fcst Jul 06-updated G&amp;A Value_X-BOX Console line setup budget and Buyer list" xfId="7810"/>
    <cellStyle name="好_River EE BOM_Creak Pearl Reliability Fixture RFQ_2009 04 24_Leopard RFQ ME BOM Costs-0618-2_Bolt RFQ Proposal_Foxlink_ (Pricing Summary) 2 25 2011 3 3" xfId="7811"/>
    <cellStyle name="_Book2_Mechanical Contribution Margins forecast 0506 FP_PL Forecast by segment-most final 0806" xfId="7812"/>
    <cellStyle name="Normal 5 3 6 2" xfId="7813"/>
    <cellStyle name="_Book2_Mechanical Contribution Margins forecast 0506 FP_PL Forecast by segment-most final 0806_2009 xBOX ramp up budget code applicaiton 300K --New May27" xfId="7814"/>
    <cellStyle name="_Xbox November COGS Close Pack_FY06 P06 360Periphs SPC" xfId="7815"/>
    <cellStyle name="_Book2_Mechanical Contribution Margins forecast 0506 FP_PL Forecast by segment-most final 0806_Budget GC Other Form" xfId="7816"/>
    <cellStyle name="_Book2_Mechanical Contribution Margins forecast 0506 FP_PL Forecast by segment-most final 0806_Copy of Tom OS ( Oct) new for LOG" xfId="7817"/>
    <cellStyle name="Bad 7" xfId="7818"/>
    <cellStyle name="_Book2_Mechanical Contribution Margins forecast 0506 FP_PL Forecast by segment-most final 0806_Copy of Tom OS ( Oct) new for LOG_2009 xBOX ramp up budget code applicaiton" xfId="7819"/>
    <cellStyle name="_Book2_Mechanical Contribution Margins forecast 0506 FP_PL Forecast by segment-most final 0806_Copy of Tom OS ( Oct) new for LOG_2009 xBOX ramp up budget code applicaiton 300K --New May26 (3)" xfId="7820"/>
    <cellStyle name="好_River EE BOM_Creak Pearl Reliability Fixture RFQ_2009 04 24_Xl0000002_Bolt RFQ Proposal_Foxlink_ (Pricing Summary) 2 25 2011 4 2" xfId="7821"/>
    <cellStyle name="_Flex Depot 2005 rev3-1.6K_Forecast Template v2" xfId="7822"/>
    <cellStyle name="_Mulan Edge EP0 KRH material drive_MOST Std - Project A BB Line_Nazca copy exact flow chart 2012313" xfId="7823"/>
    <cellStyle name="_Book2_Mechanical Contribution Margins forecast 0506 FP_PL Forecast by segment-most final 0806_Copy of Tom OS ( Oct) new for LOG_2009 xBOX ramp up budget code applicaiton 300K --New May27" xfId="7824"/>
    <cellStyle name="_Book2_Mechanical Contribution Margins forecast 0506 FP_PL Forecast by segment-most final 0806_Copy of Tom OS ( Oct) new for LOG_Budget GC Other Form" xfId="7825"/>
    <cellStyle name="_Book2_Mechanical Contribution Margins forecast 0506 FP_PL Forecast by segment-most final 0806_Copy of Tom OS ( Oct) new for LOG_Copy of X-BOX for line setup budget" xfId="7826"/>
    <cellStyle name="_Book2_Mechanical Contribution Margins forecast 0506 FP_PL Forecast by segment-most final 0806_Copy of Tom OS ( Oct) new for LOG_Forecast Template v4" xfId="7827"/>
    <cellStyle name="差_Xl0000002_Leopard_UniBOM_ME_0602 2 2 3" xfId="7828"/>
    <cellStyle name="_February 03 Xbox Games Net Rev Analysis1_P2 Waynea review" xfId="7829"/>
    <cellStyle name="_Book2_Mechanical Contribution Margins forecast 0506 FP_PL Forecast by segment-most final 0806_Copy of Tom OS ( Oct) new for LOG_X-BOX BB" xfId="7830"/>
    <cellStyle name="_Book2_Mechanical Contribution Margins forecast 0506 FP_PL Forecast by segment-most final 0806_Copy of Tom OS ( Oct) new for LOG_X-BOX Console line setup budget 20080414" xfId="7831"/>
    <cellStyle name="Heading 4 3 3" xfId="7832"/>
    <cellStyle name="_Book2_Mechanical Contribution Margins forecast 0506 FP_PL Forecast by segment-most final 0806_Copy of Tom OS ( Oct) new for LOG_X-BOX Console line setup budget and Buyer list" xfId="7833"/>
    <cellStyle name="_標準工時-DELL MB-1104最新" xfId="7834"/>
    <cellStyle name="_Flex Mechanicals Doumen Sales forecast - Dec'05 R1_PL Fcst Jul 06-updated G&amp;A Value_Copy of Tom OS ( Oct) new for LOG_2009 xBOX ramp up budget code applicaiton" xfId="7835"/>
    <cellStyle name="_Book2_Mechanical Contribution Margins forecast 0506 FP_PL Forecast by segment-most final 0806_Copy of X-BOX for line setup budget" xfId="7836"/>
    <cellStyle name="_Book2_Mechanical Contribution Margins forecast 0506 FP_PL Forecast by segment-most final 0806_Forecast Template v4" xfId="7837"/>
    <cellStyle name="_Book2_Mechanical Contribution Margins forecast 0506 FP_PL Forecast by segment-most final 0806_Tom OS ( Oct)" xfId="7838"/>
    <cellStyle name="_Book2_Mechanical Contribution Margins forecast 0506 FP_PL Forecast by segment-most final 0806_Tom OS ( Oct)_2009 xBOX ramp up budget code applicaiton" xfId="7839"/>
    <cellStyle name="_Book2_Mechanical Contribution Margins forecast 0506 FP_PL Forecast by segment-most final 0806_Tom OS ( Oct)_2009 xBOX ramp up budget code applicaiton 300K --New May26 (3)" xfId="7840"/>
    <cellStyle name="好_River EE BOM_Creak Pearl Reliability Fixture RFQ_2009 04 24_Creek  Pearl RFQ_May 12_Foxlink_Shadow RFQ NREUni BOM_12032009 2 2" xfId="7841"/>
    <cellStyle name="_Book2_Mechanical Contribution Margins forecast 0506 FP_PL Forecast by segment-most final 0806_Tom OS ( Oct)_2009 xBOX ramp up budget code applicaiton 300K --New May27" xfId="7842"/>
    <cellStyle name="好_Erie Assembly Fixture  Test Equip Cost_20090716_Foxlink_Shadow RFQ NREUni BOM_12032009_Wedge_ME_BOM-v00-11v0630 2 3" xfId="7843"/>
    <cellStyle name="好_Creek Assembly Fixture  Test Equipment RFQ_20090427_Leopard_UniBOM_ME_0602_Bolt_Cliff 5 3" xfId="7844"/>
    <cellStyle name="_Book2_Mechanical Contribution Margins forecast 0506 FP_PL Forecast by segment-most final 0806_Tom OS ( Oct)_Budget GC Other Form" xfId="7845"/>
    <cellStyle name="壞_Creek EE BOM cost_20090425_Creek RFQ feedback 04_28_2009_FD Update_Leopard Lemur Squirrel UniBom-06.22.2010_EE cost _update_internal 2 3 3" xfId="7846"/>
    <cellStyle name="_Book2_Mechanical Contribution Margins forecast 0506 FP_PL Forecast by segment-most final 0806_Tom OS ( Oct)_Copy of X-BOX for line setup budget" xfId="7847"/>
    <cellStyle name="差_Creak Pearl Reliability Fixture RFQ_2009 04 24_Creek RFQ feedback 04_28_2009_FD Update_Leopard_UniBOM_ME_0602 3" xfId="7848"/>
    <cellStyle name="好_River EE BOM_Foxlink_Shadow RFQ NREUni BOM_12032009 2" xfId="7849"/>
    <cellStyle name="_Book2_Mechanical Contribution Margins forecast 0506 FP_PL Forecast by segment-most final 0806_Tom OS ( Oct)_Forecast Template v4" xfId="7850"/>
    <cellStyle name="_Book2_Mechanical Contribution Margins forecast 0506 FP_PL Forecast by segment-most final 0806_Tom OS ( Oct)_X-BOX Console line setup budget 20080414" xfId="7851"/>
    <cellStyle name="_Open Select License_Book5" xfId="7852"/>
    <cellStyle name="_Book2_Mechanical Contribution Margins forecast 0506 FP_PL Forecast by segment-most final 0806_Tom OS ( Oct)_X-BOX Console line setup budget and Buyer list" xfId="7853"/>
    <cellStyle name="差_F3   SMT設備明細_效益分析_Dallas效益分析&amp;投資回收期 (12-2 A1)_Flow chart and Fixture(1-4)_Jackson 效益分析 (2-1 B0 上系統)" xfId="7854"/>
    <cellStyle name="_Book2_Mechanical Contribution Margins forecast 0506 FP_PL Forecast by segment-most final 0806_X-BOX BB" xfId="7855"/>
    <cellStyle name="_Book2_Mechanical Contribution Margins forecast 0506 FP_PL Forecast by segment-most final 0806_X-BOX Console line setup budget 20080414" xfId="7856"/>
    <cellStyle name="_Book2_Mechanical Contribution Margins forecast 0506 FP_Tom OS ( Oct)" xfId="7857"/>
    <cellStyle name="_Book2_Mechanical Contribution Margins forecast 0506 FP_Tom OS ( Oct)_2009 xBOX ramp up budget code applicaiton" xfId="7858"/>
    <cellStyle name="_Book2_Mechanical Contribution Margins forecast 0506 FP_Tom OS ( Oct)_2009 xBOX ramp up budget code applicaiton 300K --New May26 (3)" xfId="7859"/>
    <cellStyle name="_Book2_Mechanical Contribution Margins forecast 0506 FP_Tom OS ( Oct)_Budget GC Other Form" xfId="7860"/>
    <cellStyle name="差_F3   SMT設備明細_MS Bolt wireless mouse FixtureEquipment Cost_A5_2010_02_21_Bolt RFQ Proposal_Foxlink_ (Pricing Summary) 2 25 2011 5 3" xfId="7861"/>
    <cellStyle name="_Book2_Mechanical Contribution Margins forecast 0506 FP_Tom OS ( Oct)_Copy of X-BOX for line setup budget" xfId="7862"/>
    <cellStyle name="_Book2_Mechanical Contribution Margins forecast 0506 FP_Tom OS ( Oct)_Forecast Template v4" xfId="7863"/>
    <cellStyle name="差_Creak Pearl Reliability Fixture RFQ_2009 04 24_Leopard UniBom_Foxlink_6 21 2010-ME_nego_Bolt RFQ_Foxlink_03.1 2011 5" xfId="7864"/>
    <cellStyle name="好_治具工程課2009年KPI 2 3 2" xfId="7865"/>
    <cellStyle name="好_River EE BOM_Xl0000000_Bolt RFQ_Foxlink_03.1 2011_nego meeting@MACH 3 2" xfId="7866"/>
    <cellStyle name="_Book2_Mechanical Contribution Margins forecast 0506 FP_Tom OS ( Oct)_X-BOX BB" xfId="7867"/>
    <cellStyle name="好_Creek EE BOM cost_20090425_Creek RFQ feedback 04_28_2009_FD Update_Leopard_UniBOM_ME_0531_Bolt RFQ_Foxlink_03.1 2011 2 2" xfId="7868"/>
    <cellStyle name="好_River EE BOM_Xl0000000_Leopard_UniBOM_ME_0603-2_Bolt RFQ_Foxlink_03.1 2011_nego meeting@MACH 4" xfId="7869"/>
    <cellStyle name="_Book2_Mechanical Contribution Margins forecast 0506 FP_Tom OS ( Oct)_X-BOX Console line setup budget 20080414" xfId="7870"/>
    <cellStyle name="_Book2_Mechanical Contribution Margins forecast 0506 FP_Tom OS ( Oct)_X-BOX Console line setup budget and Buyer list" xfId="7871"/>
    <cellStyle name="差_MB9月管審誤判超標 8D_HP 2 2 2" xfId="7872"/>
    <cellStyle name="好_Bristol  cost 20100914Rev.A_foxlink Bristol for 10063D-2010-10-11_Bristol RFQ response _20101102_internal (4)_Bristol TC Estimate Update 08012011" xfId="7873"/>
    <cellStyle name="_Book2_Mechanical Contribution Margins forecast 0506 FP_Volume Fcst 1006 updated" xfId="7874"/>
    <cellStyle name="_Book2_Mechanical Contribution Margins forecast 0506 FP_Volume Fcst 1006 updated_2009 xBOX ramp up budget code applicaiton" xfId="7875"/>
    <cellStyle name="好_Creek EE BOM cost_20090425_Creek RFQ feedback 04_28_2009_FD Update_Leopard_UniBOM_ME_0531_Bolt RFQ Proposal_Foxlink_ (Pricing Summary) 2 25 2011 5 3" xfId="7876"/>
    <cellStyle name="差_HP Mouse 產能評估(Forecast更改後) 3 2" xfId="7877"/>
    <cellStyle name="_Book2_Mechanical Contribution Margins forecast 0506 FP_Volume Fcst 1006 updated_2009 xBOX ramp up budget code applicaiton 300K --New May26 (3)" xfId="7878"/>
    <cellStyle name="_Final Otter-UniBOM_10-25-2005_Quotebook_07SEP10_BlueAnt_Quotebook_V3_07SEP11_Internal RFQ River Standalone  Bundle Unibom_v1 2_20080603_EJ" xfId="7879"/>
    <cellStyle name="差_Xl0000002_Leopard RFQ ME BOM Costs-0618-2_Bolt RFQ Proposal_Foxlink_ (Pricing Summary) 2 25 2011 4 3" xfId="7880"/>
    <cellStyle name="_Book2_Mechanical Contribution Margins forecast 0506 FP_Volume Fcst 1006 updated_2009 xBOX ramp up budget code applicaiton 300K --New May27" xfId="7881"/>
    <cellStyle name="_Book2_PL Forecast by segment-most final 0806_2009 xBOX ramp up budget code applicaiton 300K --New May27" xfId="7882"/>
    <cellStyle name="_Book2_Mechanical Contribution Margins forecast 0506 FP_Volume Fcst 1006 updated_Budget GC Other Form" xfId="7883"/>
    <cellStyle name="Accent6 5" xfId="7884"/>
    <cellStyle name="_機種生產工時評估" xfId="7885"/>
    <cellStyle name="_Book2_Mechanical Contribution Margins forecast 0506 FP_Volume Fcst 1006 updated_Copy of Tom OS ( Oct) new for LOG" xfId="7886"/>
    <cellStyle name="差_Creak Pearl Reliability Fixture RFQ_2009 04 24_Creek  Pearl RFQ_May 12 3" xfId="7887"/>
    <cellStyle name="好_River EE BOM_Creak Pearl Reliability Fixture RFQ_2009 04 24_Creek  Pearl RFQ_May 12_Leopard_UniBOM_ME_0603-2_Bolt RFQ Proposal_Foxlink_ (Pricing Summary) 2 25 2011 2 2" xfId="7888"/>
    <cellStyle name="好_Creek Assembly Fixture  Test Equipment RFQ_20090427_Leopard RFQ ME BOM Costs-0618-2_Bolt RFQ_Foxlink_03.1 2011_nego meeting@MACH 3 3" xfId="7889"/>
    <cellStyle name="_Book2_Mechanical Contribution Margins forecast 0506 FP_Volume Fcst 1006 updated_Copy of Tom OS ( Oct) new for LOG_2009 xBOX ramp up budget code applicaiton" xfId="7890"/>
    <cellStyle name="_Flex Mechanicals Doumen Sales forecast - Jan.06_PL Forecast by segment-most final 0806_Copy of Tom OS ( Oct) new for LOG_Budget GC Other Form" xfId="7891"/>
    <cellStyle name="_Book2_Mechanical Contribution Margins forecast 0506 FP_Volume Fcst 1006 updated_Copy of Tom OS ( Oct) new for LOG_2009 xBOX ramp up budget code applicaiton 300K --New May26 (3)" xfId="7892"/>
    <cellStyle name="4_P139 CCM 1212" xfId="7893"/>
    <cellStyle name="_Inventory Summ  Obso_FY06 P6 CM Consigned RM" xfId="7894"/>
    <cellStyle name="_Book2_Mechanical Contribution Margins forecast 0506 FP_Volume Fcst 1006 updated_Copy of Tom OS ( Oct) new for LOG_2009 xBOX ramp up budget code applicaiton 300K --New May27" xfId="7895"/>
    <cellStyle name="差_Creak Pearl Reliability Fixture RFQ_2009 04 24_Pearl RFQ(Submittal)ver2_05_12_2009 _Leopard Lemur Squirrel UniBom-06.22.2010_EE cost _update_internal_Bolt RFQ_Foxlink_03.1 2011 2 3" xfId="7896"/>
    <cellStyle name="_Book2_Mechanical Contribution Margins forecast 0506 FP_Volume Fcst 1006 updated_Copy of Tom OS ( Oct) new for LOG_Copy of X-BOX for line setup budget" xfId="7897"/>
    <cellStyle name="差_Flow Chart&amp;設備治工具清單 _Jackson 效益分析 (2-1 B0 上系統)_squirrel效益分析08-17" xfId="7898"/>
    <cellStyle name="_Forecast - Segment WTJune06_Forecast Template v2_2009 xBOX ramp up budget code applicaiton" xfId="7899"/>
    <cellStyle name="_Book2_Mechanical Contribution Margins forecast 0506 FP_Volume Fcst 1006 updated_Copy of Tom OS ( Oct) new for LOG_Forecast Template v4" xfId="7900"/>
    <cellStyle name="_Book2_Mechanical Contribution Margins forecast 0506 FP_Volume Fcst 1006 updated_Copy of Tom OS ( Oct) new for LOG_X-BOX BB" xfId="7901"/>
    <cellStyle name="_租金管理費統計_v2_20081227" xfId="7902"/>
    <cellStyle name="_Book2_Mechanical Contribution Margins forecast 0506 FP_Volume Fcst 1006 updated_Copy of X-BOX for line setup budget" xfId="7903"/>
    <cellStyle name="_Fcst March_06(Revised 2.)_Volume Fcst 1006 updated_Tom OS ( Oct)_X-BOX Console line setup budget 20080414" xfId="7904"/>
    <cellStyle name="_Book2_Mechanical Contribution Margins forecast 0506 FP_Volume Fcst 1006 updated_Forecast Template v4" xfId="7905"/>
    <cellStyle name="差_F3   SMT設備明細_jupite r設備&amp;治工具LIST (總)_pq_Jackson 效益分析 testing update_16th Jan1_Jackson 效益分析 (2-1 B0 上系統)_Leopard效益分析08-17" xfId="7906"/>
    <cellStyle name="_Book2_Mechanical Contribution Margins forecast 0506 FP_Volume Fcst 1006 updated_Tom OS ( Oct)" xfId="7907"/>
    <cellStyle name="好_Creek Assembly Fixture  Test Equipment RFQ_20090427_Xl0000002_Squirrel UniBom-06.23.2010_update_internal_Bolt RFQ Proposal_Foxlink_ (Pricing Summary) 2 25 2011 4 3" xfId="7908"/>
    <cellStyle name="_Book2_Mechanical Contribution Margins forecast 0506 FP_Volume Fcst 1006 updated_Tom OS ( Oct)_2009 xBOX ramp up budget code applicaiton" xfId="7909"/>
    <cellStyle name="好_效益分析&amp;產能評估_Bolt RFQ Proposal_Foxlink_ (Pricing Summary) 2 25 2011 2 3" xfId="7910"/>
    <cellStyle name="好_River EE BOM 3 2" xfId="7911"/>
    <cellStyle name="_Book2_Mechanical Contribution Margins forecast 0506 FP_Volume Fcst 1006 updated_Tom OS ( Oct)_2009 xBOX ramp up budget code applicaiton 300K --New May26 (3)" xfId="7912"/>
    <cellStyle name="_FCT Pareto By Line-Sep 18th(X808667-001_DEV01288-5)" xfId="7913"/>
    <cellStyle name="_Book2_Mechanical Contribution Margins forecast 0506 FP_Volume Fcst 1006 updated_Tom OS ( Oct)_2009 xBOX ramp up budget code applicaiton 300K --New May27" xfId="7914"/>
    <cellStyle name="Dollar (zero dec) 3" xfId="7915"/>
    <cellStyle name="_Book2_Mechanical Contribution Margins forecast 0506 FP_Volume Fcst 1006 updated_Tom OS ( Oct)_Budget GC Other Form" xfId="7916"/>
    <cellStyle name="差_效益分析&amp;產能評估_M1 Bolt wireless mouse FixtureEquipment Cost_A2_2010_12_07_Bolt RFQ Proposal_Foxlink_ (Pricing Summary) 2 25 2011 5 3" xfId="7917"/>
    <cellStyle name="差_Creak Pearl Reliability Fixture RFQ_2009 04 24_Xl0000002_Leopard_UniBOM_ME_0602-1_Bolt RFQ Proposal_Foxlink_ (Pricing Summary) 2 25 2011 3 2" xfId="7918"/>
    <cellStyle name="_Sales Breakdown Analysis 3_Tom OS ( Oct)_2009 xBOX ramp up budget code applicaiton 300K --New May26 (3)" xfId="7919"/>
    <cellStyle name="_Book2_Mechanical Contribution Margins forecast 0506 FP_Volume Fcst 1006 updated_Tom OS ( Oct)_Copy of X-BOX for line setup budget" xfId="7920"/>
    <cellStyle name="_Book2_Mechanical Contribution Margins forecast 0506 FP_Volume Fcst 1006 updated_Tom OS ( Oct)_X-BOX BB" xfId="7921"/>
    <cellStyle name="_Book2_Mechanical Contribution Margins forecast 0506 FP_Volume Fcst 1006 updated_Tom OS ( Oct)_X-BOX Console line setup budget 20080414" xfId="7922"/>
    <cellStyle name="_Book2_Mechanical Contribution Margins forecast 0506 FP_Volume Fcst 1006 updated_X-BOX BB" xfId="7923"/>
    <cellStyle name="Comma Acctg 2" xfId="7924"/>
    <cellStyle name="_Book2_Mechanical Contribution Margins forecast 0506 FP_Volume Fcst 1006 updated_X-BOX Console line setup budget 20080414" xfId="7925"/>
    <cellStyle name="_Book2_Mechanical Contribution Margins forecast 0506 FP_Volume Fcst 1006 updated_X-BOX Console line setup budget and Buyer list" xfId="7926"/>
    <cellStyle name="_Book2_Mechanical Contribution Margins forecast 0506 FP_X-BOX BB" xfId="7927"/>
    <cellStyle name="_Book2_Mechanical Contribution Margins forecast 0506 FP_X-BOX Console line setup budget and Buyer list" xfId="7928"/>
    <cellStyle name="_Book2_MOST Std - Project A BB Line" xfId="7929"/>
    <cellStyle name="_Mfg Variances FY04 12604_FY06 P6 CM Consigned RM" xfId="7930"/>
    <cellStyle name="_Book2_MOST Std - Project A BB Line_Nazca copy exact flow chart 2012313" xfId="7931"/>
    <cellStyle name="Normal_ST and MDL Ver 1 3" xfId="7932"/>
    <cellStyle name="_Book2_MOST Std - S1300 F2lines" xfId="7933"/>
    <cellStyle name="差_Creak Pearl Reliability Fixture RFQ_2009 04 24_Leopard_UniBOM_ME_0602_Bolt RFQ_Foxlink_03.1 2011 2 3" xfId="7934"/>
    <cellStyle name="_Book2_MOST Std - S1300 F2lines_FMTQCI-MIS3H064-P027(01)Nazca Copy Exact Flow chart" xfId="7935"/>
    <cellStyle name="_Book2_MOST Std - S1300 F2lines_Nazca copy exact flow chart 2012313" xfId="7936"/>
    <cellStyle name="_Book2_Nazca copy exact flow chart 20120409" xfId="7937"/>
    <cellStyle name="_Book2_Nazca copy exact flow chart 2012313" xfId="7938"/>
    <cellStyle name="_Book2_PL Fcst Jul 06-updated G&amp;A Value" xfId="7939"/>
    <cellStyle name="差_MB9月管審誤判超標 8D_HP 2 2 2 3" xfId="7940"/>
    <cellStyle name="好_River EE BOM_Foxlink_Shadow RFQ NREUni BOM_12032009_Wedge_ME_BOM-v00-11v0715" xfId="7941"/>
    <cellStyle name="_Book2_PL Fcst Jul 06-updated G&amp;A Value_2009 xBOX ramp up budget code applicaiton" xfId="7942"/>
    <cellStyle name="好_Creek Assembly Fixture  Test Equipment RFQ_20090427_Leopard_UniBOM_ME_0603-2_Bolt RFQ Proposal_Foxlink_ (Pricing Summary) 2 25 2011 2 2" xfId="7943"/>
    <cellStyle name="_Book2_PL Fcst Jul 06-updated G&amp;A Value_2009 xBOX ramp up budget code applicaiton 300K --New May26 (3)" xfId="7944"/>
    <cellStyle name="_Mechanical Contribution Margins forecast 0506 FP_PL Fcst Jul 06-updated G&amp;A Value_X-BOX Console line setup budget 20080414" xfId="7945"/>
    <cellStyle name="_Book2_PL Fcst Jul 06-updated G&amp;A Value_2009 xBOX ramp up budget code applicaiton 300K --New May27" xfId="7946"/>
    <cellStyle name="_Book2_PL Fcst Jul 06-updated G&amp;A Value_Budget GC Other Form" xfId="7947"/>
    <cellStyle name="_P3 Waynea review" xfId="7948"/>
    <cellStyle name="_Book2_PL Fcst Jul 06-updated G&amp;A Value_Copy of Tom OS ( Oct) new for LOG" xfId="7949"/>
    <cellStyle name="40% - Accent4 15 2" xfId="7950"/>
    <cellStyle name="_Book2_PL Fcst Jul 06-updated G&amp;A Value_Copy of Tom OS ( Oct) new for LOG_2009 xBOX ramp up budget code applicaiton" xfId="7951"/>
    <cellStyle name="_Book2_PL Fcst Jul 06-updated G&amp;A Value_Copy of Tom OS ( Oct) new for LOG_2009 xBOX ramp up budget code applicaiton 300K --New May27" xfId="7952"/>
    <cellStyle name="_Mechanical Contribution Margins forecast 0506 FP_PL Fcst Jul 06-updated G&amp;A Value_Copy of X-BOX for line setup budget" xfId="7953"/>
    <cellStyle name="_Book2_PL Fcst Jul 06-updated G&amp;A Value_Copy of Tom OS ( Oct) new for LOG_Budget GC Other Form" xfId="7954"/>
    <cellStyle name="_Book2_PL Fcst Jul 06-updated G&amp;A Value_Copy of Tom OS ( Oct) new for LOG_Copy of X-BOX for line setup budget" xfId="7955"/>
    <cellStyle name="_Book2_PL Fcst Jul 06-updated G&amp;A Value_Copy of Tom OS ( Oct) new for LOG_Forecast Template v4" xfId="7956"/>
    <cellStyle name="好_River EE BOM_Creek RFQ feedback 04_28_2009_FD Update_Squirrel RFQ ME BOM Costs-0624" xfId="7957"/>
    <cellStyle name="Number [0] in K-Units" xfId="7958"/>
    <cellStyle name="_Book2_PL Fcst Jul 06-updated G&amp;A Value_Copy of Tom OS ( Oct) new for LOG_X-BOX BB" xfId="7959"/>
    <cellStyle name="_Book2_PL Fcst Jul 06-updated G&amp;A Value_Copy of Tom OS ( Oct) new for LOG_X-BOX Console line setup budget 20080414" xfId="7960"/>
    <cellStyle name="好_River EE BOM_Xl0000000_Squirrel UniBom-06.23.2010_update_internal_Bolt RFQ Proposal_Foxlink_ (Pricing Summary) 2 25 2011 2 2 3" xfId="7961"/>
    <cellStyle name="_Flex Mechanicals Doumen Sales forecast - Jan.06-updated_Volume Fcst Jul 06-update HP _Tom OS ( Oct)_X-BOX Console line setup budget and Buyer list" xfId="7962"/>
    <cellStyle name="_Book2_PL Fcst Jul 06-updated G&amp;A Value_Copy of Tom OS ( Oct) new for LOG_X-BOX Console line setup budget and Buyer list" xfId="7963"/>
    <cellStyle name="差_Creak Pearl Reliability Fixture RFQ_2009 04 24_Xl0000002_Leopard_UniBOM_ME_0603-2_Bolt RFQ_Foxlink_03.1 2011_nego meeting@MACH 2 2" xfId="7964"/>
    <cellStyle name="好_River EE BOM_Creak Pearl Reliability Fixture RFQ_2009 04 24_Pearl RFQ(Submittal)ver2_05_12_2009 _Leopard_UniBOM_ME_0602_Bolt RFQ Proposal_Foxlink_ (Pricing Summary) 2 25 2011 2" xfId="7965"/>
    <cellStyle name="_Book2_PL Fcst Jul 06-updated G&amp;A Value_Copy of X-BOX for line setup budget" xfId="7966"/>
    <cellStyle name="_Book2_PL Fcst Jul 06-updated G&amp;A Value_Internal Hourly Rate Q1 FY08 Version (2)" xfId="7967"/>
    <cellStyle name="_Book2_PL Fcst Jul 06-updated G&amp;A Value_Internal Hourly Rate Q1 FY08 Version 06052007 Draft" xfId="7968"/>
    <cellStyle name="_Book2_PL Fcst Jul 06-updated G&amp;A Value_Internal Hourly Rate Q1 FY08 Version 06052007 Draft_Internal Hourly Rate Q1 FY08 Version (2)" xfId="7969"/>
    <cellStyle name="_Book2_PL Fcst Jul 06-updated G&amp;A Value_Internal Hourly Rate Q1 FY08 Version 06142007 excl. Corporate Allocation" xfId="7970"/>
    <cellStyle name="_Book2_PL Fcst Jul 06-updated G&amp;A Value_Internal Hourly Rate Q1 FY08 Version 06142007 excl. Corporate Allocation_Internal Hourly Rate Q1 FY08 Version (2)" xfId="7971"/>
    <cellStyle name="壞_Creek Assembly Fixture  Test Equipment RFQ_20090427_Leopard_UniBOM_ME_0602_Bolt RFQ_Foxlink_03.1 2011_nego meeting@MACH" xfId="7972"/>
    <cellStyle name="_Book2_PL Fcst Jul 06-updated G&amp;A Value_Tom OS ( Oct)" xfId="7973"/>
    <cellStyle name="_Book2_PL Fcst Jul 06-updated G&amp;A Value_Tom OS ( Oct)_2009 xBOX ramp up budget code applicaiton" xfId="7974"/>
    <cellStyle name="差_dallas產能評估_~5631336_Jackson 效益分析 (2-1 B0 上系統)_Leopard Flowchart &amp; 產能評估" xfId="7975"/>
    <cellStyle name="60% - Accent6 2 3" xfId="7976"/>
    <cellStyle name="40% - Accent4 2 4 3" xfId="7977"/>
    <cellStyle name="_NA" xfId="7978"/>
    <cellStyle name="_Book2_PL Fcst Jul 06-updated G&amp;A Value_Tom OS ( Oct)_2009 xBOX ramp up budget code applicaiton 300K --New May26 (3)" xfId="7979"/>
    <cellStyle name="差_Xl0000000_Leopard UniBom_Foxlink_12272010 RevF_shirley" xfId="7980"/>
    <cellStyle name="_Book2_PL Fcst Jul 06-updated G&amp;A Value_Tom OS ( Oct)_2009 xBOX ramp up budget code applicaiton 300K --New May27" xfId="7981"/>
    <cellStyle name="好_治具工程課2009年KPI_產線生產規劃KPI 2 4" xfId="7982"/>
    <cellStyle name="_Flex Mechanicals Doumen Sales forecast - Dec'05 (updated links)_Internal Hourly Rate Q1 FY08 Version 06052007 Draft_Internal Hourly Rate Q1 FY08 Version (2)" xfId="7983"/>
    <cellStyle name="_Book2_PL Fcst Jul 06-updated G&amp;A Value_Tom OS ( Oct)_Budget GC Other Form" xfId="7984"/>
    <cellStyle name="差_Creak Pearl Reliability Fixture RFQ_2009 04 24_Foxlink_Shadow RFQ NREUni BOM_12032009 2 3" xfId="7985"/>
    <cellStyle name="差_Xl0000002_Leopard RFQ ME BOM Costs-0618-2_Bolt RFQ_Foxlink_03.1 2011 2" xfId="7986"/>
    <cellStyle name="_Book2_PL Fcst Jul 06-updated G&amp;A Value_Tom OS ( Oct)_Copy of X-BOX for line setup budget" xfId="7987"/>
    <cellStyle name="差_F3   SMT設備明細_M1 SuedeFixtureEquipment Cost_A0_2010_10_15_Wedge_ME_BOM-v00-11v0630 2 3" xfId="7988"/>
    <cellStyle name="_Book2_PL Fcst Jul 06-updated G&amp;A Value_Tom OS ( Oct)_Forecast Template v4" xfId="7989"/>
    <cellStyle name="好_效益分析&amp;產能評估_M1 Bolt wireless mouse FixtureEquipment Cost_A2_2010_12_07 5" xfId="7990"/>
    <cellStyle name="_Book2_PL Fcst Jul 06-updated G&amp;A Value_Tom OS ( Oct)_X-BOX BB" xfId="7991"/>
    <cellStyle name="壞_Creek EE BOM cost_20090425_Squirrel UniBom-06.23.2010_update_internal 2 3 2" xfId="7992"/>
    <cellStyle name="_Book2_PL Fcst Jul 06-updated G&amp;A Value_Tom OS ( Oct)_X-BOX Console line setup budget and Buyer list" xfId="7993"/>
    <cellStyle name="Total 2 2" xfId="7994"/>
    <cellStyle name="_Book2_PL Fcst Jul 06-updated G&amp;A Value_X-BOX BB" xfId="7995"/>
    <cellStyle name="_Book2_PL Fcst Jul 06-updated G&amp;A Value_X-BOX Console line setup budget 20080414" xfId="7996"/>
    <cellStyle name="_Book2_PL Fcst Jul 06-updated G&amp;A Value_X-BOX Console line setup budget and Buyer list" xfId="7997"/>
    <cellStyle name="_Book2_PL Forecast by segment-most final 0806" xfId="7998"/>
    <cellStyle name="好_River EE BOM_Creak Pearl Reliability Fixture RFQ_2009 04 24_Pearl RFQ(Submittal)ver2_05_12_2009 _Leopard_UniBOM_ME_0531_Bolt RFQ_Foxlink_03.1 2011 3 3" xfId="7999"/>
    <cellStyle name="_Book2_PL Forecast by segment-most final 0806_2009 xBOX ramp up budget code applicaiton" xfId="8000"/>
    <cellStyle name="好_River EE BOM_Xl0000002_Leopard Lemur Squirrel UniBom-06.22.2010_EE cost _update_internal_Bolt RFQ Proposal_Foxlink_ (Pricing Summary) 2 25 2011 4 2" xfId="8001"/>
    <cellStyle name="好_Creek Assembly Fixture  Test Equipment RFQ_20090427_Leopard_UniBOM_ME_0602_Bolt RFQ Proposal_Foxlink_ (Pricing Summary) 2 25 2011 3 2" xfId="8002"/>
    <cellStyle name="_Book2_PL Forecast by segment-most final 0806_2009 xBOX ramp up budget code applicaiton 300K --New May26 (3)" xfId="8003"/>
    <cellStyle name="好_K TEST 2 2 3" xfId="8004"/>
    <cellStyle name="_Book2_PL Forecast by segment-most final 0806_Budget GC Other Form" xfId="8005"/>
    <cellStyle name="_Book2_PL Forecast by segment-most final 0806_Copy of Tom OS ( Oct) new for LOG" xfId="8006"/>
    <cellStyle name="_Book2_PL Forecast by segment-most final 0806_Copy of Tom OS ( Oct) new for LOG_2009 xBOX ramp up budget code applicaiton" xfId="8007"/>
    <cellStyle name="_Z9 blueAnt ME BOM 0910_Internal RFQ River Standalone  Bundle Unibom_v1 2_20080603_EJ_Stream Quotebook (Submittal)_POC2_20081117-1" xfId="8008"/>
    <cellStyle name="壞_Creek EE BOM cost_20090425_Squirrel UniBom-06.23.2010_update_internal_Bolt RFQ Proposal_Foxlink_ (Pricing Summary) 2 25 2011 7" xfId="8009"/>
    <cellStyle name="_Book2_PL Forecast by segment-most final 0806_Copy of Tom OS ( Oct) new for LOG_2009 xBOX ramp up budget code applicaiton 300K --New May27" xfId="8010"/>
    <cellStyle name="_FCT Pareto By Line-Aug 12th(DEV01286-5) (2)" xfId="8011"/>
    <cellStyle name="_Book2_PL Forecast by segment-most final 0806_Copy of Tom OS ( Oct) new for LOG_Budget GC Other Form" xfId="8012"/>
    <cellStyle name="_Book2_PL Forecast by segment-most final 0806_Copy of Tom OS ( Oct) new for LOG_Copy of X-BOX for line setup budget" xfId="8013"/>
    <cellStyle name="_Book2_PL Forecast by segment-most final 0806_Copy of Tom OS ( Oct) new for LOG_Forecast Template v4" xfId="8014"/>
    <cellStyle name="好_River EE BOM_Creak Pearl Reliability Fixture RFQ_2009 04 24_Foxlink_Shadow RFQ NREUni BOM_12032009_Bolt RFQ Proposal_Foxlink_ (Pricing Summary) 2 25 2011 2 2 3" xfId="8015"/>
    <cellStyle name="_Book2_PL Forecast by segment-most final 0806_Copy of Tom OS ( Oct) new for LOG_X-BOX BB" xfId="8016"/>
    <cellStyle name="_FCT Pareto By Line-July 12th X808665-001-DEV01282-2_TestMedia" xfId="8017"/>
    <cellStyle name="好_Creek Assembly Fixture  Test Equipment RFQ_20090427_Leopard RFQ ME BOM Costs-0618_Bolt RFQ Proposal_Foxlink_ (Pricing Summary) 2 25 2011 2 2" xfId="8018"/>
    <cellStyle name="好_River EE BOM_Xl0000000_Leopard RFQ ME BOM Costs-0618-2_Bolt RFQ_Foxlink_03.1 2011 5" xfId="8019"/>
    <cellStyle name="_Book2_PL Forecast by segment-most final 0806_Copy of Tom OS ( Oct) new for LOG_X-BOX Console line setup budget 20080414" xfId="8020"/>
    <cellStyle name="_Forecast Template v2_X-BOX Console line setup budget 20080414" xfId="8021"/>
    <cellStyle name="差_MB9月管審換線超時8d_2009MB KPI_MBO3F製造部hp0209-01 5 4" xfId="8022"/>
    <cellStyle name="_Book2_PL Forecast by segment-most final 0806_Copy of Tom OS ( Oct) new for LOG_X-BOX Console line setup budget and Buyer list" xfId="8023"/>
    <cellStyle name="_Book2_PL Forecast by segment-most final 0806_Copy of X-BOX for line setup budget" xfId="8024"/>
    <cellStyle name="好_River EE BOM_Creak Pearl Reliability Fixture RFQ_2009 04 24_Creek RFQ feedback 04_28_2009_FD Update_Squirrel RFQ ME BOM Costs-0623_Bolt RFQ Proposal_Foxlink_ (Pricing Summary) 2 25 2011 2 2 2" xfId="8025"/>
    <cellStyle name="输入 6 2" xfId="8026"/>
    <cellStyle name="好_Bristol  cost 20100914Rev.A 2_Bristol ME parts tooling cost 20101022 updated_Bristol TC Estimate Update 08042011_MS" xfId="8027"/>
    <cellStyle name="_Book2_PL Forecast by segment-most final 0806_Tom OS ( Oct)" xfId="8028"/>
    <cellStyle name="_Book2_PL Forecast by segment-most final 0806_Tom OS ( Oct)_2009 xBOX ramp up budget code applicaiton" xfId="8029"/>
    <cellStyle name="差_Creak Pearl Reliability Fixture RFQ_2009 04 24_Leopard RFQ ME BOM Costs-0618_Bolt RFQ_Foxlink_03.1 2011_nego meeting@MACH 5" xfId="8030"/>
    <cellStyle name="_Book2_PL Forecast by segment-most final 0806_Tom OS ( Oct)_2009 xBOX ramp up budget code applicaiton 300K --New May26 (3)" xfId="8031"/>
    <cellStyle name="好_River  QA Report-12.14_Suede QA report for EV2.1 _20110301_Update" xfId="8032"/>
    <cellStyle name="6mal" xfId="8033"/>
    <cellStyle name="_Book2_PL Forecast by segment-most final 0806_Tom OS ( Oct)_2009 xBOX ramp up budget code applicaiton 300K --New May27" xfId="8034"/>
    <cellStyle name="差_Creak Pearl Reliability Fixture RFQ_2009 04 24_Creek RFQ feedback 04_28_2009_FD Update_Foxlink_Shadow RFQ NREUni BOM_12032009 3 3" xfId="8035"/>
    <cellStyle name="_Book2_PL Forecast by segment-most final 0806_Tom OS ( Oct)_Copy of X-BOX for line setup budget" xfId="8036"/>
    <cellStyle name="Currency 2 12" xfId="8037"/>
    <cellStyle name="40% - 强调文字颜色 3 2 4" xfId="8038"/>
    <cellStyle name="_Book2_PL Forecast by segment-most final 0806_Tom OS ( Oct)_Forecast Template v4" xfId="8039"/>
    <cellStyle name="_Book2_PL Forecast by segment-most final 0806_Tom OS ( Oct)_X-BOX BB" xfId="8040"/>
    <cellStyle name="_Book2_PL Forecast by segment-most final 0806_Tom OS ( Oct)_X-BOX Console line setup budget 20080414" xfId="8041"/>
    <cellStyle name="_Book2_PL Forecast by segment-most final 0806_Tom OS ( Oct)_X-BOX Console line setup budget and Buyer list" xfId="8042"/>
    <cellStyle name="_Glacier plastic work sheet-20070720" xfId="8043"/>
    <cellStyle name="_Book2_PL Forecast by segment-most final 0806_X-BOX BB" xfId="8044"/>
    <cellStyle name="_Flextronics Radon  Build Plan 4-27-2005_Production Head Count Arrangement 01-24-07_Tester Demand Plan 062807" xfId="8045"/>
    <cellStyle name="_Book2_PL Forecast by segment-most final 0806_X-BOX Console line setup budget 20080414" xfId="8046"/>
    <cellStyle name="_Book2_PL Forecast by segment-most final 0806_X-BOX Console line setup budget and Buyer list" xfId="8047"/>
    <cellStyle name="壞_Creek Assembly Fixture  Test Equipment RFQ_20090427_Xl0000002_Leopard_UniBOM_ME_0602-1_Bolt RFQ_Foxlink_03.1 2011_nego meeting@MACH 2" xfId="8048"/>
    <cellStyle name="_Book2_Tom OS ( Oct)" xfId="8049"/>
    <cellStyle name="差_Xl0000002_Foxlink_Shadow RFQ NREUni BOM_12032009_Bolt RFQ Proposal_Foxlink_ (Pricing Summary) 2 25 2011 3 3" xfId="8050"/>
    <cellStyle name="好_River EE BOM_Creak Pearl Reliability Fixture RFQ_2009 04 24_Creek  Pearl RFQ_May 12_Leopard_UniBOM_ME_0531_Bolt RFQ Proposal_Foxlink_ (Pricing Summary) 2 25 2011 2 2 2" xfId="8051"/>
    <cellStyle name="差_F3   SMT設備明細_Jackson 效益分析 testing update_16th Jan111_Jackson 效益分析 (2-1 B0 上系統)" xfId="8052"/>
    <cellStyle name="_Book2_Tom OS ( Oct)_2009 xBOX ramp up budget code applicaiton" xfId="8053"/>
    <cellStyle name="Normal 5 6 2 3 3" xfId="8054"/>
    <cellStyle name="_Book2_Tom OS ( Oct)_2009 xBOX ramp up budget code applicaiton 300K --New May27" xfId="8055"/>
    <cellStyle name="_Book2_Tom OS ( Oct)_Budget GC Other Form" xfId="8056"/>
    <cellStyle name="_Book2_Tom OS ( Oct)_Copy of X-BOX for line setup budget" xfId="8057"/>
    <cellStyle name="_Book2_Tom OS ( Oct)_Forecast Template v4" xfId="8058"/>
    <cellStyle name="好_River EE BOM_Xl0000000_Leopard Lemur Squirrel UniBom-06.22.2010_EE cost _update_internal_Bolt RFQ Proposal_Foxlink_ (Pricing Summary) 2 25 2011 2 3" xfId="8059"/>
    <cellStyle name="好_Creek Assembly Fixture  Test Equipment RFQ_20090427_Leopard UniBom_Foxlink_6 21 2010-ME_nego_Bolt RFQ_Foxlink_03.1 2011_Bolt_Cliff 5 3" xfId="8060"/>
    <cellStyle name="_Ernestine Requipment  Fixture List_04_06_2006_Quotebook_V3_07SEP11_RFQ_River_BAFO_2008 0606_M1_Stream Quotebook(Submittal)_POC1_20080903" xfId="8061"/>
    <cellStyle name="_Book2_Tom OS ( Oct)_X-BOX BB" xfId="8062"/>
    <cellStyle name="_Book2_Tom OS ( Oct)_X-BOX Console line setup budget 20080414" xfId="8063"/>
    <cellStyle name="_Project A Pick List 20100312_FMTQCI-MIS3H058-P028(03)25. Print &amp; Stick tamper labels then Final visual" xfId="8064"/>
    <cellStyle name="_Flex Mechanicals Doumen Sales forecast - Dec'05 R1_Volume Fcst Jul 06-update HP _Copy of Tom OS ( Oct) new for LOG_2009 xBOX ramp up budget code applicaiton" xfId="8065"/>
    <cellStyle name="_Book2_Tom OS ( Oct)_X-BOX Console line setup budget and Buyer list" xfId="8066"/>
    <cellStyle name="_Book2_Volume Fcst 1006 updated" xfId="8067"/>
    <cellStyle name="_Book2_Volume Fcst 1006 updated_2009 xBOX ramp up budget code applicaiton" xfId="8068"/>
    <cellStyle name="_Book2_Volume Fcst 1006 updated_2009 xBOX ramp up budget code applicaiton 300K --New May26 (3)" xfId="8069"/>
    <cellStyle name="差_Creak Pearl Reliability Fixture RFQ_2009 04 24_Creek  Pearl RFQ_May 12_Leopard RFQ ME BOM Costs-0618-2 2 2 3" xfId="8070"/>
    <cellStyle name="好_Creek EE BOM cost_20090425_Leopard UniBom_Foxlink_6 21 2010-ME_nego_Bolt RFQ_Foxlink_03.1 2011 5" xfId="8071"/>
    <cellStyle name="_Book2_Volume Fcst 1006 updated_2009 xBOX ramp up budget code applicaiton 300K --New May27" xfId="8072"/>
    <cellStyle name="_Book2_Volume Fcst 1006 updated_Budget GC Other Form" xfId="8073"/>
    <cellStyle name="_XLSTestErrorCodes_AllErrorCodes" xfId="8074"/>
    <cellStyle name="_Flex Depot 2005 rev3-1.6K_Copy of X-BOX for line setup budget" xfId="8075"/>
    <cellStyle name="_Book2_Volume Fcst 1006 updated_Copy of Tom OS ( Oct) new for LOG_2009 xBOX ramp up budget code applicaiton" xfId="8076"/>
    <cellStyle name="_Book2_Volume Fcst 1006 updated_Copy of Tom OS ( Oct) new for LOG_2009 xBOX ramp up budget code applicaiton 300K --New May26 (3)" xfId="8077"/>
    <cellStyle name="3232" xfId="8078"/>
    <cellStyle name="_Book2_Volume Fcst 1006 updated_Copy of Tom OS ( Oct) new for LOG_Budget GC Other Form" xfId="8079"/>
    <cellStyle name="_Book2_Volume Fcst 1006 updated_Copy of Tom OS ( Oct) new for LOG_Forecast Template v4" xfId="8080"/>
    <cellStyle name="_Book2_Volume Fcst 1006 updated_Copy of Tom OS ( Oct) new for LOG_X-BOX BB" xfId="8081"/>
    <cellStyle name="差_Creek RFQ feedback 04_28_2009_FD Update_Leopard RFQ ME BOM Costs-0618_Bolt RFQ Proposal_Foxlink_ (Pricing Summary) 2 25 2011" xfId="8082"/>
    <cellStyle name="Total 5 2 2" xfId="8083"/>
    <cellStyle name="_KYE RFQ Alviin &amp; Gusano-11192006 的 工作表_Stream RFQ Unibom--0626-1756_Stream Quotebook (Submittal)_POC2_20081117-1" xfId="8084"/>
    <cellStyle name="差_Xl0000002_Leopard UniBom_Foxlink_6 21 2010-ME_nego_Bolt RFQ Proposal_Foxlink_ (Pricing Summary) 2 25 2011 2" xfId="8085"/>
    <cellStyle name="_Book2_Volume Fcst 1006 updated_Copy of Tom OS ( Oct) new for LOG_X-BOX Console line setup budget 20080414" xfId="8086"/>
    <cellStyle name="_Book2_Volume Fcst 1006 updated_Copy of X-BOX for line setup budget" xfId="8087"/>
    <cellStyle name="好_Creek Assembly Fixture  Test Equipment RFQ_20090427_Leopard RFQ ME BOM Costs-0618_Bolt RFQ Proposal_Foxlink_ (Pricing Summary) 2 25 2011 7" xfId="8088"/>
    <cellStyle name="_Book2_Volume Fcst 1006 updated_Forecast Template v4" xfId="8089"/>
    <cellStyle name="_Flex Mechanicals Doumen Sales forecast - Jan 06 updated._Copy of Tom OS ( Oct) new for LOG_2009 xBOX ramp up budget code applicaiton 300K --New May27" xfId="8090"/>
    <cellStyle name="_Book2_Volume Fcst 1006 updated_Tom OS ( Oct)" xfId="8091"/>
    <cellStyle name="差_F3   SMT設備明細_M1 Bolt wireless mouse FixtureEquipment Cost_A2_2010_12_07 4" xfId="8092"/>
    <cellStyle name="_Book2_Volume Fcst 1006 updated_Tom OS ( Oct)_2009 xBOX ramp up budget code applicaiton" xfId="8093"/>
    <cellStyle name="_Book2_Volume Fcst 1006 updated_Tom OS ( Oct)_2009 xBOX ramp up budget code applicaiton 300K --New May26 (3)" xfId="8094"/>
    <cellStyle name="差_F3   SMT設備明細_Erie 效益分析 (Update)_Flow chart and Fixture(1-4)_Jackson 效益分析 (2-1 B0 上系統)" xfId="8095"/>
    <cellStyle name="好_River EE BOM_Creak Pearl Reliability Fixture RFQ_2009 04 24_Leopard UniBom_Foxlink_6 21 2010-ME_nego 2 2 2" xfId="8096"/>
    <cellStyle name="_Book2_Volume Fcst 1006 updated_Tom OS ( Oct)_Copy of X-BOX for line setup budget" xfId="8097"/>
    <cellStyle name="_Z9 blueAnt ME BOM 0910_RFQ_River_BAFO_2008 0606_M1_Stream Quotebook (Submittal)_POC2_20081117-1" xfId="8098"/>
    <cellStyle name="_pthsop1.1" xfId="8099"/>
    <cellStyle name="差_dallas產能評估_flow chart 2009.12.12_Jackson 效益分析 testing update_16th Jan1" xfId="8100"/>
    <cellStyle name="_Book2_Volume Fcst 1006 updated_Tom OS ( Oct)_Forecast Template v4" xfId="8101"/>
    <cellStyle name="_Book2_Volume Fcst 1006 updated_Tom OS ( Oct)_X-BOX BB" xfId="8102"/>
    <cellStyle name="_Book2_Volume Fcst 1006 updated_Tom OS ( Oct)_X-BOX Console line setup budget and Buyer list" xfId="8103"/>
    <cellStyle name="_Book2_Volume Fcst 1006 updated_X-BOX BB" xfId="8104"/>
    <cellStyle name="好_Creek EE BOM cost_20090425_Squirrel RFQ ME BOM Costs-0623_Bolt RFQ Proposal_Foxlink_ (Pricing Summary) 2 25 2011 2 3" xfId="8105"/>
    <cellStyle name="_Book2_Volume Fcst 1006 updated_X-BOX Console line setup budget 20080414" xfId="8106"/>
    <cellStyle name="_Book2_Volume Fcst 1006 updated_X-BOX Console line setup budget and Buyer list" xfId="8107"/>
    <cellStyle name="_Book2_X-BOX BB" xfId="8108"/>
    <cellStyle name="_Book2_X-BOX Console line setup budget 20080414" xfId="8109"/>
    <cellStyle name="_Book2_X-BOX Console line setup budget and Buyer list" xfId="8110"/>
    <cellStyle name="_Book3" xfId="8111"/>
    <cellStyle name="好_River EE BOM_Creek RFQ feedback 04_28_2009_FD Update_Leopard_UniBOM_ME_0602_Bolt RFQ Proposal_Foxlink_ (Pricing Summary) 2 25 2011 2 3" xfId="8112"/>
    <cellStyle name="_Book3_accessories spc 1 0 slide" xfId="8113"/>
    <cellStyle name="好_Creek Assembly Fixture  Test Equipment RFQ_20090427_Leopard RFQ ME BOM Costs-0618_Bolt RFQ_Foxlink_03.1 2011_Bolt_Cliff 5" xfId="8114"/>
    <cellStyle name="_Book3_Book1" xfId="8115"/>
    <cellStyle name="_Book3_Book5" xfId="8116"/>
    <cellStyle name="好_River EE BOM_Xl0000002_Leopard_UniBOM_ME_0531_Bolt RFQ_Foxlink_03.1 2011 3" xfId="8117"/>
    <cellStyle name="差_治具工程課2009年KPI_KPI 1006 2 2 2" xfId="8118"/>
    <cellStyle name="差_Creak Pearl Reliability Fixture RFQ_2009 04 24_Leopard RFQ ME BOM Costs-0618_Bolt RFQ_Foxlink_03.1 2011 2 2" xfId="8119"/>
    <cellStyle name="差_MS Bolt wireless mouse FixtureEquipment Cost_A5_2010_02_21_Bolt RFQ_Foxlink_03.1 2011_nego meeting@MACH 2 2" xfId="8120"/>
    <cellStyle name="_Book3_CopyOfP6 Waynea review" xfId="8121"/>
    <cellStyle name="汇总 4 2 3 2" xfId="8122"/>
    <cellStyle name="_Book3_FY06 P06 360Periphs SPC" xfId="8123"/>
    <cellStyle name="_Book3_FY06 P4 CM Consigned RM" xfId="8124"/>
    <cellStyle name="差_Xl0000000_Leopard Lemur Squirrel UniBom-06.22.2010_EE cost _update_internal_Bolt RFQ Proposal_Foxlink_ (Pricing Summary) 2 25 2011 5 3" xfId="8125"/>
    <cellStyle name="_Book3_FY06 P5 XBox 360 Mfg Var - Close Pack" xfId="8126"/>
    <cellStyle name="差_jupite r設備&amp;治工具LIST (總)_Dallas效益分析&amp;投資回收期 (12-2 A1)_Jackson 效益分析 testing update_16th Jan1_Jackson 效益分析 (2-1 B0 上系統)" xfId="8127"/>
    <cellStyle name="_Book3_FY06 P7 CM Consigned RM" xfId="8128"/>
    <cellStyle name="Heading 2 5" xfId="8129"/>
    <cellStyle name="_Book3_FY06 P7 XBox 360 Mfg Var - Close Pack" xfId="8130"/>
    <cellStyle name="_Book3_FY06 P8 CM Consigned RM" xfId="8131"/>
    <cellStyle name="_Book3_P2 Waynea review" xfId="8132"/>
    <cellStyle name="60% - 强调文字颜色 2 3" xfId="8133"/>
    <cellStyle name="_Book3_P6 Si Ops review" xfId="8134"/>
    <cellStyle name="40% - Accent5 15 3" xfId="8135"/>
    <cellStyle name="好_River EE BOM_Creak Pearl Reliability Fixture RFQ_2009 04 24_Xl0000002_Leopard_UniBOM_ME_0602-1_Bolt RFQ_Foxlink_03.1 2011_nego meeting@MACH 2" xfId="8136"/>
    <cellStyle name="好_River EE BOM_Creak Pearl Reliability Fixture RFQ_2009 04 24_Creek RFQ feedback 04_28_2009_FD Update_Leopard_UniBOM_ME_0531_Bolt RFQ Proposal_Foxlink_ (Pricing Summary) 2 25 2011 3 3" xfId="8137"/>
    <cellStyle name="60% - Accent2 3 2" xfId="8138"/>
    <cellStyle name="_Book3_P6 Si Ops review (2)" xfId="8139"/>
    <cellStyle name="_Book3_P6 Waynea review" xfId="8140"/>
    <cellStyle name="_Book4" xfId="8141"/>
    <cellStyle name="_Book4_2009 xBOX ramp up budget code applicaiton 300K --New May26 (3)" xfId="8142"/>
    <cellStyle name="_Book4_2009 xBOX ramp up budget code applicaiton 300K --New May27" xfId="8143"/>
    <cellStyle name="_Book4_Budget GC Other Form" xfId="8144"/>
    <cellStyle name="_Book4_Copy of X-BOX for line setup budget" xfId="8145"/>
    <cellStyle name="一般 4 3 5 2" xfId="8146"/>
    <cellStyle name="_Book4_Forecast Template v4" xfId="8147"/>
    <cellStyle name="_Book4_X-BOX BB" xfId="8148"/>
    <cellStyle name="_Book4_X-BOX Console line setup budget 20080414" xfId="8149"/>
    <cellStyle name="_Book4_X-BOX Console line setup budget and Buyer list" xfId="8150"/>
    <cellStyle name="_Book5" xfId="8151"/>
    <cellStyle name="_Book8" xfId="8152"/>
    <cellStyle name="_BOXBUILD Dismantle &amp; Rebuild flowchart" xfId="8153"/>
    <cellStyle name="_BT Headset_Pre_EEBOM_Quote-1 (2)" xfId="8154"/>
    <cellStyle name="差_Creak Pearl Reliability Fixture RFQ_2009 04 24_Creek RFQ feedback 04_28_2009_FD Update_Leopard Lemur Squirrel UniBom-06.22.2010_EE cost _update_internal_Bolt RFQ Proposal_Foxlink_ (Pricing Summary) 2 25 2011 3 2" xfId="8155"/>
    <cellStyle name="_Ernestine Parts Budgetary Quote - LA (20060319)_Quotebook_07SEP10_BlueAnt_Quotebook_V3_07SEP11_Internal RFQ River Standalone  Bundle Unibom_v1 2_20080603_EJ_Stream Package Quotation_20090311" xfId="8156"/>
    <cellStyle name="_Budget application 2" xfId="8157"/>
    <cellStyle name="差_效益分析&amp;產能評估_MS Bolt wireless mouse FixtureEquipment Cost_A5_2010_02_21 2" xfId="8158"/>
    <cellStyle name="_Mechanical Contribution Margins forecast 0506 FP_Volume Fcst 1006 updated_Tom OS ( Oct)_2009 xBOX ramp up budget code applicaiton 300K --New May27" xfId="8159"/>
    <cellStyle name="_Budget GC Other Form" xfId="8160"/>
    <cellStyle name="_Budgetary Quote for VOIP Telephones" xfId="8161"/>
    <cellStyle name="好_River EE BOM_Creak Pearl Reliability Fixture RFQ_2009 04 24_Leopard RFQ ME BOM Costs-0618-2_Bolt RFQ Proposal_Foxlink_ (Pricing Summary) 2 25 2011 5 2" xfId="8162"/>
    <cellStyle name="_Budgetary Quote for VOIP Telephones_Lenovo PACK  Packing Proposal" xfId="8163"/>
    <cellStyle name="_Budgetary Quote for VOIP Telephones_Lenovo Park Format_July 07 05" xfId="8164"/>
    <cellStyle name="_Monaco PCBA time record_Line transition plan to B17 rev 5_Tester Demand Plan 062707" xfId="8165"/>
    <cellStyle name="_Budgetary Quote for VOIP Telephones_Lenovo Park Format_July 07 05V2" xfId="8166"/>
    <cellStyle name="_bug list" xfId="8167"/>
    <cellStyle name="好_River EE BOM_Creek RFQ feedback 04_28_2009_FD Update_Leopard RFQ ME BOM Costs-0618_Bolt RFQ Proposal_Foxlink_ (Pricing Summary) 2 25 2011 4 3" xfId="8168"/>
    <cellStyle name="好_River EE BOM_Creak Pearl Reliability Fixture RFQ_2009 04 24_Pearl RFQ(Submittal)ver2_05_12_2009 _Squirrel UniBom-06.23.2010_update_internal_Bolt RFQ_Foxlink_03.1 2011 3 2" xfId="8169"/>
    <cellStyle name="_Sales Forecast (plastic XX)0703_PL Fcst Jul 06-updated G&amp;A Value_Tom OS ( Oct)_Budget GC Other Form" xfId="8170"/>
    <cellStyle name="_Sales Forecast (plastic XX)1203_PL Fcst Jul 06-updated G&amp;A Value_Tom OS ( Oct)_Budget GC Other Form" xfId="8171"/>
    <cellStyle name="_BWB FY05- Depr 0507" xfId="8172"/>
    <cellStyle name="_C: Documents and Settings 11003526 桌面 Glacier RFQ Response-Glacier_20070702" xfId="8173"/>
    <cellStyle name="_C: Documents and Settings 11003526 桌面 Glacier RFQ Response-Glacier_20070702 2" xfId="8174"/>
    <cellStyle name="好_Creek EE BOM cost_20090425_Leopard_UniBOM_ME_0531_Bolt RFQ Proposal_Foxlink_ (Pricing Summary) 2 25 2011 2 2 3" xfId="8175"/>
    <cellStyle name="_Calculated" xfId="8176"/>
    <cellStyle name="_Calculated 2" xfId="8177"/>
    <cellStyle name="差_Xl0000002_Leopard Lemur Squirrel UniBom-06.22.2010_EE cost _update_internal" xfId="8178"/>
    <cellStyle name="差_Creak Pearl Reliability Fixture RFQ_2009 04 24_Pearl RFQ(Submittal)ver2_05_12_2009 _Leopard RFQ ME BOM Costs-0618-2_Bolt RFQ Proposal_Foxlink_ (Pricing Summary) 2 25 2011 4 3" xfId="8179"/>
    <cellStyle name="_Calculated 2 2" xfId="8180"/>
    <cellStyle name="差_Xl0000002_Leopard Lemur Squirrel UniBom-06.22.2010_EE cost _update_internal 2" xfId="8181"/>
    <cellStyle name="_Calculated 2 2 2" xfId="8182"/>
    <cellStyle name="差_Xl0000002_Leopard_UniBOM_ME_0602_Bolt RFQ_Foxlink_03.1 2011 2" xfId="8183"/>
    <cellStyle name="差_Xl0000002_Leopard Lemur Squirrel UniBom-06.22.2010_EE cost _update_internal 3" xfId="8184"/>
    <cellStyle name="_Calculated 2 2 3" xfId="8185"/>
    <cellStyle name="好_River EE BOM_Creak Pearl Reliability Fixture RFQ_2009 04 24_Leopard RFQ ME BOM Costs-0618-2_Bolt RFQ_Foxlink_03.1 2011_nego meeting@MACH 3 2" xfId="8186"/>
    <cellStyle name="_Flex Mechanicals Doumen Sales forecast - Dec'05 R1_PL Fcst Jul 06-updated G&amp;A Value" xfId="8187"/>
    <cellStyle name="_Calculated 3" xfId="8188"/>
    <cellStyle name="差_Creak Pearl Reliability Fixture RFQ_2009 04 24_Pearl RFQ(Submittal)ver2_05_12_2009 _Leopard RFQ ME BOM Costs-0618-2_Bolt RFQ Proposal_Foxlink_ (Pricing Summary) 2 25 2011 5 3" xfId="8189"/>
    <cellStyle name="_Calculated 3 2" xfId="8190"/>
    <cellStyle name="_Calculated 3 3" xfId="8191"/>
    <cellStyle name="差_Creak Pearl Reliability Fixture RFQ_2009 04 24_Pearl RFQ(Submittal)ver2_05_12_2009 _Foxlink_Shadow RFQ NREUni BOM_12032009_Bolt RFQ_Foxlink_03.1 2011 2 2" xfId="8192"/>
    <cellStyle name="20% - Accent4 2 5" xfId="8193"/>
    <cellStyle name="_Capacity" xfId="8194"/>
    <cellStyle name="_Capacity File_2006.01.17" xfId="8195"/>
    <cellStyle name="_Capacity File_2006.01.17_awl線體需求計算5.25" xfId="8196"/>
    <cellStyle name="差_Creak Pearl Reliability Fixture RFQ_2009 04 24_Creek RFQ feedback 04_28_2009_FD Update_Bolt RFQ Proposal_Foxlink_ (Pricing Summary) 2 25 2011 5 3" xfId="8197"/>
    <cellStyle name="壞_Creek Assembly Fixture  Test Equipment RFQ_20090427_Leopard RFQ ME BOM Costs-0618-2_Bolt RFQ Proposal_Foxlink_ (Pricing Summary) 2 25 2011 4 3" xfId="8198"/>
    <cellStyle name="差_Creak Pearl Reliability Fixture RFQ_2009 04 24_Creek  Pearl RFQ_May 12_Leopard_UniBOM_ME_0531_Bolt RFQ Proposal_Foxlink_ (Pricing Summary) 2 25 2011 3" xfId="8199"/>
    <cellStyle name="_Capacity File_2006.01.17_awl線體需求計算6.6" xfId="8200"/>
    <cellStyle name="好_River EE BOM_Xl0000002_Leopard Lemur Squirrel UniBom-06.22.2010_EE cost _update_internal_Bolt RFQ_Foxlink_03.1 2011_nego meeting@MACH 2 2" xfId="8201"/>
    <cellStyle name="_Capacity File_2006.01.17_MBO 周加班估算20060403_awl線體需求計算5.25" xfId="8202"/>
    <cellStyle name="差_jupite r設備&amp;治工具LIST (總)_flow chart 2009.12.12_Flow chart and Fixture(1-4)" xfId="8203"/>
    <cellStyle name="_Capacity File_2006.01.17_MBO 周加班估算20060403_awl線體需求計算6.6" xfId="8204"/>
    <cellStyle name="_Capacity_awl線體需求計算5.25" xfId="8205"/>
    <cellStyle name="Normal 7 3 2" xfId="8206"/>
    <cellStyle name="_Fcst March_06(Revised 2.)_Tom OS ( Oct)_X-BOX Console line setup budget 20080414" xfId="8207"/>
    <cellStyle name="_Capacity_MBO 周加班估算20060403" xfId="8208"/>
    <cellStyle name="_Capacity_MBO 周加班估算20060403_awl線體需求計算5.25" xfId="8209"/>
    <cellStyle name="_Capacity_MBO 周加班估算20060403_awl線體需求計算6.6" xfId="8210"/>
    <cellStyle name="_Capacity1206" xfId="8211"/>
    <cellStyle name="差_Creak Pearl Reliability Fixture RFQ_2009 04 24_Creek  Pearl RFQ_May 12_Squirrel UniBom-06.23.2010_update_internal" xfId="8212"/>
    <cellStyle name="_Captial Investment Mustang Dated 022609 (2)" xfId="8213"/>
    <cellStyle name="_Card CPH標準工時" xfId="8214"/>
    <cellStyle name="60% - 强调文字颜色 4 5" xfId="8215"/>
    <cellStyle name="差_Creak Pearl Reliability Fixture RFQ_2009 04 24_Pearl RFQ(Submittal)ver2_05_12_2009 _Bolt RFQ_Foxlink_03.1 2011 2 2" xfId="8216"/>
    <cellStyle name="_Monaco ME BOM - GA060608_Tester Demand Plan 062807_Tester Demand Plan 062707" xfId="8217"/>
    <cellStyle name="_CARD手測工時" xfId="8218"/>
    <cellStyle name="_CD in Nov" xfId="8219"/>
    <cellStyle name="_Flex Mechanicals Doumen Sales forecast - Jan.06_Volume Fcst 1006 updated_Copy of X-BOX for line setup budget" xfId="8220"/>
    <cellStyle name="标题 4 2 3" xfId="8221"/>
    <cellStyle name="_CD in Nov_2009 xBOX ramp up budget code applicaiton" xfId="8222"/>
    <cellStyle name="Currency 14" xfId="8223"/>
    <cellStyle name="_CD in Nov_2009 xBOX ramp up budget code applicaiton 300K --New May27" xfId="8224"/>
    <cellStyle name="差_Xl0000000_Leopard RFQ ME BOM Costs-0618-2_Bolt RFQ Proposal_Foxlink_ (Pricing Summary) 2 25 2011 3 2" xfId="8225"/>
    <cellStyle name="_CD in Nov_Budget GC Other Form" xfId="8226"/>
    <cellStyle name="好_Creek EE BOM cost_20090425_Creek RFQ feedback 04_28_2009_FD Update_Squirrel UniBom-06.23.2010_update_internal 3 2" xfId="8227"/>
    <cellStyle name="_CD in Nov_Copy of X-BOX for line setup budget" xfId="8228"/>
    <cellStyle name="_CD in Nov_Forecast Template v4" xfId="8229"/>
    <cellStyle name="_CD in Nov_X-BOX BB" xfId="8230"/>
    <cellStyle name="_CD in Nov_X-BOX Console line setup budget 20080414" xfId="8231"/>
    <cellStyle name="差_Xl0000002_Leopard RFQ ME BOM Costs-0618-2_Bolt RFQ_Foxlink_03.1 2011_nego meeting@MACH 3" xfId="8232"/>
    <cellStyle name="Link Units (0) 4" xfId="8233"/>
    <cellStyle name="_CD in Nov_X-BOX Console line setup budget and Buyer list" xfId="8234"/>
    <cellStyle name="好_River EE BOM_Creak Pearl Reliability Fixture RFQ_2009 04 24_Pearl RFQ(Submittal)ver2_05_12_2009 _Squirrel UniBom-06.23.2010_update_internal_Bolt RFQ Proposal_Foxlink_ (Pricing Summary) 2 25 2011 6" xfId="8235"/>
    <cellStyle name="_CEBU 2008年損益目標試算_v12_20090103" xfId="8236"/>
    <cellStyle name="_CEBU 2008年損益目標試算_v12_20090103_2010-05 費用分析0604" xfId="8237"/>
    <cellStyle name="_CEBU 2008年損益目標試算_v12_20090103_2010銷售明細實績-201006" xfId="8238"/>
    <cellStyle name="Normal 5 4 3 3" xfId="8239"/>
    <cellStyle name="_CEBU 2008年損益目標試算_v7_20081107_2010-05 費用分析0604" xfId="8240"/>
    <cellStyle name="好_效益分析&amp;產能評估_Bolt RFQ_Foxlink_03.1 2011_nego meeting@MACH 2 2" xfId="8241"/>
    <cellStyle name="_CEBU 2008年損益目標試算_v7_20081107_2010銷售明細實績-201006" xfId="8242"/>
    <cellStyle name="_Channel Reserve worksheet Japan-Sep02" xfId="8243"/>
    <cellStyle name="好_River EE BOM_Creek RFQ feedback 04_28_2009_FD Update_Leopard_UniBOM_ME_0603-2_Bolt RFQ_Foxlink_03.1 2011" xfId="8244"/>
    <cellStyle name="好_Creek EE BOM cost_20090425_Leopard_UniBOM_ME_0602_Bolt RFQ_Foxlink_03.1 2011 3 3" xfId="8245"/>
    <cellStyle name="40% - 强调文字颜色 2 5 3" xfId="8246"/>
    <cellStyle name="_CHANNELHPD02" xfId="8247"/>
    <cellStyle name="好_River EE BOM_Creak Pearl Reliability Fixture RFQ_2009 04 24_Creek  Pearl RFQ_May 12_Foxlink_Shadow RFQ NREUni BOM_12032009_Bolt RFQ Proposal_Foxlink_ (Pricing Summary) 2 25 2011 2 2" xfId="8248"/>
    <cellStyle name="_CHANNELHPD02_FY06 P4 CM Consigned RM" xfId="8249"/>
    <cellStyle name="_CHANNELHPD02_FY06 P6 CM Consigned RM" xfId="8250"/>
    <cellStyle name="_Flex Mechanicals Doumen Sales forecast - Jan.06-updated_Volume Fcst 1006 updated_Tom OS ( Oct)_X-BOX Console line setup budget 20080414" xfId="8251"/>
    <cellStyle name="_CHANNELHPD02_FY06 P6 XBox 360 Mfg Var - Close Pack" xfId="8252"/>
    <cellStyle name="_CHANNELHPD02_FY06 Xenon Console Other Mfg Costs Forecast - january v1" xfId="8253"/>
    <cellStyle name="好_Creek Assembly Fixture  Test Equipment RFQ_20090427_Leopard UniBom_true cost_6.23.2010" xfId="8254"/>
    <cellStyle name="好_River EE BOM_Creek RFQ feedback 04_28_2009_FD Update_Leopard UniBom_Foxlink_6 21 2010-ME_nego" xfId="8255"/>
    <cellStyle name="_CHANNELHPD02_P2 Waynea review" xfId="8256"/>
    <cellStyle name="好_Erie 效益分析 (Update)_Jackson 效益分析 testing update_16th Jan1_Jackson 效益分析 (2-1 B0 上系統)_Leopard Flowchart &amp; 產能評估" xfId="8257"/>
    <cellStyle name="Calculation 11 2 2" xfId="8258"/>
    <cellStyle name="_Charlotte Price Model_A" xfId="8259"/>
    <cellStyle name="_Charlotte Price Model_A_Copy of MOST Std - S1300 F2lines" xfId="8260"/>
    <cellStyle name="_CPU120_R1.5_ES_fin" xfId="8261"/>
    <cellStyle name="_Charlotte Price Model_A_Copy of MOST Std - S1300 F2lines_FMTQCI-MIS3H064-P027(01)Nazca Copy Exact Flow chart" xfId="8262"/>
    <cellStyle name="Normal 5 4 3 3 2 3" xfId="8263"/>
    <cellStyle name="_Charlotte Price Model_A_Copy of MOST Std - S1300 F2lines_Nazca copy exact flow chart 20120409" xfId="8264"/>
    <cellStyle name="_Charlotte Price Model_A_Copy of MOST Std - S1300 F2lines_Nazca copy exact flow chart 2012313" xfId="8265"/>
    <cellStyle name="_Charlotte Price Model_A_FMTQCI-MIS3H064-P027(01)Nazca Copy Exact Flow chart" xfId="8266"/>
    <cellStyle name="_Charlotte Price Model_A_MOST Std - Project A BB Line" xfId="8267"/>
    <cellStyle name="差_HP Mouse 產能評估(Forecast更改後)_M1 SuedeFixtureEquipment Cost_A0_2010_10_15_Bolt RFQ Proposal_Foxlink_ (Pricing Summary) 2 25 2011 4" xfId="8268"/>
    <cellStyle name="_Seagate FLAGSHIP DESKTOP ME bom cost_Rev.A2 88" xfId="8269"/>
    <cellStyle name="_Seagate FLAGSHIP DESKTOP ME bom cost_Rev.A2 93" xfId="8270"/>
    <cellStyle name="差_Xl0000000_Leopard RFQ ME BOM Costs-0618-2_Bolt RFQ Proposal_Foxlink_ (Pricing Summary) 2 25 2011 5 2" xfId="8271"/>
    <cellStyle name="好_Creek Assembly Fixture  Test Equipment RFQ_20090427_Leopard_UniBOM_ME_0602_Bolt RFQ Proposal_Foxlink_ (Pricing Summary) 2 25 2011 2 2 2" xfId="8272"/>
    <cellStyle name="_Charlotte Price Model_A_MOST Std - Project A BB Line_FMTQCI-MIS3H064-P027(01)Nazca Copy Exact Flow chart" xfId="8273"/>
    <cellStyle name="好_Erie Assembly Fixture  Test Equip Cost_20090716_Foxlink_Shadow RFQ NREUni BOM_12032009_Bolt RFQ Proposal_Foxlink_ (Pricing Summary) 2 25 2011 5" xfId="8274"/>
    <cellStyle name="_CTQ  pd" xfId="8275"/>
    <cellStyle name="_Charlotte Price Model_A_MOST Std - Project A BB Line_Nazca copy exact flow chart 20120409" xfId="8276"/>
    <cellStyle name="_Charlotte Price Model_A_MOST Std - Project A BB Line_Nazca copy exact flow chart 2012313" xfId="8277"/>
    <cellStyle name="好_foxlink Bristol for 10063D-2010-10-11_Bristol ME parts tooling cost 20101022 updated_Bristol TC Estimate Update 08112011_internal working file" xfId="8278"/>
    <cellStyle name="好_Creek Assembly Fixture  Test Equipment RFQ_20090427_Leopard_UniBOM_ME_0531_Bolt RFQ_Foxlink_03.1 2011_nego meeting@MACH 2" xfId="8279"/>
    <cellStyle name="差_Creek RFQ feedback 04_28_2009_FD Update_Squirrel UniBom-06.23.2010_update_internal_Bolt RFQ_Foxlink_03.1 2011_nego meeting@MACH 2" xfId="8280"/>
    <cellStyle name="_Charlotte Price Model_A_MOST Std - S1300 F2lines" xfId="8281"/>
    <cellStyle name="好_River EE BOM_Creak Pearl Reliability Fixture RFQ_2009 04 24_Creek RFQ feedback 04_28_2009_FD Update_Foxlink_Shadow RFQ NREUni BOM_12032009_Bolt RFQ_Foxlink_03.1 2011 3 3" xfId="8282"/>
    <cellStyle name="好_Creek Assembly Fixture  Test Equipment RFQ_20090427_Bolt RFQ Proposal_Foxlink_ (Pricing Summary) 2 25 2011 5 2" xfId="8283"/>
    <cellStyle name="_Charlotte Price Model_A_MOST Std - S1300 F2lines_FMTQCI-MIS3H064-P027(01)Nazca Copy Exact Flow chart" xfId="8284"/>
    <cellStyle name="_Charlotte Price Model_A_MOST Std - S1300 F2lines_Nazca copy exact flow chart 20120409" xfId="8285"/>
    <cellStyle name="_Charlotte Price Model_A_MOST Std - S1300 F2lines_Nazca copy exact flow chart 2012313" xfId="8286"/>
    <cellStyle name="_Forecast - Segment-OCE-June06(1)_Forecast Template v2_2009 xBOX ramp up budget code applicaiton" xfId="8287"/>
    <cellStyle name="_Charlotte Price Model_A_Nazca copy exact flow chart 20120409" xfId="8288"/>
    <cellStyle name="_Charlotte Price Model_A_Nazca copy exact flow chart 2012313" xfId="8289"/>
    <cellStyle name="_Charlotte procurement plan Apr 26 2005 P1A" xfId="8290"/>
    <cellStyle name="_Charlotte procurement plan Apr 26 2005 P1A_Copy of MOST Std - S1300 F2lines" xfId="8291"/>
    <cellStyle name="_Charlotte procurement plan Apr 26 2005 P1A_Copy of MOST Std - S1300 F2lines_FMTQCI-MIS3H064-P027(01)Nazca Copy Exact Flow chart" xfId="8292"/>
    <cellStyle name="好_Creek Assembly Fixture  Test Equipment RFQ_20090427_Bolt RFQ_Foxlink_03.1 2011_nego meeting@MACH_Bolt_Cliff 4" xfId="8293"/>
    <cellStyle name="_Charlotte procurement plan Apr 26 2005 P1A_Copy of MOST Std - S1300 F2lines_Nazca copy exact flow chart 2012313" xfId="8294"/>
    <cellStyle name="好_Creek Assembly Fixture  Test Equipment RFQ_20090427_Xl0000002_Leopard_UniBOM_ME_0603-2_Bolt RFQ Proposal_Foxlink_ (Pricing Summary) 2 25 2011 4 2" xfId="8295"/>
    <cellStyle name="_Charlotte procurement plan Apr 26 2005 P1A_FMTQCI-MIS3H064-P027(01)Nazca Copy Exact Flow chart" xfId="8296"/>
    <cellStyle name="好_River EE BOM_Creak Pearl Reliability Fixture RFQ_2009 04 24_Xl0000002_Leopard_UniBOM_ME_0531_Bolt RFQ_Foxlink_03.1 2011 2" xfId="8297"/>
    <cellStyle name="Normal 61 2 2 2" xfId="8298"/>
    <cellStyle name="_Charlotte procurement plan Apr 26 2005 P1A_MOST Std - Project A BB Line" xfId="8299"/>
    <cellStyle name="_Charlotte procurement plan Apr 26 2005 P1A_MOST Std - Project A BB Line_FMTQCI-MIS3H064-P027(01)Nazca Copy Exact Flow chart" xfId="8300"/>
    <cellStyle name="差_Xl0000002_Leopard_UniBOM_ME_0531_Bolt RFQ_Foxlink_03.1 2011 3" xfId="8301"/>
    <cellStyle name="_Charlotte procurement plan Apr 26 2005 P1A_MOST Std - Project A BB Line_Nazca copy exact flow chart 20120409" xfId="8302"/>
    <cellStyle name="差_費用統計_Leopard效益分析08-17" xfId="8303"/>
    <cellStyle name="_Quotebook_07SEP10_Stream RFQ Unibom--0626-1756_Stream Quotebook(Submittal)_POC1_20080903 2" xfId="8304"/>
    <cellStyle name="_Charlotte procurement plan Apr 26 2005 P1A_MOST Std - Project A BB Line_Nazca copy exact flow chart 2012313" xfId="8305"/>
    <cellStyle name="_Charlotte procurement plan Apr 26 2005 P1A_MOST Std - S1300 F2lines" xfId="8306"/>
    <cellStyle name="Normal 8 3" xfId="8307"/>
    <cellStyle name="_Charlotte procurement plan Apr 26 2005 P1A_MOST Std - S1300 F2lines_Nazca copy exact flow chart 20120409" xfId="8308"/>
    <cellStyle name="差_Creak Pearl Reliability Fixture RFQ_2009 04 24_Pearl RFQ(Submittal)ver2_05_12_2009 _Leopard RFQ ME BOM Costs-0618_Bolt RFQ_Foxlink_03.1 2011 2 3" xfId="8309"/>
    <cellStyle name="标题 7" xfId="8310"/>
    <cellStyle name="好_River EE BOM_Creek RFQ feedback 04_28_2009_FD Update_Leopard UniBom_Foxlink_6 21 2010-ME_nego_Bolt RFQ_Foxlink_03.1 2011_nego meeting@MACH 2" xfId="8311"/>
    <cellStyle name="_Ernestine Equipment  Fixture List_04_11_2006_FL_Quotebook_07SEP10_Internal RFQ River Standalone  Bundle Unibom_v1 2_20080603_EJ 2" xfId="8312"/>
    <cellStyle name="_Charlotte procurement plan Apr 26 2005 P1A_MOST Std - S1300 F2lines_Nazca copy exact flow chart 2012313" xfId="8313"/>
    <cellStyle name="好_Creek Assembly Fixture  Test Equipment RFQ_20090427_Leopard RFQ ME BOM Costs-0618-2_Bolt RFQ_Foxlink_03.1 2011 5" xfId="8314"/>
    <cellStyle name="_Charlotte procurement plan Apr 26 2005 P1A_Nazca copy exact flow chart 20120409" xfId="8315"/>
    <cellStyle name="_Charlotte procurement plan Apr 26 2005 P1A_Nazca copy exact flow chart 2012313" xfId="8316"/>
    <cellStyle name="_Charon bulk package price breakdown-20060523" xfId="8317"/>
    <cellStyle name="_Charon COGS for MP as 20060418 with lead time" xfId="8318"/>
    <cellStyle name="_Charon COGS for MP as 20060530" xfId="8319"/>
    <cellStyle name="_Charon EE BOM0526" xfId="8320"/>
    <cellStyle name="_Chicony Slalom Uni_BOM for RFQ 080730" xfId="8321"/>
    <cellStyle name="_Clean sheet_LC-Proview-LXH-WG17L_Helen_v3" xfId="8322"/>
    <cellStyle name="_Clear to Built Template - version C" xfId="8323"/>
    <cellStyle name="_Close meeting會議記錄6 28" xfId="8324"/>
    <cellStyle name="_Flextronics Radon  Build Plan 4-27-2005_Mice transfer plan (2)_Line transition plan to B17 rev 5_Tester Demand Plan 062707" xfId="8325"/>
    <cellStyle name="_CM Check" xfId="8326"/>
    <cellStyle name="_CM Check 2" xfId="8327"/>
    <cellStyle name="_CMAP20 ASUS-2009 KPI Review" xfId="8328"/>
    <cellStyle name="好_River EE BOM_Xl0000002_Bolt RFQ_Foxlink_03.1 2011_nego meeting@MACH 3 2" xfId="8329"/>
    <cellStyle name="好_Creek EE BOM cost_20090425_Foxlink_Shadow RFQ NREUni BOM_12032009_Bolt RFQ Proposal_Foxlink_ (Pricing Summary) 2 25 2011 6" xfId="8330"/>
    <cellStyle name="好_Creek Assembly Fixture  Test Equipment RFQ_20090427_Leopard Lemur Squirrel UniBom-06.22.2010_EE cost _update_internal_Bolt RFQ_Foxlink_03.1 2011_Bolt_Cliff 3 2" xfId="8331"/>
    <cellStyle name="_D: 1.MS Project Plutto KYE Response RFQ Response-Pluto_1018.doc 的 工作表_Stream RFQ Unibom--0626-1756_Stream Quotebook(Submittal)_POC1_20080903 2" xfId="8332"/>
    <cellStyle name="_co8058sb" xfId="8333"/>
    <cellStyle name="60% - アクセント 3" xfId="8334"/>
    <cellStyle name="_co8058sb 3" xfId="8335"/>
    <cellStyle name="_co9663sb_1_Gerber file ECN-2H240_A" xfId="8336"/>
    <cellStyle name="_co8058sb_1" xfId="8337"/>
    <cellStyle name="_co8058sb_PMPECN-3E078-A" xfId="8338"/>
    <cellStyle name="_co8058sb_-RMASOP.7H371A00" xfId="8339"/>
    <cellStyle name="差_jupite r設備&amp;治工具LIST (總)_Flow Chart&amp;PQ分析(12-1)_效益分析(總 12-28 Update)_~1159284" xfId="8340"/>
    <cellStyle name="好_River EE BOM_Creek RFQ feedback 04_28_2009_FD Update_Leopard_UniBOM_ME_0531_Bolt RFQ_Foxlink_03.1 2011_nego meeting@MACH 3 3" xfId="8341"/>
    <cellStyle name="好_River EE BOM_Creak Pearl Reliability Fixture RFQ_2009 04 24_Creek  Pearl RFQ_May 12_Leopard_UniBOM_ME_0603-2_Bolt RFQ_Foxlink_03.1 2011 5" xfId="8342"/>
    <cellStyle name="_co8306sa" xfId="8343"/>
    <cellStyle name="_co9663sb" xfId="8344"/>
    <cellStyle name="差_Creak Pearl Reliability Fixture RFQ_2009 04 24_Creek  Pearl RFQ_May 12_Leopard_UniBOM_ME_0603-2_Bolt RFQ Proposal_Foxlink_ (Pricing Summary) 2 25 2011 2 3" xfId="8345"/>
    <cellStyle name="_co9663sb_1" xfId="8346"/>
    <cellStyle name="差_Creak Pearl Reliability Fixture RFQ_2009 04 24_Xl0000002_Squirrel UniBom-06.23.2010_update_internal 3" xfId="8347"/>
    <cellStyle name="_co9663sb_1_38hrfpthsop" xfId="8348"/>
    <cellStyle name="_co9663sb_1_co8306sa" xfId="8349"/>
    <cellStyle name="好_River EE BOM_Creek RFQ feedback 04_28_2009_FD Update_Squirrel UniBom-06.23.2010_update_internal 2 2 2" xfId="8350"/>
    <cellStyle name="_co9663sb_1_PERSONAL" xfId="8351"/>
    <cellStyle name="_co9663sb_1_PMPECN-3E078-A" xfId="8352"/>
    <cellStyle name="好_MB9月管審誤判超標 8D_2009MB KPI_MBO3F製造部hp0209-01 2 3" xfId="8353"/>
    <cellStyle name="40% - Accent2 3 5" xfId="8354"/>
    <cellStyle name="好_Creek Assembly Fixture  Test Equipment RFQ_20090427_Xl0000002_Squirrel RFQ ME BOM Costs-0623_Bolt RFQ Proposal_Foxlink_ (Pricing Summary) 2 25 2011 5 2" xfId="8355"/>
    <cellStyle name="40% - Accent1 10" xfId="8356"/>
    <cellStyle name="_co9663sb_1_pthsop1.1" xfId="8357"/>
    <cellStyle name="_co9663sb_1_S_BOMP" xfId="8358"/>
    <cellStyle name="差_Creek RFQ feedback 04_28_2009_FD Update_Leopard_UniBOM_ME_0531_Bolt RFQ_Foxlink_03.1 2011_nego meeting@MACH 3" xfId="8359"/>
    <cellStyle name="好_Erie 效益分析 (Update)_Jackson 效益分析 testing update_16th Jan111_Jackson 效益分析 (2-1 B0 上系統)" xfId="8360"/>
    <cellStyle name="_co9663sb_1_S_SOPP" xfId="8361"/>
    <cellStyle name="_PCBA equipment and tester delivery (2)_Tester Demand Plan 062707" xfId="8362"/>
    <cellStyle name="_co9663sb_1_SOP_A_PTH" xfId="8363"/>
    <cellStyle name="好_River EE BOM_Xl0000000 3 3" xfId="8364"/>
    <cellStyle name="_co9663sb_1_SOPP-H1" xfId="8365"/>
    <cellStyle name="_co9663sb_1_錫爐profile測量" xfId="8366"/>
    <cellStyle name="壞_Creek EE BOM cost_20090425_Creek RFQ feedback 04_28_2009_FD Update_Leopard_UniBOM_ME_0531_Bolt RFQ Proposal_Foxlink_ (Pricing Summary) 2 25 2011 4 2" xfId="8367"/>
    <cellStyle name="差_Creak Pearl Reliability Fixture RFQ_2009 04 24_Creek  Pearl RFQ_May 12_Leopard_UniBOM_ME_0603-2_Bolt RFQ Proposal_Foxlink_ (Pricing Summary) 2 25 2011 2 4" xfId="8368"/>
    <cellStyle name="_co9663sb_2" xfId="8369"/>
    <cellStyle name="_Fcst March_06(Revised 2.)_Budget GC Other Form" xfId="8370"/>
    <cellStyle name="_co9663sb_386896SOP1" xfId="8371"/>
    <cellStyle name="好_Creek Assembly Fixture  Test Equipment RFQ_20090427_Foxlink_Shadow RFQ NREUni BOM_12032009_Bolt RFQ_Foxlink_03.1 2011_nego meeting@MACH_Bolt_Cliff 5" xfId="8372"/>
    <cellStyle name="_COGS Comparison" xfId="8373"/>
    <cellStyle name="_Flex Mechanicals Doumen Sales forecast - Jan.06-updated_PL Forecast by segment-most final 0806_Copy of Tom OS ( Oct) new for LOG_2009 xBOX ramp up budget code applicaiton 300K --New May27" xfId="8374"/>
    <cellStyle name="_Coming all project Capacity 3-17" xfId="8375"/>
    <cellStyle name="_Commercial PL's 22.06.01Phased_FY06 P4 CM Consigned RM" xfId="8376"/>
    <cellStyle name="好_Creek Assembly Fixture  Test Equipment RFQ_20090427_Foxlink_Shadow RFQ NREUni BOM_12032009_Bolt_Cliff 2 2 3" xfId="8377"/>
    <cellStyle name="Thousands 3" xfId="8378"/>
    <cellStyle name="_Commercial PL's 22.06.01Phased_FY06 P6 CM Consigned RM" xfId="8379"/>
    <cellStyle name="_PL Forecast Comparison_Mech Doumen2006_1(preliminary)_PL Forecast by segment-most final 0806_Tom OS ( Oct)_2009 xBOX ramp up budget code applicaiton 300K --New May27" xfId="8380"/>
    <cellStyle name="_Commercial PL's 22.06.01Phased_FY06 P6 XBox 360 Mfg Var - Close Pack" xfId="8381"/>
    <cellStyle name="_Commercial PL's 22.06.01Phased_FY06 P7 CM Consigned RM" xfId="8382"/>
    <cellStyle name="_Commercial PL's 22.06.01Phased_FY06 Xenon Console Other Mfg Costs Forecast - january v1" xfId="8383"/>
    <cellStyle name="_COMMON PART" xfId="8384"/>
    <cellStyle name="_COMP DM  PL Aug.06" xfId="8385"/>
    <cellStyle name="差_Creak Pearl Reliability Fixture RFQ_2009 04 24_Creek  Pearl RFQ_May 12_Foxlink_Shadow RFQ NREUni BOM_12032009 2 2 3" xfId="8386"/>
    <cellStyle name="_COMP DM  PL Aug.06_2009 xBOX ramp up budget code applicaiton" xfId="8387"/>
    <cellStyle name="_COMP DM  PL Aug.06_2009 xBOX ramp up budget code applicaiton 300K --New May27" xfId="8388"/>
    <cellStyle name="_COMP DM  PL Aug.06_Budget GC Other Form" xfId="8389"/>
    <cellStyle name="_Flex Mechanicals Doumen Sales forecast - Jan.06-updated_Volume Fcst Jul 06-update HP _Tom OS ( Oct)_X-BOX BB" xfId="8390"/>
    <cellStyle name="_COMP DM  PL Aug.06_Copy of X-BOX for line setup budget" xfId="8391"/>
    <cellStyle name="好_River EE BOM_Creak Pearl Reliability Fixture RFQ_2009 04 24_Leopard RFQ ME BOM Costs-0618 3 3" xfId="8392"/>
    <cellStyle name="差_Xl0000000_Foxlink_Shadow RFQ NREUni BOM_12032009_Bolt RFQ_Foxlink_03.1 2011_nego meeting@MACH 3 3" xfId="8393"/>
    <cellStyle name="好_Jackson EV2 Trial run QA Report_20100423" xfId="8394"/>
    <cellStyle name="_COMP DM  PL Aug.06_Forecast Template v4" xfId="8395"/>
    <cellStyle name="差_HP  專案(設備&amp;治工具需夠買)update_M1 SuedeFixtureEquipment Cost_A0_2010_10_15_Bolt RFQ Proposal_Foxlink_ (Pricing Summary) 2 25 2011 2 2" xfId="8396"/>
    <cellStyle name="4_P139 CCM 11073" xfId="8397"/>
    <cellStyle name="_COMP DM  PL Aug.06_X-BOX Console line setup budget 20080414" xfId="8398"/>
    <cellStyle name="壞_Creek EE BOM cost_20090425_Creek RFQ feedback 04_28_2009_FD Update_Leopard_UniBOM_ME_0602_Bolt RFQ_Foxlink_03.1 2011 2 2" xfId="8399"/>
    <cellStyle name="_COMP DM  PL Aug.06_X-BOX Console line setup budget and Buyer list" xfId="8400"/>
    <cellStyle name="差_F3   SMT設備明細_效益分析_flow chart 2009.12.12_Flow chart and Fixture(Jackson)_A1" xfId="8401"/>
    <cellStyle name="差_Creak Pearl Reliability Fixture RFQ_2009 04 24_Xl0000002_Jackson NRE Uni BOM_update _05072010 rev K" xfId="8402"/>
    <cellStyle name="_Computing IDL namelist Oct" xfId="8403"/>
    <cellStyle name="好_Creek Assembly Fixture  Test Equipment RFQ_20090427_Xl0000002_Leopard_UniBOM_ME_0531_Bolt RFQ Proposal_Foxlink_ (Pricing Summary) 2 25 2011 3" xfId="8404"/>
    <cellStyle name="_Computing IDL namelist Oct_2009 xBOX ramp up budget code applicaiton" xfId="8405"/>
    <cellStyle name="_Computing IDL namelist Oct_2009 xBOX ramp up budget code applicaiton 300K --New May26 (3)" xfId="8406"/>
    <cellStyle name="差_Xl0000002_Leopard_UniBOM_ME_0603-2_Bolt RFQ Proposal_Foxlink_ (Pricing Summary) 2 25 2011 5" xfId="8407"/>
    <cellStyle name="_Computing IDL namelist Oct_2009 xBOX ramp up budget code applicaiton 300K --New May27" xfId="8408"/>
    <cellStyle name="_Computing IDL namelist Oct_Budget GC Other Form" xfId="8409"/>
    <cellStyle name="差_Xl0000000_Leopard UniBom_Foxlink_6 21 2010-ME_nego_Bolt RFQ_Foxlink_03.1 2011 4" xfId="8410"/>
    <cellStyle name="_租金管理費統計_v2_20081227_2010-05 費用分析0604" xfId="8411"/>
    <cellStyle name="_Computing IDL namelist Oct_Copy of X-BOX for line setup budget" xfId="8412"/>
    <cellStyle name="_Computing IDL namelist Oct_Forecast Template v4" xfId="8413"/>
    <cellStyle name="差_jupite r設備&amp;治工具LIST (總)_Dallas flow chart&amp;設備&amp;治工具清單(12-8 A0)_Flow chart and Fixture(1-4)_Jackson 效益分析 (2-1 B0 上系統)_Leopard Flowchart &amp; 產能評估" xfId="8414"/>
    <cellStyle name="壞_Creek Assembly Fixture  Test Equipment RFQ_20090427_Xl0000002_Leopard RFQ ME BOM Costs-0618-2_Bolt RFQ_Foxlink_03.1 2011 2 3" xfId="8415"/>
    <cellStyle name="差_Creak Pearl Reliability Fixture RFQ_2009 04 24_Xl0000002_Leopard Lemur Squirrel UniBom-06.22.2010_EE cost _update_internal_Bolt RFQ_Foxlink_03.1 2011_nego meeting@MACH 2 2" xfId="8416"/>
    <cellStyle name="好_River EE BOM_Xl0000002_Leopard RFQ ME BOM Costs-0618-2_Bolt RFQ_Foxlink_03.1 2011 3" xfId="8417"/>
    <cellStyle name="_Computing IDL namelist Oct_X-BOX BB" xfId="8418"/>
    <cellStyle name="_Computing IDL namelist Oct_X-BOX Console line setup budget 20080414" xfId="8419"/>
    <cellStyle name="_Computing IDL namelist Oct_X-BOX Console line setup budget and Buyer list" xfId="8420"/>
    <cellStyle name="_Conole Test" xfId="8421"/>
    <cellStyle name="_PL Forecast Comparison_Mech Doumen2006_1(preliminary)_PL Fcst Jul 06-updated G&amp;A Value_2009 xBOX ramp up budget code applicaiton 300K --New May27" xfId="8422"/>
    <cellStyle name="_Consol Finance Slides" xfId="8423"/>
    <cellStyle name="好_River EE BOM_Xl0000002_Leopard RFQ ME BOM Costs-0618-2_Bolt RFQ Proposal_Foxlink_ (Pricing Summary) 2 25 2011 5" xfId="8424"/>
    <cellStyle name="好_0842周 顯卡報廢超標8D_2009MB KPI_MBO3F製造部hp0209-01 2 2 2" xfId="8425"/>
    <cellStyle name="_Consol Finance Slides_FY06 P4 CM Consigned RM" xfId="8426"/>
    <cellStyle name="差_Creak Pearl Reliability Fixture RFQ_2009 04 24_Squirrel RFQ ME BOM Costs-0623_Bolt RFQ_Foxlink_03.1 2011" xfId="8427"/>
    <cellStyle name="_Consol Finance Slides_FY06 P6 CM Consigned RM" xfId="8428"/>
    <cellStyle name="Normal 3 26" xfId="8429"/>
    <cellStyle name="Normal 3 31" xfId="8430"/>
    <cellStyle name="差_Creak Pearl Reliability Fixture RFQ_2009 04 24_Leopard_UniBOM_ME_0603-2 3 3" xfId="8431"/>
    <cellStyle name="好_River EE BOM_Creak Pearl Reliability Fixture RFQ_2009 04 24_Creek RFQ feedback 04_28_2009_FD Update_Squirrel RFQ ME BOM Costs-0623_Bolt RFQ_Foxlink_03.1 2011 3 3" xfId="8432"/>
    <cellStyle name="_Consol Finance Slides_FY06 P6 XBox 360 Mfg Var - Close Pack" xfId="8433"/>
    <cellStyle name="_Consol Finance Slides_FY06 P7 CM Consigned RM" xfId="8434"/>
    <cellStyle name="_Consol Finance Slides_P2 Waynea review" xfId="8435"/>
    <cellStyle name="好_River EE BOM_Creak Pearl Reliability Fixture RFQ_2009 04 24_Squirrel RFQ ME BOM Costs-0623_Bolt RFQ_Foxlink_03.1 2011 2 2" xfId="8436"/>
    <cellStyle name="_Console Tooling" xfId="8437"/>
    <cellStyle name="_Copy of Charon COGS for MP as 20060530 Srub with Comments" xfId="8438"/>
    <cellStyle name="_Copy of MOST Std - S1300 F2lines" xfId="8439"/>
    <cellStyle name="_Copy of MOST Std - S1300 F2lines_FMTQCI-MIS3H064-P027(01)Nazca Copy Exact Flow chart" xfId="8440"/>
    <cellStyle name="_Quotebook_07SEP10_RFQ_River_BAFO_2008 0606_M1_Stream Quotebook (Submittal)_POC2_20081117-1" xfId="8441"/>
    <cellStyle name="Accent6 2 3" xfId="8442"/>
    <cellStyle name="好_River EE BOM_Xl0000002_Foxlink_Shadow RFQ NREUni BOM_12032009_Bolt RFQ_Foxlink_03.1 2011" xfId="8443"/>
    <cellStyle name="好_Creek EE BOM cost_20090425_Creek RFQ feedback 04_28_2009_FD Update_Foxlink_Shadow RFQ NREUni BOM_12032009_Bolt RFQ Proposal_Foxlink_ (Pricing Summary) 2 25 2011 2 3" xfId="8444"/>
    <cellStyle name="_Copy of MOST Std - S1300 F2lines_Nazca copy exact flow chart 20120409" xfId="8445"/>
    <cellStyle name="_Flex Mechanicals Doumen Sales forecast - Jan 06 updated._Copy of Tom OS ( Oct) new for LOG_X-BOX Console line setup budget 20080414" xfId="8446"/>
    <cellStyle name="差_Creek RFQ feedback 04_28_2009_FD Update_Foxlink_Shadow RFQ NREUni BOM_12032009 2 2 3" xfId="8447"/>
    <cellStyle name="_Copy of MOST Std - S1300 F2lines_Nazca copy exact flow chart 2012313" xfId="8448"/>
    <cellStyle name="好_Creek Assembly Fixture  Test Equipment RFQ_20090427_Leopard_UniBOM_ME_0531_Bolt_Cliff" xfId="8449"/>
    <cellStyle name="_Copy of Pending MRB 01 27 06 (2)" xfId="8450"/>
    <cellStyle name="差_效益分析&amp;產能評估_M1 SuedeFixtureEquipment Cost_A0_2010_10_15 2" xfId="8451"/>
    <cellStyle name="差_MB9月管審換線超時8d 2 2" xfId="8452"/>
    <cellStyle name="_Copy of September Rate Forecast - Peripherals from Mel" xfId="8453"/>
    <cellStyle name="_Copy of Tom OS ( Oct) new for LOG_2009 xBOX ramp up budget code applicaiton" xfId="8454"/>
    <cellStyle name="差_Xl0000002_Leopard_UniBOM_ME_0602-1 2 2 2" xfId="8455"/>
    <cellStyle name="_PL Fcst_akl(Friday)_Volume Fcst 1006 updated_Copy of Tom OS ( Oct) new for LOG_Copy of X-BOX for line setup budget" xfId="8456"/>
    <cellStyle name="_Copy of Tom OS ( Oct) new for LOG_2009 xBOX ramp up budget code applicaiton 300K --New May26 (3)" xfId="8457"/>
    <cellStyle name="_Copy of Tom OS ( Oct) new for LOG_2009 xBOX ramp up budget code applicaiton 300K --New May27" xfId="8458"/>
    <cellStyle name="_Copy of Tom OS ( Oct) new for LOG_Budget GC Other Form" xfId="8459"/>
    <cellStyle name="_Copy of Tom OS ( Oct) new for LOG_Copy of X-BOX for line setup budget" xfId="8460"/>
    <cellStyle name="_Copy of Tom OS ( Oct) new for LOG_Forecast Template v4" xfId="8461"/>
    <cellStyle name="差_Creak Pearl Reliability Fixture RFQ_2009 04 24_Leopard_UniBOM_ME_0603-2_Bolt RFQ Proposal_Foxlink_ (Pricing Summary) 2 25 2011 2" xfId="8462"/>
    <cellStyle name="_Copy of Tom OS ( Oct) new for LOG_X-BOX BB" xfId="8463"/>
    <cellStyle name="_Copy of Tom OS ( Oct) new for LOG_X-BOX Console line setup budget 20080414" xfId="8464"/>
    <cellStyle name="_Copy of Tom OS ( Oct) new for LOG_X-BOX Console line setup budget and Buyer list" xfId="8465"/>
    <cellStyle name="_Copy of W527 3 Mulan Edge EP0 CTB" xfId="8466"/>
    <cellStyle name="_Volume Fcst Jul 06-update HP _Copy of Tom OS ( Oct) new for LOG" xfId="8467"/>
    <cellStyle name="_Copy of W527 3 Mulan Edge EP0 CTB_Copy of MOST Std - S1300 F2lines" xfId="8468"/>
    <cellStyle name="_Flex Mechanicals Doumen Sales forecast - Dec'05 R1_PL Fcst Jul 06-updated G&amp;A Value_Tom OS ( Oct)" xfId="8469"/>
    <cellStyle name="_Copy of W527 3 Mulan Edge EP0 CTB_Copy of MOST Std - S1300 F2lines_FMTQCI-MIS3H064-P027(01)Nazca Copy Exact Flow chart" xfId="8470"/>
    <cellStyle name="_Final Otter-UniBOM_10-25-2005_Quotebook_07SEP10_BlueAnt_Quotebook_V3_07SEP11_Internal RFQ River Standalone  Bundle Unibom_v1 2_20080603_EJ 2" xfId="8471"/>
    <cellStyle name="_Copy of W527 3 Mulan Edge EP0 CTB_Copy of MOST Std - S1300 F2lines_Nazca copy exact flow chart 20120409" xfId="8472"/>
    <cellStyle name="_Copy of W527 3 Mulan Edge EP0 CTB_Copy of MOST Std - S1300 F2lines_Nazca copy exact flow chart 2012313" xfId="8473"/>
    <cellStyle name="_Copy of W527 3 Mulan Edge EP0 CTB_FMTQCI-MIS3H064-P027(01)Nazca Copy Exact Flow chart" xfId="8474"/>
    <cellStyle name="_Copy of W527 3 Mulan Edge EP0 CTB_MOST Std - Project A BB Line" xfId="8475"/>
    <cellStyle name="好_River EE BOM_Oslo Quark Certification 20100312_Bristol UniBom_Foxlink_02082011 RevA" xfId="8476"/>
    <cellStyle name="_Copy of W527 3 Mulan Edge EP0 CTB_MOST Std - Project A BB Line_FMTQCI-MIS3H064-P027(01)Nazca Copy Exact Flow chart" xfId="8477"/>
    <cellStyle name="_Copy of W527 3 Mulan Edge EP0 CTB_MOST Std - Project A BB Line_Nazca copy exact flow chart 20120409" xfId="8478"/>
    <cellStyle name="_Copy of W527 3 Mulan Edge EP0 CTB_MOST Std - Project A BB Line_Nazca copy exact flow chart 2012313" xfId="8479"/>
    <cellStyle name="差_Creak Pearl Reliability Fixture RFQ_2009 04 24_Leopard_UniBOM_ME_0531_Bolt RFQ_Foxlink_03.1 2011 2" xfId="8480"/>
    <cellStyle name="好_Creek Assembly Fixture  Test Equipment RFQ_20090427_Leopard RFQ ME BOM Costs-0618-2_Bolt RFQ Proposal_Foxlink_ (Pricing Summary) 2 25 2011 2 4" xfId="8481"/>
    <cellStyle name="_Copy of W527 3 Mulan Edge EP0 CTB_MOST Std - S1300 F2lines" xfId="8482"/>
    <cellStyle name="9_Revised AP DPO Oct 04 v2_Volume Fcst 1006 updated_Tom OS ( Oct)_Budget GC Other Form" xfId="8483"/>
    <cellStyle name="_Copy of W527 3 Mulan Edge EP0 CTB_MOST Std - S1300 F2lines_Nazca copy exact flow chart 20120409" xfId="8484"/>
    <cellStyle name="20% - Accent1 15" xfId="8485"/>
    <cellStyle name="_Copy of W527 3 Mulan Edge EP0 CTB_MOST Std - S1300 F2lines_Nazca copy exact flow chart 2012313" xfId="8486"/>
    <cellStyle name="_Copy of W527 3 Mulan Edge EP0 CTB_Nazca copy exact flow chart 20120409" xfId="8487"/>
    <cellStyle name="差_Creak Pearl Reliability Fixture RFQ_2009 04 24_Squirrel UniBom-06.23.2010_update_internal 2 2 3" xfId="8488"/>
    <cellStyle name="_Copy of W527 3 Mulan Edge EP0 CTB_Nazca copy exact flow chart 2012313" xfId="8489"/>
    <cellStyle name="_June Freight analysis v_Final_P2 Waynea review" xfId="8490"/>
    <cellStyle name="_Copy of Xbox 360 Consoles 080105" xfId="8491"/>
    <cellStyle name="好_River EE BOM_Creek RFQ feedback 04_28_2009_FD Update_Leopard_UniBOM_ME_0602-1_Bolt RFQ Proposal_Foxlink_ (Pricing Summary) 2 25 2011 5 2" xfId="8492"/>
    <cellStyle name="_Mechanical Contribution Margins (Q1'06, applied to Apr'04 Fcst)_PL Fcst Jul 06-updated G&amp;A Value_Forecast Template v4" xfId="8493"/>
    <cellStyle name="_Copy of X-BOX for line setup budget" xfId="8494"/>
    <cellStyle name="壞_Creek Assembly Fixture  Test Equipment RFQ_20090427_Bolt RFQ Proposal_Foxlink_ (Pricing Summary) 2 25 2011 2 4" xfId="8495"/>
    <cellStyle name="_x001e__Copy of Xl0000003" xfId="8496"/>
    <cellStyle name="_CopyOfP6 Waynea review" xfId="8497"/>
    <cellStyle name="差_F3   SMT設備明細_Erie 效益分析(8-27)_Leopard效益分析08-17" xfId="8498"/>
    <cellStyle name="好_River EE BOM_Creak Pearl Reliability Fixture RFQ_2009 04 24_Creek  Pearl RFQ_May 12_Leopard UniBom_Foxlink_6 21 2010-ME_nego 2 2 2" xfId="8499"/>
    <cellStyle name="_Mechanical Contribution Margins (Q2'06) 0705_Mechanical Contribution Margins forecast 0506 FP_X-BOX BB" xfId="8500"/>
    <cellStyle name="_Cost analysis template" xfId="8501"/>
    <cellStyle name="_Cost analysis template_Lenovo PACK  Packing Proposal" xfId="8502"/>
    <cellStyle name="_Flex Mechanicals Doumen Sales forecast - Dec'05 (updated links)_Volume Fcst 1006 updated" xfId="8503"/>
    <cellStyle name="_Cost analysis template_Lenovo Park Format_July 07 05" xfId="8504"/>
    <cellStyle name="Heading 1 3" xfId="8505"/>
    <cellStyle name="_Cost analysis template_Lenovo Park Format_July 07 05V2" xfId="8506"/>
    <cellStyle name="_Cost Analysis Template-1" xfId="8507"/>
    <cellStyle name="好_Creek EE BOM cost_20090425_Creek RFQ feedback 04_28_2009_FD Update_Leopard Lemur Squirrel UniBom-06.22.2010_EE cost _update_internal" xfId="8508"/>
    <cellStyle name="好_River EE BOM_Xl0000000_Foxlink_Shadow RFQ NREUni BOM_12032009_Bolt RFQ_Foxlink_03.1 2011 2" xfId="8509"/>
    <cellStyle name="_Cost Analysis Template-1_Lenovo PACK  Packing Proposal" xfId="8510"/>
    <cellStyle name="_Cost Analysis Template-1_Lenovo Park Format_July 07 05" xfId="8511"/>
    <cellStyle name="好_River EE BOM_Xl0000002_Squirrel RFQ ME BOM Costs-0623 2" xfId="8512"/>
    <cellStyle name="好_River EE BOM_Xl0000002_Leopard_UniBOM_ME_0602_Bolt RFQ_Foxlink_03.1 2011 2" xfId="8513"/>
    <cellStyle name="好_River EE BOM_Creak Pearl Reliability Fixture RFQ_2009 04 24_Creek  Pearl RFQ_May 12_Leopard_UniBOM_ME_0602_Bolt RFQ Proposal_Foxlink_ (Pricing Summary) 2 25 2011 3" xfId="8514"/>
    <cellStyle name="_Cost Analysis Template-1_Lenovo Park Format_July 07 05V2" xfId="8515"/>
    <cellStyle name="_Cost Down plan" xfId="8516"/>
    <cellStyle name="差_Creak Pearl Reliability Fixture RFQ_2009 04 24_Xl0000002_Leopard_UniBOM_ME_0603-2 2" xfId="8517"/>
    <cellStyle name="_Cost Down plan_Copy of MOST Std - S1300 F2lines" xfId="8518"/>
    <cellStyle name="好_River EE BOM_Creak Pearl Reliability Fixture RFQ_2009 04 24_Pearl RFQ(Submittal)ver2_05_12_2009 _Squirrel UniBom-06.23.2010_update_internal_Bolt RFQ Proposal_Foxlink_ (Pricing Summary) 2 25 2011 5 3" xfId="8519"/>
    <cellStyle name="_Cost Down plan_Copy of MOST Std - S1300 F2lines_FMTQCI-MIS3H064-P027(01)Nazca Copy Exact Flow chart" xfId="8520"/>
    <cellStyle name="_Cost Down plan_Copy of MOST Std - S1300 F2lines_Nazca copy exact flow chart 20120409" xfId="8521"/>
    <cellStyle name="Input 9 2 2" xfId="8522"/>
    <cellStyle name="_Cost Down plan_Copy of MOST Std - S1300 F2lines_Nazca copy exact flow chart 2012313" xfId="8523"/>
    <cellStyle name="_Cost Down plan_FMTQCI-MIS3H064-P027(01)Nazca Copy Exact Flow chart" xfId="8524"/>
    <cellStyle name="好_Creek EE BOM cost_20090425_Creek RFQ feedback 04_28_2009_FD Update_Squirrel UniBom-06.23.2010_update_internal_Bolt RFQ_Foxlink_03.1 2011 2" xfId="8525"/>
    <cellStyle name="_Cost Down plan_MOST Std - Project A BB Line" xfId="8526"/>
    <cellStyle name="_Mechanical Contribution Margins (Q2'06) 0705_Mechanical Contribution Margins forecast 0506 FP_PL Fcst Jul 06-updated G&amp;A Value_Copy of Tom OS ( Oct) new for LOG_X-BOX BB" xfId="8527"/>
    <cellStyle name="_Cost Down plan_MOST Std - Project A BB Line_FMTQCI-MIS3H064-P027(01)Nazca Copy Exact Flow chart" xfId="8528"/>
    <cellStyle name="_Cost Down plan_MOST Std - Project A BB Line_Nazca copy exact flow chart 20120409" xfId="8529"/>
    <cellStyle name="好_Erie Assembly Fixture  Test Equip Cost_20090716_Bolt RFQ Proposal_Foxlink_ (Pricing Summary) 2 25 2011 5 3" xfId="8530"/>
    <cellStyle name="_Cost Down plan_MOST Std - Project A BB Line_Nazca copy exact flow chart 2012313" xfId="8531"/>
    <cellStyle name="_Ellen Procurement Plan 20050512_MOST Std - Project A BB Line" xfId="8532"/>
    <cellStyle name="_Cost Down plan_MOST Std - S1300 F2lines" xfId="8533"/>
    <cellStyle name="_Ellen Procurement Plan 20050512_MOST Std - Project A BB Line_FMTQCI-MIS3H064-P027(01)Nazca Copy Exact Flow chart" xfId="8534"/>
    <cellStyle name="_Cost Down plan_MOST Std - S1300 F2lines_FMTQCI-MIS3H064-P027(01)Nazca Copy Exact Flow chart" xfId="8535"/>
    <cellStyle name="Dollar (zero dec) 4" xfId="8536"/>
    <cellStyle name="_Ellen Procurement Plan 20050512_MOST Std - Project A BB Line_Nazca copy exact flow chart 20120409" xfId="8537"/>
    <cellStyle name="_Cost Down plan_MOST Std - S1300 F2lines_Nazca copy exact flow chart 20120409" xfId="8538"/>
    <cellStyle name="差_Creak Pearl Reliability Fixture RFQ_2009 04 24_Pearl RFQ(Submittal)ver2_05_12_2009 _Leopard_UniBOM_ME_0603-2_Bolt RFQ Proposal_Foxlink_ (Pricing Summary) 2 25 2011 4 2" xfId="8539"/>
    <cellStyle name="_Ellen Procurement Plan 20050512_MOST Std - Project A BB Line_Nazca copy exact flow chart 2012313" xfId="8540"/>
    <cellStyle name="_Cost Down plan_MOST Std - S1300 F2lines_Nazca copy exact flow chart 2012313" xfId="8541"/>
    <cellStyle name="差_Creek RFQ feedback 04_28_2009_FD Update_Leopard RFQ ME BOM Costs-0618 2 2" xfId="8542"/>
    <cellStyle name="_Cost Down plan_Nazca copy exact flow chart 20120409" xfId="8543"/>
    <cellStyle name="差_HP Mouse 產能評估(Forecast更改後)_M1 SuedeFixtureEquipment Cost_A0_2010_10_15_Wedge_ME_BOM-v00-11v0630 2" xfId="8544"/>
    <cellStyle name="_Cost Down plan_Nazca copy exact flow chart 2012313" xfId="8545"/>
    <cellStyle name="_costbrk-MDB-BE" xfId="8546"/>
    <cellStyle name="差_Xl0000000_Leopard_UniBOM_ME_0531 2" xfId="8547"/>
    <cellStyle name="差_Creak Pearl Reliability Fixture RFQ_2009 04 24_Creek RFQ feedback 04_28_2009_FD Update_Leopard_UniBOM_ME_0531_Bolt RFQ Proposal_Foxlink_ (Pricing Summary) 2 25 2011 6" xfId="8548"/>
    <cellStyle name="好_Creek Assembly Fixture  Test Equipment RFQ_20090427_Squirrel RFQ ME BOM Costs-0623_Bolt RFQ Proposal_Foxlink_ (Pricing Summary) 2 25 2011 4 3" xfId="8549"/>
    <cellStyle name="_Mechanical Contribution Margins (Q2'06) 0705_PL Fcst Jul 06-updated G&amp;A Value_2009 xBOX ramp up budget code applicaiton 300K --New May27" xfId="8550"/>
    <cellStyle name="_costed bom details" xfId="8551"/>
    <cellStyle name="_Costed BOM.DV.9.25" xfId="8552"/>
    <cellStyle name="好_River EE BOM_Xl0000002_Leopard RFQ ME BOM Costs-0618_Bolt RFQ Proposal_Foxlink_ (Pricing Summary) 2 25 2011 2 2 3" xfId="8553"/>
    <cellStyle name="_CPH calculation" xfId="8554"/>
    <cellStyle name="_CPH calculation_Tester Demand Plan 062707" xfId="8555"/>
    <cellStyle name="差_F3   SMT設備明細_jupite r設備&amp;治工具LIST (總)_~1159284" xfId="8556"/>
    <cellStyle name="好_River EE BOM_Creak Pearl Reliability Fixture RFQ_2009 04 24_Pearl RFQ(Submittal)ver2_05_12_2009 _Leopard RFQ ME BOM Costs-0618_Bolt RFQ_Foxlink_03.1 2011 5" xfId="8557"/>
    <cellStyle name="60% - Accent6 13" xfId="8558"/>
    <cellStyle name="_Crossfire Quality Chart0725" xfId="8559"/>
    <cellStyle name="一般 5 3 2" xfId="8560"/>
    <cellStyle name="_Crossfire+Neoh+Cooper 0911" xfId="8561"/>
    <cellStyle name="_Flex Mechanicals Doumen Sales forecast - Jan 06 updated._PL Fcst Jul 06-updated G&amp;A Value_Copy of Tom OS ( Oct) new for LOG_Forecast Template v4" xfId="8562"/>
    <cellStyle name="_Crossfire+Neoh+Cooper 0911 2" xfId="8563"/>
    <cellStyle name="_CTB Mulan EP2Wingboard_20050808 (2)" xfId="8564"/>
    <cellStyle name="_CYQ1'04 Quote (Rev1)1" xfId="8565"/>
    <cellStyle name="_CTB Mulan EP2Wingboard_20050808 (2)_Copy of MOST Std - S1300 F2lines" xfId="8566"/>
    <cellStyle name="_CTB Mulan EP2Wingboard_20050808 (2)_Copy of MOST Std - S1300 F2lines_FMTQCI-MIS3H064-P027(01)Nazca Copy Exact Flow chart" xfId="8567"/>
    <cellStyle name="差_jupite r設備&amp;治工具LIST (總)_pq_Jackson 效益分析 testing update_16th Jan1_Jackson 效益分析 (2-1 B0 上系統)_Leopard效益分析08-17" xfId="8568"/>
    <cellStyle name="_CTB Mulan EP2Wingboard_20050808 (2)_Copy of MOST Std - S1300 F2lines_Nazca copy exact flow chart 20120409" xfId="8569"/>
    <cellStyle name="_CTB Mulan EP2Wingboard_20050808 (2)_Copy of MOST Std - S1300 F2lines_Nazca copy exact flow chart 2012313" xfId="8570"/>
    <cellStyle name="_CTB Mulan EP2Wingboard_20050808 (2)_MOST Std - Project A BB Line_FMTQCI-MIS3H064-P027(01)Nazca Copy Exact Flow chart" xfId="8571"/>
    <cellStyle name="_CTB Mulan EP2Wingboard_20050808 (2)_MOST Std - Project A BB Line_Nazca copy exact flow chart 20120409" xfId="8572"/>
    <cellStyle name="汇总 2 2 2 2" xfId="8573"/>
    <cellStyle name="壞_Creek EE BOM cost_20090425_Creek RFQ feedback 04_28_2009_FD Update_Leopard_UniBOM_ME_0603-2 2 2" xfId="8574"/>
    <cellStyle name="_PL Fcst_akl(Friday)_Volume Fcst Jul 06-update HP _Tom OS ( Oct)_Copy of X-BOX for line setup budget" xfId="8575"/>
    <cellStyle name="_CTB Mulan EP2Wingboard_20050808 (2)_MOST Std - Project A BB Line_Nazca copy exact flow chart 2012313" xfId="8576"/>
    <cellStyle name="_CTB Mulan EP2Wingboard_20050808 (2)_MOST Std - S1300 F2lines" xfId="8577"/>
    <cellStyle name="_CTB Mulan EP2Wingboard_20050808 (2)_MOST Std - S1300 F2lines_FMTQCI-MIS3H064-P027(01)Nazca Copy Exact Flow chart" xfId="8578"/>
    <cellStyle name="_CTB Mulan EP2Wingboard_20050808 (2)_MOST Std - S1300 F2lines_Nazca copy exact flow chart 2012313" xfId="8579"/>
    <cellStyle name="差_治具工程課2009年KPI_KPI 1006 3 3" xfId="8580"/>
    <cellStyle name="_CTB Mulan EP2Wingboard_20050808 (2)_Nazca copy exact flow chart 20120409" xfId="8581"/>
    <cellStyle name="_CTB Mulan EP2Wingboard_20050808 (2)_Nazca copy exact flow chart 2012313" xfId="8582"/>
    <cellStyle name="_CTB RTP EP2 0505092" xfId="8583"/>
    <cellStyle name="_CTB RTP EP2 0505092_Copy of MOST Std - S1300 F2lines" xfId="8584"/>
    <cellStyle name="_CTB RTP EP2 0505092_Copy of MOST Std - S1300 F2lines_FMTQCI-MIS3H064-P027(01)Nazca Copy Exact Flow chart" xfId="8585"/>
    <cellStyle name="好_River EE BOM_Creak Pearl Reliability Fixture RFQ_2009 04 24_Creek RFQ feedback 04_28_2009_FD Update_Squirrel UniBom-06.23.2010_update_internal_Bolt RFQ_Foxlink_03.1 2011_nego meeting@MACH 4" xfId="8586"/>
    <cellStyle name="_CTB RTP EP2 0505092_Copy of MOST Std - S1300 F2lines_Nazca copy exact flow chart 2012313" xfId="8587"/>
    <cellStyle name="_CTB RTP EP2 0505092_FMTQCI-MIS3H064-P027(01)Nazca Copy Exact Flow chart" xfId="8588"/>
    <cellStyle name="差_0842周 顯卡報廢超標8D_HP 6 3" xfId="8589"/>
    <cellStyle name="_CTB RTP EP2 0505092_MOST Std - Project A BB Line" xfId="8590"/>
    <cellStyle name="Calc Units (1) 2" xfId="8591"/>
    <cellStyle name="_CTB RTP EP2 0505092_MOST Std - Project A BB Line_Nazca copy exact flow chart 2012313" xfId="8592"/>
    <cellStyle name="好_River EE BOM_Creak Pearl Reliability Fixture RFQ_2009 04 24_Squirrel UniBom-06.23.2010_update_internal_Bolt RFQ_Foxlink_03.1 2011_nego meeting@MACH 4" xfId="8593"/>
    <cellStyle name="_CTB RTP EP2 0505092_MOST Std - S1300 F2lines" xfId="8594"/>
    <cellStyle name="Normal 5 3 2 2 6" xfId="8595"/>
    <cellStyle name="_CTB RTP EP2 0505092_MOST Std - S1300 F2lines_FMTQCI-MIS3H064-P027(01)Nazca Copy Exact Flow chart" xfId="8596"/>
    <cellStyle name="_CTB RTP EP2 0505092_MOST Std - S1300 F2lines_Nazca copy exact flow chart 20120409" xfId="8597"/>
    <cellStyle name="好_Creek EE BOM cost_20090425_Leopard_UniBOM_ME_0602_Bolt RFQ Proposal_Foxlink_ (Pricing Summary) 2 25 2011 5" xfId="8598"/>
    <cellStyle name="_Xbox 360 Build Plan Flex 121205 v2" xfId="8599"/>
    <cellStyle name="_CTB RTP EP2 0505092_Nazca copy exact flow chart 20120409" xfId="8600"/>
    <cellStyle name="_CTB RTP EP2 0505092_Nazca copy exact flow chart 2012313" xfId="8601"/>
    <cellStyle name="差_Xl0000002_Foxlink_Shadow RFQ NREUni BOM_12032009_Bolt RFQ_Foxlink_03.1 2011 3 2" xfId="8602"/>
    <cellStyle name="_CTB to BMC 0601 (2)" xfId="8603"/>
    <cellStyle name="_CTB to BMC 0601 (2)_Copy of MOST Std - S1300 F2lines_FMTQCI-MIS3H064-P027(01)Nazca Copy Exact Flow chart" xfId="8604"/>
    <cellStyle name="_xbox live-Rene_P2 Waynea review" xfId="8605"/>
    <cellStyle name="_CTB to BMC 0601 (2)_Copy of MOST Std - S1300 F2lines_Nazca copy exact flow chart 20120409" xfId="8606"/>
    <cellStyle name="好_Creek Assembly Fixture  Test Equipment RFQ_20090427_Xl0000002_Leopard_UniBOM_ME_0602-1_Bolt RFQ_Foxlink_03.1 2011_nego meeting@MACH 2 2" xfId="8607"/>
    <cellStyle name="_CTB to BMC 0601 (2)_Copy of MOST Std - S1300 F2lines_Nazca copy exact flow chart 2012313" xfId="8608"/>
    <cellStyle name="_CTB to BMC 0601 (2)_FMTQCI-MIS3H064-P027(01)Nazca Copy Exact Flow chart" xfId="8609"/>
    <cellStyle name="_CTB to BMC 0601 (2)_MOST Std - Project A BB Line" xfId="8610"/>
    <cellStyle name="差_F3   SMT設備明細_jupite r設備&amp;治工具LIST (總)_flow chart 2009.12.12_Flow Chart&amp;設備治工具清單 _Jackson 效益分析 (2-1 B0 上系統)_Leopard Flowchart &amp; 產能評估" xfId="8611"/>
    <cellStyle name="_CTB to BMC 0601 (2)_MOST Std - Project A BB Line_Nazca copy exact flow chart 20120409" xfId="8612"/>
    <cellStyle name="差_Creak Pearl Reliability Fixture RFQ_2009 04 24_Creek RFQ feedback 04_28_2009_FD Update_Squirrel UniBom-06.23.2010_update_internal_Bolt RFQ Proposal_Foxlink_ (Pricing Summary) 2 25 2011 2 3" xfId="8613"/>
    <cellStyle name="_CTB to BMC 0601 (2)_MOST Std - Project A BB Line_Nazca copy exact flow chart 2012313" xfId="8614"/>
    <cellStyle name="_CTB to BMC 0601 (2)_MOST Std - S1300 F2lines" xfId="8615"/>
    <cellStyle name="好_MB9月管審誤判超標 8D 2 2 4" xfId="8616"/>
    <cellStyle name="_Forecast - Segment-HP-June06(1)_plforecastsample_2009 xBOX ramp up budget code applicaiton" xfId="8617"/>
    <cellStyle name="_CTB to BMC 0601 (2)_MOST Std - S1300 F2lines_FMTQCI-MIS3H064-P027(01)Nazca Copy Exact Flow chart" xfId="8618"/>
    <cellStyle name="_CTB to BMC 0601 (2)_MOST Std - S1300 F2lines_Nazca copy exact flow chart 20120409" xfId="8619"/>
    <cellStyle name="差_HP  專案(設備&amp;治工具需夠買)update_Erie 效益分析 (Update)_Jackson 效益分析 testing update_16th Jan1_Jackson 效益分析 (2-1 B0 上系統)" xfId="8620"/>
    <cellStyle name="标题 2 5 3" xfId="8621"/>
    <cellStyle name="_CTB to BMC 0601 (2)_MOST Std - S1300 F2lines_Nazca copy exact flow chart 2012313" xfId="8622"/>
    <cellStyle name="_CTB to BMC 0601 (2)_Nazca copy exact flow chart 20120409" xfId="8623"/>
    <cellStyle name="_CTB to BMC 0601 (2)_Nazca copy exact flow chart 2012313" xfId="8624"/>
    <cellStyle name="_Ernestine Requipment  Fixture List_04_06_2006_Quotebook_07SEP10_BlueAnt_Quotebook_V3_07SEP11_Stream RFQ Unibom--0626-1756" xfId="8625"/>
    <cellStyle name="_CTQ  pd0908 (new)" xfId="8626"/>
    <cellStyle name="_Current HDD Pricing" xfId="8627"/>
    <cellStyle name="Title 2 2" xfId="8628"/>
    <cellStyle name="_Cust PL Depreciation Nov 2006" xfId="8629"/>
    <cellStyle name="_Cust PL Depreciation Nov 2006_2009 xBOX ramp up budget code applicaiton" xfId="8630"/>
    <cellStyle name="好_Creek EE BOM cost_20090425_Creek RFQ feedback 04_28_2009_FD Update_Squirrel UniBom-06.23.2010_update_internal_Bolt RFQ_Foxlink_03.1 2011_nego meeting@MACH 5" xfId="8631"/>
    <cellStyle name="_Cust PL Depreciation Nov 2006_2009 xBOX ramp up budget code applicaiton 300K --New May26 (3)" xfId="8632"/>
    <cellStyle name="_Cust PL Depreciation Nov 2006_2009 xBOX ramp up budget code applicaiton 300K --New May27" xfId="8633"/>
    <cellStyle name="_Cust PL Depreciation Nov 2006_Budget GC Other Form" xfId="8634"/>
    <cellStyle name="差_Creak Pearl Reliability Fixture RFQ_2009 04 24_Creek  Pearl RFQ_May 12_Leopard RFQ ME BOM Costs-0618_Bolt RFQ Proposal_Foxlink_ (Pricing Summary) 2 25 2011 5 2" xfId="8635"/>
    <cellStyle name="_Cust PL Depreciation Nov 2006_Copy of X-BOX for line setup budget" xfId="8636"/>
    <cellStyle name="_Cust PL Depreciation Nov 2006_Forecast Template v4" xfId="8637"/>
    <cellStyle name="差_dallas產能評估_Flow Chart(shadow) A3 _squirrel效益分析08-17" xfId="8638"/>
    <cellStyle name="_Cust PL Depreciation Nov 2006_X-BOX BB" xfId="8639"/>
    <cellStyle name="好_HP all model 標準工時(W1130)" xfId="8640"/>
    <cellStyle name="好_Erie Assembly Fixture  Test Equip Cost_20090716_Bolt RFQ_Foxlink_03.1 2011_nego meeting@MACH" xfId="8641"/>
    <cellStyle name="壞_Creek Assembly Fixture  Test Equipment RFQ_20090427_Xl0000002_Foxlink_Shadow RFQ NREUni BOM_12032009 3 2" xfId="8642"/>
    <cellStyle name="_Cust PL Depreciation Nov 2006_X-BOX Console line setup budget 20080414" xfId="8643"/>
    <cellStyle name="_Cust PL Depreciation Nov 2006_X-BOX Console line setup budget and Buyer list" xfId="8644"/>
    <cellStyle name="差_RIO Trial run (Pre-PV 100PCS) QA Report-0610_Rio QA Report-8.12_Dolce   QA Report 2010_0902" xfId="8645"/>
    <cellStyle name="_CVR" xfId="8646"/>
    <cellStyle name="_D: 1.MS Project Plutto KYE Response RFQ Response-Pluto_1018.doc 的 工作表" xfId="8647"/>
    <cellStyle name="_D: 1.MS Project Plutto KYE Response RFQ Response-Pluto_1018.doc 的 工作表_Internal RFQ River Standalone  Bundle Unibom_v1 2_20080603_EJ" xfId="8648"/>
    <cellStyle name="_Sales Breakdown Analysis 3_PL Forecast by segment-most final 0806_Copy of Tom OS ( Oct) new for LOG_Copy of X-BOX for line setup budget" xfId="8649"/>
    <cellStyle name="_D: 1.MS Project Plutto KYE Response RFQ Response-Pluto_1018.doc 的 工作表_Internal RFQ River Standalone  Bundle Unibom_v1 2_20080603_EJ_Stream Package Quotation_20090311" xfId="8650"/>
    <cellStyle name="好_River EE BOM_Creek RFQ feedback 04_28_2009_FD Update_Bolt RFQ Proposal_Foxlink_ (Pricing Summary) 2 25 2011 6" xfId="8651"/>
    <cellStyle name="_D: 1.MS Project Plutto KYE Response RFQ Response-Pluto_1018.doc 的 工作表_Internal RFQ River Standalone  Bundle Unibom_v1 2_20080603_EJ_Stream Quotebook (Submittal)_POC2_20081117-1" xfId="8652"/>
    <cellStyle name="_D: 1.MS Project Plutto KYE Response RFQ Response-Pluto_1018.doc 的 工作表_Internal RFQ River Standalone  Bundle Unibom_v1 2_20080603_EJ_Stream Quotebook(Submittal)_POC1_20080903" xfId="8653"/>
    <cellStyle name="_D: 1.MS Project Plutto KYE Response RFQ Response-Pluto_1018.doc 的 工作表_Internal RFQ River Standalone  Bundle Unibom_v1 2_20080603_EJ_Stream Quotebook(Submittal)_POC1_20080903 2" xfId="8654"/>
    <cellStyle name="好_River EE BOM_Creak Pearl Reliability Fixture RFQ_2009 04 24_Xl0000002_Leopard_UniBOM_ME_0603-2_Bolt RFQ_Foxlink_03.1 2011_nego meeting@MACH 2 3" xfId="8655"/>
    <cellStyle name="好_Creek EE BOM cost_20090425_Creek RFQ feedback 04_28_2009_FD Update_Bolt RFQ Proposal_Foxlink_ (Pricing Summary) 2 25 2011 2 2 2" xfId="8656"/>
    <cellStyle name="_D: 1.MS Project Plutto KYE Response RFQ Response-Pluto_1018.doc 的 工作表_RFQ_River_BAFO_2008 0606_M1" xfId="8657"/>
    <cellStyle name="_D: 1.MS Project Plutto KYE Response RFQ Response-Pluto_1018.doc 的 工作表_RFQ_River_BAFO_2008 0606_M1 2" xfId="8658"/>
    <cellStyle name="_Flex forecast Depot 2005 rev4A_X-BOX Console line setup budget and Buyer list" xfId="8659"/>
    <cellStyle name="_D: 1.MS Project Plutto KYE Response RFQ Response-Pluto_1018.doc 的 工作表_RFQ_River_BAFO_2008 0606_M1_Stream Package Quotation_20090311" xfId="8660"/>
    <cellStyle name="_D: 1.MS Project Plutto KYE Response RFQ Response-Pluto_1018.doc 的 工作表_RFQ_River_BAFO_2008 0606_M1_Stream Quotebook (Submittal)_POC2_20081117-1" xfId="8661"/>
    <cellStyle name="壞_Creek Assembly Fixture  Test Equipment RFQ_20090427_Leopard_UniBOM_ME_0531_Bolt RFQ_Foxlink_03.1 2011_nego meeting@MACH 3" xfId="8662"/>
    <cellStyle name="差_Creak Pearl Reliability Fixture RFQ_2009 04 24_Creek RFQ feedback 04_28_2009_FD Update_Bolt RFQ_Foxlink_03.1 2011_nego meeting@MACH 2" xfId="8663"/>
    <cellStyle name="_D: 1.MS Project Plutto KYE Response RFQ Response-Pluto_1018.doc 的 工作表_RFQ_River_BAFO_2008 0606_M1_Stream Quotebook(Submittal)_POC1_20080903" xfId="8664"/>
    <cellStyle name="壞_Creek Assembly Fixture  Test Equipment RFQ_20090427_Leopard_UniBOM_ME_0531_Bolt RFQ_Foxlink_03.1 2011_nego meeting@MACH 3 2" xfId="8665"/>
    <cellStyle name="差_Creak Pearl Reliability Fixture RFQ_2009 04 24_Creek RFQ feedback 04_28_2009_FD Update_Bolt RFQ_Foxlink_03.1 2011_nego meeting@MACH 2 2" xfId="8666"/>
    <cellStyle name="_Flextronics Radon  Build Plan 4-27-2005_DL hiring plan 2-27-08" xfId="8667"/>
    <cellStyle name="_D: 1.MS Project Plutto KYE Response RFQ Response-Pluto_1018.doc 的 工作表_RFQ_River_BAFO_2008 0606_M1_Stream Quotebook(Submittal)_POC1_20080903 2" xfId="8668"/>
    <cellStyle name="_D: 1.MS Project Plutto KYE Response RFQ Response-Pluto_1018.doc 的 工作表_Stream RFQ Unibom--0626-1756" xfId="8669"/>
    <cellStyle name="差_F3   SMT設備明細_效益分析_Dallas flow chart&amp;設備&amp;治工具清單(12-8 A0)_Flow chart and Fixture(Jackson)_A1_Jackson 效益分析 (2-1 B0 上系統)" xfId="8670"/>
    <cellStyle name="20% - 强调文字颜色 1 5 3" xfId="8671"/>
    <cellStyle name="_D: 1.MS Project Plutto KYE Response RFQ Response-Pluto_1018.doc 的 工作表_Stream RFQ Unibom--0626-1756 2" xfId="8672"/>
    <cellStyle name="_D: 1.MS Project Plutto KYE Response RFQ Response-Pluto_1018.doc 的 工作表_Stream RFQ Unibom--0626-1756_Stream Package Quotation_20090311" xfId="8673"/>
    <cellStyle name="差_F3   SMT設備明細_效益分析_Jackson 效益分析 (1-18 A7)" xfId="8674"/>
    <cellStyle name="好_River EE BOM_Creek RFQ feedback 04_28_2009_FD Update_Leopard RFQ ME BOM Costs-0618_Bolt RFQ Proposal_Foxlink_ (Pricing Summary) 2 25 2011 2 4" xfId="8675"/>
    <cellStyle name="好_Creek Assembly Fixture  Test Equipment RFQ_20090427_Leopard Lemur Squirrel UniBom-06.22.2010_EE cost _update_internal_Bolt RFQ_Foxlink_03.1 2011_Bolt_Cliff 3" xfId="8676"/>
    <cellStyle name="_D: 1.MS Project Plutto KYE Response RFQ Response-Pluto_1018.doc 的 工作表_Stream RFQ Unibom--0626-1756_Stream Quotebook(Submittal)_POC1_20080903" xfId="8677"/>
    <cellStyle name="_D3" xfId="8678"/>
    <cellStyle name="_daily report0723w xls1." xfId="8679"/>
    <cellStyle name="_Dash Uni_BOM 10142005" xfId="8680"/>
    <cellStyle name="Normal 4 3 3 4" xfId="8681"/>
    <cellStyle name="_Dash Uni_BOM 10142005 2" xfId="8682"/>
    <cellStyle name="差_Creak Pearl Reliability Fixture RFQ_2009 04 24_Creek  Pearl RFQ_May 12_Leopard RFQ ME BOM Costs-0618-2_Bolt RFQ Proposal_Foxlink_ (Pricing Summary) 2 25 2011 4 3" xfId="8683"/>
    <cellStyle name="_YellowLight_FY07-loc-plan" xfId="8684"/>
    <cellStyle name="_Dash Uni_BOM 10142005_Internal RFQ River Standalone  Bundle Unibom_v1 2_20080603_EJ" xfId="8685"/>
    <cellStyle name="_Dash Uni_BOM 10142005_Internal RFQ River Standalone  Bundle Unibom_v1 2_20080603_EJ 2" xfId="8686"/>
    <cellStyle name="60% - 强调文字颜色 1 2 2 3" xfId="8687"/>
    <cellStyle name="_Dash Uni_BOM 10142005_Internal RFQ River Standalone  Bundle Unibom_v1 2_20080603_EJ_Stream Package Quotation_20090311" xfId="8688"/>
    <cellStyle name="_Dash Uni_BOM 10142005_Internal RFQ River Standalone  Bundle Unibom_v1 2_20080603_EJ_Stream Quotebook(Submittal)_POC1_20080903" xfId="8689"/>
    <cellStyle name="_Dash Uni_BOM 10142005_Internal RFQ River Standalone  Bundle Unibom_v1 2_20080603_EJ_Stream Quotebook(Submittal)_POC1_20080903 2" xfId="8690"/>
    <cellStyle name="差_HP Mouse 產能評估(上系統)_M1 SuedeFixtureEquipment Cost_A0_2010_10_15_Bolt RFQ_Foxlink_03.1 2011 3 3" xfId="8691"/>
    <cellStyle name="_Dash Uni_BOM 10142005_RFQ_River_BAFO_2008 0606_M1" xfId="8692"/>
    <cellStyle name="差_Xl0000000_Leopard RFQ ME BOM Costs-0618-2_Bolt RFQ Proposal_Foxlink_ (Pricing Summary) 2 25 2011 3 3" xfId="8693"/>
    <cellStyle name="_Dash Uni_BOM 10142005_RFQ_River_BAFO_2008 0606_M1 2" xfId="8694"/>
    <cellStyle name="好_Creek Assembly Fixture  Test Equipment RFQ_20090427_Bolt RFQ_Foxlink_03.1 2011_nego meeting@MACH_Bolt_Cliff 5" xfId="8695"/>
    <cellStyle name="_Dash Uni_BOM 10142005_RFQ_River_BAFO_2008 0606_M1_Stream Package Quotation_20090311" xfId="8696"/>
    <cellStyle name="_Dash Uni_BOM 10142005_RFQ_River_BAFO_2008 0606_M1_Stream Quotebook (Submittal)_POC2_20081117-1" xfId="8697"/>
    <cellStyle name="_Dash Uni_BOM 10142005_RFQ_River_BAFO_2008 0606_M1_Stream Quotebook(Submittal)_POC1_20080903" xfId="8698"/>
    <cellStyle name="?_Battery" xfId="8699"/>
    <cellStyle name="_Dash Uni_BOM 10142005_RFQ_River_BAFO_2008 0606_M1_Stream Quotebook(Submittal)_POC1_20080903 2" xfId="8700"/>
    <cellStyle name="_Dash Uni_BOM 10142005_Stream RFQ Unibom--0626-1756" xfId="8701"/>
    <cellStyle name="好_River EE BOM_Creak Pearl Reliability Fixture RFQ_2009 04 24_Creek  Pearl RFQ_May 12_Leopard RFQ ME BOM Costs-0618_Bolt RFQ_Foxlink_03.1 2011 2" xfId="8702"/>
    <cellStyle name="差 5" xfId="8703"/>
    <cellStyle name="一般 14 6" xfId="8704"/>
    <cellStyle name="_Dash Uni_BOM 10142005_Stream RFQ Unibom--0626-1756_Stream Package Quotation_20090311" xfId="8705"/>
    <cellStyle name="好_Creek Assembly Fixture  Test Equipment RFQ_20090427_Xl0000002_Leopard_UniBOM_ME_0602-1_Bolt RFQ Proposal_Foxlink_ (Pricing Summary) 2 25 2011 5 3" xfId="8706"/>
    <cellStyle name="_Dash Uni_BOM 10142005_Stream RFQ Unibom--0626-1756_Stream Quotebook (Submittal)_POC2_20081117-1" xfId="8707"/>
    <cellStyle name="好_River EE BOM_Xl0000002_Squirrel UniBom-06.23.2010_update_internal 2" xfId="8708"/>
    <cellStyle name="_Dash Uni_BOM 10142005_Stream RFQ Unibom--0626-1756_Stream Quotebook(Submittal)_POC1_20080903" xfId="8709"/>
    <cellStyle name="好_River EE BOM_Creak Pearl Reliability Fixture RFQ_2009 04 24_Xl0000002_Leopard UniBom-06 22 2010_update_internal" xfId="8710"/>
    <cellStyle name="Fijo" xfId="8711"/>
    <cellStyle name="好_River EE BOM_Xl0000002_Squirrel UniBom-06.23.2010_update_internal 2 2" xfId="8712"/>
    <cellStyle name="好_River EE BOM_Xl0000002_Squirrel RFQ ME BOM Costs-0623_Bolt RFQ Proposal_Foxlink_ (Pricing Summary) 2 25 2011" xfId="8713"/>
    <cellStyle name="_PL Forecast Comparison_Mech Doumen2006_1(preliminary)_Tom OS ( Oct)" xfId="8714"/>
    <cellStyle name="_Dash Uni_BOM 10142005_Stream RFQ Unibom--0626-1756_Stream Quotebook(Submittal)_POC1_20080903 2" xfId="8715"/>
    <cellStyle name="_Pre-Close Meeting Aug FY06_P2 Waynea review" xfId="8716"/>
    <cellStyle name="_Dash Uni_BOM 10172005-Update" xfId="8717"/>
    <cellStyle name="_Dash Uni_BOM 10172005-Update 2" xfId="8718"/>
    <cellStyle name="_PL Forecast Comparison_Mech Doumen2006_1(preliminary)_Volume Fcst 1006 updated_Copy of Tom OS ( Oct) new for LOG_2009 xBOX ramp up budget code applicaiton 300K --New May27" xfId="8719"/>
    <cellStyle name="_Dash Uni_BOM 10172005-Update_Internal RFQ River Standalone  Bundle Unibom_v1 2_20080603_EJ" xfId="8720"/>
    <cellStyle name="_Dash Uni_BOM 10172005-Update_Internal RFQ River Standalone  Bundle Unibom_v1 2_20080603_EJ 2" xfId="8721"/>
    <cellStyle name="_Dash Uni_BOM 10172005-Update_Internal RFQ River Standalone  Bundle Unibom_v1 2_20080603_EJ_Stream Package Quotation_20090311" xfId="8722"/>
    <cellStyle name="差_F3   SMT設備明細_jupite r設備&amp;治工具LIST (總)_Flow Chart&amp;PQ分析(12-1)_效益分析(總 12-28 Update)_Jackson 效益分析 (2-1 B0 上系統)" xfId="8723"/>
    <cellStyle name="_Dash Uni_BOM 10172005-Update_Internal RFQ River Standalone  Bundle Unibom_v1 2_20080603_EJ_Stream Quotebook (Submittal)_POC2_20081117-1" xfId="8724"/>
    <cellStyle name="好_治具工程課2009年KPI_HP 2 4" xfId="8725"/>
    <cellStyle name="_Dash Uni_BOM 10172005-Update_Internal RFQ River Standalone  Bundle Unibom_v1 2_20080603_EJ_Stream Quotebook(Submittal)_POC1_20080903" xfId="8726"/>
    <cellStyle name="_Mechanical Contribution Margins (Q1'06, applied to Apr'04 Fcst)_Mechanical Contribution Margins forecast 0506 FP_PL Fcst Jul 06-updated G&amp;A Value_2009 xBOX ramp up budget code applicaiton" xfId="8727"/>
    <cellStyle name="好_Creek Assembly Fixture  Test Equipment RFQ_20090427_Xl0000002_Squirrel UniBom-06.23.2010_update_internal_Bolt RFQ Proposal_Foxlink_ (Pricing Summary) 2 25 2011 5 3" xfId="8728"/>
    <cellStyle name="_Dash Uni_BOM 10172005-Update_Internal RFQ River Standalone  Bundle Unibom_v1 2_20080603_EJ_Stream Quotebook(Submittal)_POC1_20080903 2" xfId="8729"/>
    <cellStyle name="差_Creak Pearl Reliability Fixture RFQ_2009 04 24_Pearl RFQ(Submittal)ver2_05_12_2009 _Leopard Lemur Squirrel UniBom-06.22.2010_EE cost _update_internal_Bolt RFQ Proposal_Foxlink_ (Pricing Summary) 2 25 2011 6" xfId="8730"/>
    <cellStyle name="_Dash Uni_BOM 10172005-Update_RFQ_River_BAFO_2008 0606_M1" xfId="8731"/>
    <cellStyle name="好_River EE BOM_Xl0000002_Leopard_UniBOM_ME_0602-1_Bolt RFQ_Foxlink_03.1 2011" xfId="8732"/>
    <cellStyle name="好_Creek Assembly Fixture  Test Equipment RFQ_20090427_Xl0000002_Foxlink_Shadow RFQ NREUni BOM_12032009_Bolt RFQ_Foxlink_03.1 2011 2 3" xfId="8733"/>
    <cellStyle name="_Dash Uni_BOM 10172005-Update_RFQ_River_BAFO_2008 0606_M1 2" xfId="8734"/>
    <cellStyle name="_Dash Uni_BOM 10172005-Update_RFQ_River_BAFO_2008 0606_M1_Stream Package Quotation_20090311" xfId="8735"/>
    <cellStyle name="_Dash Uni_BOM 10172005-Update_RFQ_River_BAFO_2008 0606_M1_Stream Quotebook (Submittal)_POC2_20081117-1" xfId="8736"/>
    <cellStyle name="_Dash Uni_BOM 10172005-Update_RFQ_River_BAFO_2008 0606_M1_Stream Quotebook(Submittal)_POC1_20080903" xfId="8737"/>
    <cellStyle name="_Dash Uni_BOM 10172005-Update_RFQ_River_BAFO_2008 0606_M1_Stream Quotebook(Submittal)_POC1_20080903 2" xfId="8738"/>
    <cellStyle name="差_Xl0000002_Squirrel UniBom-06.23.2010_update_internal_Bolt RFQ_Foxlink_03.1 2011_nego meeting@MACH 4" xfId="8739"/>
    <cellStyle name="_Dash Uni_BOM 10172005-Update_Stream RFQ Unibom--0626-1756" xfId="8740"/>
    <cellStyle name="好_River EE BOM_Creak Pearl Reliability Fixture RFQ_2009 04 24_Leopard RFQ ME BOM Costs-0618_Bolt RFQ_Foxlink_03.1 2011 3 3" xfId="8741"/>
    <cellStyle name="_Dash Uni_BOM 10172005-Update_Stream RFQ Unibom--0626-1756 2" xfId="8742"/>
    <cellStyle name="_Dash Uni_BOM 10172005-Update_Stream RFQ Unibom--0626-1756_Stream Package Quotation_20090311" xfId="8743"/>
    <cellStyle name="Input 8 2 2" xfId="8744"/>
    <cellStyle name="差_Creek RFQ feedback 04_28_2009_FD Update_Leopard RFQ ME BOM Costs-0618_Bolt RFQ_Foxlink_03.1 2011 3 2" xfId="8745"/>
    <cellStyle name="_Depot Capacity Rev02 040605-Rev1-2 modified_Budget GC Other Form" xfId="8746"/>
    <cellStyle name="_Dash Uni_BOM 10172005-Update_Stream RFQ Unibom--0626-1756_Stream Quotebook (Submittal)_POC2_20081117-1" xfId="8747"/>
    <cellStyle name="_Dash Uni_BOM 10172005-Update_Stream RFQ Unibom--0626-1756_Stream Quotebook(Submittal)_POC1_20080903" xfId="8748"/>
    <cellStyle name="_Dash Uni_BOM 10172005-Update_Stream RFQ Unibom--0626-1756_Stream Quotebook(Submittal)_POC1_20080903 2" xfId="8749"/>
    <cellStyle name="好_Creek EE BOM cost_20090425_Creek RFQ feedback 04_28_2009_FD Update_Jackson and Shadow BOM cost_mainfile_2010 0324 rev.1" xfId="8750"/>
    <cellStyle name="好_River EE BOM_Xl0000000_Foxlink_Shadow RFQ NREUni BOM_12032009_Bolt RFQ Proposal_Foxlink_ (Pricing Summary) 2 25 2011 5" xfId="8751"/>
    <cellStyle name="差_F3   SMT設備明細_效益分析_Dallas flow chart&amp;設備&amp;治工具清單(12-8 A0)_效益分析(總 12-28 Update)_squirrel效益分析08-17" xfId="8752"/>
    <cellStyle name="好_Creek Assembly Fixture  Test Equipment RFQ_20090427_Leopard UniBom_Foxlink_6 21 2010-ME_nego_Bolt RFQ_Foxlink_03.1 2011_nego meeting@MACH_Bolt_Cliff 2 2" xfId="8753"/>
    <cellStyle name="_Dash_BOM_FLK_Sinatra3_Jan05-07 (worksheet)" xfId="8754"/>
    <cellStyle name="好_River EE BOM_Xl0000000_Squirrel RFQ ME BOM Costs-0623 3 3" xfId="8755"/>
    <cellStyle name="好_Creek Assembly Fixture  Test Equipment RFQ_20090427_Leopard UniBom_Foxlink_6 21 2010-ME_nego_Bolt RFQ_Foxlink_03.1 2011_nego meeting@MACH_Bolt_Cliff 2 2 2" xfId="8756"/>
    <cellStyle name="壞_Creek EE BOM cost_20090425_Creek RFQ feedback 04_28_2009_FD Update_Squirrel UniBom-06.23.2010_update_internal_Bolt RFQ Proposal_Foxlink_ (Pricing Summary) 2 25 2011 6" xfId="8757"/>
    <cellStyle name="_Dash_BOM_FLK_Sinatra3_Jan05-07 (worksheet) 2" xfId="8758"/>
    <cellStyle name="_Dash_BOM_FLK_Sinatra3_Jan05-07 (worksheet)_Internal RFQ River Standalone  Bundle Unibom_v1 2_20080603_EJ" xfId="8759"/>
    <cellStyle name="好_River EE BOM_Creak Pearl Reliability Fixture RFQ_2009 04 24_Creek RFQ feedback 04_28_2009_FD Update_Leopard UniBom_Foxlink_6 21 2010-ME_nego_Bolt RFQ_Foxlink_03.1 2011_nego meeting@MACH 5" xfId="8760"/>
    <cellStyle name="_Jul04_WZS_Development_FY06 P4 CM Consigned RM" xfId="8761"/>
    <cellStyle name="_Dash_BOM_FLK_Sinatra3_Jan05-07 (worksheet)_Internal RFQ River Standalone  Bundle Unibom_v1 2_20080603_EJ 2" xfId="8762"/>
    <cellStyle name="_Dash_BOM_FLK_Sinatra3_Jan05-07 (worksheet)_Internal RFQ River Standalone  Bundle Unibom_v1 2_20080603_EJ_Stream Package Quotation_20090311" xfId="8763"/>
    <cellStyle name="差_Creak Pearl Reliability Fixture RFQ_2009 04 24_Xl0000002_Leopard_UniBOM_ME_0602_Bolt RFQ Proposal_Foxlink_ (Pricing Summary) 2 25 2011 4 3" xfId="8764"/>
    <cellStyle name="_Dash_BOM_FLK_Sinatra3_Jan05-07 (worksheet)_Internal RFQ River Standalone  Bundle Unibom_v1 2_20080603_EJ_Stream Quotebook (Submittal)_POC2_20081117-1" xfId="8765"/>
    <cellStyle name="好_River EE BOM_Creak Pearl Reliability Fixture RFQ_2009 04 24_Xl0000002_Leopard_UniBOM_ME_0603-2_Bolt RFQ_Foxlink_03.1 2011_nego meeting@MACH" xfId="8766"/>
    <cellStyle name="_Mulan Edge EP0 KRH CTB wk28_2_Copy of MOST Std - S1300 F2lines_Nazca copy exact flow chart 20120409" xfId="8767"/>
    <cellStyle name="_Mechanical Contribution Margins forecast 0506 FP_Tom OS ( Oct)_Forecast Template v4" xfId="8768"/>
    <cellStyle name="_Dash_BOM_FLK_Sinatra3_Jan05-07 (worksheet)_Internal RFQ River Standalone  Bundle Unibom_v1 2_20080603_EJ_Stream Quotebook(Submittal)_POC1_20080903" xfId="8769"/>
    <cellStyle name="好_River EE BOM_Creak Pearl Reliability Fixture RFQ_2009 04 24_Xl0000002_Leopard_UniBOM_ME_0603-2_Bolt RFQ_Foxlink_03.1 2011_nego meeting@MACH 2" xfId="8770"/>
    <cellStyle name="_Dash_BOM_FLK_Sinatra3_Jan05-07 (worksheet)_Internal RFQ River Standalone  Bundle Unibom_v1 2_20080603_EJ_Stream Quotebook(Submittal)_POC1_20080903 2" xfId="8771"/>
    <cellStyle name="差_Xl0000002_Leopard Lemur Squirrel UniBom-06.22.2010_EE cost _update_internal_Bolt RFQ_Foxlink_03.1 2011_nego meeting@MACH 3" xfId="8772"/>
    <cellStyle name="Normal 4 10" xfId="8773"/>
    <cellStyle name="_Dash_BOM_FLK_Sinatra3_Jan05-07 (worksheet)_RFQ_River_BAFO_2008 0606_M1" xfId="8774"/>
    <cellStyle name="_WWF FY02 Budget REV &amp; FE_FY06 P8 CM Consigned RM" xfId="8775"/>
    <cellStyle name="差_Xl0000002_Leopard Lemur Squirrel UniBom-06.22.2010_EE cost _update_internal_Bolt RFQ_Foxlink_03.1 2011_nego meeting@MACH 3 2" xfId="8776"/>
    <cellStyle name="差_Creak Pearl Reliability Fixture RFQ_2009 04 24_Xl0000002_Leopard RFQ ME BOM Costs-0618_Bolt RFQ Proposal_Foxlink_ (Pricing Summary) 2 25 2011 2 3" xfId="8777"/>
    <cellStyle name="Normal 4 10 2" xfId="8778"/>
    <cellStyle name="_Dash_BOM_FLK_Sinatra3_Jan05-07 (worksheet)_RFQ_River_BAFO_2008 0606_M1 2" xfId="8779"/>
    <cellStyle name="好_Creek Assembly Fixture  Test Equipment RFQ_20090427_Leopard RFQ ME BOM Costs-0618_Bolt RFQ_Foxlink_03.1 2011_nego meeting@MACH 3 3" xfId="8780"/>
    <cellStyle name="_Dash_BOM_FLK_Sinatra3_Jan05-07 (worksheet)_RFQ_River_BAFO_2008 0606_M1_Stream Package Quotation_20090311" xfId="8781"/>
    <cellStyle name="_Dash_BOM_FLK_Sinatra3_Jan05-07 (worksheet)_RFQ_River_BAFO_2008 0606_M1_Stream Quotebook (Submittal)_POC2_20081117-1" xfId="8782"/>
    <cellStyle name="好_River EE BOM_Creak Pearl Reliability Fixture RFQ_2009 04 24_Creek  Pearl RFQ_May 12_Squirrel UniBom-06.23.2010_update_internal_Bolt RFQ_Foxlink_03.1 2011 4" xfId="8783"/>
    <cellStyle name="_Dash_BOM_FLK_Sinatra3_Jan05-07 (worksheet)_RFQ_River_BAFO_2008 0606_M1_Stream Quotebook(Submittal)_POC1_20080903" xfId="8784"/>
    <cellStyle name="差_Flow Chart&amp;PQ分析(12-1)_Jackson 效益分析 testing update_16th Jan111_Jackson 效益分析 (2-1 B0 上系統)_Leopard效益分析08-17" xfId="8785"/>
    <cellStyle name="40% - Accent5 3 5" xfId="8786"/>
    <cellStyle name="_Dash_BOM_FLK_Sinatra3_Jan05-07 (worksheet)_RFQ_River_BAFO_2008 0606_M1_Stream Quotebook(Submittal)_POC1_20080903 2" xfId="8787"/>
    <cellStyle name="Subtotal" xfId="8788"/>
    <cellStyle name="差_Xl0000000_Leopard UniBom_Foxlink_6 21 2010-ME_nego_Bolt RFQ_Foxlink_03.1 2011 5" xfId="8789"/>
    <cellStyle name="_Flex Mechanicals Doumen Sales forecast - Dec'05 R1_PL Fcst Jul 06-updated G&amp;A Value_2009 xBOX ramp up budget code applicaiton" xfId="8790"/>
    <cellStyle name="_Dash_BOM_FLK_Sinatra3_Jan05-07 (worksheet)_Stream RFQ Unibom--0626-1756 2" xfId="8791"/>
    <cellStyle name="_Dash_BOM_FLK_Sinatra3_Jan05-07 (worksheet)_Stream RFQ Unibom--0626-1756_Stream Package Quotation_20090311" xfId="8792"/>
    <cellStyle name="差_Creak Pearl Reliability Fixture RFQ_2009 04 24_Xl0000002_Leopard UniBom_Foxlink_6 21 2010-ME_nego_Bolt RFQ Proposal_Foxlink_ (Pricing Summary) 2 25 2011 6" xfId="8793"/>
    <cellStyle name="_Dash_BOM_FLK_Sinatra3_Jan05-07 (worksheet)_Stream RFQ Unibom--0626-1756_Stream Quotebook (Submittal)_POC2_20081117-1" xfId="8794"/>
    <cellStyle name="_PPV ALLOCATION-Nov04_Dawson_RFP_Foxlink_Response_Proposal 的 工作表_Stream RFQ Unibom--0626-1756 2" xfId="8795"/>
    <cellStyle name="_Dash_BOM_FLK_Sinatra3_Jan05-07 (worksheet)_Stream RFQ Unibom--0626-1756_Stream Quotebook(Submittal)_POC1_20080903" xfId="8796"/>
    <cellStyle name="60% - 强调文字颜色 2 3 4" xfId="8797"/>
    <cellStyle name="_Dash_BOM_MS_Jan02-07 (worksheet)" xfId="8798"/>
    <cellStyle name="60% - 强调文字颜色 4 3 4" xfId="8799"/>
    <cellStyle name="_Dash_BOM_MS_Jan02-07 (worksheet) 2" xfId="8800"/>
    <cellStyle name="Normal 8 10" xfId="8801"/>
    <cellStyle name="_Raw Materials Analysis Report_FY06 P6 CM Consigned RM" xfId="8802"/>
    <cellStyle name="_Dash_BOM_MS_Jan02-07 (worksheet)_Internal RFQ River Standalone  Bundle Unibom_v1 2_20080603_EJ 2" xfId="8803"/>
    <cellStyle name="Normal 12 15" xfId="8804"/>
    <cellStyle name="_Dash_BOM_MS_Jan02-07 (worksheet)_Internal RFQ River Standalone  Bundle Unibom_v1 2_20080603_EJ_Stream Package Quotation_20090311" xfId="8805"/>
    <cellStyle name="_Dash_BOM_MS_Jan02-07 (worksheet)_Internal RFQ River Standalone  Bundle Unibom_v1 2_20080603_EJ_Stream Quotebook (Submittal)_POC2_20081117-1" xfId="8806"/>
    <cellStyle name="_Dash_BOM_MS_Jan02-07 (worksheet)_Internal RFQ River Standalone  Bundle Unibom_v1 2_20080603_EJ_Stream Quotebook(Submittal)_POC1_20080903 2" xfId="8807"/>
    <cellStyle name="好_River EE BOM_Creak Pearl Reliability Fixture RFQ_2009 04 24_Xl0000002_Leopard UniBom_Foxlink_6 21 2010-ME_nego_Bolt RFQ Proposal_Foxlink_ (Pricing Summary) 2 25 2011 5 3" xfId="8808"/>
    <cellStyle name="好_MB9月管審誤判超標 8D_2009MB KPI_MBO3F製造部hp0209-01 3 2" xfId="8809"/>
    <cellStyle name="_Dash_BOM_MS_Jan02-07 (worksheet)_RFQ_River_BAFO_2008 0606_M1" xfId="8810"/>
    <cellStyle name="差_Creak Pearl Reliability Fixture RFQ_2009 04 24_Pearl RFQ(Submittal)ver2_05_12_2009 _Foxlink_Shadow RFQ NREUni BOM_12032009_Bolt RFQ Proposal_Foxlink_ (Pricing Summary) 2 25 2011 5" xfId="8811"/>
    <cellStyle name="好_MB9月管審誤判超標 8D_2009MB KPI_MBO3F製造部hp0209-01 3 2 2" xfId="8812"/>
    <cellStyle name="_Dash_BOM_MS_Jan02-07 (worksheet)_RFQ_River_BAFO_2008 0606_M1 2" xfId="8813"/>
    <cellStyle name="好_Creek Assembly Fixture  Test Equipment RFQ_20090427_Xl0000002_Leopard_UniBOM_ME_0602 3" xfId="8814"/>
    <cellStyle name="_Dash_BOM_MS_Jan02-07 (worksheet)_RFQ_River_BAFO_2008 0606_M1_Stream Package Quotation_20090311" xfId="8815"/>
    <cellStyle name="差_0842周 顯卡報廢超標8D 2 2" xfId="8816"/>
    <cellStyle name="好_K TEST 5" xfId="8817"/>
    <cellStyle name="_Dash_BOM_MS_Jan02-07 (worksheet)_RFQ_River_BAFO_2008 0606_M1_Stream Quotebook (Submittal)_POC2_20081117-1" xfId="8818"/>
    <cellStyle name="_Dash_BOM_MS_Jan02-07 (worksheet)_RFQ_River_BAFO_2008 0606_M1_Stream Quotebook(Submittal)_POC1_20080903" xfId="8819"/>
    <cellStyle name="_Dash_BOM_MS_Jan02-07 (worksheet)_RFQ_River_BAFO_2008 0606_M1_Stream Quotebook(Submittal)_POC1_20080903 2" xfId="8820"/>
    <cellStyle name="_Dash_BOM_MS_Jan02-07 (worksheet)_Stream RFQ Unibom--0626-1756" xfId="8821"/>
    <cellStyle name="_MCT Error Description (3.18)_Yield report for Dev01975 (3)" xfId="8822"/>
    <cellStyle name="差_Creak Pearl Reliability Fixture RFQ_2009 04 24_Creek  Pearl RFQ_May 12_Squirrel UniBom-06.23.2010_update_internal 3 2" xfId="8823"/>
    <cellStyle name="好_River EE BOM_Xl0000000_Leopard UniBom_Foxlink_6 21 2010-nego" xfId="8824"/>
    <cellStyle name="_Dash_BOM_MS_Jan02-07 (worksheet)_Stream RFQ Unibom--0626-1756_Stream Package Quotation_20090311" xfId="8825"/>
    <cellStyle name="差_F3   SMT設備明細_MS Bolt wireless mouse FixtureEquipment Cost_A5_2010_02_21 2 2 3" xfId="8826"/>
    <cellStyle name="Input 10 2 3" xfId="8827"/>
    <cellStyle name="_Dash_BOM_MS_Jan02-07 (worksheet)_Stream RFQ Unibom--0626-1756_Stream Quotebook (Submittal)_POC2_20081117-1" xfId="8828"/>
    <cellStyle name="好_River EE BOM_Creak Pearl Reliability Fixture RFQ_2009 04 24_Pearl RFQ(Submittal)ver2_05_12_2009 _Squirrel UniBom-06.23.2010_update_internal 4" xfId="8829"/>
    <cellStyle name="好_River EE BOM_Creek RFQ feedback 04_28_2009_FD Update_Squirrel UniBom-06.23.2010_update_internal_Bolt RFQ_Foxlink_03.1 2011 2" xfId="8830"/>
    <cellStyle name="_Dash_BOM_MS_Jan02-07 (worksheet)_Stream RFQ Unibom--0626-1756_Stream Quotebook(Submittal)_POC1_20080903" xfId="8831"/>
    <cellStyle name="好_River EE BOM_Creek RFQ feedback 04_28_2009_FD Update_Squirrel UniBom-06.23.2010_update_internal_Bolt RFQ_Foxlink_03.1 2011 2 2" xfId="8832"/>
    <cellStyle name="_Mechanical Contribution Margins (Q1'06, applied to Apr'04 Fcst)_Volume Fcst 1006 updated_Tom OS ( Oct)_X-BOX BB" xfId="8833"/>
    <cellStyle name="_Dash_BOM_MS_Jan02-07 (worksheet)_Stream RFQ Unibom--0626-1756_Stream Quotebook(Submittal)_POC1_20080903 2" xfId="8834"/>
    <cellStyle name="Green" xfId="8835"/>
    <cellStyle name="_Dash_Production Line Intro_050921" xfId="8836"/>
    <cellStyle name="_Dash_Production Line Intro_061228 的 工作表" xfId="8837"/>
    <cellStyle name="Normal 3 4 2 2" xfId="8838"/>
    <cellStyle name="Neutral 15" xfId="8839"/>
    <cellStyle name="_Dec Freight analysis value" xfId="8840"/>
    <cellStyle name="差_Creak Pearl Reliability Fixture RFQ_2009 04 24_Creek  Pearl RFQ_May 12_Leopard RFQ ME BOM Costs-0618-2_Bolt RFQ Proposal_Foxlink_ (Pricing Summary) 2 25 2011 6" xfId="8841"/>
    <cellStyle name="_internal- uPad-D Quotebook_20080521_v1.2_RFQ_River_BAFO_2008 0606_M1_Stream Package Quotation_20090311" xfId="8842"/>
    <cellStyle name="_Dec Freight analysis value_FY06 P4 CM Consigned RM" xfId="8843"/>
    <cellStyle name="好_Creek Assembly Fixture  Test Equipment RFQ_20090427_Bolt_Cliff" xfId="8844"/>
    <cellStyle name="差_Xl0000002_Leopard RFQ ME BOM Costs-0618-2_Bolt RFQ_Foxlink_03.1 2011 3" xfId="8845"/>
    <cellStyle name="好_Creek Assembly Fixture  Test Equipment RFQ_20090427_Bolt RFQ_Foxlink_03.1 2011_nego meeting@MACH_Bolt_Cliff 2 2 2" xfId="8846"/>
    <cellStyle name="_Dec Freight analysis value_FY06 P6 CM Consigned RM" xfId="8847"/>
    <cellStyle name="好_River EE BOM_Creak Pearl Reliability Fixture RFQ_2009 04 24 2 2 3" xfId="8848"/>
    <cellStyle name="_Dec Freight analysis value_FY06 P6 XBox 360 Mfg Var - Close Pack" xfId="8849"/>
    <cellStyle name="_Dec Freight analysis value_FY06 Xenon Console Other Mfg Costs Forecast - january v1" xfId="8850"/>
    <cellStyle name="_Dec Freight analysis value_P2 Waynea review" xfId="8851"/>
    <cellStyle name="好_Creek EE BOM cost_20090425_Leopard RFQ ME BOM Costs-0618-2_Bolt RFQ Proposal_Foxlink_ (Pricing Summary) 2 25 2011 4 2" xfId="8852"/>
    <cellStyle name="_December BOM Details" xfId="8853"/>
    <cellStyle name="_delday9902" xfId="8854"/>
    <cellStyle name="好_River EE BOM_Xl0000002_Leopard_UniBOM_ME_0603-2_Bolt RFQ_Foxlink_03.1 2011_nego meeting@MACH 2 2" xfId="8855"/>
    <cellStyle name="_dell carrier站別評估0108" xfId="8856"/>
    <cellStyle name="Check Cell 6" xfId="8857"/>
    <cellStyle name="_DELL Field Returns Inventory 01Mar04'2" xfId="8858"/>
    <cellStyle name="_DELL Field Returns Inventory 01Mar04'2_Lenovo PACK  Packing Proposal" xfId="8859"/>
    <cellStyle name="_DELL Field Returns Inventory 01Mar04'2_Lenovo Park Format_July 07 05" xfId="8860"/>
    <cellStyle name="好_Creek EE BOM cost_20090425_Leopard_UniBOM_ME_0531_Bolt RFQ_Foxlink_03.1 2011_nego meeting@MACH 2 3" xfId="8861"/>
    <cellStyle name="_DELL Field Returns Inventory 01Mar04'2_Lenovo Park Format_July 07 05V2" xfId="8862"/>
    <cellStyle name="_Dell Fields Return Cost Estimaton - 20040308_Lenovo PACK  Packing Proposal" xfId="8863"/>
    <cellStyle name="好_River EE BOM_Creak Pearl Reliability Fixture RFQ_2009 04 24_Creek RFQ feedback 04_28_2009_FD Update_Squirrel RFQ ME BOM Costs-0623_Bolt RFQ_Foxlink_03.1 2011_nego meeting@MACH 2 2" xfId="8864"/>
    <cellStyle name="Normal 13 5" xfId="8865"/>
    <cellStyle name="_Dell Fields Return Cost Estimaton - 20040308_Lenovo Park Format_July 07 05" xfId="8866"/>
    <cellStyle name="_Dell Fields Return Cost Estimaton - 20040308_Lenovo Park Format_July 07 05V2" xfId="8867"/>
    <cellStyle name="差 3 2 3" xfId="8868"/>
    <cellStyle name="_Dell MB APCC EMF Bax (Nov 25)" xfId="8869"/>
    <cellStyle name="好_MB9月管審換線超時8d_HP 3 2" xfId="8870"/>
    <cellStyle name="_Dell MB APCC EMF Bax (Nov 25)_Lenovo PACK  Packing Proposal" xfId="8871"/>
    <cellStyle name="差_Creak Pearl Reliability Fixture RFQ_2009 04 24_Creek  Pearl RFQ_May 12_Squirrel RFQ ME BOM Costs-0623 3 2" xfId="8872"/>
    <cellStyle name="好_Erie 效益分析 (Update)_Flow Chart&amp;設備治工具清單 " xfId="8873"/>
    <cellStyle name="_Dell MB APCC EMF Bax (Nov 25)_Lenovo Park Format_July 07 05" xfId="8874"/>
    <cellStyle name="_Dell MB APCC EMF Bax (Nov 25)_Lenovo Park Format_July 07 05V2" xfId="8875"/>
    <cellStyle name="好_成本明細-LLS_20100812" xfId="8876"/>
    <cellStyle name="Normal 5 19 3" xfId="8877"/>
    <cellStyle name="_Dell MB to AMF Frt Pricing - 20040309_Lenovo PACK  Packing Proposal" xfId="8878"/>
    <cellStyle name="_Dell MB to AMF Frt Pricing - 20040309_Lenovo Park Format_July 07 05V2" xfId="8879"/>
    <cellStyle name="差_Creak Pearl Reliability Fixture RFQ_2009 04 24_Creek  Pearl RFQ_May 12_Leopard RFQ ME BOM Costs-0618-2_Bolt RFQ Proposal_Foxlink_ (Pricing Summary) 2 25 2011 4" xfId="8880"/>
    <cellStyle name="_Dell MB to AMF Pricing - 20040308" xfId="8881"/>
    <cellStyle name="_Dell MB to AMF Pricing - 20040308_Lenovo PACK  Packing Proposal" xfId="8882"/>
    <cellStyle name="差_效益分析&amp;產能評估_M1 Bolt wireless mouse FixtureEquipment Cost_A2_2010_12_07_Bolt RFQ Proposal_Foxlink_ (Pricing Summary) 2 25 2011 4 2" xfId="8883"/>
    <cellStyle name="_Dell MB to AMF Pricing - 20040308_Lenovo Park Format_July 07 05" xfId="8884"/>
    <cellStyle name="_Dell MB to AMF Pricing - 20040308_Lenovo Park Format_July 07 05V2" xfId="8885"/>
    <cellStyle name="差_Creek RFQ feedback 04_28_2009_FD Update_Squirrel UniBom-06.23.2010_update_internal_Bolt RFQ_Foxlink_03.1 2011 3 3" xfId="8886"/>
    <cellStyle name="_DELL OP" xfId="8887"/>
    <cellStyle name="差_Creak Pearl Reliability Fixture RFQ_2009 04 24_Pearl RFQ(Submittal)ver2_05_12_2009 _Leopard_UniBOM_ME_0603-2_Bolt RFQ_Foxlink_03.1 2011_nego meeting@MACH 2 3" xfId="8888"/>
    <cellStyle name="一般 4" xfId="8889"/>
    <cellStyle name="_Depot Capacity Rev02 040605-Rev1-2 modified_2009 xBOX ramp up budget code applicaiton" xfId="8890"/>
    <cellStyle name="差_Creak Pearl Reliability Fixture RFQ_2009 04 24_Leopard_UniBOM_ME_0603-2 2 3" xfId="8891"/>
    <cellStyle name="好_River EE BOM_Creak Pearl Reliability Fixture RFQ_2009 04 24_Creek RFQ feedback 04_28_2009_FD Update_Squirrel RFQ ME BOM Costs-0623_Bolt RFQ_Foxlink_03.1 2011 2 3" xfId="8892"/>
    <cellStyle name="_Depot Capacity Rev02 040605-Rev1-2 modified_2009 xBOX ramp up budget code applicaiton 300K --New May26 (3)" xfId="8893"/>
    <cellStyle name="_Mulan Edge EP0 KRH CTB wk28_2_Copy of MOST Std - S1300 F2lines_FMTQCI-MIS3H064-P027(01)Nazca Copy Exact Flow chart" xfId="8894"/>
    <cellStyle name="_Depot Capacity Rev02 040605-Rev1-2 modified_2009 xBOX ramp up budget code applicaiton 300K --New May27" xfId="8895"/>
    <cellStyle name="_Depot Capacity Rev02 040605-Rev1-2 modified_Copy of X-BOX for line setup budget" xfId="8896"/>
    <cellStyle name="_Depot Capacity Rev02 040605-Rev1-2 modified_Forecast Template v2" xfId="8897"/>
    <cellStyle name="好_Creek EE BOM cost_20090425_Foxlink_Shadow RFQ NREUni BOM_12032009_Bolt RFQ Proposal_Foxlink_ (Pricing Summary) 2 25 2011 5" xfId="8898"/>
    <cellStyle name="_Depot Capacity Rev02 040605-Rev1-2 modified_Forecast Template v2_2009 xBOX ramp up budget code applicaiton" xfId="8899"/>
    <cellStyle name="_Depot Capacity Rev02 040605-Rev1-2 modified_Forecast Template v2_2009 xBOX ramp up budget code applicaiton 300K --New May27" xfId="8900"/>
    <cellStyle name="好_Creek EE BOM cost_20090425_Leopard_UniBOM_ME_0603-2_Bolt RFQ_Foxlink_03.1 2011 3" xfId="8901"/>
    <cellStyle name="_Depot Capacity Rev02 040605-Rev1-2 modified_Forecast Template v2_Budget GC Other Form" xfId="8902"/>
    <cellStyle name="好_Creek EE BOM cost_20090425_Creek RFQ feedback 04_28_2009_FD Update_Squirrel RFQ ME BOM Costs-0623 2 2 3" xfId="8903"/>
    <cellStyle name="_Depot Capacity Rev02 040605-Rev1-2 modified_Forecast Template v2_Copy of X-BOX for line setup budget" xfId="8904"/>
    <cellStyle name="差_Xl0000000_Leopard RFQ ME BOM Costs-0618-2_Bolt RFQ Proposal_Foxlink_ (Pricing Summary) 2 25 2011 3" xfId="8905"/>
    <cellStyle name="_PL Fcst Jul 06-updated G&amp;A Value_Tom OS ( Oct)_X-BOX BB" xfId="8906"/>
    <cellStyle name="_Depot Capacity Rev02 040605-Rev1-2 modified_Forecast Template v2_Forecast Template v4" xfId="8907"/>
    <cellStyle name="好_River EE BOM_Creek RFQ feedback 04_28_2009_FD Update_Leopard_UniBOM_ME_0602-1_Bolt RFQ Proposal_Foxlink_ (Pricing Summary) 2 25 2011 2 2" xfId="8908"/>
    <cellStyle name="差_jupite r設備&amp;治工具LIST (總)_Flow Chart(shadow)-b (1-4 Update)_~1159284" xfId="8909"/>
    <cellStyle name="_Depot Capacity Rev02 040605-Rev1-2 modified_Forecast Template v2_X-BOX BB" xfId="8910"/>
    <cellStyle name="差_Creak Pearl Reliability Fixture RFQ_2009 04 24_Creek RFQ feedback 04_28_2009_FD Update_Leopard Lemur Squirrel UniBom-06.22.2010_EE cost _update_internal 2 4" xfId="8911"/>
    <cellStyle name="差_Creak Pearl Reliability Fixture RFQ_2009 04 24_Pearl RFQ(Submittal)ver2_05_12_2009 _Leopard UniBom_Foxlink_6 21 2010-ME_nego_Bolt RFQ_Foxlink_03.1 2011 2 3" xfId="8912"/>
    <cellStyle name="_Depot Capacity Rev02 040605-Rev1-2 modified_Forecast Template v2_X-BOX Console line setup budget 20080414" xfId="8913"/>
    <cellStyle name="_Depot Capacity Rev02 040605-Rev1-2 modified_Forecast Template v2_X-BOX Console line setup budget and Buyer list" xfId="8914"/>
    <cellStyle name="_Flextronics Radon  Build Plan 4-27-2005_Xbox Capacity ramp plan (2) (4)" xfId="8915"/>
    <cellStyle name="_Depot Capacity Rev02 040605-Rev1-2 modified_Forecast Template v4" xfId="8916"/>
    <cellStyle name="20% - Accent6 3 3" xfId="8917"/>
    <cellStyle name="_Depot Capacity Rev02 040605-Rev1-2 modified_plforecastsample" xfId="8918"/>
    <cellStyle name="_Depot Capacity Rev02 040605-Rev1-2 modified_plforecastsample_2009 xBOX ramp up budget code applicaiton" xfId="8919"/>
    <cellStyle name="_June Freight analysis v_Prelim_FY06 P4 CM Consigned RM" xfId="8920"/>
    <cellStyle name="_Depot Capacity Rev02 040605-Rev1-2 modified_plforecastsample_2009 xBOX ramp up budget code applicaiton 300K --New May26 (3)" xfId="8921"/>
    <cellStyle name="差_HP  專案(設備&amp;治工具需夠買)update_Erie 效益分析 (Update)_squirrel效益分析08-17" xfId="8922"/>
    <cellStyle name="_Depot Capacity Rev02 040605-Rev1-2 modified_plforecastsample_2009 xBOX ramp up budget code applicaiton 300K --New May27" xfId="8923"/>
    <cellStyle name="差_Creek RFQ feedback 04_28_2009_FD Update_Leopard UniBom_Foxlink_6 21 2010-ME_nego_Bolt RFQ_Foxlink_03.1 2011 2 2" xfId="8924"/>
    <cellStyle name="_Depot Capacity Rev02 040605-Rev1-2 modified_plforecastsample_Budget GC Other Form" xfId="8925"/>
    <cellStyle name="好_Bristol ME parts quotation 20101021-Rev4" xfId="8926"/>
    <cellStyle name="_Depot Capacity Rev02 040605-Rev1-2 modified_plforecastsample_Copy of X-BOX for line setup budget" xfId="8927"/>
    <cellStyle name="_Depot Capacity Rev02 040605-Rev1-2 modified_plforecastsample_Forecast Template v4" xfId="8928"/>
    <cellStyle name="好_River EE BOM_Creak Pearl Reliability Fixture RFQ_2009 04 24_Xl0000002_Leopard_UniBOM_ME_0602-1_Bolt RFQ Proposal_Foxlink_ (Pricing Summary) 2 25 2011 3 3" xfId="8929"/>
    <cellStyle name="_Depot Capacity Rev02 040605-Rev1-2 modified_plforecastsample_X-BOX Console line setup budget 20080414" xfId="8930"/>
    <cellStyle name="差_Xl0000002_Leopard_UniBOM_ME_0602-1_Bolt RFQ_Foxlink_03.1 2011_nego meeting@MACH 2" xfId="8931"/>
    <cellStyle name="_Depot Capacity Rev02 040605-Rev1-2 modified_plforecastsample_X-BOX Console line setup budget and Buyer list" xfId="8932"/>
    <cellStyle name="_Depot Capacity Rev02 040605-Rev1-2 modified_X-BOX BB" xfId="8933"/>
    <cellStyle name="_Depot Capacity Rev02 040605-Rev1-2 modified_X-BOX Console line setup budget 20080414" xfId="8934"/>
    <cellStyle name="好_River EE BOM_Creak Pearl Reliability Fixture RFQ_2009 04 24_Creek  Pearl RFQ_May 12_Foxlink_Shadow RFQ NREUni BOM_12032009_Bolt RFQ Proposal_Foxlink_ (Pricing Summary) 2 25 2011 2 3" xfId="8935"/>
    <cellStyle name="_Depot Capacity Rev02 040605-Rev1-2 modified_X-BOX Console line setup budget and Buyer list" xfId="8936"/>
    <cellStyle name="_DL Forecast Demand of FY09 (3)" xfId="8937"/>
    <cellStyle name="差_Creek RFQ feedback 04_28_2009_FD Update_Leopard_UniBOM_ME_0531 2 2 3" xfId="8938"/>
    <cellStyle name="_Summary Fcast v Budget_FY06 P7 CM Consigned RM" xfId="8939"/>
    <cellStyle name="_DL hiring plan 1-27-08" xfId="8940"/>
    <cellStyle name="差_jupite r設備&amp;治工具LIST (總)_~8644671_~1159284" xfId="8941"/>
    <cellStyle name="好_River EE BOM_Creek RFQ feedback 04_28_2009_FD Update_Foxlink_Shadow RFQ NREUni BOM_12032009 2 2" xfId="8942"/>
    <cellStyle name="Normal 3 4 3 2" xfId="8943"/>
    <cellStyle name="40% - 强调文字颜色 2 2 2" xfId="8944"/>
    <cellStyle name="_DL Hiring plan 2006-5-29" xfId="8945"/>
    <cellStyle name="汇总 5 5" xfId="8946"/>
    <cellStyle name="差_Xl0000002_Foxlink_Shadow RFQ NREUni BOM_12032009_Bolt RFQ Proposal_Foxlink_ (Pricing Summary) 2 25 2011" xfId="8947"/>
    <cellStyle name="_Flex Mechanicals Doumen Sales forecast - Dec'05 R1_PL Fcst Jul 06-updated G&amp;A Value_Copy of X-BOX for line setup budget" xfId="8948"/>
    <cellStyle name="好_201005人數彙總" xfId="8949"/>
    <cellStyle name="通貨_0298.xls グラフ 1" xfId="8950"/>
    <cellStyle name="_DL hiring plan 2-27-08" xfId="8951"/>
    <cellStyle name="_MOTO SLIC300MP FOB HK Transport Pricing(Target Volume)_Salcomp FCA HK Transport Pricing Dec11_Lenovo Park Format_July 07 05V2" xfId="8952"/>
    <cellStyle name="差_Creak Pearl Reliability Fixture RFQ_2009 04 24_Creek RFQ feedback 04_28_2009_FD Update_Leopard Lemur Squirrel UniBom-06.22.2010_EE cost _update_internal_Bolt RFQ_Foxlink_03.1 2011_nego meeting@MACH 3" xfId="8953"/>
    <cellStyle name="_DL hiring plan 3-15-08" xfId="8954"/>
    <cellStyle name="_DL hiring plan 4-20-2 (2)" xfId="8955"/>
    <cellStyle name="_DL hiring plan 5-30" xfId="8956"/>
    <cellStyle name="_DL hiring plan 6-12" xfId="8957"/>
    <cellStyle name="_DL status 0612" xfId="8958"/>
    <cellStyle name="好_River EE BOM_Creak Pearl Reliability Fixture RFQ_2009 04 24_Pearl RFQ(Submittal)ver2_05_12_2009 _Leopard_UniBOM_ME_0531_Bolt RFQ_Foxlink_03.1 2011 3 2" xfId="8959"/>
    <cellStyle name="_DL status for production" xfId="8960"/>
    <cellStyle name="Heading 3 4" xfId="8961"/>
    <cellStyle name="_DM High Level  Plan" xfId="8962"/>
    <cellStyle name="_DMP-001-F5.04 TQC Instruction format" xfId="8963"/>
    <cellStyle name="_DMP-001-F5.04 TQC Instruction format_FMTQCI-MIS3H064-P027(01)Nazca Copy Exact Flow chart" xfId="8964"/>
    <cellStyle name="好_River EE BOM_Creek RFQ feedback 04_28_2009_FD Update_Leopard_UniBOM_ME_0602_Bolt RFQ Proposal_Foxlink_ (Pricing Summary) 2 25 2011 2 2" xfId="8965"/>
    <cellStyle name="_DMP-001-F5.04 TQC Instruction format_Nazca copy exact flow chart 20120409" xfId="8966"/>
    <cellStyle name="_DMP-001-F5.04 TQC Instruction format_Nazca copy exact flow chart 2012313" xfId="8967"/>
    <cellStyle name="_DOI for ww18.2 DOI" xfId="8968"/>
    <cellStyle name="差_Xl0000002_Bolt RFQ_Foxlink_03.1 2011 3 2" xfId="8969"/>
    <cellStyle name="_Dongle_ME_BOM_v0.1 2" xfId="8970"/>
    <cellStyle name="_DTV Bundles" xfId="8971"/>
    <cellStyle name="好_River EE BOM_Creak Pearl Reliability Fixture RFQ_2009 04 24_Pearl RFQ(Submittal)ver2_05_12_2009 _Leopard RFQ ME BOM Costs-0618-2 3 2" xfId="8972"/>
    <cellStyle name="_DTV Bundles_FY06 P4 CM Consigned RM" xfId="8973"/>
    <cellStyle name="_DTV Bundles_FY06 P6 CM Consigned RM" xfId="8974"/>
    <cellStyle name="_W522 4 Mulan Edge EP0 CTB_Copy of MOST Std - S1300 F2lines_Nazca copy exact flow chart 2012313" xfId="8975"/>
    <cellStyle name="_DTV Bundles_FY06 P7 CM Consigned RM" xfId="8976"/>
    <cellStyle name="_DV30 -061204" xfId="8977"/>
    <cellStyle name="_EE_BOM" xfId="8978"/>
    <cellStyle name="_Ellen Procurement Plan 20050512" xfId="8979"/>
    <cellStyle name="_Mechanical Contribution Margins (Q2'06) 0705_PL Forecast by segment-most final 0806_2009 xBOX ramp up budget code applicaiton 300K --New May26 (3)" xfId="8980"/>
    <cellStyle name="_Ellen Procurement Plan 20050512_Copy of MOST Std - S1300 F2lines" xfId="8981"/>
    <cellStyle name="好_Creek EE BOM cost_20090425_Creek RFQ feedback 04_28_2009_FD Update_Leopard_UniBOM_ME_0531_Bolt RFQ Proposal_Foxlink_ (Pricing Summary) 2 25 2011 2" xfId="8982"/>
    <cellStyle name="好_Bristol  cost 20100914Rev.A_Bristol ME parts tooling cost 20101022 updated_Bristol TC Estimate Update 08112011_internal working file" xfId="8983"/>
    <cellStyle name="_Mpos Forecast on Sep 292005_Scenario 2 of recovery until 1116_Tester Demand Plan 062707" xfId="8984"/>
    <cellStyle name="_Ernestine Parts Budgetary Quote - LA (20060319)_RFQ_River_BAFO_2008 0606_M1_Stream Quotebook(Submittal)_POC1_20080903 2" xfId="8985"/>
    <cellStyle name="_Ellen Procurement Plan 20050512_Copy of MOST Std - S1300 F2lines_FMTQCI-MIS3H064-P027(01)Nazca Copy Exact Flow chart" xfId="8986"/>
    <cellStyle name="_Ellen Procurement Plan 20050512_Copy of MOST Std - S1300 F2lines_Nazca copy exact flow chart 20120409" xfId="8987"/>
    <cellStyle name="_Ellen Procurement Plan 20050512_Copy of MOST Std - S1300 F2lines_Nazca copy exact flow chart 2012313" xfId="8988"/>
    <cellStyle name="_Ellen Procurement Plan 20050512_MOST Std - S1300 F2lines" xfId="8989"/>
    <cellStyle name="_Ellen Procurement Plan 20050512_MOST Std - S1300 F2lines_FMTQCI-MIS3H064-P027(01)Nazca Copy Exact Flow chart" xfId="8990"/>
    <cellStyle name="_Ellen Procurement Plan 20050512_MOST Std - S1300 F2lines_Nazca copy exact flow chart 20120409" xfId="8991"/>
    <cellStyle name="差_dallas產能評估_Dallas flow chart&amp;設備&amp;治工具清單(12-8 A0)_Jackson 效益分析 testing update_16th Jan1_Jackson 效益分析 (2-1 B0 上系統)_squirrel效益分析08-17" xfId="8992"/>
    <cellStyle name="_Ellen Procurement Plan 20050512_MOST Std - S1300 F2lines_Nazca copy exact flow chart 2012313" xfId="8993"/>
    <cellStyle name="差_Creak Pearl Reliability Fixture RFQ_2009 04 24_Creek RFQ feedback 04_28_2009_FD Update_Leopard RFQ ME BOM Costs-0618_Bolt RFQ_Foxlink_03.1 2011_nego meeting@MACH 3" xfId="8994"/>
    <cellStyle name="_Forecast - Segment WTJune06_plforecastsample_Copy of X-BOX for line setup budget" xfId="8995"/>
    <cellStyle name="_Ellen Procurement Plan 20050512_Nazca copy exact flow chart 20120409" xfId="8996"/>
    <cellStyle name="好_MB9月管審換線超時8d 6 3" xfId="8997"/>
    <cellStyle name="好_foxlink Bristol for 10063D-2010-10-11_Bristol RFQ response _20101102_internal (4)_Bristol TC Estimate Update 07292011" xfId="8998"/>
    <cellStyle name="_Ellen Procurement Plan 20050512_Nazca copy exact flow chart 2012313" xfId="8999"/>
    <cellStyle name="_Ellen Procurement Plan 20050530" xfId="9000"/>
    <cellStyle name="差_MB9月管審誤判超標 8D_2009MB KPI_MBO3F製造部hp0209-01 5 3" xfId="9001"/>
    <cellStyle name="好_River EE BOM_Creak Pearl Reliability Fixture RFQ_2009 04 24_Creek  Pearl RFQ_May 12_Leopard RFQ ME BOM Costs-0618-2_Bolt RFQ Proposal_Foxlink_ (Pricing Summary) 2 25 2011 2 2" xfId="9002"/>
    <cellStyle name="Currency 7" xfId="9003"/>
    <cellStyle name="Accent2 - 40%" xfId="9004"/>
    <cellStyle name="_Ellen Procurement Plan 20050530_Copy of MOST Std - S1300 F2lines_FMTQCI-MIS3H064-P027(01)Nazca Copy Exact Flow chart" xfId="9005"/>
    <cellStyle name="好_River EE BOM_Creek RFQ feedback 04_28_2009_FD Update_Leopard_UniBOM_ME_0531_Bolt RFQ Proposal_Foxlink_ (Pricing Summary) 2 25 2011 2 3" xfId="9006"/>
    <cellStyle name="_Ellen Procurement Plan 20050530_Copy of MOST Std - S1300 F2lines_Nazca copy exact flow chart 20120409" xfId="9007"/>
    <cellStyle name="差_dallas產能評估_Flow chart and Fixture(1-4)_Jackson 效益分析 (2-1 B0 上系統)_Leopard Flowchart &amp; 產能評估" xfId="9008"/>
    <cellStyle name="_MBT-9123 25k-Month設備明細表070605 2" xfId="9009"/>
    <cellStyle name="_Ellen Procurement Plan 20050530_Copy of MOST Std - S1300 F2lines_Nazca copy exact flow chart 2012313" xfId="9010"/>
    <cellStyle name="差_Creak Pearl Reliability Fixture RFQ_2009 04 24_Creek RFQ feedback 04_28_2009_FD Update_Squirrel RFQ ME BOM Costs-0623_Bolt RFQ_Foxlink_03.1 2011 4" xfId="9011"/>
    <cellStyle name="好_River EE BOM_Creak Pearl Reliability Fixture RFQ_2009 04 24_Xl0000002_Foxlink_Shadow RFQ NREUni BOM_12032009_Bolt RFQ_Foxlink_03.1 2011_nego meeting@MACH 3 2" xfId="9012"/>
    <cellStyle name="_Ellen Procurement Plan 20050530_FMTQCI-MIS3H064-P027(01)Nazca Copy Exact Flow chart" xfId="9013"/>
    <cellStyle name="Normal 19 3 2 3" xfId="9014"/>
    <cellStyle name="Normal 24 3 2 3" xfId="9015"/>
    <cellStyle name="_Ellen Procurement Plan 20050530_MOST Std - Project A BB Line" xfId="9016"/>
    <cellStyle name="_Mechanical Contribution Margins forecast 0506 FP_Tom OS ( Oct)_2009 xBOX ramp up budget code applicaiton" xfId="9017"/>
    <cellStyle name="_Ellen Procurement Plan 20050530_MOST Std - Project A BB Line_Nazca copy exact flow chart 20120409" xfId="9018"/>
    <cellStyle name="_Ellen Procurement Plan 20050530_MOST Std - S1300 F2lines" xfId="9019"/>
    <cellStyle name="差_Creak Pearl Reliability Fixture RFQ_2009 04 24_Leopard UniBom_Foxlink_6 21 2010-ME_nego 2 3" xfId="9020"/>
    <cellStyle name="_Ellen Procurement Plan 20050530_MOST Std - S1300 F2lines_FMTQCI-MIS3H064-P027(01)Nazca Copy Exact Flow chart" xfId="9021"/>
    <cellStyle name="Currency Acctg" xfId="9022"/>
    <cellStyle name="_Ellen Procurement Plan 20050530_MOST Std - S1300 F2lines_Nazca copy exact flow chart 20120409" xfId="9023"/>
    <cellStyle name="差_F3   SMT設備明細_jupite r設備&amp;治工具LIST (總)_Flow Chart&amp;PQ分析(12-1)_Flow Chart&amp;設備治工具清單 _Leopard效益分析08-17" xfId="9024"/>
    <cellStyle name="好_River EE BOM_Xl0000002_Leopard UniBom_Foxlink_12272010 RevF_shirley" xfId="9025"/>
    <cellStyle name="_Ellen Procurement Plan 20050530_MOST Std - S1300 F2lines_Nazca copy exact flow chart 2012313" xfId="9026"/>
    <cellStyle name="_Ellen Procurement Plan 20050530_Nazca copy exact flow chart 20120409" xfId="9027"/>
    <cellStyle name="_Mulan Edge Procurement Plan July 12 P1A_Copy of MOST Std - S1300 F2lines_Nazca copy exact flow chart 2012313" xfId="9028"/>
    <cellStyle name="_EMC Koto DDP Durham - 20040707" xfId="9029"/>
    <cellStyle name="_Volume Fcst 1006 updated_Tom OS ( Oct)_X-BOX Console line setup budget and Buyer list" xfId="9030"/>
    <cellStyle name="好_River EE BOM_Creak Pearl Reliability Fixture RFQ_2009 04 24_Pearl RFQ(Submittal)ver2_05_12_2009 _Squirrel RFQ ME BOM Costs-0623" xfId="9031"/>
    <cellStyle name="_EMC Koto DDP Durham - 20040707_Lenovo Park Format_July 07 05" xfId="9032"/>
    <cellStyle name="差_Creak Pearl Reliability Fixture RFQ_2009 04 24_Creek  Pearl RFQ_May 12_Leopard RFQ ME BOM Costs-0618_Bolt RFQ Proposal_Foxlink_ (Pricing Summary) 2 25 2011 2 2 2" xfId="9033"/>
    <cellStyle name="_EMC Koto DDP Durham - 20040707_Lenovo Park Format_July 07 05V2" xfId="9034"/>
    <cellStyle name="好_River EE BOM_Xl0000002_Bolt RFQ Proposal_Foxlink_ (Pricing Summary) 2 25 2011 5 3" xfId="9035"/>
    <cellStyle name="好_Creek Assembly Fixture  Test Equipment RFQ_20090427_Squirrel UniBom-06.23.2010_update_internal 2 3" xfId="9036"/>
    <cellStyle name="_EMEA" xfId="9037"/>
    <cellStyle name="差_Creak Pearl Reliability Fixture RFQ_2009 04 24_Foxlink_Shadow RFQ NREUni BOM_12032009_Bolt RFQ_Foxlink_03.1 2011_nego meeting@MACH 3 3" xfId="9038"/>
    <cellStyle name="_EMS_CleanSheet_JHT_TJ.v3" xfId="9039"/>
    <cellStyle name="_Equipement List_20080425" xfId="9040"/>
    <cellStyle name="_Equipment lsit Nov 2006" xfId="9041"/>
    <cellStyle name="好_River EE BOM_Xl0000002_Leopard RFQ ME BOM Costs-0618-2_Bolt RFQ_Foxlink_03.1 2011_nego meeting@MACH 3 2" xfId="9042"/>
    <cellStyle name="_Xenon controllers ramp up plan (Feb 28th 2005)_FY06 P6 XBox 360 Mfg Var - Close Pack" xfId="9043"/>
    <cellStyle name="差_Creak Pearl Reliability Fixture RFQ_2009 04 24_Squirrel RFQ ME BOM Costs-0623_Bolt RFQ Proposal_Foxlink_ (Pricing Summary) 2 25 2011 5" xfId="9044"/>
    <cellStyle name="_Ernestine Equipment  Fixture List_04_11_2006_FL" xfId="9045"/>
    <cellStyle name="差_Creak Pearl Reliability Fixture RFQ_2009 04 24_Squirrel RFQ ME BOM Costs-0623_Bolt RFQ Proposal_Foxlink_ (Pricing Summary) 2 25 2011 5 2" xfId="9046"/>
    <cellStyle name="差_0842周 顯卡報廢超標8D 5" xfId="9047"/>
    <cellStyle name="_Ernestine Equipment  Fixture List_04_11_2006_FL 2" xfId="9048"/>
    <cellStyle name="_Ernestine Equipment  Fixture List_04_11_2006_FL_Erie  Mouse RFQ Pricing IE" xfId="9049"/>
    <cellStyle name="差_Creak Pearl Reliability Fixture RFQ_2009 04 24_Creek  Pearl RFQ_May 12_Bolt RFQ Proposal_Foxlink_ (Pricing Summary) 2 25 2011 4 3" xfId="9050"/>
    <cellStyle name="_Sales Forecast (plastic XX)0703_Tom OS ( Oct)_Copy of X-BOX for line setup budget" xfId="9051"/>
    <cellStyle name="_Sales Forecast (plastic XX)1203_Tom OS ( Oct)_Copy of X-BOX for line setup budget" xfId="9052"/>
    <cellStyle name="好_River EE BOM_Creak Pearl Reliability Fixture RFQ_2009 04 24_Pearl RFQ(Submittal)ver2_05_12_2009 _Leopard_UniBOM_ME_0531_Bolt RFQ_Foxlink_03.1 2011_nego meeting@MACH 3" xfId="9053"/>
    <cellStyle name="_Ernestine Equipment  Fixture List_04_11_2006_FL_Erie  Mouse RFQ Pricing IE 2" xfId="9054"/>
    <cellStyle name="_Flex Mechanicals Doumen Sales forecast - Jan 06 updated._PL Forecast by segment-most final 0806_Tom OS ( Oct)_X-BOX Console line setup budget 20080414" xfId="9055"/>
    <cellStyle name="_Ernestine Equipment  Fixture List_04_11_2006_FL_Internal RFQ River Standalone  Bundle Unibom_v1 2_20080603_EJ" xfId="9056"/>
    <cellStyle name="_Ernestine Equipment  Fixture List_04_11_2006_FL_Internal RFQ River Standalone  Bundle Unibom_v1 2_20080603_EJ 2" xfId="9057"/>
    <cellStyle name="好_Creek Assembly Fixture  Test Equipment RFQ_20090427_Xl0000002_Leopard_UniBOM_ME_0603-2_Bolt RFQ_Foxlink_03.1 2011_nego meeting@MACH 4" xfId="9058"/>
    <cellStyle name="_Ernestine Equipment  Fixture List_04_11_2006_FL_Internal RFQ River Standalone  Bundle Unibom_v1 2_20080603_EJ_Stream Package Quotation_20090311" xfId="9059"/>
    <cellStyle name="好_River EE BOM_Xl0000000_Leopard Lemur Squirrel UniBom-06.22.2010_EE cost _update_internal 2 2 2" xfId="9060"/>
    <cellStyle name="_Ernestine Equipment  Fixture List_04_11_2006_FL_Internal RFQ River Standalone  Bundle Unibom_v1 2_20080603_EJ_Stream Quotebook (Submittal)_POC2_20081117-1" xfId="9061"/>
    <cellStyle name="差_Creak Pearl Reliability Fixture RFQ_2009 04 24_Leopard_UniBOM_ME_0603-2_Bolt RFQ Proposal_Foxlink_ (Pricing Summary) 2 25 2011 2 2" xfId="9062"/>
    <cellStyle name="差_Creak Pearl Reliability Fixture RFQ_2009 04 24_Pearl RFQ(Submittal)ver2_05_12_2009 _Leopard_UniBOM_ME_0602_Bolt RFQ_Foxlink_03.1 2011_nego meeting@MACH 3" xfId="9063"/>
    <cellStyle name="_Ernestine Equipment  Fixture List_04_11_2006_FL_Internal RFQ River Standalone  Bundle Unibom_v1 2_20080603_EJ_Stream Quotebook(Submittal)_POC1_20080903" xfId="9064"/>
    <cellStyle name="差_Creak Pearl Reliability Fixture RFQ_2009 04 24_Leopard_UniBOM_ME_0603-2_Bolt RFQ Proposal_Foxlink_ (Pricing Summary) 2 25 2011 2 2 2" xfId="9065"/>
    <cellStyle name="差_Creak Pearl Reliability Fixture RFQ_2009 04 24_Pearl RFQ(Submittal)ver2_05_12_2009 _Leopard_UniBOM_ME_0602_Bolt RFQ_Foxlink_03.1 2011_nego meeting@MACH 3 2" xfId="9066"/>
    <cellStyle name="_Ernestine Equipment  Fixture List_04_11_2006_FL_Internal RFQ River Standalone  Bundle Unibom_v1 2_20080603_EJ_Stream Quotebook(Submittal)_POC1_20080903 2" xfId="9067"/>
    <cellStyle name="_Ernestine Equipment  Fixture List_04_11_2006_FL_Quotebook_07SEP10" xfId="9068"/>
    <cellStyle name="好_River EE BOM_Creak Pearl Reliability Fixture RFQ_2009 04 24_Leopard Lemur Squirrel UniBom-06.22.2010_EE cost _update_internal_Bolt RFQ Proposal_Foxlink_ (Pricing Summary) 2 25 2011 2 3" xfId="9069"/>
    <cellStyle name="_Ernestine Equipment  Fixture List_04_11_2006_FL_Quotebook_07SEP10 2" xfId="9070"/>
    <cellStyle name="差_Creak Pearl Reliability Fixture RFQ_2009 04 24_Pearl RFQ(Submittal)ver2_05_12_2009  3 3" xfId="9071"/>
    <cellStyle name="Accent4 3 3" xfId="9072"/>
    <cellStyle name="_Ernestine Equipment  Fixture List_04_11_2006_FL_Quotebook_07SEP10_BlueAnt_Quotebook_V3_07SEP11" xfId="9073"/>
    <cellStyle name="_Ernestine Equipment  Fixture List_04_11_2006_FL_Quotebook_07SEP10_BlueAnt_Quotebook_V3_07SEP11 2" xfId="9074"/>
    <cellStyle name="_Ernestine Equipment  Fixture List_04_11_2006_FL_Quotebook_07SEP10_BlueAnt_Quotebook_V3_07SEP11_Internal RFQ River Standalone  Bundle Unibom_v1 2_20080603_EJ" xfId="9075"/>
    <cellStyle name="_Ernestine Equipment  Fixture List_04_11_2006_FL_Quotebook_07SEP10_BlueAnt_Quotebook_V3_07SEP11_Internal RFQ River Standalone  Bundle Unibom_v1 2_20080603_EJ 2" xfId="9076"/>
    <cellStyle name="Accent5 5" xfId="9077"/>
    <cellStyle name="_Ernestine Equipment  Fixture List_04_11_2006_FL_Quotebook_07SEP10_BlueAnt_Quotebook_V3_07SEP11_Internal RFQ River Standalone  Bundle Unibom_v1 2_20080603_EJ_Stream Quotebook (Submittal)_POC2_20081117-1" xfId="9078"/>
    <cellStyle name="J1" xfId="9079"/>
    <cellStyle name="_uPad-D_Reliability Test Matrix&amp;Cost_Draft_20080515" xfId="9080"/>
    <cellStyle name="_Ernestine Equipment  Fixture List_04_11_2006_FL_Quotebook_07SEP10_BlueAnt_Quotebook_V3_07SEP11_Internal RFQ River Standalone  Bundle Unibom_v1 2_20080603_EJ_Stream Quotebook(Submittal)_POC1_20080903" xfId="9081"/>
    <cellStyle name="J1 2" xfId="9082"/>
    <cellStyle name="好_Creek Assembly Fixture  Test Equipment RFQ_20090427_Bolt RFQ_Foxlink_03.1 2011_nego meeting@MACH 3 3" xfId="9083"/>
    <cellStyle name="_Ernestine Equipment  Fixture List_04_11_2006_FL_Quotebook_07SEP10_BlueAnt_Quotebook_V3_07SEP11_Internal RFQ River Standalone  Bundle Unibom_v1 2_20080603_EJ_Stream Quotebook(Submittal)_POC1_20080903 2" xfId="9084"/>
    <cellStyle name="_Ernestine Equipment  Fixture List_04_11_2006_FL_Quotebook_07SEP10_BlueAnt_Quotebook_V3_07SEP11_RFQ_River_BAFO_2008 0606_M1" xfId="9085"/>
    <cellStyle name="差_Creak Pearl Reliability Fixture RFQ_2009 04 24_Creek  Pearl RFQ_May 12_Leopard_UniBOM_ME_0603-2_Bolt RFQ Proposal_Foxlink_ (Pricing Summary) 2 25 2011 5 2" xfId="9086"/>
    <cellStyle name="_Ernestine Equipment  Fixture List_04_11_2006_FL_Quotebook_07SEP10_BlueAnt_Quotebook_V3_07SEP11_RFQ_River_BAFO_2008 0606_M1 2" xfId="9087"/>
    <cellStyle name="_Flex Depot 2005 rev3_Forecast Template v2_X-BOX Console line setup budget 20080414" xfId="9088"/>
    <cellStyle name="_Ernestine Equipment  Fixture List_04_11_2006_FL_Quotebook_07SEP10_BlueAnt_Quotebook_V3_07SEP11_RFQ_River_BAFO_2008 0606_M1_Stream Package Quotation_20090311" xfId="9089"/>
    <cellStyle name="9_Revised AP DPO Oct 04 v2_PL Forecast by segment-most final 0806_Copy of Tom OS ( Oct) new for LOG_2009 xBOX ramp up budget code applicaiton 300K --New May26 (3)" xfId="9090"/>
    <cellStyle name="_Ernestine Equipment  Fixture List_04_11_2006_FL_Quotebook_07SEP10_BlueAnt_Quotebook_V3_07SEP11_RFQ_River_BAFO_2008 0606_M1_Stream Quotebook (Submittal)_POC2_20081117-1" xfId="9091"/>
    <cellStyle name="_Forecast - Segment WVJune06_X-BOX Console line setup budget and Buyer list" xfId="9092"/>
    <cellStyle name="_Ernestine Equipment  Fixture List_04_11_2006_FL_Quotebook_07SEP10_BlueAnt_Quotebook_V3_07SEP11_RFQ_River_BAFO_2008 0606_M1_Stream Quotebook(Submittal)_POC1_20080903" xfId="9093"/>
    <cellStyle name="_Ernestine Equipment  Fixture List_04_11_2006_FL_Quotebook_07SEP10_BlueAnt_Quotebook_V3_07SEP11_RFQ_River_BAFO_2008 0606_M1_Stream Quotebook(Submittal)_POC1_20080903 2" xfId="9094"/>
    <cellStyle name="_Ernestine Equipment  Fixture List_04_11_2006_FL_Quotebook_07SEP10_BlueAnt_Quotebook_V3_07SEP11_Stream RFQ Unibom--0626-1756" xfId="9095"/>
    <cellStyle name="_Ernestine Equipment  Fixture List_04_11_2006_FL_Quotebook_07SEP10_BlueAnt_Quotebook_V3_07SEP11_Stream RFQ Unibom--0626-1756 2" xfId="9096"/>
    <cellStyle name="_Ernestine Equipment  Fixture List_04_11_2006_FL_Quotebook_07SEP10_BlueAnt_Quotebook_V3_07SEP11_Stream RFQ Unibom--0626-1756_Stream Package Quotation_20090311" xfId="9097"/>
    <cellStyle name="差_Creak Pearl Reliability Fixture RFQ_2009 04 24_Creek  Pearl RFQ_May 12_Leopard RFQ ME BOM Costs-0618-2_Bolt RFQ_Foxlink_03.1 2011_nego meeting@MACH 2 2" xfId="9098"/>
    <cellStyle name="_Ernestine Equipment  Fixture List_04_11_2006_FL_Quotebook_07SEP10_BlueAnt_Quotebook_V3_07SEP11_Stream RFQ Unibom--0626-1756_Stream Quotebook (Submittal)_POC2_20081117-1" xfId="9099"/>
    <cellStyle name="差_Jackson 效益分析 testing update_16th Jan1_Jackson 效益分析 (2-1 B0 上系統)_squirrel效益分析08-17" xfId="9100"/>
    <cellStyle name="壞_Creek EE BOM cost_20090425_Bolt RFQ Proposal_Foxlink_ (Pricing Summary) 2 25 2011" xfId="9101"/>
    <cellStyle name="_Ernestine Equipment  Fixture List_04_11_2006_FL_Quotebook_07SEP10_BlueAnt_Quotebook_V3_07SEP11_Stream RFQ Unibom--0626-1756_Stream Quotebook(Submittal)_POC1_20080903" xfId="9102"/>
    <cellStyle name="壞_Creek EE BOM cost_20090425_Bolt RFQ Proposal_Foxlink_ (Pricing Summary) 2 25 2011 2" xfId="9103"/>
    <cellStyle name="_Ernestine Equipment  Fixture List_04_11_2006_FL_Quotebook_07SEP10_BlueAnt_Quotebook_V3_07SEP11_Stream RFQ Unibom--0626-1756_Stream Quotebook(Submittal)_POC1_20080903 2" xfId="9104"/>
    <cellStyle name="好_River EE BOM_Creek RFQ feedback 04_28_2009_FD Update_Leopard UniBom_Foxlink_6 21 2010-ME_nego_Bolt RFQ_Foxlink_03.1 2011_nego meeting@MACH" xfId="9105"/>
    <cellStyle name="_Ernestine Equipment  Fixture List_04_11_2006_FL_Quotebook_07SEP10_Internal RFQ River Standalone  Bundle Unibom_v1 2_20080603_EJ" xfId="9106"/>
    <cellStyle name="_Ernestine Equipment  Fixture List_04_11_2006_FL_Quotebook_07SEP10_Internal RFQ River Standalone  Bundle Unibom_v1 2_20080603_EJ_Stream Package Quotation_20090311" xfId="9107"/>
    <cellStyle name="好_River EE BOM_Xl0000000_Leopard RFQ ME BOM Costs-0618-2_Bolt RFQ Proposal_Foxlink_ (Pricing Summary) 2 25 2011 2 4" xfId="9108"/>
    <cellStyle name="_Ernestine Equipment  Fixture List_04_11_2006_FL_Quotebook_07SEP10_Internal RFQ River Standalone  Bundle Unibom_v1 2_20080603_EJ_Stream Quotebook(Submittal)_POC1_20080903" xfId="9109"/>
    <cellStyle name="_Ernestine Equipment  Fixture List_04_11_2006_FL_Quotebook_07SEP10_Internal RFQ River Standalone  Bundle Unibom_v1 2_20080603_EJ_Stream Quotebook(Submittal)_POC1_20080903 2" xfId="9110"/>
    <cellStyle name="_Ernestine Equipment  Fixture List_04_11_2006_FL_Quotebook_07SEP10_RFQ_River_BAFO_2008 0606_M1" xfId="9111"/>
    <cellStyle name="_Ernestine Equipment  Fixture List_04_11_2006_FL_Quotebook_07SEP10_RFQ_River_BAFO_2008 0606_M1 2" xfId="9112"/>
    <cellStyle name="_W48庫存分析表(12.3)" xfId="9113"/>
    <cellStyle name="_Ernestine Equipment  Fixture List_04_11_2006_FL_Quotebook_07SEP10_RFQ_River_BAFO_2008 0606_M1_Stream Package Quotation_20090311" xfId="9114"/>
    <cellStyle name="好_Creek EE BOM cost_20090425_Creek RFQ feedback 04_28_2009_FD Update_Leopard_UniBOM_ME_0602-1_Bolt RFQ Proposal_Foxlink_ (Pricing Summary) 2 25 2011 2 2 3" xfId="9115"/>
    <cellStyle name="_Ernestine Equipment  Fixture List_04_11_2006_FL_Quotebook_07SEP10_RFQ_River_BAFO_2008 0606_M1_Stream Quotebook (Submittal)_POC2_20081117-1" xfId="9116"/>
    <cellStyle name="_Flex Mechanicals Doumen Sales forecast - Jan.06-updated_Volume Fcst 1006 updated_Copy of Tom OS ( Oct) new for LOG_Forecast Template v4" xfId="9117"/>
    <cellStyle name="_Ernestine Equipment  Fixture List_04_11_2006_FL_Quotebook_07SEP10_RFQ_River_BAFO_2008 0606_M1_Stream Quotebook(Submittal)_POC1_20080903" xfId="9118"/>
    <cellStyle name="_Ernestine Equipment  Fixture List_04_11_2006_FL_Quotebook_07SEP10_RFQ_River_BAFO_2008 0606_M1_Stream Quotebook(Submittal)_POC1_20080903 2" xfId="9119"/>
    <cellStyle name="_Ernestine Equipment  Fixture List_04_11_2006_FL_Quotebook_07SEP10_Stream RFQ Unibom--0626-1756" xfId="9120"/>
    <cellStyle name="_Ernestine Equipment  Fixture List_04_11_2006_FL_Quotebook_07SEP10_Stream RFQ Unibom--0626-1756 2" xfId="9121"/>
    <cellStyle name="_Ernestine Equipment  Fixture List_04_11_2006_FL_Quotebook_07SEP10_Stream RFQ Unibom--0626-1756_Stream Package Quotation_20090311" xfId="9122"/>
    <cellStyle name="_Mechanical Contribution Margins (Q2'06) 0705_PL Fcst Jul 06-updated G&amp;A Value_Internal Hourly Rate Q1 FY08 Version 06142007 excl. Corporate Allocation" xfId="9123"/>
    <cellStyle name="_Ernestine Equipment  Fixture List_04_11_2006_FL_Quotebook_07SEP10_Stream RFQ Unibom--0626-1756_Stream Quotebook (Submittal)_POC2_20081117-1" xfId="9124"/>
    <cellStyle name="差_Creek RFQ feedback 04_28_2009_FD Update_Leopard_UniBOM_ME_0602-1_Bolt RFQ_Foxlink_03.1 2011_nego meeting@MACH 3 3" xfId="9125"/>
    <cellStyle name="_電費統計_v2_20081223_2010-05 費用分析0604" xfId="9126"/>
    <cellStyle name="_Ernestine Equipment  Fixture List_04_11_2006_FL_Quotebook_07SEP10_Stream RFQ Unibom--0626-1756_Stream Quotebook(Submittal)_POC1_20080903" xfId="9127"/>
    <cellStyle name="_Ernestine Equipment  Fixture List_04_11_2006_FL_Quotebook_07SEP10_Stream RFQ Unibom--0626-1756_Stream Quotebook(Submittal)_POC1_20080903 2" xfId="9128"/>
    <cellStyle name="4_P139 CCM 11011" xfId="9129"/>
    <cellStyle name="_Ernestine Equipment  Fixture List_04_11_2006_FL_Quotebook_V3_07SEP11" xfId="9130"/>
    <cellStyle name="差_Creak Pearl Reliability Fixture RFQ_2009 04 24_Pearl RFQ(Submittal)ver2_05_12_2009 _Leopard Lemur Squirrel UniBom-06.22.2010_EE cost _update_internal_Bolt RFQ_Foxlink_03.1 2011_nego meeting@MACH 3" xfId="9131"/>
    <cellStyle name="差_Xl0000002_Leopard Lemur Squirrel UniBom-06.22.2010_EE cost _update_internal_Bolt RFQ Proposal_Foxlink_ (Pricing Summary) 2 25 2011 6" xfId="9132"/>
    <cellStyle name="_Ernestine Equipment  Fixture List_04_11_2006_FL_Quotebook_V3_07SEP11 2" xfId="9133"/>
    <cellStyle name="好_River EE BOM_Foxlink_Shadow RFQ NREUni BOM_12032009_Bolt RFQ Proposal_Foxlink_ (Pricing Summary) 2 25 2011 2 2" xfId="9134"/>
    <cellStyle name="_Ernestine Equipment  Fixture List_04_11_2006_FL_Quotebook_V3_07SEP11_Internal RFQ River Standalone  Bundle Unibom_v1 2_20080603_EJ" xfId="9135"/>
    <cellStyle name="差_F3   SMT設備明細_jupite r設備&amp;治工具LIST (總)_Dallas效益分析&amp;投資回收期 (12-2 A1)_Jackson 效益分析 (2-1 B0 上系統)_Leopard效益分析08-17" xfId="9136"/>
    <cellStyle name="好_River EE BOM_Foxlink_Shadow RFQ NREUni BOM_12032009_Bolt RFQ Proposal_Foxlink_ (Pricing Summary) 2 25 2011 2 2 2" xfId="9137"/>
    <cellStyle name="_Ernestine Equipment  Fixture List_04_11_2006_FL_Quotebook_V3_07SEP11_Internal RFQ River Standalone  Bundle Unibom_v1 2_20080603_EJ 2" xfId="9138"/>
    <cellStyle name="_Ernestine Equipment  Fixture List_04_11_2006_FL_Quotebook_V3_07SEP11_Internal RFQ River Standalone  Bundle Unibom_v1 2_20080603_EJ_Stream Package Quotation_20090311" xfId="9139"/>
    <cellStyle name="_Ernestine Equipment  Fixture List_04_11_2006_FL_Quotebook_V3_07SEP11_Internal RFQ River Standalone  Bundle Unibom_v1 2_20080603_EJ_Stream Quotebook (Submittal)_POC2_20081117-1" xfId="9140"/>
    <cellStyle name="_Ernestine Equipment  Fixture List_04_11_2006_FL_Quotebook_V3_07SEP11_Internal RFQ River Standalone  Bundle Unibom_v1 2_20080603_EJ_Stream Quotebook(Submittal)_POC1_20080903" xfId="9141"/>
    <cellStyle name="_Pending MRB 3 29 05_FY06 P7 CM Consigned RM" xfId="9142"/>
    <cellStyle name="_Ernestine Equipment  Fixture List_04_11_2006_FL_Quotebook_V3_07SEP11_Internal RFQ River Standalone  Bundle Unibom_v1 2_20080603_EJ_Stream Quotebook(Submittal)_POC1_20080903 2" xfId="9143"/>
    <cellStyle name="_Ernestine Equipment  Fixture List_04_11_2006_FL_Quotebook_V3_07SEP11_RFQ_River_BAFO_2008 0606_M1" xfId="9144"/>
    <cellStyle name="Normal 27 2 3" xfId="9145"/>
    <cellStyle name="Normal 32 2 3" xfId="9146"/>
    <cellStyle name="好_River EE BOM_Creak Pearl Reliability Fixture RFQ_2009 04 24_Creek RFQ feedback 04_28_2009_FD Update_Leopard_UniBOM_ME_0531_Bolt RFQ_Foxlink_03.1 2011 4" xfId="9147"/>
    <cellStyle name="_Ernestine Equipment  Fixture List_04_11_2006_FL_Quotebook_V3_07SEP11_RFQ_River_BAFO_2008 0606_M1 2" xfId="9148"/>
    <cellStyle name="差_F3   SMT設備明細_效益分析_~8644671_Jackson 效益分析 (2-1 B0 上系統)_Leopard Flowchart &amp; 產能評估" xfId="9149"/>
    <cellStyle name="_Ernestine Equipment  Fixture List_04_11_2006_FL_Quotebook_V3_07SEP11_RFQ_River_BAFO_2008 0606_M1_Stream Package Quotation_20090311" xfId="9150"/>
    <cellStyle name="标题 2 3 2 2" xfId="9151"/>
    <cellStyle name="_Ernestine Equipment  Fixture List_04_11_2006_FL_Quotebook_V3_07SEP11_RFQ_River_BAFO_2008 0606_M1_Stream Quotebook(Submittal)_POC1_20080903" xfId="9152"/>
    <cellStyle name="_Ernestine Equipment  Fixture List_04_11_2006_FL_Quotebook_V3_07SEP11_RFQ_River_BAFO_2008 0606_M1_Stream Quotebook(Submittal)_POC1_20080903 2" xfId="9153"/>
    <cellStyle name="_Ernestine Equipment  Fixture List_04_11_2006_FL_Quotebook_V3_07SEP11_Stream RFQ Unibom--0626-1756" xfId="9154"/>
    <cellStyle name="_Ernestine Equipment  Fixture List_04_11_2006_FL_Quotebook_V3_07SEP11_Stream RFQ Unibom--0626-1756_Stream Package Quotation_20090311" xfId="9155"/>
    <cellStyle name="_Ernestine Equipment  Fixture List_04_11_2006_FL_Quotebook_V3_07SEP11_Stream RFQ Unibom--0626-1756_Stream Quotebook (Submittal)_POC2_20081117-1" xfId="9156"/>
    <cellStyle name="_Ernestine Equipment  Fixture List_04_11_2006_FL_Quotebook_V3_07SEP11_Stream RFQ Unibom--0626-1756_Stream Quotebook(Submittal)_POC1_20080903" xfId="9157"/>
    <cellStyle name="壞_Creek Assembly Fixture  Test Equipment RFQ_20090427_Leopard_UniBOM_ME_0531_Bolt RFQ Proposal_Foxlink_ (Pricing Summary) 2 25 2011 5 3" xfId="9158"/>
    <cellStyle name="好_Creek EE BOM cost_20090425_Squirrel RFQ ME BOM Costs-0623_Bolt RFQ Proposal_Foxlink_ (Pricing Summary) 2 25 2011 7" xfId="9159"/>
    <cellStyle name="_Ernestine Equipment  Fixture List_04_11_2006_FL_Quotebook_V3_07SEP11_Stream RFQ Unibom--0626-1756_Stream Quotebook(Submittal)_POC1_20080903 2" xfId="9160"/>
    <cellStyle name="差_Creak Pearl Reliability Fixture RFQ_2009 04 24_Creek  Pearl RFQ_May 12_Squirrel RFQ ME BOM Costs-0623_Bolt RFQ Proposal_Foxlink_ (Pricing Summary) 2 25 2011 2" xfId="9161"/>
    <cellStyle name="_Ernestine Equipment  Fixture List_04_11_2006_FL_RFQ_River_BAFO_2008 0606_M1" xfId="9162"/>
    <cellStyle name="差_Creak Pearl Reliability Fixture RFQ_2009 04 24_Creek  Pearl RFQ_May 12_Squirrel RFQ ME BOM Costs-0623_Bolt RFQ Proposal_Foxlink_ (Pricing Summary) 2 25 2011 2 2" xfId="9163"/>
    <cellStyle name="_Ernestine Equipment  Fixture List_04_11_2006_FL_RFQ_River_BAFO_2008 0606_M1 2" xfId="9164"/>
    <cellStyle name="_Flex Mechanicals Doumen Sales forecast - Jan 06 updated._Volume Fcst 1006 updated_Tom OS ( Oct)_Budget GC Other Form" xfId="9165"/>
    <cellStyle name="_Ernestine Equipment  Fixture List_04_11_2006_FL_RFQ_River_BAFO_2008 0606_M1_Stream Package Quotation_20090311" xfId="9166"/>
    <cellStyle name="差_Creak Pearl Reliability Fixture RFQ_2009 04 24_Xl0000002_Leopard UniBom_Foxlink_6 21 2010-ME_nego_Bolt RFQ_Foxlink_03.1 2011_nego meeting@MACH 3 2" xfId="9167"/>
    <cellStyle name="_Ernestine Equipment  Fixture List_04_11_2006_FL_RFQ_River_BAFO_2008 0606_M1_Stream Quotebook (Submittal)_POC2_20081117-1" xfId="9168"/>
    <cellStyle name="_Sales Forecast (plastic XX)0703_Volume Fcst 1006 updated_Tom OS ( Oct)_X-BOX Console line setup budget 20080414" xfId="9169"/>
    <cellStyle name="_Sales Forecast (plastic XX)1203_Volume Fcst 1006 updated_Tom OS ( Oct)_X-BOX Console line setup budget 20080414" xfId="9170"/>
    <cellStyle name="_Fcst March_06(Revised 2.)_Volume Fcst 1006 updated_Copy of Tom OS ( Oct) new for LOG_X-BOX Console line setup budget 20080414" xfId="9171"/>
    <cellStyle name="_Ernestine Equipment  Fixture List_04_11_2006_FL_RFQ_River_BAFO_2008 0606_M1_Stream Quotebook(Submittal)_POC1_20080903" xfId="9172"/>
    <cellStyle name="_Ernestine Equipment  Fixture List_04_11_2006_FL_RFQ_River_BAFO_2008 0606_M1_Stream Quotebook(Submittal)_POC1_20080903 2" xfId="9173"/>
    <cellStyle name="差_Xl0000002_Leopard Lemur Squirrel UniBom-06.22.2010_EE cost _update_internal_Bolt RFQ Proposal_Foxlink_ (Pricing Summary) 2 25 2011 4 2" xfId="9174"/>
    <cellStyle name="差_Creak Pearl Reliability Fixture RFQ_2009 04 24_Leopard_UniBOM_ME_0602_Bolt RFQ Proposal_Foxlink_ (Pricing Summary) 2 25 2011 7" xfId="9175"/>
    <cellStyle name="_Z9 blueAnt ME BOM 0910 final_Stream RFQ Unibom--0626-1756_Stream Package Quotation_20090311" xfId="9176"/>
    <cellStyle name="_Ernestine Equipment  Fixture List_04_11_2006_FL_Stream RFQ Unibom--0626-1756" xfId="9177"/>
    <cellStyle name="差_Creek RFQ feedback 04_28_2009_FD Update_Leopard_UniBOM_ME_0602_Bolt RFQ_Foxlink_03.1 2011_nego meeting@MACH 3 3" xfId="9178"/>
    <cellStyle name="_Fcst March_06(Revised 2.)_Volume Fcst 1006 updated" xfId="9179"/>
    <cellStyle name="差_Creak Pearl Reliability Fixture RFQ_2009 04 24_Pearl RFQ(Submittal)ver2_05_12_2009 _Leopard RFQ ME BOM Costs-0618_Bolt RFQ_Foxlink_03.1 2011_nego meeting@MACH" xfId="9180"/>
    <cellStyle name="_Ernestine Equipment  Fixture List_04_11_2006_FL_Stream RFQ Unibom--0626-1756 2" xfId="9181"/>
    <cellStyle name="_Ernestine Equipment  Fixture List_04_11_2006_FL_Stream RFQ Unibom--0626-1756_Stream Package Quotation_20090311" xfId="9182"/>
    <cellStyle name="_Ernestine Equipment  Fixture List_04_11_2006_FL_Stream RFQ Unibom--0626-1756_Stream Quotebook(Submittal)_POC1_20080903" xfId="9183"/>
    <cellStyle name="差_效益分析&amp;產能評估_M1 SuedeFixtureEquipment Cost_A0_2010_10_15_Bolt RFQ_Foxlink_03.1 2011_nego meeting@MACH" xfId="9184"/>
    <cellStyle name="_Ernestine Parts Budgetary Quote - LA (20060319)" xfId="9185"/>
    <cellStyle name="差_效益分析&amp;產能評估_M1 SuedeFixtureEquipment Cost_A0_2010_10_15_Bolt RFQ_Foxlink_03.1 2011_nego meeting@MACH 2" xfId="9186"/>
    <cellStyle name="_SZOEM pilot run3" xfId="9187"/>
    <cellStyle name="_Ernestine Parts Budgetary Quote - LA (20060319) 2" xfId="9188"/>
    <cellStyle name="好_River EE BOM_Xl0000002_Leopard_UniBOM_ME_0531_Bolt RFQ_Foxlink_03.1 2011_nego meeting@MACH 4" xfId="9189"/>
    <cellStyle name="_Ernestine Parts Budgetary Quote - LA (20060319)_Erie  Mouse RFQ Pricing IE" xfId="9190"/>
    <cellStyle name="_Ernestine Parts Budgetary Quote - LA (20060319)_Erie  Mouse RFQ Pricing IE 2" xfId="9191"/>
    <cellStyle name="_Ernestine Parts Budgetary Quote - LA (20060319)_Internal RFQ River Standalone  Bundle Unibom_v1 2_20080603_EJ" xfId="9192"/>
    <cellStyle name="差_Creak Pearl Reliability Fixture RFQ_2009 04 24_Creek  Pearl RFQ_May 12_Leopard Lemur Squirrel UniBom-06.22.2010_EE cost _update_internal_Bolt RFQ_Foxlink_03.1 2011_nego meeting@MACH 5" xfId="9193"/>
    <cellStyle name="差_F3   SMT設備明細_效益分析_Dallas效益分析&amp;投資回收期 (12-2 A1)_Flow chart and Fixture(1-4)" xfId="9194"/>
    <cellStyle name="40% - 强调文字颜色 5 2 3" xfId="9195"/>
    <cellStyle name="_Ernestine Parts Budgetary Quote - LA (20060319)_Internal RFQ River Standalone  Bundle Unibom_v1 2_20080603_EJ_Stream Package Quotation_20090311" xfId="9196"/>
    <cellStyle name="_Ernestine Parts Budgetary Quote - LA (20060319)_Internal RFQ River Standalone  Bundle Unibom_v1 2_20080603_EJ_Stream Quotebook(Submittal)_POC1_20080903" xfId="9197"/>
    <cellStyle name="好_River EE BOM_Creak Pearl Reliability Fixture RFQ_2009 04 24_Squirrel UniBom-06.23.2010_update_internal_Bolt RFQ_Foxlink_03.1 2011_nego meeting@MACH 3 3" xfId="9198"/>
    <cellStyle name="_Ernestine Parts Budgetary Quote - LA (20060319)_Internal RFQ River Standalone  Bundle Unibom_v1 2_20080603_EJ_Stream Quotebook(Submittal)_POC1_20080903 2" xfId="9199"/>
    <cellStyle name="Normal 15 10" xfId="9200"/>
    <cellStyle name="好_River EE BOM_Creak Pearl Reliability Fixture RFQ_2009 04 24_Pearl RFQ(Submittal)ver2_05_12_2009 _Leopard_UniBOM_ME_0531 2 2 2" xfId="9201"/>
    <cellStyle name="_Ernestine Parts Budgetary Quote - LA (20060319)_Quotebook_07SEP10" xfId="9202"/>
    <cellStyle name="_Ernestine Parts Budgetary Quote - LA (20060319)_Quotebook_07SEP10 2" xfId="9203"/>
    <cellStyle name="_Ernestine Parts Budgetary Quote - LA (20060319)_Quotebook_07SEP10_BlueAnt_Quotebook_V3_07SEP11" xfId="9204"/>
    <cellStyle name="差_HP Mouse 產能評估(Forecast更改後)_費用統計_Jackson 效益分析 (2-1 B0 上系統)_squirrel效益分析08-17" xfId="9205"/>
    <cellStyle name="好_Creek Assembly Fixture  Test Equipment RFQ_20090427_Foxlink_Shadow RFQ NREUni BOM_12032009_Bolt RFQ_Foxlink_03.1 2011_Bolt_Cliff 2 2 3" xfId="9206"/>
    <cellStyle name="_Ernestine Parts Budgetary Quote - LA (20060319)_Quotebook_07SEP10_BlueAnt_Quotebook_V3_07SEP11 2" xfId="9207"/>
    <cellStyle name="差_Creak Pearl Reliability Fixture RFQ_2009 04 24_Creek RFQ feedback 04_28_2009_FD Update_Leopard_UniBOM_ME_0602-1_Bolt RFQ Proposal_Foxlink_ (Pricing Summary) 2 25 2011 5 3" xfId="9208"/>
    <cellStyle name="_Ernestine Parts Budgetary Quote - LA (20060319)_Quotebook_07SEP10_BlueAnt_Quotebook_V3_07SEP11_Internal RFQ River Standalone  Bundle Unibom_v1 2_20080603_EJ" xfId="9209"/>
    <cellStyle name="好_River EE BOM_Creak Pearl Reliability Fixture RFQ_2009 04 24_Xl0000002_Foxlink_Shadow RFQ NREUni BOM_12032009_Bolt RFQ Proposal_Foxlink_ (Pricing Summary) 2 25 2011 3" xfId="9210"/>
    <cellStyle name="_Ernestine Parts Budgetary Quote - LA (20060319)_Quotebook_07SEP10_BlueAnt_Quotebook_V3_07SEP11_Internal RFQ River Standalone  Bundle Unibom_v1 2_20080603_EJ 2" xfId="9211"/>
    <cellStyle name="_Ernestine Parts Budgetary Quote - LA (20060319)_Quotebook_07SEP10_BlueAnt_Quotebook_V3_07SEP11_Internal RFQ River Standalone  Bundle Unibom_v1 2_20080603_EJ_Stream Quotebook (Submittal)_POC2_20081117-1" xfId="9212"/>
    <cellStyle name="_Ernestine Parts Budgetary Quote - LA (20060319)_Quotebook_07SEP10_BlueAnt_Quotebook_V3_07SEP11_Internal RFQ River Standalone  Bundle Unibom_v1 2_20080603_EJ_Stream Quotebook(Submittal)_POC1_20080903" xfId="9213"/>
    <cellStyle name="_Ernestine Parts Budgetary Quote - LA (20060319)_Quotebook_07SEP10_BlueAnt_Quotebook_V3_07SEP11_Internal RFQ River Standalone  Bundle Unibom_v1 2_20080603_EJ_Stream Quotebook(Submittal)_POC1_20080903 2" xfId="9214"/>
    <cellStyle name="差_jupite r設備&amp;治工具LIST (總)_Jackson 效益分析 (1-18 A7)" xfId="9215"/>
    <cellStyle name="好_Creek Assembly Fixture  Test Equipment RFQ_20090427_Leopard_UniBOM_ME_0602-1 2 2 3" xfId="9216"/>
    <cellStyle name="好_Creek EE BOM cost_20090425_Foxlink_Shadow RFQ NREUni BOM_12032009 2 3" xfId="9217"/>
    <cellStyle name="_Ernestine Parts Budgetary Quote - LA (20060319)_Quotebook_07SEP10_BlueAnt_Quotebook_V3_07SEP11_RFQ_River_BAFO_2008 0606_M1" xfId="9218"/>
    <cellStyle name="_Ernestine Parts Budgetary Quote - LA (20060319)_Quotebook_07SEP10_BlueAnt_Quotebook_V3_07SEP11_RFQ_River_BAFO_2008 0606_M1 2" xfId="9219"/>
    <cellStyle name="_Ernestine Parts Budgetary Quote - LA (20060319)_Quotebook_07SEP10_BlueAnt_Quotebook_V3_07SEP11_RFQ_River_BAFO_2008 0606_M1_Stream Package Quotation_20090311" xfId="9220"/>
    <cellStyle name="差_F3   SMT設備明細_效益分析_flow chart 2009.12.12_~5631336_Jackson 效益分析 (2-1 B0 上系統)_Leopard Flowchart &amp; 產能評估" xfId="9221"/>
    <cellStyle name="好_Creek Assembly Fixture  Test Equipment RFQ_20090427_Leopard_UniBOM_ME_0602_Bolt RFQ_Foxlink_03.1 2011_nego meeting@MACH_Bolt_Cliff 2 3" xfId="9222"/>
    <cellStyle name="_Ernestine Parts Budgetary Quote - LA (20060319)_Quotebook_07SEP10_BlueAnt_Quotebook_V3_07SEP11_RFQ_River_BAFO_2008 0606_M1_Stream Quotebook (Submittal)_POC2_20081117-1" xfId="9223"/>
    <cellStyle name="差_Creak Pearl Reliability Fixture RFQ_2009 04 24_Creek RFQ feedback 04_28_2009_FD Update_Leopard_UniBOM_ME_0603-2_Bolt RFQ Proposal_Foxlink_ (Pricing Summary) 2 25 2011 5" xfId="9224"/>
    <cellStyle name="_Ernestine Parts Budgetary Quote - LA (20060319)_Quotebook_07SEP10_BlueAnt_Quotebook_V3_07SEP11_RFQ_River_BAFO_2008 0606_M1_Stream Quotebook(Submittal)_POC1_20080903" xfId="9225"/>
    <cellStyle name="_Ernestine Parts Budgetary Quote - LA (20060319)_Quotebook_07SEP10_BlueAnt_Quotebook_V3_07SEP11_Stream RFQ Unibom--0626-1756" xfId="9226"/>
    <cellStyle name="_Ernestine Parts Budgetary Quote - LA (20060319)_Quotebook_07SEP10_BlueAnt_Quotebook_V3_07SEP11_Stream RFQ Unibom--0626-1756 2" xfId="9227"/>
    <cellStyle name="_Ernestine Parts Budgetary Quote - LA (20060319)_Quotebook_07SEP10_BlueAnt_Quotebook_V3_07SEP11_Stream RFQ Unibom--0626-1756_Stream Package Quotation_20090311" xfId="9228"/>
    <cellStyle name="_Ernestine Parts Budgetary Quote - LA (20060319)_Quotebook_07SEP10_BlueAnt_Quotebook_V3_07SEP11_Stream RFQ Unibom--0626-1756_Stream Quotebook (Submittal)_POC2_20081117-1" xfId="9229"/>
    <cellStyle name="_Jun05_FDM" xfId="9230"/>
    <cellStyle name="_Ernestine Parts Budgetary Quote - LA (20060319)_Quotebook_07SEP10_BlueAnt_Quotebook_V3_07SEP11_Stream RFQ Unibom--0626-1756_Stream Quotebook(Submittal)_POC1_20080903" xfId="9231"/>
    <cellStyle name="_Ernestine Parts Budgetary Quote - LA (20060319)_Quotebook_07SEP10_BlueAnt_Quotebook_V3_07SEP11_Stream RFQ Unibom--0626-1756_Stream Quotebook(Submittal)_POC1_20080903 2" xfId="9232"/>
    <cellStyle name="_Ernestine Parts Budgetary Quote - LA (20060319)_Quotebook_07SEP10_Internal RFQ River Standalone  Bundle Unibom_v1 2_20080603_EJ 2" xfId="9233"/>
    <cellStyle name="_Ernestine Parts Budgetary Quote - LA (20060319)_Quotebook_07SEP10_Internal RFQ River Standalone  Bundle Unibom_v1 2_20080603_EJ_Stream Package Quotation_20090311" xfId="9234"/>
    <cellStyle name="_Ernestine Parts Budgetary Quote - LA (20060319)_Quotebook_07SEP10_Internal RFQ River Standalone  Bundle Unibom_v1 2_20080603_EJ_Stream Quotebook (Submittal)_POC2_20081117-1" xfId="9235"/>
    <cellStyle name="_Ernestine Parts Budgetary Quote - LA (20060319)_Quotebook_07SEP10_Internal RFQ River Standalone  Bundle Unibom_v1 2_20080603_EJ_Stream Quotebook(Submittal)_POC1_20080903" xfId="9236"/>
    <cellStyle name="_S_BOMP" xfId="9237"/>
    <cellStyle name="_Flex Mechanicals Doumen Sales forecast - Dec'05 (updated links)_PL Fcst Jul 06-updated G&amp;A Value_Internal Hourly Rate Q1 FY08 Version (2)" xfId="9238"/>
    <cellStyle name="_Ernestine Parts Budgetary Quote - LA (20060319)_Quotebook_07SEP10_Internal RFQ River Standalone  Bundle Unibom_v1 2_20080603_EJ_Stream Quotebook(Submittal)_POC1_20080903 2" xfId="9239"/>
    <cellStyle name="_Flex Mechanicals Doumen Sales forecast - Dec'05 R1_Copy of Tom OS ( Oct) new for LOG_X-BOX Console line setup budget and Buyer list" xfId="9240"/>
    <cellStyle name="_Ernestine Parts Budgetary Quote - LA (20060319)_Quotebook_07SEP10_RFQ_River_BAFO_2008 0606_M1" xfId="9241"/>
    <cellStyle name="好_River EE BOM_Creak Pearl Reliability Fixture RFQ_2009 04 24_Creek RFQ feedback 04_28_2009_FD Update_Leopard RFQ ME BOM Costs-0618_Bolt RFQ Proposal_Foxlink_ (Pricing Summary) 2 25 2011 3 3" xfId="9242"/>
    <cellStyle name="_Ernestine Parts Budgetary Quote - LA (20060319)_Quotebook_07SEP10_RFQ_River_BAFO_2008 0606_M1 2" xfId="9243"/>
    <cellStyle name="_Ernestine Parts Budgetary Quote - LA (20060319)_Quotebook_07SEP10_RFQ_River_BAFO_2008 0606_M1_Stream Package Quotation_20090311" xfId="9244"/>
    <cellStyle name="_Ernestine Parts Budgetary Quote - LA (20060319)_Quotebook_07SEP10_RFQ_River_BAFO_2008 0606_M1_Stream Quotebook (Submittal)_POC2_20081117-1" xfId="9245"/>
    <cellStyle name="差_Creak Pearl Reliability Fixture RFQ_2009 04 24_Pearl RFQ(Submittal)ver2_05_12_2009 _Leopard_UniBOM_ME_0603-2 2 4" xfId="9246"/>
    <cellStyle name="_Ernestine Parts Budgetary Quote - LA (20060319)_Quotebook_07SEP10_RFQ_River_BAFO_2008 0606_M1_Stream Quotebook(Submittal)_POC1_20080903" xfId="9247"/>
    <cellStyle name="_SIEMENS LINE標準工時" xfId="9248"/>
    <cellStyle name="_Quotebook_07SEP10_BlueAnt_Quotebook_V3_07SEP11_Internal RFQ River Standalone  Bundle Unibom_v1 2_20080603_EJ_Stream Quotebook (Submittal)_POC2_20081117-1" xfId="9249"/>
    <cellStyle name="_Ernestine Parts Budgetary Quote - LA (20060319)_Quotebook_07SEP10_RFQ_River_BAFO_2008 0606_M1_Stream Quotebook(Submittal)_POC1_20080903 2" xfId="9250"/>
    <cellStyle name="_Ernestine Parts Budgetary Quote - LA (20060319)_Quotebook_07SEP10_Stream RFQ Unibom--0626-1756_Stream Package Quotation_20090311" xfId="9251"/>
    <cellStyle name="_Ernestine Parts Budgetary Quote - LA (20060319)_Quotebook_07SEP10_Stream RFQ Unibom--0626-1756_Stream Quotebook (Submittal)_POC2_20081117-1" xfId="9252"/>
    <cellStyle name="_Mulan Edge EP0 KRH CTB wk28_5_FMTQCI-MIS3H064-P027(01)Nazca Copy Exact Flow chart" xfId="9253"/>
    <cellStyle name="40% - Accent2 3 2 2" xfId="9254"/>
    <cellStyle name="_Ernestine Parts Budgetary Quote - LA (20060319)_Quotebook_07SEP10_Stream RFQ Unibom--0626-1756_Stream Quotebook(Submittal)_POC1_20080903" xfId="9255"/>
    <cellStyle name="_PL Forecast Comparison_Mech Doumen2006_1(preliminary)_Volume Fcst 1006 updated_2009 xBOX ramp up budget code applicaiton 300K --New May27" xfId="9256"/>
    <cellStyle name="壞_Erie Assembly Fixture  Test Equip Cost_20090716_Jackson and Shadow test cost update _7th Feb 2010 (2)_Bristol TC Estimate Update 08042011_MS" xfId="9257"/>
    <cellStyle name="_Ernestine Parts Budgetary Quote - LA (20060319)_Quotebook_07SEP10_Stream RFQ Unibom--0626-1756_Stream Quotebook(Submittal)_POC1_20080903 2" xfId="9258"/>
    <cellStyle name="_X-BOX Console line setup budget 20080414" xfId="9259"/>
    <cellStyle name="_Ernestine Parts Budgetary Quote - LA (20060319)_Quotebook_V3_07SEP11" xfId="9260"/>
    <cellStyle name="_Ernestine Parts Budgetary Quote - LA (20060319)_Quotebook_V3_07SEP11 2" xfId="9261"/>
    <cellStyle name="_Ernestine Parts Budgetary Quote - LA (20060319)_Quotebook_V3_07SEP11_Internal RFQ River Standalone  Bundle Unibom_v1 2_20080603_EJ" xfId="9262"/>
    <cellStyle name="_Ernestine Parts Budgetary Quote - LA (20060319)_Quotebook_V3_07SEP11_Internal RFQ River Standalone  Bundle Unibom_v1 2_20080603_EJ 2" xfId="9263"/>
    <cellStyle name="壞_Erie Assembly Fixture  Test Equip Cost_20090716_Foxlink_Shadow RFQ NREUni BOM_12032009_Bolt RFQ_Foxlink_03.1 2011_nego meeting@MACH 2 2" xfId="9264"/>
    <cellStyle name="Normal 4 3 2 2 3" xfId="9265"/>
    <cellStyle name="_Ernestine Parts Budgetary Quote - LA (20060319)_Quotebook_V3_07SEP11_Internal RFQ River Standalone  Bundle Unibom_v1 2_20080603_EJ_Stream Package Quotation_20090311" xfId="9266"/>
    <cellStyle name="差_效益分析&amp;產能評估_Bolt RFQ Proposal_Foxlink_ (Pricing Summary) 2 25 2011 2 2 2" xfId="9267"/>
    <cellStyle name="_Ernestine Parts Budgetary Quote - LA (20060319)_Quotebook_V3_07SEP11_Internal RFQ River Standalone  Bundle Unibom_v1 2_20080603_EJ_Stream Quotebook (Submittal)_POC2_20081117-1" xfId="9268"/>
    <cellStyle name="好_River EE BOM_Creek RFQ feedback 04_28_2009_FD Update_Foxlink_Shadow RFQ NREUni BOM_12032009_Bolt RFQ_Foxlink_03.1 2011_nego meeting@MACH 4" xfId="9269"/>
    <cellStyle name="_Ernestine Parts Budgetary Quote - LA (20060319)_Quotebook_V3_07SEP11_Internal RFQ River Standalone  Bundle Unibom_v1 2_20080603_EJ_Stream Quotebook(Submittal)_POC1_20080903" xfId="9270"/>
    <cellStyle name="差_Creak Pearl Reliability Fixture RFQ_2009 04 24_Xl0000002_Foxlink_Shadow RFQ NREUni BOM_12032009_Bolt RFQ_Foxlink_03.1 2011_nego meeting@MACH 5" xfId="9271"/>
    <cellStyle name="_Ernestine Parts Budgetary Quote - LA (20060319)_Quotebook_V3_07SEP11_Internal RFQ River Standalone  Bundle Unibom_v1 2_20080603_EJ_Stream Quotebook(Submittal)_POC1_20080903 2" xfId="9272"/>
    <cellStyle name="好_效益分析&amp;產能評估_M1 Bolt wireless mouse FixtureEquipment Cost_A2_2010_12_07_Bolt RFQ Proposal_Foxlink_ (Pricing Summary) 2 25 2011 4 2" xfId="9273"/>
    <cellStyle name="_Ernestine Parts Budgetary Quote - LA (20060319)_Quotebook_V3_07SEP11_RFQ_River_BAFO_2008 0606_M1" xfId="9274"/>
    <cellStyle name="_Ernestine Parts Budgetary Quote - LA (20060319)_Quotebook_V3_07SEP11_RFQ_River_BAFO_2008 0606_M1 2" xfId="9275"/>
    <cellStyle name="_Ernestine Parts Budgetary Quote - LA (20060319)_Quotebook_V3_07SEP11_RFQ_River_BAFO_2008 0606_M1_Stream Package Quotation_20090311" xfId="9276"/>
    <cellStyle name="好_Creek Assembly Fixture  Test Equipment RFQ_20090427_Leopard RFQ ME BOM Costs-0618-2 2 4" xfId="9277"/>
    <cellStyle name="_Ernestine Parts Budgetary Quote - LA (20060319)_Quotebook_V3_07SEP11_RFQ_River_BAFO_2008 0606_M1_Stream Quotebook (Submittal)_POC2_20081117-1" xfId="9278"/>
    <cellStyle name="60% - 强调文字颜色 1 5 3" xfId="9279"/>
    <cellStyle name="_Ernestine Parts Budgetary Quote - LA (20060319)_Quotebook_V3_07SEP11_RFQ_River_BAFO_2008 0606_M1_Stream Quotebook(Submittal)_POC1_20080903 2" xfId="9280"/>
    <cellStyle name="_Ernestine Parts Budgetary Quote - LA (20060319)_Quotebook_V3_07SEP11_Stream RFQ Unibom--0626-1756" xfId="9281"/>
    <cellStyle name="好_Creek Assembly Fixture  Test Equipment RFQ_20090427_Leopard RFQ ME BOM Costs-0618_Bolt RFQ_Foxlink_03.1 2011_Bolt_Cliff" xfId="9282"/>
    <cellStyle name="_Ernestine Parts Budgetary Quote - LA (20060319)_Quotebook_V3_07SEP11_Stream RFQ Unibom--0626-1756 2" xfId="9283"/>
    <cellStyle name="好_River EE BOM_Xl0000002_Squirrel RFQ ME BOM Costs-0623 3 3" xfId="9284"/>
    <cellStyle name="好_River EE BOM_Xl0000002_Leopard_UniBOM_ME_0602_Bolt RFQ_Foxlink_03.1 2011 3 3" xfId="9285"/>
    <cellStyle name="好_River EE BOM_Creak Pearl Reliability Fixture RFQ_2009 04 24_Creek  Pearl RFQ_May 12_Leopard_UniBOM_ME_0602_Bolt RFQ Proposal_Foxlink_ (Pricing Summary) 2 25 2011 4 3" xfId="9286"/>
    <cellStyle name="_Ernestine Parts Budgetary Quote - LA (20060319)_Quotebook_V3_07SEP11_Stream RFQ Unibom--0626-1756_Stream Quotebook(Submittal)_POC1_20080903" xfId="9287"/>
    <cellStyle name="差_Creek RFQ feedback 04_28_2009_FD Update_Foxlink_Shadow RFQ NREUni BOM_12032009_Bolt RFQ Proposal_Foxlink_ (Pricing Summary) 2 25 2011" xfId="9288"/>
    <cellStyle name="_Ernestine Parts Budgetary Quote - LA (20060319)_RFQ_River_BAFO_2008 0606_M1 2" xfId="9289"/>
    <cellStyle name="_Ernestine Parts Budgetary Quote - LA (20060319)_RFQ_River_BAFO_2008 0606_M1_Stream Package Quotation_20090311" xfId="9290"/>
    <cellStyle name="Normal 13 4" xfId="9291"/>
    <cellStyle name="差_Creek RFQ feedback 04_28_2009_FD Update_Leopard RFQ ME BOM Costs-0618 2 4" xfId="9292"/>
    <cellStyle name="_Ernestine Parts Budgetary Quote - LA (20060319)_RFQ_River_BAFO_2008 0606_M1_Stream Quotebook (Submittal)_POC2_20081117-1" xfId="9293"/>
    <cellStyle name="好_Creek EE BOM cost_20090425_Creek RFQ feedback 04_28_2009_FD Update_Leopard_UniBOM_ME_0531_Bolt RFQ Proposal_Foxlink_ (Pricing Summary) 2 25 2011" xfId="9294"/>
    <cellStyle name="_Ernestine Parts Budgetary Quote - LA (20060319)_RFQ_River_BAFO_2008 0606_M1_Stream Quotebook(Submittal)_POC1_20080903" xfId="9295"/>
    <cellStyle name="差_jupite r設備&amp;治工具LIST (總)_pq_Jackson 效益分析 testing update_16th Jan111_Jackson 效益分析 (2-1 B0 上系統)" xfId="9296"/>
    <cellStyle name="_Ernestine Parts Budgetary Quote - LA (20060319)_Stream RFQ Unibom--0626-1756" xfId="9297"/>
    <cellStyle name="_Ernestine Parts Budgetary Quote - LA (20060319)_Stream RFQ Unibom--0626-1756_Stream Package Quotation_20090311" xfId="9298"/>
    <cellStyle name="_PL Forecast Comparison_Mech Doumen2006_1(preliminary)_Volume Fcst 1006 updated_Forecast Template v4" xfId="9299"/>
    <cellStyle name="_Ernestine Parts Budgetary Quote - LA (20060319)_Stream RFQ Unibom--0626-1756_Stream Quotebook (Submittal)_POC2_20081117-1" xfId="9300"/>
    <cellStyle name="_Ernestine Parts Budgetary Quote - LA (20060319)_Stream RFQ Unibom--0626-1756_Stream Quotebook(Submittal)_POC1_20080903" xfId="9301"/>
    <cellStyle name="_Ernestine Parts Budgetary Quote - LA (20060319)_Stream RFQ Unibom--0626-1756_Stream Quotebook(Submittal)_POC1_20080903 2" xfId="9302"/>
    <cellStyle name="_Ernestine Requipment  Fixture List_04_06_2006" xfId="9303"/>
    <cellStyle name="差_Creak Pearl Reliability Fixture RFQ_2009 04 24_Creek RFQ feedback 04_28_2009_FD Update_Jackson NRE Uni BOM_update _05072010 rev K" xfId="9304"/>
    <cellStyle name="_Ernestine Requipment  Fixture List_04_06_2006 2" xfId="9305"/>
    <cellStyle name="差_HP Mouse 產能評估(上系統)_Erie 效益分析 (Update)_Jackson 效益分析 testing update_16th Jan111_Jackson 效益分析 (2-1 B0 上系統)_squirrel效益分析08-17" xfId="9306"/>
    <cellStyle name="_Ernestine Requipment  Fixture List_04_06_2006_Erie  Mouse RFQ Pricing IE" xfId="9307"/>
    <cellStyle name="好_效益分析&amp;產能評估_M1 Bolt wireless mouse FixtureEquipment Cost_A2_2010_12_07 2 3" xfId="9308"/>
    <cellStyle name="壞_Creek EE BOM cost_20090425_Leopard Lemur Squirrel UniBom-06.22.2010_EE cost _update_internal_Bolt RFQ_Foxlink_03.1 2011_nego meeting@MACH 5" xfId="9309"/>
    <cellStyle name="_Ernestine Requipment  Fixture List_04_06_2006_Erie  Mouse RFQ Pricing IE 2" xfId="9310"/>
    <cellStyle name="好_Creek EE BOM cost_20090425_Squirrel UniBom-06.23.2010_update_internal_Bolt RFQ_Foxlink_03.1 2011 2 3" xfId="9311"/>
    <cellStyle name="好_Creek EE BOM cost_20090425_Creek RFQ feedback 04_28_2009_FD Update_Squirrel RFQ ME BOM Costs-0623_Bolt RFQ_Foxlink_03.1 2011 3 2" xfId="9312"/>
    <cellStyle name="差_F3   SMT設備明細_jupite r設備&amp;治工具LIST (總)_flow chart 2009.12.12_~5631336_Jackson 效益分析 (2-1 B0 上系統)_Leopard Flowchart &amp; 產能評估" xfId="9313"/>
    <cellStyle name="_Ernestine Requipment  Fixture List_04_06_2006_Internal RFQ River Standalone  Bundle Unibom_v1 2_20080603_EJ" xfId="9314"/>
    <cellStyle name="差_Creak Pearl Reliability Fixture RFQ_2009 04 24_Leopard RFQ ME BOM Costs-0618_Bolt RFQ Proposal_Foxlink_ (Pricing Summary) 2 25 2011 2 4" xfId="9315"/>
    <cellStyle name="_Ernestine Requipment  Fixture List_04_06_2006_Internal RFQ River Standalone  Bundle Unibom_v1 2_20080603_EJ 2" xfId="9316"/>
    <cellStyle name="好_Erie Assembly Fixture  Test Equip Cost_20090716_Foxlink_Shadow RFQ NREUni BOM_12032009_Wedge_ME_BOM-v00-11v0715 2" xfId="9317"/>
    <cellStyle name="_Ernestine Requipment  Fixture List_04_06_2006_Internal RFQ River Standalone  Bundle Unibom_v1 2_20080603_EJ_Stream Package Quotation_20090311" xfId="9318"/>
    <cellStyle name="_Z9i_Quotebook_(Worksheet)_V4_Internal RFQ River Standalone  Bundle Unibom_v1 2_20080603_EJ 2" xfId="9319"/>
    <cellStyle name="_Ernestine Requipment  Fixture List_04_06_2006_Internal RFQ River Standalone  Bundle Unibom_v1 2_20080603_EJ_Stream Quotebook (Submittal)_POC2_20081117-1" xfId="9320"/>
    <cellStyle name="_Ernestine Requipment  Fixture List_04_06_2006_Internal RFQ River Standalone  Bundle Unibom_v1 2_20080603_EJ_Stream Quotebook(Submittal)_POC1_20080903 2" xfId="9321"/>
    <cellStyle name="差_Creak Pearl Reliability Fixture RFQ_2009 04 24_Leopard_UniBOM_ME_0531_Bolt RFQ_Foxlink_03.1 2011_nego meeting@MACH 3 3" xfId="9322"/>
    <cellStyle name="好_Creek EE BOM cost_20090425_Squirrel UniBom-06.23.2010_update_internal_Bolt RFQ_Foxlink_03.1 2011 3 3" xfId="9323"/>
    <cellStyle name="_Mechanical Contribution Margins (Q2'06) 0705_Mechanical Contribution Margins forecast 0506 FP_PL Forecast by segment-most final 0806_Forecast Template v4" xfId="9324"/>
    <cellStyle name="_Ernestine Requipment  Fixture List_04_06_2006_Quotebook_07SEP10" xfId="9325"/>
    <cellStyle name="差_HP  專案(設備&amp;治工具需夠買)update_M1 SuedeFixtureEquipment Cost_A0_2010_10_15_Bolt RFQ_Foxlink_03.1 2011_nego meeting@MACH 3 3" xfId="9326"/>
    <cellStyle name="好_River EE BOM_Creak Pearl Reliability Fixture RFQ_2009 04 24_Pearl RFQ(Submittal)ver2_05_12_2009 _Leopard RFQ ME BOM Costs-0618_Bolt RFQ Proposal_Foxlink_ (Pricing Summary) 2 25 2011 4" xfId="9327"/>
    <cellStyle name="_Ernestine Requipment  Fixture List_04_06_2006_Quotebook_07SEP10 2" xfId="9328"/>
    <cellStyle name="_Ernestine Requipment  Fixture List_04_06_2006_Quotebook_07SEP10_BlueAnt_Quotebook_V3_07SEP11" xfId="9329"/>
    <cellStyle name="Accent3 3 3" xfId="9330"/>
    <cellStyle name="_Ernestine Requipment  Fixture List_04_06_2006_Quotebook_07SEP10_BlueAnt_Quotebook_V3_07SEP11 2" xfId="9331"/>
    <cellStyle name="好_River EE BOM_Creak Pearl Reliability Fixture RFQ_2009 04 24_Xl0000002_Leopard_UniBOM_ME_0603-2_Bolt RFQ_Foxlink_03.1 2011 2 2" xfId="9332"/>
    <cellStyle name="_Ernestine Requipment  Fixture List_04_06_2006_Quotebook_07SEP10_BlueAnt_Quotebook_V3_07SEP11_Internal RFQ River Standalone  Bundle Unibom_v1 2_20080603_EJ" xfId="9333"/>
    <cellStyle name="_Ernestine Requipment  Fixture List_04_06_2006_Quotebook_07SEP10_BlueAnt_Quotebook_V3_07SEP11_Internal RFQ River Standalone  Bundle Unibom_v1 2_20080603_EJ 2" xfId="9334"/>
    <cellStyle name="_Ernestine Requipment  Fixture List_04_06_2006_Quotebook_07SEP10_BlueAnt_Quotebook_V3_07SEP11_Internal RFQ River Standalone  Bundle Unibom_v1 2_20080603_EJ_Stream Package Quotation_20090311" xfId="9335"/>
    <cellStyle name="_Flex Mechanicals Doumen Sales forecast - Jan 06 updated._Copy of Tom OS ( Oct) new for LOG_Copy of X-BOX for line setup budget" xfId="9336"/>
    <cellStyle name="_Ernestine Requipment  Fixture List_04_06_2006_Quotebook_07SEP10_BlueAnt_Quotebook_V3_07SEP11_Internal RFQ River Standalone  Bundle Unibom_v1 2_20080603_EJ_Stream Quotebook (Submittal)_POC2_20081117-1" xfId="9337"/>
    <cellStyle name="40% - Accent6 2 3 2" xfId="9338"/>
    <cellStyle name="_Production HC Planning &amp; HC Distribution Report" xfId="9339"/>
    <cellStyle name="_Ernestine Requipment  Fixture List_04_06_2006_Quotebook_07SEP10_BlueAnt_Quotebook_V3_07SEP11_Internal RFQ River Standalone  Bundle Unibom_v1 2_20080603_EJ_Stream Quotebook(Submittal)_POC1_20080903" xfId="9340"/>
    <cellStyle name="好_Creek EE BOM cost_20090425_Creek RFQ feedback 04_28_2009_FD Update_Bolt RFQ Proposal_Foxlink_ (Pricing Summary) 2 25 2011 6" xfId="9341"/>
    <cellStyle name="_Ernestine Requipment  Fixture List_04_06_2006_Quotebook_07SEP10_BlueAnt_Quotebook_V3_07SEP11_Internal RFQ River Standalone  Bundle Unibom_v1 2_20080603_EJ_Stream Quotebook(Submittal)_POC1_20080903 2" xfId="9342"/>
    <cellStyle name="_Ernestine Requipment  Fixture List_04_06_2006_Quotebook_07SEP10_BlueAnt_Quotebook_V3_07SEP11_RFQ_River_BAFO_2008 0606_M1" xfId="9343"/>
    <cellStyle name="_Mechanical Contribution Margins (Q1'06, applied to Apr'04 Fcst)_Mechanical Contribution Margins forecast 0506 FP_PL Forecast by segment-most final 0806_Tom OS ( Oct)_X-BOX Console line setup budget 20080414" xfId="9344"/>
    <cellStyle name="差_dallas產能評估_Dallas效益分析&amp;投資回收期 (12-2 A1)_Jackson 效益分析 testing update_16th Jan111" xfId="9345"/>
    <cellStyle name="好_BRISTOL_EV2_TeamCenter_BOM_Foxlink 110107" xfId="9346"/>
    <cellStyle name="_Ernestine Requipment  Fixture List_04_06_2006_Quotebook_07SEP10_BlueAnt_Quotebook_V3_07SEP11_RFQ_River_BAFO_2008 0606_M1 2" xfId="9347"/>
    <cellStyle name="_Ernestine Requipment  Fixture List_04_06_2006_Quotebook_07SEP10_BlueAnt_Quotebook_V3_07SEP11_RFQ_River_BAFO_2008 0606_M1_Stream Package Quotation_20090311" xfId="9348"/>
    <cellStyle name="_Ernestine Requipment  Fixture List_04_06_2006_Quotebook_07SEP10_BlueAnt_Quotebook_V3_07SEP11_RFQ_River_BAFO_2008 0606_M1_Stream Quotebook (Submittal)_POC2_20081117-1" xfId="9349"/>
    <cellStyle name="好_Creek EE BOM cost_20090425_Creek RFQ feedback 04_28_2009_FD Update_Leopard_UniBOM_ME_0531" xfId="9350"/>
    <cellStyle name="_Ernestine Requipment  Fixture List_04_06_2006_Quotebook_07SEP10_BlueAnt_Quotebook_V3_07SEP11_RFQ_River_BAFO_2008 0606_M1_Stream Quotebook(Submittal)_POC1_20080903" xfId="9351"/>
    <cellStyle name="好_Creek EE BOM cost_20090425_Creek RFQ feedback 04_28_2009_FD Update_Leopard_UniBOM_ME_0531 2" xfId="9352"/>
    <cellStyle name="差_Creak Pearl Reliability Fixture RFQ_2009 04 24_Creek RFQ feedback 04_28_2009_FD Update_Leopard_UniBOM_ME_0602_Bolt RFQ Proposal_Foxlink_ (Pricing Summary) 2 25 2011" xfId="9353"/>
    <cellStyle name="壞_Creek Assembly Fixture  Test Equipment RFQ_20090427_Jackson and Shadow BOM cost_mainfile_2010 0324 rev.1_Leopard UniBom_Foxlink_12092010 RevD-jen" xfId="9354"/>
    <cellStyle name="_Ernestine Requipment  Fixture List_04_06_2006_Quotebook_07SEP10_BlueAnt_Quotebook_V3_07SEP11_RFQ_River_BAFO_2008 0606_M1_Stream Quotebook(Submittal)_POC1_20080903 2" xfId="9355"/>
    <cellStyle name="_Ernestine Requipment  Fixture List_04_06_2006_Quotebook_07SEP10_BlueAnt_Quotebook_V3_07SEP11_Stream RFQ Unibom--0626-1756 2" xfId="9356"/>
    <cellStyle name="差_Erie mouse 效益分析( 11-19 A1)_Flow Chart&amp;設備治工具清單 _~1159284" xfId="9357"/>
    <cellStyle name="差_Creek RFQ feedback 04_28_2009_FD Update_Foxlink_Shadow RFQ NREUni BOM_12032009_Bolt RFQ_Foxlink_03.1 2011_nego meeting@MACH" xfId="9358"/>
    <cellStyle name="_Ernestine Requipment  Fixture List_04_06_2006_Quotebook_07SEP10_BlueAnt_Quotebook_V3_07SEP11_Stream RFQ Unibom--0626-1756_Stream Package Quotation_20090311" xfId="9359"/>
    <cellStyle name="_Ernestine Requipment  Fixture List_04_06_2006_Quotebook_07SEP10_BlueAnt_Quotebook_V3_07SEP11_Stream RFQ Unibom--0626-1756_Stream Quotebook (Submittal)_POC2_20081117-1" xfId="9360"/>
    <cellStyle name="好_River EE BOM_Creak Pearl Reliability Fixture RFQ_2009 04 24_Squirrel RFQ ME BOM Costs-0623_Bolt RFQ_Foxlink_03.1 2011 3" xfId="9361"/>
    <cellStyle name="差_dallas產能評估_效益分析(總 12-28 Update)" xfId="9362"/>
    <cellStyle name="差_Creak Pearl Reliability Fixture RFQ_2009 04 24_Creek RFQ feedback 04_28_2009_FD Update_Leopard_UniBOM_ME_0531_Bolt RFQ Proposal_Foxlink_ (Pricing Summary) 2 25 2011 5 2" xfId="9363"/>
    <cellStyle name="_Ernestine Requipment  Fixture List_04_06_2006_Quotebook_07SEP10_BlueAnt_Quotebook_V3_07SEP11_Stream RFQ Unibom--0626-1756_Stream Quotebook(Submittal)_POC1_20080903" xfId="9364"/>
    <cellStyle name="_Ernestine Requipment  Fixture List_04_06_2006_Quotebook_07SEP10_BlueAnt_Quotebook_V3_07SEP11_Stream RFQ Unibom--0626-1756_Stream Quotebook(Submittal)_POC1_20080903 2" xfId="9365"/>
    <cellStyle name="好_Creek Assembly Fixture  Test Equipment RFQ_20090427_Leopard_UniBOM_ME_0602_Bolt RFQ_Foxlink_03.1 2011 2 3" xfId="9366"/>
    <cellStyle name="_Ernestine Requipment  Fixture List_04_06_2006_Quotebook_07SEP10_Internal RFQ River Standalone  Bundle Unibom_v1 2_20080603_EJ" xfId="9367"/>
    <cellStyle name="差_治具工程課2009年KPI_產線生產規劃KPI 5 4" xfId="9368"/>
    <cellStyle name="_Ernestine Requipment  Fixture List_04_06_2006_Quotebook_07SEP10_Internal RFQ River Standalone  Bundle Unibom_v1 2_20080603_EJ 2" xfId="9369"/>
    <cellStyle name="差_Xl0000000_Leopard_UniBOM_ME_0531_Bolt RFQ Proposal_Foxlink_ (Pricing Summary) 2 25 2011 5 3" xfId="9370"/>
    <cellStyle name="60% - Accent6 3" xfId="9371"/>
    <cellStyle name="40% - Accent4 2 5" xfId="9372"/>
    <cellStyle name="_Ernestine Requipment  Fixture List_04_06_2006_Quotebook_07SEP10_Internal RFQ River Standalone  Bundle Unibom_v1 2_20080603_EJ_Stream Package Quotation_20090311" xfId="9373"/>
    <cellStyle name="差_F3   SMT設備明細_jupite r設備&amp;治工具LIST (總)_Dallas flow chart&amp;設備&amp;治工具清單(12-8 A0)_Leopard Flowchart &amp; 產能評估" xfId="9374"/>
    <cellStyle name="_Ernestine Requipment  Fixture List_04_06_2006_Quotebook_07SEP10_Internal RFQ River Standalone  Bundle Unibom_v1 2_20080603_EJ_Stream Quotebook (Submittal)_POC2_20081117-1" xfId="9375"/>
    <cellStyle name="差_Jackson 效益分析 testing update_16th Jan111_Jackson 效益分析 (2-1 B0 上系統)" xfId="9376"/>
    <cellStyle name="_Ernestine Requipment  Fixture List_04_06_2006_Quotebook_07SEP10_Internal RFQ River Standalone  Bundle Unibom_v1 2_20080603_EJ_Stream Quotebook(Submittal)_POC1_20080903" xfId="9377"/>
    <cellStyle name="好_Creek EE BOM cost_20090425_Squirrel RFQ ME BOM Costs-0623 2 3" xfId="9378"/>
    <cellStyle name="_Ernestine Requipment  Fixture List_04_06_2006_Quotebook_07SEP10_Internal RFQ River Standalone  Bundle Unibom_v1 2_20080603_EJ_Stream Quotebook(Submittal)_POC1_20080903 2" xfId="9379"/>
    <cellStyle name="_Z9i_Cert+EMC-RF+BQE+USB IF+RET Tests Cost_Draft_20070913" xfId="9380"/>
    <cellStyle name="好_Creek Assembly Fixture  Test Equipment RFQ_20090427_Xl0000002 5" xfId="9381"/>
    <cellStyle name="_Ernestine Requipment  Fixture List_04_06_2006_Quotebook_07SEP10_RFQ_River_BAFO_2008 0606_M1" xfId="9382"/>
    <cellStyle name="_Ernestine Requipment  Fixture List_04_06_2006_Quotebook_07SEP10_RFQ_River_BAFO_2008 0606_M1 2" xfId="9383"/>
    <cellStyle name="_Ernestine Requipment  Fixture List_04_06_2006_Quotebook_07SEP10_RFQ_River_BAFO_2008 0606_M1_Stream Package Quotation_20090311" xfId="9384"/>
    <cellStyle name="_Ernestine Requipment  Fixture List_04_06_2006_Quotebook_07SEP10_RFQ_River_BAFO_2008 0606_M1_Stream Quotebook (Submittal)_POC2_20081117-1" xfId="9385"/>
    <cellStyle name="_MOST Std - Project A BB Line_Nazca copy exact flow chart 2012313" xfId="9386"/>
    <cellStyle name="_Ernestine Requipment  Fixture List_04_06_2006_Quotebook_07SEP10_RFQ_River_BAFO_2008 0606_M1_Stream Quotebook(Submittal)_POC1_20080903" xfId="9387"/>
    <cellStyle name="_Ernestine Requipment  Fixture List_04_06_2006_Quotebook_07SEP10_RFQ_River_BAFO_2008 0606_M1_Stream Quotebook(Submittal)_POC1_20080903 2" xfId="9388"/>
    <cellStyle name="_Ernestine Requipment  Fixture List_04_06_2006_Quotebook_07SEP10_Stream RFQ Unibom--0626-1756" xfId="9389"/>
    <cellStyle name="_Ernestine Requipment  Fixture List_04_06_2006_Quotebook_07SEP10_Stream RFQ Unibom--0626-1756_Stream Package Quotation_20090311" xfId="9390"/>
    <cellStyle name="差_dallas產能評估_~8644671_Jackson 效益分析 (2-1 B0 上系統)_squirrel效益分析08-17" xfId="9391"/>
    <cellStyle name="_Ernestine Requipment  Fixture List_04_06_2006_Quotebook_07SEP10_Stream RFQ Unibom--0626-1756_Stream Quotebook (Submittal)_POC2_20081117-1" xfId="9392"/>
    <cellStyle name="好_River EE BOM_Xl0000000_Leopard Lemur Squirrel UniBom-06.22.2010_EE cost _update_internal 3 2" xfId="9393"/>
    <cellStyle name="_Mechanical Contribution Margins (Q2'06) 0705_Volume Fcst 1006 updated_Copy of Tom OS ( Oct) new for LOG_2009 xBOX ramp up budget code applicaiton 300K --New May27" xfId="9394"/>
    <cellStyle name="_Ernestine Requipment  Fixture List_04_06_2006_Quotebook_07SEP10_Stream RFQ Unibom--0626-1756_Stream Quotebook(Submittal)_POC1_20080903" xfId="9395"/>
    <cellStyle name="_Ernestine Requipment  Fixture List_04_06_2006_Quotebook_07SEP10_Stream RFQ Unibom--0626-1756_Stream Quotebook(Submittal)_POC1_20080903 2" xfId="9396"/>
    <cellStyle name="差_Creak Pearl Reliability Fixture RFQ_2009 04 24_Creek RFQ feedback 04_28_2009_FD Update_Leopard RFQ ME BOM Costs-0618-2 2 2 3" xfId="9397"/>
    <cellStyle name="好_River EE BOM_Xl0000000_Leopard RFQ ME BOM Costs-0618 3 3" xfId="9398"/>
    <cellStyle name="_Ernestine Requipment  Fixture List_04_06_2006_Quotebook_V3_07SEP11" xfId="9399"/>
    <cellStyle name="_Ernestine Requipment  Fixture List_04_06_2006_Quotebook_V3_07SEP11 2" xfId="9400"/>
    <cellStyle name="好_River EE BOM_Xl0000000_Leopard_UniBOM_ME_0602-1_Bolt RFQ_Foxlink_03.1 2011_nego meeting@MACH 4" xfId="9401"/>
    <cellStyle name="_Ernestine Requipment  Fixture List_04_06_2006_Quotebook_V3_07SEP11_Internal RFQ River Standalone  Bundle Unibom_v1 2_20080603_EJ" xfId="9402"/>
    <cellStyle name="好_Creek Assembly Fixture  Test Equipment RFQ_20090427_Foxlink_Shadow RFQ NREUni BOM_12032009_Bolt RFQ_Foxlink_03.1 2011_nego meeting@MACH_Bolt_Cliff 7" xfId="9403"/>
    <cellStyle name="_Sales Forecast (plastic XX)0703_PL Fcst Jul 06-updated G&amp;A Value_Tom OS ( Oct)_Forecast Template v4" xfId="9404"/>
    <cellStyle name="_Sales Forecast (plastic XX)1203_PL Fcst Jul 06-updated G&amp;A Value_Tom OS ( Oct)_Forecast Template v4" xfId="9405"/>
    <cellStyle name="_Ernestine Requipment  Fixture List_04_06_2006_Quotebook_V3_07SEP11_Internal RFQ River Standalone  Bundle Unibom_v1 2_20080603_EJ_Stream Package Quotation_20090311" xfId="9406"/>
    <cellStyle name="_Ernestine Requipment  Fixture List_04_06_2006_Quotebook_V3_07SEP11_Internal RFQ River Standalone  Bundle Unibom_v1 2_20080603_EJ_Stream Quotebook (Submittal)_POC2_20081117-1" xfId="9407"/>
    <cellStyle name="好_River EE BOM_Creek RFQ feedback 04_28_2009_FD Update_Bolt RFQ Proposal_Foxlink_ (Pricing Summary) 2 25 2011 5" xfId="9408"/>
    <cellStyle name="_Ernestine Requipment  Fixture List_04_06_2006_Quotebook_V3_07SEP11_Internal RFQ River Standalone  Bundle Unibom_v1 2_20080603_EJ_Stream Quotebook(Submittal)_POC1_20080903 2" xfId="9409"/>
    <cellStyle name="差_Xl0000002_Squirrel UniBom-06.23.2010_update_internal_Bolt RFQ Proposal_Foxlink_ (Pricing Summary) 2 25 2011 3 3" xfId="9410"/>
    <cellStyle name="_Ernestine Requipment  Fixture List_04_06_2006_Quotebook_V3_07SEP11_RFQ_River_BAFO_2008 0606_M1" xfId="9411"/>
    <cellStyle name="_Ernestine Requipment  Fixture List_04_06_2006_Quotebook_V3_07SEP11_RFQ_River_BAFO_2008 0606_M1 2" xfId="9412"/>
    <cellStyle name="好_Creek Assembly Fixture  Test Equipment RFQ_20090427_Leopard_UniBOM_ME_0602_Bolt RFQ_Foxlink_03.1 2011_nego meeting@MACH" xfId="9413"/>
    <cellStyle name="计算 2 2 2" xfId="9414"/>
    <cellStyle name="_Ernestine Requipment  Fixture List_04_06_2006_Quotebook_V3_07SEP11_RFQ_River_BAFO_2008 0606_M1_Stream Package Quotation_20090311" xfId="9415"/>
    <cellStyle name="_Ernestine Requipment  Fixture List_04_06_2006_Quotebook_V3_07SEP11_RFQ_River_BAFO_2008 0606_M1_Stream Quotebook (Submittal)_POC2_20081117-1" xfId="9416"/>
    <cellStyle name="_Ernestine Requipment  Fixture List_04_06_2006_Quotebook_V3_07SEP11_RFQ_River_BAFO_2008 0606_M1_Stream Quotebook(Submittal)_POC1_20080903 2" xfId="9417"/>
    <cellStyle name="差_Xl0000000_Leopard_UniBOM_ME_0602-1_Bolt RFQ Proposal_Foxlink_ (Pricing Summary) 2 25 2011 2" xfId="9418"/>
    <cellStyle name="_Ernestine Requipment  Fixture List_04_06_2006_Quotebook_V3_07SEP11_Stream RFQ Unibom--0626-1756" xfId="9419"/>
    <cellStyle name="差_Xl0000000_Leopard_UniBOM_ME_0602-1_Bolt RFQ Proposal_Foxlink_ (Pricing Summary) 2 25 2011 2 2" xfId="9420"/>
    <cellStyle name="Normal 8 7" xfId="9421"/>
    <cellStyle name="_Ernestine Requipment  Fixture List_04_06_2006_Quotebook_V3_07SEP11_Stream RFQ Unibom--0626-1756 2" xfId="9422"/>
    <cellStyle name="_Ernestine Requipment  Fixture List_04_06_2006_Quotebook_V3_07SEP11_Stream RFQ Unibom--0626-1756_Stream Package Quotation_20090311" xfId="9423"/>
    <cellStyle name="好_River EE BOM_Creak Pearl Reliability Fixture RFQ_2009 04 24_Creek RFQ feedback 04_28_2009_FD Update_Leopard_UniBOM_ME_0603-2_Bolt RFQ_Foxlink_03.1 2011_nego meeting@MACH 3 3" xfId="9424"/>
    <cellStyle name="_Ernestine Requipment  Fixture List_04_06_2006_Quotebook_V3_07SEP11_Stream RFQ Unibom--0626-1756_Stream Quotebook (Submittal)_POC2_20081117-1" xfId="9425"/>
    <cellStyle name="好_River EE BOM_Creek RFQ feedback 04_28_2009_FD Update 2 3" xfId="9426"/>
    <cellStyle name="汇总 3 2 4" xfId="9427"/>
    <cellStyle name="_Ernestine Requipment  Fixture List_04_06_2006_Quotebook_V3_07SEP11_Stream RFQ Unibom--0626-1756_Stream Quotebook(Submittal)_POC1_20080903" xfId="9428"/>
    <cellStyle name="Comma 2 11" xfId="9429"/>
    <cellStyle name="_Ernestine Requipment  Fixture List_04_06_2006_Quotebook_V3_07SEP11_Stream RFQ Unibom--0626-1756_Stream Quotebook(Submittal)_POC1_20080903 2" xfId="9430"/>
    <cellStyle name="_Ernestine Requipment  Fixture List_04_06_2006_RFQ_River_BAFO_2008 0606_M1" xfId="9431"/>
    <cellStyle name="_XBOX MB RR Transport Cost - Air &amp; Express 040506R1_Lenovo PACK  Packing Proposal" xfId="9432"/>
    <cellStyle name="_Ernestine Requipment  Fixture List_04_06_2006_RFQ_River_BAFO_2008 0606_M1 2" xfId="9433"/>
    <cellStyle name="_Ernestine Requipment  Fixture List_04_06_2006_RFQ_River_BAFO_2008 0606_M1_Stream Package Quotation_20090311" xfId="9434"/>
    <cellStyle name="好_Creek Assembly Fixture  Test Equipment RFQ_20090427_Leopard RFQ ME BOM Costs-0618-2_Bolt RFQ_Foxlink_03.1 2011_nego meeting@MACH_Bolt_Cliff 4 2" xfId="9435"/>
    <cellStyle name="Normal 8 5" xfId="9436"/>
    <cellStyle name="_Mulan Edge Procurement Plan July 12 P1A_Mulan Edge EP0 KRH CTB wk28_2" xfId="9437"/>
    <cellStyle name="_FCT Pareto By Line-July 14th X808665-001-DEV01282-5-1_Yield report for Dev01975 (3)" xfId="9438"/>
    <cellStyle name="_Ernestine Requipment  Fixture List_04_06_2006_RFQ_River_BAFO_2008 0606_M1_Stream Quotebook (Submittal)_POC2_20081117-1" xfId="9439"/>
    <cellStyle name="好_River EE BOM_Xl0000000_Leopard Lemur Squirrel UniBom-06.22.2010_EE cost _update_internal_Bolt RFQ Proposal_Foxlink_ (Pricing Summary) 2 25 2011 2" xfId="9440"/>
    <cellStyle name="好_Creek Assembly Fixture  Test Equipment RFQ_20090427_Leopard UniBom_Foxlink_6 21 2010-ME_nego_Bolt RFQ_Foxlink_03.1 2011_Bolt_Cliff 5" xfId="9441"/>
    <cellStyle name="20% - Accent4 2 3 2" xfId="9442"/>
    <cellStyle name="_Ernestine Requipment  Fixture List_04_06_2006_RFQ_River_BAFO_2008 0606_M1_Stream Quotebook(Submittal)_POC1_20080903" xfId="9443"/>
    <cellStyle name="差_F3   SMT設備明細_jupite r設備&amp;治工具LIST (總)_flow chart 2009.12.12_~5631336_Jackson 效益分析 (2-1 B0 上系統)_squirrel效益分析08-17" xfId="9444"/>
    <cellStyle name="好_River EE BOM_Xl0000000_Leopard Lemur Squirrel UniBom-06.22.2010_EE cost _update_internal_Bolt RFQ Proposal_Foxlink_ (Pricing Summary) 2 25 2011 2 2" xfId="9445"/>
    <cellStyle name="好_Creek Assembly Fixture  Test Equipment RFQ_20090427_Leopard UniBom_Foxlink_6 21 2010-ME_nego_Bolt RFQ_Foxlink_03.1 2011_Bolt_Cliff 5 2" xfId="9446"/>
    <cellStyle name="_Ernestine Requipment  Fixture List_04_06_2006_RFQ_River_BAFO_2008 0606_M1_Stream Quotebook(Submittal)_POC1_20080903 2" xfId="9447"/>
    <cellStyle name="_Ernestine Requipment  Fixture List_04_06_2006_Stream RFQ Unibom--0626-1756" xfId="9448"/>
    <cellStyle name="_Ernestine Requipment  Fixture List_04_06_2006_Stream RFQ Unibom--0626-1756 2" xfId="9449"/>
    <cellStyle name="好_Creek EE BOM cost_20090425_Creek RFQ feedback 04_28_2009_FD Update_Leopard Lemur Squirrel UniBom-06.22.2010_EE cost _update_internal_Bolt RFQ_Foxlink_03.1 2011 4" xfId="9450"/>
    <cellStyle name="_laroux_1" xfId="9451"/>
    <cellStyle name="_Xbox 360 Build Plan Wistron 121905" xfId="9452"/>
    <cellStyle name="_Ernestine Requipment  Fixture List_04_06_2006_Stream RFQ Unibom--0626-1756_Stream Package Quotation_20090311" xfId="9453"/>
    <cellStyle name="_Ernestine Requipment  Fixture List_04_06_2006_Stream RFQ Unibom--0626-1756_Stream Quotebook (Submittal)_POC2_20081117-1" xfId="9454"/>
    <cellStyle name="_Ernestine Requipment  Fixture List_04_06_2006_Stream RFQ Unibom--0626-1756_Stream Quotebook(Submittal)_POC1_20080903" xfId="9455"/>
    <cellStyle name="差_Xl0000000_Leopard Lemur Squirrel UniBom-06.22.2010_EE cost _update_internal_Bolt RFQ Proposal_Foxlink_ (Pricing Summary) 2 25 2011 4" xfId="9456"/>
    <cellStyle name="_Ernestine Requipment  Fixture List_04_06_2006_Stream RFQ Unibom--0626-1756_Stream Quotebook(Submittal)_POC1_20080903 2" xfId="9457"/>
    <cellStyle name="_Ernestine RFQ Quote Book_111705" xfId="9458"/>
    <cellStyle name="_ESS flow" xfId="9459"/>
    <cellStyle name="差_Xl0000002_Squirrel RFQ ME BOM Costs-0623_Bolt RFQ Proposal_Foxlink_ (Pricing Summary) 2 25 2011 2 2 2" xfId="9460"/>
    <cellStyle name="差_Creek RFQ feedback 04_28_2009_FD Update_Foxlink_Shadow RFQ NREUni BOM_12032009_Bolt RFQ_Foxlink_03.1 2011_nego meeting@MACH 3" xfId="9461"/>
    <cellStyle name="_ESS flow-1" xfId="9462"/>
    <cellStyle name="好_River EE BOM_Creak Pearl Reliability Fixture RFQ_2009 04 24_Creek  Pearl RFQ_May 12_Leopard_UniBOM_ME_0531_Bolt RFQ_Foxlink_03.1 2011_nego meeting@MACH 4" xfId="9463"/>
    <cellStyle name="好_Creek Assembly Fixture  Test Equipment RFQ_20090427_Xl0000002_Leopard_UniBOM_ME_0531_Bolt RFQ_Foxlink_03.1 2011_nego meeting@MACH 2 2" xfId="9464"/>
    <cellStyle name="_ESS moth report--0705" xfId="9465"/>
    <cellStyle name="好_Creek Assembly Fixture  Test Equipment RFQ_20090427_Leopard_UniBOM_ME_0602_Bolt RFQ_Foxlink_03.1 2011_nego meeting@MACH_Bolt_Cliff 3" xfId="9466"/>
    <cellStyle name="差_Creak Pearl Reliability Fixture RFQ_2009 04 24_Leopard_UniBOM_ME_0602-1" xfId="9467"/>
    <cellStyle name="_ESS 提案-061031" xfId="9468"/>
    <cellStyle name="好_River EE BOM_Foxlink_Shadow RFQ NREUni BOM_12032009_Bolt RFQ Proposal_Foxlink_ (Pricing Summary) 2 25 2011 3 3" xfId="9469"/>
    <cellStyle name="好_River EE BOM_Creak Pearl Reliability Fixture RFQ_2009 04 24_Leopard RFQ ME BOM Costs-0618_Bolt RFQ Proposal_Foxlink_ (Pricing Summary) 2 25 2011 3" xfId="9470"/>
    <cellStyle name="_ESS 週報-061218" xfId="9471"/>
    <cellStyle name="_ESS月報-0703" xfId="9472"/>
    <cellStyle name="_ESS月報-10" xfId="9473"/>
    <cellStyle name="一般 2 2 5 2 2" xfId="9474"/>
    <cellStyle name="_ESS周報-070618NEW" xfId="9475"/>
    <cellStyle name="_ESS周報-070625NEW" xfId="9476"/>
    <cellStyle name="_ESS周報-070625NEW (2)" xfId="9477"/>
    <cellStyle name="_ESS周報-070730NEW" xfId="9478"/>
    <cellStyle name="差_Creak Pearl Reliability Fixture RFQ_2009 04 24_Leopard_UniBOM_ME_0531 3" xfId="9479"/>
    <cellStyle name="_ESS周報-070730NEW1" xfId="9480"/>
    <cellStyle name="_ESS周報-070903NEW" xfId="9481"/>
    <cellStyle name="_ESS周報-070910NEW" xfId="9482"/>
    <cellStyle name="好_River EE BOM_Creak Pearl Reliability Fixture RFQ_2009 04 24_Creek RFQ feedback 04_28_2009_FD Update_Leopard_UniBOM_ME_0603-2_Bolt RFQ_Foxlink_03.1 2011_nego meeting@MACH 5" xfId="9483"/>
    <cellStyle name="_圖書盤點表" xfId="9484"/>
    <cellStyle name="_ET_STYLE_NoName_00_" xfId="9485"/>
    <cellStyle name="好_River EE BOM_Xl0000000_Squirrel UniBom-06.23.2010_update_internal_Bolt RFQ Proposal_Foxlink_ (Pricing Summary) 2 25 2011 2 4" xfId="9486"/>
    <cellStyle name="Normal 7 2 2 2 2" xfId="9487"/>
    <cellStyle name="_Excel Cover page" xfId="9488"/>
    <cellStyle name="_F3.4 主設備比價表 0608" xfId="9489"/>
    <cellStyle name="_FA for Production Line in 11.2006" xfId="9490"/>
    <cellStyle name="差_Xl0000002_Bolt RFQ_Foxlink_03.1 2011 4" xfId="9491"/>
    <cellStyle name="好_Creek Assembly Fixture  Test Equipment RFQ_20090427_Leopard RFQ ME BOM Costs-0618-2_Bolt RFQ Proposal_Foxlink_ (Pricing Summary) 2 25 2011 5 3" xfId="9492"/>
    <cellStyle name="_FA for Production Line in 11.2006_2009 xBOX ramp up budget code applicaiton" xfId="9493"/>
    <cellStyle name="好_River EE BOM_Creak Pearl Reliability Fixture RFQ_2009 04 24_Xl0000002_Leopard RFQ ME BOM Costs-0618_Bolt RFQ_Foxlink_03.1 2011 3" xfId="9494"/>
    <cellStyle name="20% - Accent1 2 5" xfId="9495"/>
    <cellStyle name="_FA for Production Line in 11.2006_2009 xBOX ramp up budget code applicaiton 300K --New May26 (3)" xfId="9496"/>
    <cellStyle name="_FA for Production Line in 11.2006_2009 xBOX ramp up budget code applicaiton 300K --New May27" xfId="9497"/>
    <cellStyle name="20% - Accent2 2 5" xfId="9498"/>
    <cellStyle name="差_效益分析&amp;產能評估_M1 Bolt wireless mouse FixtureEquipment Cost_A2_2010_12_07_Bolt RFQ Proposal_Foxlink_ (Pricing Summary) 2 25 2011 5 2" xfId="9499"/>
    <cellStyle name="_FA for Production Line in 11.2006_Budget GC Other Form" xfId="9500"/>
    <cellStyle name="差_效益分析&amp;產能評估_Bolt RFQ_Foxlink_03.1 2011_nego meeting@MACH 2" xfId="9501"/>
    <cellStyle name="_FA for Production Line in 11.2006_Copy of X-BOX for line setup budget" xfId="9502"/>
    <cellStyle name="_FA for Production Line in 11.2006_X-BOX BB" xfId="9503"/>
    <cellStyle name="好_Erie Assembly Fixture  Test Equip Cost_20090716_Bolt RFQ_Foxlink_03.1 2011 2 3" xfId="9504"/>
    <cellStyle name="_FA for Production Line in 11.2006_X-BOX Console line setup budget 20080414" xfId="9505"/>
    <cellStyle name="_FA for Production Line in 11.2006_X-BOX Console line setup budget and Buyer list" xfId="9506"/>
    <cellStyle name="_FCST 090619" xfId="9507"/>
    <cellStyle name="_Flex Mechanicals Doumen Sales forecast - Dec'05 R1_PL Fcst Jul 06-updated G&amp;A Value_Tom OS ( Oct)_Copy of X-BOX for line setup budget" xfId="9508"/>
    <cellStyle name="_Fcst March_06(Revised 2.)_2009 xBOX ramp up budget code applicaiton" xfId="9509"/>
    <cellStyle name="_Fcst March_06(Revised 2.)_2009 xBOX ramp up budget code applicaiton 300K --New May26 (3)" xfId="9510"/>
    <cellStyle name="差_Creak Pearl Reliability Fixture RFQ_2009 04 24_Pearl RFQ(Submittal)ver2_05_12_2009 _Leopard RFQ ME BOM Costs-0618-2_Bolt RFQ_Foxlink_03.1 2011 3 3" xfId="9511"/>
    <cellStyle name="Currency 4 3 4" xfId="9512"/>
    <cellStyle name="_Fcst March_06(Revised 2.)_2009 xBOX ramp up budget code applicaiton 300K --New May27" xfId="9513"/>
    <cellStyle name="_Fcst March_06(Revised 2.)_Copy of Tom OS ( Oct) new for LOG" xfId="9514"/>
    <cellStyle name="_Fcst March_06(Revised 2.)_Copy of Tom OS ( Oct) new for LOG_2009 xBOX ramp up budget code applicaiton" xfId="9515"/>
    <cellStyle name="差_F3   SMT設備明細_效益分析_Dallas效益分析&amp;投資回收期 (12-2 A1)_Jackson 效益分析 (2-1 B0 上系統)" xfId="9516"/>
    <cellStyle name="_Fcst March_06(Revised 2.)_Copy of Tom OS ( Oct) new for LOG_2009 xBOX ramp up budget code applicaiton 300K --New May26 (3)" xfId="9517"/>
    <cellStyle name="好_foxlink Bristol for 10063D-2010-10-11_Bristol RFQ response _20101102_internal (4)_Bristol TC Estimate Update 07292011_internal from Tony" xfId="9518"/>
    <cellStyle name="20% - 强调文字颜色 3 3 2" xfId="9519"/>
    <cellStyle name="20% - Accent3 2 2" xfId="9520"/>
    <cellStyle name="_Fcst March_06(Revised 2.)_Copy of Tom OS ( Oct) new for LOG_2009 xBOX ramp up budget code applicaiton 300K --New May27" xfId="9521"/>
    <cellStyle name="_FCT Pareto By Line-Aug 15th(DEV01286-8)_TestMedia" xfId="9522"/>
    <cellStyle name="_Fcst March_06(Revised 2.)_Copy of Tom OS ( Oct) new for LOG_Budget GC Other Form" xfId="9523"/>
    <cellStyle name="_Fcst March_06(Revised 2.)_Copy of Tom OS ( Oct) new for LOG_Copy of X-BOX for line setup budget" xfId="9524"/>
    <cellStyle name="_Fcst March_06(Revised 2.)_Copy of Tom OS ( Oct) new for LOG_Forecast Template v4" xfId="9525"/>
    <cellStyle name="_Fcst March_06(Revised 2.)_Copy of Tom OS ( Oct) new for LOG_X-BOX BB" xfId="9526"/>
    <cellStyle name="_Fcst March_06(Revised 2.)_Copy of Tom OS ( Oct) new for LOG_X-BOX Console line setup budget 20080414" xfId="9527"/>
    <cellStyle name="差_Creek RFQ feedback 04_28_2009_FD Update_Foxlink_Shadow RFQ NREUni BOM_12032009_Bolt RFQ Proposal_Foxlink_ (Pricing Summary) 2 25 2011 2" xfId="9528"/>
    <cellStyle name="_Fcst March_06(Revised 2.)_Copy of Tom OS ( Oct) new for LOG_X-BOX Console line setup budget and Buyer list" xfId="9529"/>
    <cellStyle name="_Fcst March_06(Revised 2.)_Copy of X-BOX for line setup budget" xfId="9530"/>
    <cellStyle name="好_MB9月管審換線超時8d_HP 5" xfId="9531"/>
    <cellStyle name="_Fcst March_06(Revised 2.)_Forecast Template v4" xfId="9532"/>
    <cellStyle name="_Fcst March_06(Revised 2.)_Internal Hourly Rate Q1 FY08 Version (2)" xfId="9533"/>
    <cellStyle name="差_F3   SMT設備明細_jupite r設備&amp;治工具LIST (總)_flow chart 2009.12.12" xfId="9534"/>
    <cellStyle name="_Fcst March_06(Revised 2.)_Internal Hourly Rate Q1 FY08 Version 06052007 Draft" xfId="9535"/>
    <cellStyle name="Calculation 4 2" xfId="9536"/>
    <cellStyle name="_Fcst March_06(Revised 2.)_Internal Hourly Rate Q1 FY08 Version 06052007 Draft_Internal Hourly Rate Q1 FY08 Version (2)" xfId="9537"/>
    <cellStyle name="好_Creek Assembly Fixture  Test Equipment RFQ_20090427_Leopard RFQ ME BOM Costs-0618-2_Bolt RFQ_Foxlink_03.1 2011_nego meeting@MACH_Bolt_Cliff 2 4" xfId="9538"/>
    <cellStyle name="差_Flow Chart&amp;PQ分析(12-1)_Flow Chart&amp;設備治工具清單 _squirrel效益分析08-17" xfId="9539"/>
    <cellStyle name="_Fcst March_06(Revised 2.)_Internal Hourly Rate Q1 FY08 Version 06142007 excl. Corporate Allocation_Internal Hourly Rate Q1 FY08 Version (2)" xfId="9540"/>
    <cellStyle name="_Fcst March_06(Revised 2.)_PL Fcst Jul 06-updated G&amp;A Value" xfId="9541"/>
    <cellStyle name="_FCT Pareto By Line-July 15th X808665-001-DEV01282-5-1_yield report for DEV0xxxx(Jasper DV2) " xfId="9542"/>
    <cellStyle name="_Fcst March_06(Revised 2.)_PL Fcst Jul 06-updated G&amp;A Value_2009 xBOX ramp up budget code applicaiton" xfId="9543"/>
    <cellStyle name="好_治具工程課2009年KPI_KPI 1006 2 2 3" xfId="9544"/>
    <cellStyle name="_Fcst March_06(Revised 2.)_PL Fcst Jul 06-updated G&amp;A Value_2009 xBOX ramp up budget code applicaiton 300K --New May26 (3)" xfId="9545"/>
    <cellStyle name="_Quotebook_V3_07SEP11_Internal RFQ River Standalone  Bundle Unibom_v1 2_20080603_EJ_Stream Quotebook(Submittal)_POC1_20080903 2" xfId="9546"/>
    <cellStyle name="差_MB9月管審誤判超標 8D 4" xfId="9547"/>
    <cellStyle name="_weekly report 04272007_2010-05 費用分析0604" xfId="9548"/>
    <cellStyle name="_Open Select License_FY06 P4 CM Consigned RM" xfId="9549"/>
    <cellStyle name="_Fcst March_06(Revised 2.)_PL Fcst Jul 06-updated G&amp;A Value_2009 xBOX ramp up budget code applicaiton 300K --New May27" xfId="9550"/>
    <cellStyle name="_Fcst March_06(Revised 2.)_PL Fcst Jul 06-updated G&amp;A Value_Budget GC Other Form" xfId="9551"/>
    <cellStyle name="差_dallas產能評估_Dallas flow chart&amp;設備&amp;治工具清單(12-8 A0)_Jackson 效益分析 testing update_16th Jan1_Jackson 效益分析 (2-1 B0 上系統)" xfId="9552"/>
    <cellStyle name="_Fcst March_06(Revised 2.)_PL Fcst Jul 06-updated G&amp;A Value_Copy of Tom OS ( Oct) new for LOG" xfId="9553"/>
    <cellStyle name="_PL Forecast Comparison_Mech Doumen2006_1(preliminary)_Volume Fcst Jul 06-update HP _2009 xBOX ramp up budget code applicaiton 300K --New May27" xfId="9554"/>
    <cellStyle name="_Fcst March_06(Revised 2.)_PL Fcst Jul 06-updated G&amp;A Value_Copy of Tom OS ( Oct) new for LOG_2009 xBOX ramp up budget code applicaiton" xfId="9555"/>
    <cellStyle name="_Fcst March_06(Revised 2.)_PL Fcst Jul 06-updated G&amp;A Value_Copy of Tom OS ( Oct) new for LOG_2009 xBOX ramp up budget code applicaiton 300K --New May27" xfId="9556"/>
    <cellStyle name="好_River EE BOM_Creak Pearl Reliability Fixture RFQ_2009 04 24_Leopard_UniBOM_ME_0602_Bolt RFQ_Foxlink_03.1 2011 3 3" xfId="9557"/>
    <cellStyle name="好_River EE BOM_Creak Pearl Reliability Fixture RFQ_2009 04 24_Creek RFQ feedback 04_28_2009_FD Update_Leopard RFQ ME BOM Costs-0618 2 2" xfId="9558"/>
    <cellStyle name="Normal 3 4 2" xfId="9559"/>
    <cellStyle name="_Fcst March_06(Revised 2.)_PL Fcst Jul 06-updated G&amp;A Value_Copy of Tom OS ( Oct) new for LOG_Budget GC Other Form" xfId="9560"/>
    <cellStyle name="_Fcst March_06(Revised 2.)_PL Fcst Jul 06-updated G&amp;A Value_Copy of Tom OS ( Oct) new for LOG_Copy of X-BOX for line setup budget" xfId="9561"/>
    <cellStyle name="好_Creek EE BOM cost_20090425_Squirrel RFQ ME BOM Costs-0623_Bolt RFQ_Foxlink_03.1 2011_nego meeting@MACH 3" xfId="9562"/>
    <cellStyle name="_Fcst March_06(Revised 2.)_PL Fcst Jul 06-updated G&amp;A Value_Copy of Tom OS ( Oct) new for LOG_Forecast Template v4" xfId="9563"/>
    <cellStyle name="_Fcst March_06(Revised 2.)_PL Fcst Jul 06-updated G&amp;A Value_Copy of Tom OS ( Oct) new for LOG_X-BOX BB" xfId="9564"/>
    <cellStyle name="_Fcst March_06(Revised 2.)_PL Fcst Jul 06-updated G&amp;A Value_Copy of Tom OS ( Oct) new for LOG_X-BOX Console line setup budget 20080414" xfId="9565"/>
    <cellStyle name="差_Creak Pearl Reliability Fixture RFQ_2009 04 24_Creek RFQ feedback 04_28_2009_FD Update_Foxlink_Shadow RFQ NREUni BOM_12032009" xfId="9566"/>
    <cellStyle name="_Fcst March_06(Revised 2.)_PL Fcst Jul 06-updated G&amp;A Value_Copy of Tom OS ( Oct) new for LOG_X-BOX Console line setup budget and Buyer list" xfId="9567"/>
    <cellStyle name="好_Creek Assembly Fixture  Test Equipment RFQ_20090427_Xl0000002_Squirrel RFQ ME BOM Costs-0623" xfId="9568"/>
    <cellStyle name="_Fcst March_06(Revised 2.)_PL Fcst Jul 06-updated G&amp;A Value_Forecast Template v4" xfId="9569"/>
    <cellStyle name="_Fcst March_06(Revised 2.)_PL Fcst Jul 06-updated G&amp;A Value_Internal Hourly Rate Q1 FY08 Version (2)" xfId="9570"/>
    <cellStyle name="_Fcst March_06(Revised 2.)_PL Fcst Jul 06-updated G&amp;A Value_Internal Hourly Rate Q1 FY08 Version 06052007 Draft" xfId="9571"/>
    <cellStyle name="差_治具工程課2009年KPI 5 2 2" xfId="9572"/>
    <cellStyle name="差_Creak Pearl Reliability Fixture RFQ_2009 04 24_Creek  Pearl RFQ_May 12_Leopard RFQ ME BOM Costs-0618_Bolt RFQ Proposal_Foxlink_ (Pricing Summary) 2 25 2011" xfId="9573"/>
    <cellStyle name="_Fcst March_06(Revised 2.)_PL Fcst Jul 06-updated G&amp;A Value_Internal Hourly Rate Q1 FY08 Version 06052007 Draft_Internal Hourly Rate Q1 FY08 Version (2)" xfId="9574"/>
    <cellStyle name="差_Creak Pearl Reliability Fixture RFQ_2009 04 24_Pearl RFQ(Submittal)ver2_05_12_2009 _Leopard RFQ ME BOM Costs-0618_Bolt RFQ Proposal_Foxlink_ (Pricing Summary) 2 25 2011 2 2 3" xfId="9575"/>
    <cellStyle name="_Fcst March_06(Revised 2.)_PL Fcst Jul 06-updated G&amp;A Value_Internal Hourly Rate Q1 FY08 Version 06142007 excl. Corporate Allocation" xfId="9576"/>
    <cellStyle name="差_Creak Pearl Reliability Fixture RFQ_2009 04 24_Leopard UniBom_Foxlink_6 21 2010-ME_nego_Bolt RFQ_Foxlink_03.1 2011 2" xfId="9577"/>
    <cellStyle name="Calc Percent (0) 2" xfId="9578"/>
    <cellStyle name="_Fcst March_06(Revised 2.)_PL Fcst Jul 06-updated G&amp;A Value_Internal Hourly Rate Q1 FY08 Version 06142007 excl. Corporate Allocation_Internal Hourly Rate Q1 FY08 Version (2)" xfId="9579"/>
    <cellStyle name="_Nov Freight analysis value_FY06 P6 XBox 360 Mfg Var - Close Pack" xfId="9580"/>
    <cellStyle name="好_Creek EE BOM cost_20090425_Squirrel UniBom-06.23.2010_update_internal_Bolt RFQ_Foxlink_03.1 2011" xfId="9581"/>
    <cellStyle name="_Monaco ME BOM - GA060608_Line transition plan to B17 rev 5_Tester Demand Plan 062707" xfId="9582"/>
    <cellStyle name="_Fcst March_06(Revised 2.)_PL Fcst Jul 06-updated G&amp;A Value_Tom OS ( Oct)" xfId="9583"/>
    <cellStyle name="好_Creek EE BOM cost_20090425_Creek RFQ feedback 04_28_2009_FD Update 2 4" xfId="9584"/>
    <cellStyle name="_Fcst March_06(Revised 2.)_PL Fcst Jul 06-updated G&amp;A Value_Tom OS ( Oct)_2009 xBOX ramp up budget code applicaiton 300K --New May26 (3)" xfId="9585"/>
    <cellStyle name="_Fcst March_06(Revised 2.)_PL Fcst Jul 06-updated G&amp;A Value_Tom OS ( Oct)_Budget GC Other Form" xfId="9586"/>
    <cellStyle name="_Fcst March_06(Revised 2.)_PL Fcst Jul 06-updated G&amp;A Value_Tom OS ( Oct)_Copy of X-BOX for line setup budget" xfId="9587"/>
    <cellStyle name="好_Creek Assembly Fixture  Test Equipment RFQ_20090427_Xl0000002_Leopard_UniBOM_ME_0603-2_Bolt RFQ_Foxlink_03.1 2011_nego meeting@MACH 2" xfId="9588"/>
    <cellStyle name="_Fcst March_06(Revised 2.)_PL Fcst Jul 06-updated G&amp;A Value_Tom OS ( Oct)_Forecast Template v4" xfId="9589"/>
    <cellStyle name="差_0842周 顯卡報廢超標8D_HP 2 5" xfId="9590"/>
    <cellStyle name="_Fcst March_06(Revised 2.)_PL Fcst Jul 06-updated G&amp;A Value_Tom OS ( Oct)_X-BOX BB" xfId="9591"/>
    <cellStyle name="_Fcst March_06(Revised 2.)_PL Fcst Jul 06-updated G&amp;A Value_Tom OS ( Oct)_X-BOX Console line setup budget and Buyer list" xfId="9592"/>
    <cellStyle name="差_Xl0000002_Leopard RFQ ME BOM Costs-0618 3 2" xfId="9593"/>
    <cellStyle name="差_Creak Pearl Reliability Fixture RFQ_2009 04 24_Xl0000002_Leopard_UniBOM_ME_0603-2_Bolt RFQ_Foxlink_03.1 2011 2 3" xfId="9594"/>
    <cellStyle name="_Sheet2" xfId="9595"/>
    <cellStyle name="_Fcst March_06(Revised 2.)_PL Fcst Jul 06-updated G&amp;A Value_X-BOX BB" xfId="9596"/>
    <cellStyle name="差_Creak Pearl Reliability Fixture RFQ_2009 04 24_Leopard RFQ ME BOM Costs-0618_Bolt RFQ Proposal_Foxlink_ (Pricing Summary) 2 25 2011 3 3" xfId="9597"/>
    <cellStyle name="好_River EE BOM_Xl0000002_Leopard_UniBOM_ME_0602-1 2 4" xfId="9598"/>
    <cellStyle name="_Project Management0504" xfId="9599"/>
    <cellStyle name="_Fcst March_06(Revised 2.)_PL Fcst Jul 06-updated G&amp;A Value_X-BOX Console line setup budget 20080414" xfId="9600"/>
    <cellStyle name="Enter Units (2) 3" xfId="9601"/>
    <cellStyle name="_PL Forecast by segment-most final 0806_Copy of Tom OS ( Oct) new for LOG_Copy of X-BOX for line setup budget" xfId="9602"/>
    <cellStyle name="_Fcst March_06(Revised 2.)_PL Fcst Jul 06-updated G&amp;A Value_X-BOX Console line setup budget and Buyer list" xfId="9603"/>
    <cellStyle name="_Fcst March_06(Revised 2.)_PL Forecast by segment-most final 0806" xfId="9604"/>
    <cellStyle name="_Seagate FLAGSHIP DESKTOP ME bom cost_Rev.A2 10" xfId="9605"/>
    <cellStyle name="_Fcst March_06(Revised 2.)_PL Forecast by segment-most final 0806_2009 xBOX ramp up budget code applicaiton" xfId="9606"/>
    <cellStyle name="_Fcst March_06(Revised 2.)_PL Forecast by segment-most final 0806_Budget GC Other Form" xfId="9607"/>
    <cellStyle name="好_River EE BOM_Xl0000002_Squirrel RFQ ME BOM Costs-0623_Bolt RFQ_Foxlink_03.1 2011 4" xfId="9608"/>
    <cellStyle name="60% - Accent1 3 2" xfId="9609"/>
    <cellStyle name="好_River EE BOM_Creak Pearl Reliability Fixture RFQ_2009 04 24_Xl0000002_Leopard_UniBOM_ME_0603-2_Bolt RFQ_Foxlink_03.1 2011 2" xfId="9610"/>
    <cellStyle name="_Fcst March_06(Revised 2.)_PL Forecast by segment-most final 0806_Copy of Tom OS ( Oct) new for LOG" xfId="9611"/>
    <cellStyle name="_Fcst March_06(Revised 2.)_PL Forecast by segment-most final 0806_Copy of Tom OS ( Oct) new for LOG_2009 xBOX ramp up budget code applicaiton" xfId="9612"/>
    <cellStyle name="_Fcst March_06(Revised 2.)_PL Forecast by segment-most final 0806_Copy of Tom OS ( Oct) new for LOG_2009 xBOX ramp up budget code applicaiton 300K --New May26 (3)" xfId="9613"/>
    <cellStyle name="_Fcst March_06(Revised 2.)_PL Forecast by segment-most final 0806_Copy of Tom OS ( Oct) new for LOG_2009 xBOX ramp up budget code applicaiton 300K --New May27" xfId="9614"/>
    <cellStyle name="Percent 2" xfId="9615"/>
    <cellStyle name="_Fcst March_06(Revised 2.)_PL Forecast by segment-most final 0806_Copy of Tom OS ( Oct) new for LOG_Budget GC Other Form" xfId="9616"/>
    <cellStyle name="好_River EE BOM_Creek RFQ feedback 04_28_2009_FD Update_Leopard_UniBOM_ME_0602-1_Bolt RFQ Proposal_Foxlink_ (Pricing Summary) 2 25 2011" xfId="9617"/>
    <cellStyle name="_Fcst March_06(Revised 2.)_PL Forecast by segment-most final 0806_Copy of Tom OS ( Oct) new for LOG_Copy of X-BOX for line setup budget" xfId="9618"/>
    <cellStyle name="_Fcst March_06(Revised 2.)_PL Forecast by segment-most final 0806_Copy of Tom OS ( Oct) new for LOG_Forecast Template v4" xfId="9619"/>
    <cellStyle name="好_River EE BOM_Creak Pearl Reliability Fixture RFQ_2009 04 24_Creek  Pearl RFQ_May 12_Leopard RFQ ME BOM Costs-0618_Bolt RFQ Proposal_Foxlink_ (Pricing Summary) 2 25 2011 3" xfId="9620"/>
    <cellStyle name="_Fcst March_06(Revised 2.)_PL Forecast by segment-most final 0806_Copy of Tom OS ( Oct) new for LOG_X-BOX BB" xfId="9621"/>
    <cellStyle name="_Fcst March_06(Revised 2.)_PL Forecast by segment-most final 0806_Copy of Tom OS ( Oct) new for LOG_X-BOX Console line setup budget 20080414" xfId="9622"/>
    <cellStyle name="_Flextronics Radon  Build Plan 4-27-2005_Line transition plan to B17_Tester Demand Plan 062807_Tester Demand Plan 062707" xfId="9623"/>
    <cellStyle name="差_F3   SMT設備明細_效益分析_Flow Chart&amp;設備治工具清單 _Jackson 效益分析 (2-1 B0 上系統)_Leopard Flowchart &amp; 產能評估" xfId="9624"/>
    <cellStyle name="_Fcst March_06(Revised 2.)_PL Forecast by segment-most final 0806_Copy of Tom OS ( Oct) new for LOG_X-BOX Console line setup budget and Buyer list" xfId="9625"/>
    <cellStyle name="20% - 强调文字颜色 1 5" xfId="9626"/>
    <cellStyle name="20% - Accent1 4" xfId="9627"/>
    <cellStyle name="差_MB9月管審換線超時8d_2009MB KPI_MBO3F製造部hp0209-01 6" xfId="9628"/>
    <cellStyle name="好_Creek Assembly Fixture  Test Equipment RFQ_20090427_Xl0000002_Leopard RFQ ME BOM Costs-0618_Bolt RFQ Proposal_Foxlink_ (Pricing Summary) 2 25 2011 4 3" xfId="9629"/>
    <cellStyle name="_Fcst March_06(Revised 2.)_PL Forecast by segment-most final 0806_Copy of X-BOX for line setup budget" xfId="9630"/>
    <cellStyle name="_Fcst March_06(Revised 2.)_PL Forecast by segment-most final 0806_Forecast Template v4" xfId="9631"/>
    <cellStyle name="_Fcst March_06(Revised 2.)_PL Forecast by segment-most final 0806_Tom OS ( Oct)" xfId="9632"/>
    <cellStyle name="_Summary Fcast v Budget_FY06 P4 CM Consigned RM" xfId="9633"/>
    <cellStyle name="_Fcst March_06(Revised 2.)_PL Forecast by segment-most final 0806_Tom OS ( Oct)_2009 xBOX ramp up budget code applicaiton" xfId="9634"/>
    <cellStyle name="差_F3   SMT設備明細_MS Bolt wireless mouse FixtureEquipment Cost_A5_2010_02_21 2 2 2" xfId="9635"/>
    <cellStyle name="Input 10 2 2" xfId="9636"/>
    <cellStyle name="_Mechanical Contribution Margins forecast 0506 FP_PL Forecast by segment-most final 0806_Tom OS ( Oct)_Copy of X-BOX for line setup budget" xfId="9637"/>
    <cellStyle name="_Fcst March_06(Revised 2.)_PL Forecast by segment-most final 0806_Tom OS ( Oct)_2009 xBOX ramp up budget code applicaiton 300K --New May26 (3)" xfId="9638"/>
    <cellStyle name="_Fcst March_06(Revised 2.)_PL Forecast by segment-most final 0806_Tom OS ( Oct)_2009 xBOX ramp up budget code applicaiton 300K --New May27" xfId="9639"/>
    <cellStyle name="_Fcst March_06(Revised 2.)_PL Forecast by segment-most final 0806_Tom OS ( Oct)_Budget GC Other Form" xfId="9640"/>
    <cellStyle name="_Fcst March_06(Revised 2.)_PL Forecast by segment-most final 0806_Tom OS ( Oct)_Copy of X-BOX for line setup budget" xfId="9641"/>
    <cellStyle name="_Fcst March_06(Revised 2.)_PL Forecast by segment-most final 0806_Tom OS ( Oct)_Forecast Template v4" xfId="9642"/>
    <cellStyle name="Normal 25 3 2 2" xfId="9643"/>
    <cellStyle name="Normal 30 3 2 2" xfId="9644"/>
    <cellStyle name="_Fcst March_06(Revised 2.)_PL Forecast by segment-most final 0806_Tom OS ( Oct)_X-BOX BB" xfId="9645"/>
    <cellStyle name="_Flex Mechanicals Doumen Sales forecast - Dec'05 (updated links)_PL Forecast by segment-most final 0806_Budget GC Other Form" xfId="9646"/>
    <cellStyle name="_Fcst March_06(Revised 2.)_PL Forecast by segment-most final 0806_Tom OS ( Oct)_X-BOX Console line setup budget 20080414" xfId="9647"/>
    <cellStyle name="_XLSTestErrorCodes_Yield report for Dev01975 (3)" xfId="9648"/>
    <cellStyle name="_Fcst March_06(Revised 2.)_PL Forecast by segment-most final 0806_Tom OS ( Oct)_X-BOX Console line setup budget and Buyer list" xfId="9649"/>
    <cellStyle name="差_Creek RFQ feedback 04_28_2009_FD Update_Bolt RFQ Proposal_Foxlink_ (Pricing Summary) 2 25 2011 2 3" xfId="9650"/>
    <cellStyle name="_Fcst March_06(Revised 2.)_PL Forecast by segment-most final 0806_X-BOX BB" xfId="9651"/>
    <cellStyle name="好_River EE BOM_Xl0000000_Leopard RFQ ME BOM Costs-0618-2_Bolt RFQ Proposal_Foxlink_ (Pricing Summary) 2 25 2011 3 3" xfId="9652"/>
    <cellStyle name="_Fcst March_06(Revised 2.)_PL Forecast by segment-most final 0806_X-BOX Console line setup budget 20080414" xfId="9653"/>
    <cellStyle name="差_效益分析&amp;產能評估_M1 Bolt wireless mouse FixtureEquipment Cost_A2_2010_12_07_Bolt RFQ Proposal_Foxlink_ (Pricing Summary) 2 25 2011 2 4" xfId="9654"/>
    <cellStyle name="差_Creek RFQ feedback 04_28_2009_FD Update_Bolt RFQ Proposal_Foxlink_ (Pricing Summary) 2 25 2011 4 2" xfId="9655"/>
    <cellStyle name="_Fcst March_06(Revised 2.)_PL Forecast by segment-most final 0806_X-BOX Console line setup budget and Buyer list" xfId="9656"/>
    <cellStyle name="差_Creak Pearl Reliability Fixture RFQ_2009 04 24_Pearl RFQ(Submittal)ver2_05_12_2009 _Bolt RFQ Proposal_Foxlink_ (Pricing Summary) 2 25 2011 4 2" xfId="9657"/>
    <cellStyle name="好_River EE BOM_Creak Pearl Reliability Fixture RFQ_2009 04 24_Creek  Pearl RFQ_May 12_Leopard RFQ ME BOM Costs-0618-2 2" xfId="9658"/>
    <cellStyle name="_Fcst March_06(Revised 2.)_Tom OS ( Oct)" xfId="9659"/>
    <cellStyle name="_Fcst March_06(Revised 2.)_Tom OS ( Oct)_2009 xBOX ramp up budget code applicaiton" xfId="9660"/>
    <cellStyle name="_Fcst March_06(Revised 2.)_Tom OS ( Oct)_2009 xBOX ramp up budget code applicaiton 300K --New May26 (3)" xfId="9661"/>
    <cellStyle name="差_pq_Flow Chart&amp;設備治工具清單 _Jackson 效益分析 (2-1 B0 上系統)" xfId="9662"/>
    <cellStyle name="_Fcst March_06(Revised 2.)_Tom OS ( Oct)_2009 xBOX ramp up budget code applicaiton 300K --New May27" xfId="9663"/>
    <cellStyle name="差_Creak Pearl Reliability Fixture RFQ_2009 04 24_Xl0000002 2 2" xfId="9664"/>
    <cellStyle name="_Flex Depot 2005 rev3-1.6K_Forecast Template v4" xfId="9665"/>
    <cellStyle name="_Fcst March_06(Revised 2.)_Tom OS ( Oct)_Copy of X-BOX for line setup budget" xfId="9666"/>
    <cellStyle name="_quotation(IBM) to david new_Overall quote format 27th Nov 07" xfId="9667"/>
    <cellStyle name="_Fcst March_06(Revised 2.)_Tom OS ( Oct)_X-BOX BB" xfId="9668"/>
    <cellStyle name="好_River EE BOM_Xl0000002_Leopard_UniBOM_ME_0531_Bolt RFQ_Foxlink_03.1 2011_nego meeting@MACH 2" xfId="9669"/>
    <cellStyle name="好_Creek EE BOM cost_20090425_Leopard UniBom_Foxlink_6 21 2010-ME_nego_Bolt RFQ Proposal_Foxlink_ (Pricing Summary) 2 25 2011 2 2 3" xfId="9670"/>
    <cellStyle name="_Fcst March_06(Revised 2.)_Volume Fcst 1006 updated_2009 xBOX ramp up budget code applicaiton" xfId="9671"/>
    <cellStyle name="_FCT Pareto By Line-July 13th X808665-001-DEV01282-5-1_TestMedia" xfId="9672"/>
    <cellStyle name="_Fcst March_06(Revised 2.)_Volume Fcst 1006 updated_2009 xBOX ramp up budget code applicaiton 300K --New May26 (3)" xfId="9673"/>
    <cellStyle name="_Fcst March_06(Revised 2.)_Volume Fcst 1006 updated_2009 xBOX ramp up budget code applicaiton 300K --New May27" xfId="9674"/>
    <cellStyle name="差_pq_Flow chart and Fixture(1-4)_Jackson 效益分析 (2-1 B0 上系統)" xfId="9675"/>
    <cellStyle name="_Fcst March_06(Revised 2.)_Volume Fcst 1006 updated_Budget GC Other Form" xfId="9676"/>
    <cellStyle name="_Sales Forecast (plastic XX)0703_Volume Fcst 1006 updated_Tom OS ( Oct)_2009 xBOX ramp up budget code applicaiton" xfId="9677"/>
    <cellStyle name="_Sales Forecast (plastic XX)1203_Volume Fcst 1006 updated_Tom OS ( Oct)_2009 xBOX ramp up budget code applicaiton" xfId="9678"/>
    <cellStyle name="_Fcst March_06(Revised 2.)_Volume Fcst 1006 updated_Copy of Tom OS ( Oct) new for LOG_2009 xBOX ramp up budget code applicaiton" xfId="9679"/>
    <cellStyle name="_Sales Forecast (plastic XX)0703_Volume Fcst 1006 updated_Tom OS ( Oct)_2009 xBOX ramp up budget code applicaiton 300K --New May27" xfId="9680"/>
    <cellStyle name="_Sales Forecast (plastic XX)1203_Volume Fcst 1006 updated_Tom OS ( Oct)_2009 xBOX ramp up budget code applicaiton 300K --New May27" xfId="9681"/>
    <cellStyle name="_Fcst March_06(Revised 2.)_Volume Fcst 1006 updated_Copy of Tom OS ( Oct) new for LOG_2009 xBOX ramp up budget code applicaiton 300K --New May27" xfId="9682"/>
    <cellStyle name="_Sales Forecast (plastic XX)0703_Volume Fcst 1006 updated_Tom OS ( Oct)_Budget GC Other Form" xfId="9683"/>
    <cellStyle name="_Sales Forecast (plastic XX)1203_Volume Fcst 1006 updated_Tom OS ( Oct)_Budget GC Other Form" xfId="9684"/>
    <cellStyle name="_Fcst March_06(Revised 2.)_Volume Fcst 1006 updated_Copy of Tom OS ( Oct) new for LOG_Budget GC Other Form" xfId="9685"/>
    <cellStyle name="_Sales Forecast (plastic XX)0703_Volume Fcst 1006 updated_Tom OS ( Oct)_Copy of X-BOX for line setup budget" xfId="9686"/>
    <cellStyle name="_Sales Forecast (plastic XX)1203_Volume Fcst 1006 updated_Tom OS ( Oct)_Copy of X-BOX for line setup budget" xfId="9687"/>
    <cellStyle name="_Fcst March_06(Revised 2.)_Volume Fcst 1006 updated_Copy of Tom OS ( Oct) new for LOG_Copy of X-BOX for line setup budget" xfId="9688"/>
    <cellStyle name="_Sales Forecast (plastic XX)0703_Volume Fcst 1006 updated_Tom OS ( Oct)_Forecast Template v4" xfId="9689"/>
    <cellStyle name="_Sales Forecast (plastic XX)1203_Volume Fcst 1006 updated_Tom OS ( Oct)_Forecast Template v4" xfId="9690"/>
    <cellStyle name="_Fcst March_06(Revised 2.)_Volume Fcst 1006 updated_Copy of Tom OS ( Oct) new for LOG_Forecast Template v4" xfId="9691"/>
    <cellStyle name="_Sales Forecast (plastic XX)0703_Volume Fcst 1006 updated_Tom OS ( Oct)_X-BOX BB" xfId="9692"/>
    <cellStyle name="_Sales Forecast (plastic XX)1203_Volume Fcst 1006 updated_Tom OS ( Oct)_X-BOX BB" xfId="9693"/>
    <cellStyle name="_Fcst March_06(Revised 2.)_Volume Fcst 1006 updated_Copy of Tom OS ( Oct) new for LOG_X-BOX BB" xfId="9694"/>
    <cellStyle name="壞_Creek Assembly Fixture  Test Equipment RFQ_20090427_Leopard_UniBOM_ME_0531 2" xfId="9695"/>
    <cellStyle name="_Sales Forecast (plastic XX)0703_Volume Fcst 1006 updated_Tom OS ( Oct)_X-BOX Console line setup budget and Buyer list" xfId="9696"/>
    <cellStyle name="_Sales Forecast (plastic XX)1203_Volume Fcst 1006 updated_Tom OS ( Oct)_X-BOX Console line setup budget and Buyer list" xfId="9697"/>
    <cellStyle name="Normal 52_Sydney_Premium_Clean_Sheet_12-20" xfId="9698"/>
    <cellStyle name="_Fcst March_06(Revised 2.)_Volume Fcst 1006 updated_Copy of Tom OS ( Oct) new for LOG_X-BOX Console line setup budget and Buyer list" xfId="9699"/>
    <cellStyle name="_Fcst March_06(Revised 2.)_Volume Fcst Jul 06-update HP _Tom OS ( Oct)_X-BOX BB" xfId="9700"/>
    <cellStyle name="_Fcst March_06(Revised 2.)_Volume Fcst 1006 updated_Copy of X-BOX for line setup budget" xfId="9701"/>
    <cellStyle name="_PBOM_Key_Largo_ENG0001079 A00candidate PBOM" xfId="9702"/>
    <cellStyle name="_OP1 DPO Forecast Final_Tom OS ( Oct)" xfId="9703"/>
    <cellStyle name="_Fcst March_06(Revised 2.)_Volume Fcst 1006 updated_Forecast Template v4" xfId="9704"/>
    <cellStyle name="_Fcst March_06(Revised 2.)_Volume Fcst 1006 updated_Tom OS ( Oct)_2009 xBOX ramp up budget code applicaiton" xfId="9705"/>
    <cellStyle name="_Fcst March_06(Revised 2.)_Volume Fcst 1006 updated_Tom OS ( Oct)_2009 xBOX ramp up budget code applicaiton 300K --New May26 (3)" xfId="9706"/>
    <cellStyle name="_Fcst March_06(Revised 2.)_Volume Fcst 1006 updated_Tom OS ( Oct)_2009 xBOX ramp up budget code applicaiton 300K --New May27" xfId="9707"/>
    <cellStyle name="好_River EE BOM_Creak Pearl Reliability Fixture RFQ_2009 04 24_Creek RFQ feedback 04_28_2009_FD Update_Leopard_UniBOM_ME_0603-2_Bolt RFQ_Foxlink_03.1 2011 2 3" xfId="9708"/>
    <cellStyle name="_Fcst March_06(Revised 2.)_Volume Fcst 1006 updated_Tom OS ( Oct)_Budget GC Other Form" xfId="9709"/>
    <cellStyle name="差_Creek RFQ feedback 04_28_2009_FD Update_Squirrel UniBom-06.23.2010_update_internal_Bolt RFQ_Foxlink_03.1 2011_nego meeting@MACH 4" xfId="9710"/>
    <cellStyle name="_Fcst March_06(Revised 2.)_Volume Fcst 1006 updated_Tom OS ( Oct)_Copy of X-BOX for line setup budget" xfId="9711"/>
    <cellStyle name="差_Creak Pearl Reliability Fixture RFQ_2009 04 24_Creek  Pearl RFQ_May 12_Squirrel UniBom-06.23.2010_update_internal_Bolt RFQ Proposal_Foxlink_ (Pricing Summary) 2 25 2011 2 2" xfId="9712"/>
    <cellStyle name="_Fcst March_06(Revised 2.)_Volume Fcst 1006 updated_Tom OS ( Oct)_Forecast Template v4" xfId="9713"/>
    <cellStyle name="差_HP Mouse 產能評估(上系統)_Erie 效益分析 (Update)_Leopard效益分析08-17" xfId="9714"/>
    <cellStyle name="差_Creak Pearl Reliability Fixture RFQ_2009 04 24_Squirrel RFQ ME BOM Costs-0623_Bolt RFQ Proposal_Foxlink_ (Pricing Summary) 2 25 2011 6" xfId="9715"/>
    <cellStyle name="_Fcst March_06(Revised 2.)_Volume Fcst 1006 updated_Tom OS ( Oct)_X-BOX BB" xfId="9716"/>
    <cellStyle name="千位分隔 2" xfId="9717"/>
    <cellStyle name="_LCM 2010 費用目標彙總表0604" xfId="9718"/>
    <cellStyle name="_Fcst March_06(Revised 2.)_Volume Fcst 1006 updated_X-BOX BB" xfId="9719"/>
    <cellStyle name="好_River EE BOM_Creak Pearl Reliability Fixture RFQ_2009 04 24_Creek  Pearl RFQ_May 12_Leopard_UniBOM_ME_0602-1_Bolt RFQ Proposal_Foxlink_ (Pricing Summary) 2 25 2011 5" xfId="9720"/>
    <cellStyle name="Blue,Bold,14pt" xfId="9721"/>
    <cellStyle name="_Fcst March_06(Revised 2.)_Volume Fcst 1006 updated_X-BOX Console line setup budget 20080414" xfId="9722"/>
    <cellStyle name="_Fcst March_06(Revised 2.)_Volume Fcst 1006 updated_X-BOX Console line setup budget and Buyer list" xfId="9723"/>
    <cellStyle name="_Flex Mechanicals Doumen Sales forecast - Jan.06_Copy of Tom OS ( Oct) new for LOG" xfId="9724"/>
    <cellStyle name="_Fcst March_06(Revised 2.)_Volume Fcst Jul 06-update HP _Internal Hourly Rate Q1 FY08 Version 06052007 Draft_Internal Hourly Rate Q1 FY08 Version (2)" xfId="9725"/>
    <cellStyle name="_Fcst March_06(Revised 2.)_Volume Fcst Jul 06-update HP " xfId="9726"/>
    <cellStyle name="差_效益分析_~1159284" xfId="9727"/>
    <cellStyle name="好_Creek Assembly Fixture  Test Equipment RFQ_20090427_Xl0000002_Squirrel UniBom-06.23.2010_update_internal_Bolt RFQ_Foxlink_03.1 2011_nego meeting@MACH 3" xfId="9728"/>
    <cellStyle name="_Flex Mechanicals Doumen Sales forecast - Jan.06_Copy of Tom OS ( Oct) new for LOG_2009 xBOX ramp up budget code applicaiton" xfId="9729"/>
    <cellStyle name="_Fcst March_06(Revised 2.)_Volume Fcst Jul 06-update HP _2009 xBOX ramp up budget code applicaiton" xfId="9730"/>
    <cellStyle name="好_River EE BOM_Creak Pearl Reliability Fixture RFQ_2009 04 24_Xl0000002_Leopard RFQ ME BOM Costs-0618-2_Bolt RFQ Proposal_Foxlink_ (Pricing Summary) 2 25 2011 2 3" xfId="9731"/>
    <cellStyle name="_Fcst March_06(Revised 2.)_Volume Fcst Jul 06-update HP _2009 xBOX ramp up budget code applicaiton 300K --New May26 (3)" xfId="9732"/>
    <cellStyle name="_FY02_BusinessStream_ScrubTemplate_YOY_EMEA_FY06 P8 CM Consigned RM" xfId="9733"/>
    <cellStyle name="_Flex Mechanicals Doumen Sales forecast - Jan.06_Copy of Tom OS ( Oct) new for LOG_2009 xBOX ramp up budget code applicaiton 300K --New May26 (3)" xfId="9734"/>
    <cellStyle name="_Flex Mechanicals Doumen Sales forecast - Jan.06_Copy of Tom OS ( Oct) new for LOG_2009 xBOX ramp up budget code applicaiton 300K --New May27" xfId="9735"/>
    <cellStyle name="_Fcst March_06(Revised 2.)_Volume Fcst Jul 06-update HP _2009 xBOX ramp up budget code applicaiton 300K --New May27" xfId="9736"/>
    <cellStyle name="_Fcst March_06(Revised 2.)_Volume Fcst Jul 06-update HP _Budget GC Other Form" xfId="9737"/>
    <cellStyle name="好_River EE BOM_Creak Pearl Reliability Fixture RFQ_2009 04 24_Pearl RFQ(Submittal)ver2_05_12_2009 _Leopard UniBom_Foxlink_6 21 2010-ME_nego_Bolt RFQ_Foxlink_03.1 2011_nego meeting@MACH 2" xfId="9738"/>
    <cellStyle name="_Flex Mechanicals Doumen Sales forecast - Jan.06_PL Fcst Jul 06-updated G&amp;A Value_X-BOX Console line setup budget and Buyer list" xfId="9739"/>
    <cellStyle name="_Flex Mechanicals Doumen Sales forecast - Jan.06_Copy of Tom OS ( Oct) new for LOG_Budget GC Other Form" xfId="9740"/>
    <cellStyle name="_Fcst March_06(Revised 2.)_Volume Fcst Jul 06-update HP _Copy of Tom OS ( Oct) new for LOG" xfId="9741"/>
    <cellStyle name="_Fcst March_06(Revised 2.)_Volume Fcst Jul 06-update HP _Copy of Tom OS ( Oct) new for LOG_2009 xBOX ramp up budget code applicaiton" xfId="9742"/>
    <cellStyle name="好_Creek Assembly Fixture  Test Equipment RFQ_20090427_Xl0000002_Leopard Lemur Squirrel UniBom-06.22.2010_EE cost _update_internal 3" xfId="9743"/>
    <cellStyle name="_Fcst March_06(Revised 2.)_Volume Fcst Jul 06-update HP _Copy of Tom OS ( Oct) new for LOG_2009 xBOX ramp up budget code applicaiton 300K --New May26 (3)" xfId="9744"/>
    <cellStyle name="_Fcst March_06(Revised 2.)_Volume Fcst Jul 06-update HP _Copy of Tom OS ( Oct) new for LOG_Budget GC Other Form" xfId="9745"/>
    <cellStyle name="_Fcst March_06(Revised 2.)_Volume Fcst Jul 06-update HP _Copy of Tom OS ( Oct) new for LOG_Forecast Template v4" xfId="9746"/>
    <cellStyle name="差_Creak Pearl Reliability Fixture RFQ_2009 04 24_Creek  Pearl RFQ_May 12_Bolt RFQ Proposal_Foxlink_ (Pricing Summary) 2 25 2011" xfId="9747"/>
    <cellStyle name="_Fcst March_06(Revised 2.)_Volume Fcst Jul 06-update HP _Copy of Tom OS ( Oct) new for LOG_X-BOX BB" xfId="9748"/>
    <cellStyle name="好_River EE BOM_Xl0000002_Leopard UniBom_Foxlink_6 21 2010-nego" xfId="9749"/>
    <cellStyle name="_Fcst March_06(Revised 2.)_Volume Fcst Jul 06-update HP _Copy of Tom OS ( Oct) new for LOG_X-BOX Console line setup budget 20080414" xfId="9750"/>
    <cellStyle name="_Fcst March_06(Revised 2.)_Volume Fcst Jul 06-update HP _Copy of Tom OS ( Oct) new for LOG_X-BOX Console line setup budget and Buyer list" xfId="9751"/>
    <cellStyle name="_Flex Mechanicals Doumen Sales forecast - Jan.06_Copy of Tom OS ( Oct) new for LOG_Copy of X-BOX for line setup budget" xfId="9752"/>
    <cellStyle name="_Fcst March_06(Revised 2.)_Volume Fcst Jul 06-update HP _Copy of X-BOX for line setup budget" xfId="9753"/>
    <cellStyle name="_Flex Mechanicals Doumen Sales forecast - Jan.06_Copy of Tom OS ( Oct) new for LOG_Forecast Template v4" xfId="9754"/>
    <cellStyle name="_Fcst March_06(Revised 2.)_Volume Fcst Jul 06-update HP _Forecast Template v4" xfId="9755"/>
    <cellStyle name="_Fcst March_06(Revised 2.)_Volume Fcst Jul 06-update HP _Internal Hourly Rate Q1 FY08 Version (2)" xfId="9756"/>
    <cellStyle name="好_River EE BOM_Creak Pearl Reliability Fixture RFQ_2009 04 24_Pearl RFQ(Submittal)ver2_05_12_2009 _Leopard UniBom_Foxlink_6 21 2010-ME_nego_Bolt RFQ Proposal_Foxlink_ (Pricing Summary) 2 25 2011 2 3" xfId="9757"/>
    <cellStyle name="_Fcst March_06(Revised 2.)_Volume Fcst Jul 06-update HP _Internal Hourly Rate Q1 FY08 Version 06142007 excl. Corporate Allocation" xfId="9758"/>
    <cellStyle name="差_Creek RFQ feedback 04_28_2009_FD Update_Leopard RFQ ME BOM Costs-0618-2_Bolt RFQ_Foxlink_03.1 2011 2" xfId="9759"/>
    <cellStyle name="_Fcst March_06(Revised 2.)_Volume Fcst Jul 06-update HP _Internal Hourly Rate Q1 FY08 Version 06142007 excl. Corporate Allocation_Internal Hourly Rate Q1 FY08 Version (2)" xfId="9760"/>
    <cellStyle name="_Fcst March_06(Revised 2.)_Volume Fcst Jul 06-update HP _Tom OS ( Oct)_2009 xBOX ramp up budget code applicaiton" xfId="9761"/>
    <cellStyle name="_Z9 blueAnt ME BOM 0910 final_Internal RFQ River Standalone  Bundle Unibom_v1 2_20080603_EJ_Stream Quotebook(Submittal)_POC1_20080903" xfId="9762"/>
    <cellStyle name="_Fcst March_06(Revised 2.)_Volume Fcst Jul 06-update HP _Tom OS ( Oct)_2009 xBOX ramp up budget code applicaiton 300K --New May26 (3)" xfId="9763"/>
    <cellStyle name="_Xenon Build Plan Flex 080805" xfId="9764"/>
    <cellStyle name="_Fcst March_06(Revised 2.)_Volume Fcst Jul 06-update HP _Tom OS ( Oct)_2009 xBOX ramp up budget code applicaiton 300K --New May27" xfId="9765"/>
    <cellStyle name="差_F3   SMT設備明細_MS Bolt wireless mouse FixtureEquipment Cost_A5_2010_02_21_Bolt RFQ_Foxlink_03.1 2011_nego meeting@MACH 3" xfId="9766"/>
    <cellStyle name="_Fcst March_06(Revised 2.)_Volume Fcst Jul 06-update HP _Tom OS ( Oct)_Budget GC Other Form" xfId="9767"/>
    <cellStyle name="差_jupite r設備&amp;治工具LIST (總)_Flow Chart&amp;PQ分析(12-1)_Flow Chart&amp;設備治工具清單 _Leopard Flowchart &amp; 產能評估" xfId="9768"/>
    <cellStyle name="_Fcst March_06(Revised 2.)_Volume Fcst Jul 06-update HP _Tom OS ( Oct)_Forecast Template v4" xfId="9769"/>
    <cellStyle name="_Fcst March_06(Revised 2.)_Volume Fcst Jul 06-update HP _Tom OS ( Oct)_X-BOX Console line setup budget and Buyer list" xfId="9770"/>
    <cellStyle name="_Fcst March_06(Revised 2.)_Volume Fcst Jul 06-update HP _X-BOX BB" xfId="9771"/>
    <cellStyle name="Normal 7 3" xfId="9772"/>
    <cellStyle name="_Flex Mechanicals Doumen Sales forecast - Jan.06_Copy of Tom OS ( Oct) new for LOG_X-BOX BB" xfId="9773"/>
    <cellStyle name="差_Creak Pearl Reliability Fixture RFQ_2009 04 24_Xl0000002_Leopard_UniBOM_ME_0531 3 3" xfId="9774"/>
    <cellStyle name="_Flex Mechanicals Doumen Sales forecast - Jan.06_Copy of Tom OS ( Oct) new for LOG_X-BOX Console line setup budget and Buyer list" xfId="9775"/>
    <cellStyle name="_Fcst March_06(Revised 2.)_Volume Fcst Jul 06-update HP _X-BOX Console line setup budget and Buyer list" xfId="9776"/>
    <cellStyle name="好_River EE BOM_Creak Pearl Reliability Fixture RFQ_2009 04 24_Creek RFQ feedback 04_28_2009_FD Update_Leopard RFQ ME BOM Costs-0618-2_Bolt RFQ Proposal_Foxlink_ (Pricing Summary) 2 25 2011 3 3" xfId="9777"/>
    <cellStyle name="_Fcst March_06(Revised 2.)_X-BOX BB" xfId="9778"/>
    <cellStyle name="_Pluto NRE-03032006_Stream RFQ Unibom--0626-1756_Stream Package Quotation_20090311" xfId="9779"/>
    <cellStyle name="_Fcstops1Live Oct04  OPS1" xfId="9780"/>
    <cellStyle name="差_Creak Pearl Reliability Fixture RFQ_2009 04 24_Pearl RFQ(Submittal)ver2_05_12_2009 _Bristol UniBom_Foxlink_02082011 RevA" xfId="9781"/>
    <cellStyle name="好_Creek Assembly Fixture  Test Equipment RFQ_20090427_Leopard_UniBOM_ME_0602_Bolt_Cliff 4" xfId="9782"/>
    <cellStyle name="_FCT Pareto By Line-Aug 11th(DEV01286-5)_Test Time" xfId="9783"/>
    <cellStyle name="差_HP Mouse 產能評估(上系統)_Erie 效益分析 (Update)_Flow chart and Fixture(1-4)_Jackson 效益分析 (2-1 B0 上系統)" xfId="9784"/>
    <cellStyle name="好_Creek EE BOM cost_20090425_Creek RFQ feedback 04_28_2009_FD Update_Leopard RFQ ME BOM Costs-0618_Bolt RFQ Proposal_Foxlink_ (Pricing Summary) 2 25 2011 3 2" xfId="9785"/>
    <cellStyle name="_FCT Pareto By Line-Aug 11th(DEV01286-5)_TestMedia" xfId="9786"/>
    <cellStyle name="_FCT Pareto By Line-Aug 11th(DEV01286-5)_TS3 80 6 Yield Tracking 0502 update" xfId="9787"/>
    <cellStyle name="Normal 2 4 2 2" xfId="9788"/>
    <cellStyle name="_FCT Pareto By Line-Aug 11th(DEV01286-5)_Update yield report for DEV02342(7.6) " xfId="9789"/>
    <cellStyle name="好_River EE BOM_Creak Pearl Reliability Fixture RFQ_2009 04 24_Xl0000002_Squirrel RFQ ME BOM Costs-0623_Bolt RFQ Proposal_Foxlink_ (Pricing Summary) 2 25 2011 2 2 2" xfId="9790"/>
    <cellStyle name="40% - 强调文字颜色 1 2 5" xfId="9791"/>
    <cellStyle name="_FCT Pareto By Line-Aug 11th(DEV01286-5)_Yield report for Dev01975 (3)" xfId="9792"/>
    <cellStyle name="_FCT Pareto By Line-Aug 11th(DEV01286-5)_yield report for DEV0xxxx(Jasper DV2) " xfId="9793"/>
    <cellStyle name="_FCT Pareto By Line-Aug 11th(DEV01286-5)_Yield report for Jasper DV 0610" xfId="9794"/>
    <cellStyle name="差_jupite r設備&amp;治工具LIST (總)_pq_~5631336_Jackson 效益分析 (2-1 B0 上系統)_Leopard Flowchart &amp; 產能評估" xfId="9795"/>
    <cellStyle name="差_F3   SMT設備明細_效益分析_flow chart 2009.12.12_Flow chart and Fixture(1-4)_Jackson 效益分析 (2-1 B0 上系統)_Leopard Flowchart &amp; 產能評估" xfId="9796"/>
    <cellStyle name="好_River EE BOM_Xl0000000_Leopard_UniBOM_ME_0531_Bolt RFQ Proposal_Foxlink_ (Pricing Summary) 2 25 2011 4 3" xfId="9797"/>
    <cellStyle name="_FCT Pareto By Line-Aug 12th(DEV01286-5) (2)_AllErrorCodes" xfId="9798"/>
    <cellStyle name="差_Creak Pearl Reliability Fixture RFQ_2009 04 24_Creek RFQ feedback 04_28_2009_FD Update_Leopard RFQ ME BOM Costs-0618-2_Bolt RFQ Proposal_Foxlink_ (Pricing Summary) 2 25 2011 5 3" xfId="9799"/>
    <cellStyle name="_FCT Pareto By Line-Aug 12th(DEV01286-5) (2)_Test Time" xfId="9800"/>
    <cellStyle name="_FCT Pareto By Line-Aug 12th(DEV01286-5) (2)_TestMedia" xfId="9801"/>
    <cellStyle name="_FCT Pareto By Line-Aug 12th(DEV01286-5) (2)_TS3 80 6 Yield Tracking 0502 update" xfId="9802"/>
    <cellStyle name="好_River EE BOM_Creak Pearl Reliability Fixture RFQ_2009 04 24_Xl0000002_Foxlink_Shadow RFQ NREUni BOM_12032009_Bolt RFQ Proposal_Foxlink_ (Pricing Summary) 2 25 2011 7" xfId="9803"/>
    <cellStyle name="_FCT Pareto By Line-Aug 12th(DEV01286-5) (2)_Yield report for Dev01975 (3)" xfId="9804"/>
    <cellStyle name="好_River EE BOM_Foxlink_Shadow RFQ NREUni BOM_12032009_Wedge_ME_BOM-v00-11v0715 3" xfId="9805"/>
    <cellStyle name="Normal 5 4 2 4" xfId="9806"/>
    <cellStyle name="_FCT Pareto By Line-Aug 12th(DEV01286-5) (2)_yield report for DEV02342" xfId="9807"/>
    <cellStyle name="_FCT Pareto By Line-Aug 12th(DEV01286-5) (2)_yield report for DEV0xxxx " xfId="9808"/>
    <cellStyle name="_FCT Pareto By Line-Aug 12th(DEV01286-5) (2)_yield report for DEV0xxxx(Jasper DV2) " xfId="9809"/>
    <cellStyle name="_FCT Pareto By Line-Aug 12th(DEV01286-5) (2)_Yield report for Jasper DV 0610" xfId="9810"/>
    <cellStyle name="_FCT Pareto By Line-Aug 13th(DEV01286-8)" xfId="9811"/>
    <cellStyle name="_FCT Pareto By Line-Aug 13th(DEV01286-8)_AllErrorCodes" xfId="9812"/>
    <cellStyle name="_FCT Pareto By Line-Aug 13th(DEV01286-8)_Test Time" xfId="9813"/>
    <cellStyle name="_FCT Pareto By Line-Aug 13th(DEV01286-8)_TestMedia" xfId="9814"/>
    <cellStyle name="_FCT Pareto By Line-Aug 13th(DEV01286-8)_TS3 80 6 Yield Tracking 0502 update" xfId="9815"/>
    <cellStyle name="_FCT Pareto By Line-Aug 13th(DEV01286-8)_Update yield report for DEV02342(7.6) " xfId="9816"/>
    <cellStyle name="_FCT Pareto By Line-Aug 13th(DEV01286-8)_Yield report for Dev01975 (3)" xfId="9817"/>
    <cellStyle name="_FCT Pareto By Line-Aug 13th(DEV01286-8)_yield report for DEV02342" xfId="9818"/>
    <cellStyle name="_FCT Pareto By Line-Aug 13th(DEV01286-8)_yield report for DEV0xxxx " xfId="9819"/>
    <cellStyle name="好_River EE BOM_Xl0000000_Leopard_UniBOM_ME_0603-2_Bolt RFQ_Foxlink_03.1 2011_nego meeting@MACH 2 2" xfId="9820"/>
    <cellStyle name="_FCT Pareto By Line-Aug 13th(DEV01286-8)_yield report for DEV0xxxx(Jasper DV2) " xfId="9821"/>
    <cellStyle name="壞_Creek EE BOM cost_20090425_Leopard RFQ ME BOM Costs-0618-2_Bolt RFQ Proposal_Foxlink_ (Pricing Summary) 2 25 2011 4" xfId="9822"/>
    <cellStyle name="_FCT Pareto By Line-Aug 13th(DEV01286-8)_Yield report for Jasper DV 0610" xfId="9823"/>
    <cellStyle name="_FCT Pareto By Line-Aug 14th(DEV01286-8)" xfId="9824"/>
    <cellStyle name="差_Xl0000002_Leopard Lemur Squirrel UniBom-06.22.2010_EE cost _update_internal_Bolt RFQ_Foxlink_03.1 2011 3 3" xfId="9825"/>
    <cellStyle name="_Mechanical Contribution Margins (Q2'06) 0705_Volume Fcst 1006 updated" xfId="9826"/>
    <cellStyle name="_FCT Pareto By Line-Aug 14th(DEV01286-8)_AllErrorCodes" xfId="9827"/>
    <cellStyle name="_FCT Pareto By Line-Aug 14th(DEV01286-8)_TestMedia" xfId="9828"/>
    <cellStyle name="_FCT Pareto By Line-Aug 14th(DEV01286-8)_TS3 80 6 Yield Tracking 0502 update" xfId="9829"/>
    <cellStyle name="差_Xl0000002_Squirrel UniBom-06.23.2010_update_internal 2 4" xfId="9830"/>
    <cellStyle name="_FCT Pareto By Line-Aug 14th(DEV01286-8)_Update yield report for DEV02342(7.6) " xfId="9831"/>
    <cellStyle name="_OP1 DPO Forecast Final_PL Forecast by segment-most final 0806_Tom OS ( Oct)_Budget GC Other Form" xfId="9832"/>
    <cellStyle name="好_River EE BOM_Creek RFQ feedback 04_28_2009_FD Update_Leopard UniBom_Foxlink_6 21 2010-ME_nego_Bolt RFQ_Foxlink_03.1 2011_nego meeting@MACH 5" xfId="9833"/>
    <cellStyle name="_FCT Pareto By Line-Aug 14th(DEV01286-8)_Yield report for Dev01975 (3)" xfId="9834"/>
    <cellStyle name="_FCT Pareto By Line-Aug 14th(DEV01286-8)_yield report for DEV02342" xfId="9835"/>
    <cellStyle name="_FCT Pareto By Line-Aug 14th(DEV01286-8)_yield report for DEV0xxxx " xfId="9836"/>
    <cellStyle name="差_HP  專案(設備&amp;治工具需夠買)update_MS Bolt wireless mouse FixtureEquipment Cost_A5_2010_02_21 2 3" xfId="9837"/>
    <cellStyle name="_FCT Pareto By Line-Aug 14th(DEV01286-8)_yield report for DEV0xxxx(Jasper DV2) " xfId="9838"/>
    <cellStyle name="好_Creek EE BOM cost_20090425_Creek RFQ feedback 04_28_2009_FD Update_Leopard_UniBOM_ME_0602_Bolt RFQ_Foxlink_03.1 2011_nego meeting@MACH 2" xfId="9839"/>
    <cellStyle name="一般 6 3 2 2" xfId="9840"/>
    <cellStyle name="_Volume Fcst Jul 06-update HP _Copy of Tom OS ( Oct) new for LOG_Budget GC Other Form" xfId="9841"/>
    <cellStyle name="差_dallas產能評估_Dallas效益分析&amp;投資回收期 (12-2 A1)_Flow chart and Fixture(1-4)_Jackson 效益分析 (2-1 B0 上系統)_Leopard效益分析08-17" xfId="9842"/>
    <cellStyle name="_FCT Pareto By Line-Aug 14th(DEV01286-8)_Yield report for Jasper DV 0610" xfId="9843"/>
    <cellStyle name="Input 4" xfId="9844"/>
    <cellStyle name="_FCT Pareto By Line-Aug 15th(DEV01286-8)" xfId="9845"/>
    <cellStyle name="好_River EE BOM_Creak Pearl Reliability Fixture RFQ_2009 04 24_Creek RFQ feedback 04_28_2009_FD Update_Foxlink_Shadow RFQ NREUni BOM_12032009_Bolt RFQ_Foxlink_03.1 2011 4" xfId="9846"/>
    <cellStyle name="_FCT Pareto By Line-Aug 15th(DEV01286-8)_AllErrorCodes" xfId="9847"/>
    <cellStyle name="差_HP  專案(設備&amp;治工具需夠買)update_M1 Bolt wireless mouse FixtureEquipment Cost_A2_2010_12_07 2" xfId="9848"/>
    <cellStyle name="_Flex Mechanicals Doumen Sales forecast - Jan.06-updated_Internal Hourly Rate Q1 FY08 Version 06052007 Draft" xfId="9849"/>
    <cellStyle name="差_Creak Pearl Reliability Fixture RFQ_2009 04 24_Creek RFQ feedback 04_28_2009_FD Update_Leopard_UniBOM_ME_0602_Bolt RFQ Proposal_Foxlink_ (Pricing Summary) 2 25 2011 4 2" xfId="9850"/>
    <cellStyle name="_FCT Pareto By Line-Aug 15th(DEV01286-8)_Test Time" xfId="9851"/>
    <cellStyle name="b_Dell ASUS NV28GL NPI 10-25-021" xfId="9852"/>
    <cellStyle name="_FCT Pareto By Line-Aug 15th(DEV01286-8)_TS3 80 6 Yield Tracking 0502 update" xfId="9853"/>
    <cellStyle name="差_Creak Pearl Reliability Fixture RFQ_2009 04 24_Pearl RFQ(Submittal)ver2_05_12_2009 _Leopard RFQ ME BOM Costs-0618_Bolt RFQ Proposal_Foxlink_ (Pricing Summary) 2 25 2011 4 3" xfId="9854"/>
    <cellStyle name="_FCT Pareto By Line-Aug 15th(DEV01286-8)_Update yield report for DEV02342(7.6) " xfId="9855"/>
    <cellStyle name="差_Creak Pearl Reliability Fixture RFQ_2009 04 24_Leopard RFQ ME BOM Costs-0618-2 3" xfId="9856"/>
    <cellStyle name="好_Creek Assembly Fixture  Test Equipment RFQ_20090427_Xl0000002_Leopard_UniBOM_ME_0602_Bolt RFQ Proposal_Foxlink_ (Pricing Summary) 2 25 2011 4 3" xfId="9857"/>
    <cellStyle name="_Monaco PCBA time record_Tester Demand Plan_Tester Demand Plan 062707" xfId="9858"/>
    <cellStyle name="_FCT Pareto By Line-Aug 15th(DEV01286-8)_Yield report for Dev01975 (3)" xfId="9859"/>
    <cellStyle name="Geneva 9" xfId="9860"/>
    <cellStyle name="_FCT Pareto By Line-Aug 15th(DEV01286-8)_yield report for DEV02342" xfId="9861"/>
    <cellStyle name="_Flex Mechanicals Doumen Sales forecast - Jan.06_Volume Fcst 1006 updated_Copy of Tom OS ( Oct) new for LOG_X-BOX BB" xfId="9862"/>
    <cellStyle name="_FCT Pareto By Line-Aug 15th(DEV01286-8)_yield report for DEV0xxxx " xfId="9863"/>
    <cellStyle name="差_Creak Pearl Reliability Fixture RFQ_2009 04 24_Xl0000002_Leopard RFQ ME BOM Costs-0618-2_Bolt RFQ_Foxlink_03.1 2011_nego meeting@MACH 2 2" xfId="9864"/>
    <cellStyle name="_FCT Pareto By Line-Aug 15th(DEV01286-8)_yield report for DEV0xxxx(Jasper DV2) " xfId="9865"/>
    <cellStyle name="一般 2" xfId="9866"/>
    <cellStyle name="好_Creek EE BOM cost_20090425_Leopard_UniBOM_ME_0531_Bolt RFQ_Foxlink_03.1 2011 3" xfId="9867"/>
    <cellStyle name="_FCT Pareto By Line-Aug 15th(DEV01286-8)_Yield report for Jasper DV 0610" xfId="9868"/>
    <cellStyle name="_FCT Pareto By Line-July 12th X808665-001-DEV01282-2" xfId="9869"/>
    <cellStyle name="_FCT Pareto By Line-July 12th X808665-001-DEV01282-2_AllErrorCodes" xfId="9870"/>
    <cellStyle name="_FCT Pareto By Line-July 12th X808665-001-DEV01282-2_Test Time" xfId="9871"/>
    <cellStyle name="Total 6 2 3" xfId="9872"/>
    <cellStyle name="_FCT Pareto By Line-July 12th X808665-001-DEV01282-2_TS3 80 6 Yield Tracking 0502 update" xfId="9873"/>
    <cellStyle name="9_Revised AP DPO Oct 04 v2_Copy of Tom OS ( Oct) new for LOG_Copy of X-BOX for line setup budget" xfId="9874"/>
    <cellStyle name="40% - 强调文字颜色 4 2 3 3" xfId="9875"/>
    <cellStyle name="_FCT Pareto By Line-July 12th X808665-001-DEV01282-2_Update yield report for DEV02342(7.6) " xfId="9876"/>
    <cellStyle name="PSDate" xfId="9877"/>
    <cellStyle name="_FCT Pareto By Line-July 12th X808665-001-DEV01282-2_yield report for DEV0xxxx " xfId="9878"/>
    <cellStyle name="_FCT Pareto By Line-July 12th X808665-001-DEV01282-2_yield report for DEV0xxxx(Jasper DV2) " xfId="9879"/>
    <cellStyle name="好_Creek Assembly Fixture  Test Equipment RFQ_20090427_Leopard_UniBOM_ME_0602 2 2" xfId="9880"/>
    <cellStyle name="_FCT Pareto By Line-July 12th X808665-001-DEV01282-2_Yield report for Jasper DV 0610" xfId="9881"/>
    <cellStyle name="_FCT Pareto By Line-July 13th X807681-001-DEV01282-6" xfId="9882"/>
    <cellStyle name="_FCT Pareto By Line-July 13th X807681-001-DEV01282-6_AllErrorCodes" xfId="9883"/>
    <cellStyle name="_Sheet2_P2 Waynea review" xfId="9884"/>
    <cellStyle name="_FCT Pareto By Line-July 13th X807681-001-DEV01282-6_TS3 80 6 Yield Tracking 0502 update" xfId="9885"/>
    <cellStyle name="差_Creek RFQ feedback 04_28_2009_FD Update_Leopard_UniBOM_ME_0603-2_Bolt RFQ Proposal_Foxlink_ (Pricing Summary) 2 25 2011 2 2" xfId="9886"/>
    <cellStyle name="好_River EE BOM_Creak Pearl Reliability Fixture RFQ_2009 04 24_Creek  Pearl RFQ_May 12_Leopard UniBom_Foxlink_6 21 2010-ME_nego_Bolt RFQ_Foxlink_03.1 2011_nego meeting@MACH 3 2" xfId="9887"/>
    <cellStyle name="_FCT Pareto By Line-July 13th X807681-001-DEV01282-6_Yield report for Dev01975 (3)" xfId="9888"/>
    <cellStyle name="_FCT Pareto By Line-July 13th X807681-001-DEV01282-6_yield report for DEV02342" xfId="9889"/>
    <cellStyle name="_FCT Pareto By Line-July 13th X807681-001-DEV01282-6_yield report for DEV0xxxx " xfId="9890"/>
    <cellStyle name="差_Xl0000000_Leopard UniBom_Foxlink_6 21 2010-ME_nego_Bolt RFQ_Foxlink_03.1 2011_nego meeting@MACH 2" xfId="9891"/>
    <cellStyle name="差_效益分析_Jackson 效益分析 testing update_16th Jan1_Jackson 效益分析 (2-1 B0 上系統)_Leopard Flowchart &amp; 產能評估" xfId="9892"/>
    <cellStyle name="_FCT Pareto By Line-July 13th X807681-001-DEV01282-6_yield report for DEV0xxxx(Jasper DV2) " xfId="9893"/>
    <cellStyle name="_Volume Fcst 1006 updated_X-BOX BB" xfId="9894"/>
    <cellStyle name="_FCT Pareto By Line-July 13th X807681-001-DEV01282-6_Yield report for Jasper DV 0610" xfId="9895"/>
    <cellStyle name="_FCT Pareto By Line-July 13th X808665-001-DEV01282-5-1" xfId="9896"/>
    <cellStyle name="差_dallas產能評估_Dallas效益分析&amp;投資回收期 (12-2 A1)_Jackson 效益分析 testing update_16th Jan1_Jackson 效益分析 (2-1 B0 上系統)_Leopard效益分析08-17" xfId="9897"/>
    <cellStyle name="好_Creek Assembly Fixture  Test Equipment RFQ_20090427_Xl0000002_Bolt RFQ_Foxlink_03.1 2011_nego meeting@MACH 3 2" xfId="9898"/>
    <cellStyle name="_FCT Pareto By Line-July 13th X808665-001-DEV01282-5-1_Test Time" xfId="9899"/>
    <cellStyle name="_FCT Pareto By Line-July 13th X808665-001-DEV01282-5-1_TS3 80 6 Yield Tracking 0502 update" xfId="9900"/>
    <cellStyle name="差_Xl0000000_Leopard_UniBOM_ME_0603-2_Bolt RFQ_Foxlink_03.1 2011_nego meeting@MACH 3" xfId="9901"/>
    <cellStyle name="_FCT Pareto By Line-July 13th X808665-001-DEV01282-5-1_Update yield report for DEV02342(7.6) " xfId="9902"/>
    <cellStyle name="Currency 2 8" xfId="9903"/>
    <cellStyle name="_FCT Pareto By Line-July 13th X808665-001-DEV01282-5-1_yield report for DEV02342" xfId="9904"/>
    <cellStyle name="好_River EE BOM_Creek RFQ feedback 04_28_2009_FD Update_Leopard RFQ ME BOM Costs-0618_Bolt RFQ_Foxlink_03.1 2011 5" xfId="9905"/>
    <cellStyle name="好_Creek EE BOM cost_20090425_Creek RFQ feedback 04_28_2009_FD Update_Foxlink_Shadow RFQ NREUni BOM_12032009_Bolt RFQ_Foxlink_03.1 2011_nego meeting@MACH 4" xfId="9906"/>
    <cellStyle name="_FCT Pareto By Line-July 13th X808665-001-DEV01282-5-1_yield report for DEV0xxxx " xfId="9907"/>
    <cellStyle name="_FCT Pareto By Line-July 13th X808665-001-DEV01282-5-1_yield report for DEV0xxxx(Jasper DV2) " xfId="9908"/>
    <cellStyle name="好_River EE BOM_Xl0000002_Leopard_UniBOM_ME_0602-1_Bolt RFQ Proposal_Foxlink_ (Pricing Summary) 2 25 2011 2 4" xfId="9909"/>
    <cellStyle name="_FCT Pareto By Line-July 13th X808665-001-DEV01282-5-1_Yield report for Jasper DV 0610" xfId="9910"/>
    <cellStyle name="千分位 2 2" xfId="9911"/>
    <cellStyle name="40% - 强调文字颜色 3 2 2 2" xfId="9912"/>
    <cellStyle name="_FCT Pareto By Line-July 14th X808665-001-DEV01282-5-1" xfId="9913"/>
    <cellStyle name="好_Creek Assembly Fixture  Test Equipment RFQ_20090427_Leopard Lemur Squirrel UniBom-06.22.2010_EE cost _update_internal_Bolt_Cliff 3 3" xfId="9914"/>
    <cellStyle name="_FCT Pareto By Line-July 14th X808665-001-DEV01282-5-1_AllErrorCodes" xfId="9915"/>
    <cellStyle name="Heading 4 6" xfId="9916"/>
    <cellStyle name="_FCT Pareto By Line-July 14th X808665-001-DEV01282-5-1_Test Time" xfId="9917"/>
    <cellStyle name="好_River EE BOM_Creak Pearl Reliability Fixture RFQ_2009 04 24_Xl0000002_Squirrel RFQ ME BOM Costs-0623 2 2" xfId="9918"/>
    <cellStyle name="_Quotebook_07SEP10_BlueAnt_Quotebook_V3_07SEP11_Internal RFQ River Standalone  Bundle Unibom_v1 2_20080603_EJ" xfId="9919"/>
    <cellStyle name="_FCT Pareto By Line-July 14th X808665-001-DEV01282-5-1_TestMedia" xfId="9920"/>
    <cellStyle name="差_Xl0000002_Squirrel RFQ ME BOM Costs-0623_Bolt RFQ Proposal_Foxlink_ (Pricing Summary) 2 25 2011 4 3" xfId="9921"/>
    <cellStyle name="链接单元格 5 3" xfId="9922"/>
    <cellStyle name="_FCT Pareto By Line-July 14th X808665-001-DEV01282-5-1_TS3 80 6 Yield Tracking 0502 update" xfId="9923"/>
    <cellStyle name="_FCT Pareto By Line-July 14th X808665-001-DEV01282-5-1_Update yield report for DEV02342(7.6) " xfId="9924"/>
    <cellStyle name="_H&amp;E Reporting Summary_Eileen" xfId="9925"/>
    <cellStyle name="_FCT Pareto By Line-July 14th X808665-001-DEV01282-5-1_Yield report for Jasper DV 0610" xfId="9926"/>
    <cellStyle name="_FCT Pareto By Line-July 15th X808665-001-DEV01282-5-1" xfId="9927"/>
    <cellStyle name="_FCT Pareto By Line-July 15th X808665-001-DEV01282-5-1_AllErrorCodes" xfId="9928"/>
    <cellStyle name="_FCT Pareto By Line-July 15th X808665-001-DEV01282-5-1_Test Time" xfId="9929"/>
    <cellStyle name="_FCT Pareto By Line-July 15th X808665-001-DEV01282-5-1_TestMedia" xfId="9930"/>
    <cellStyle name="差_Xl0000000_Leopard RFQ ME BOM Costs-0618-2 3 2" xfId="9931"/>
    <cellStyle name="_FCT Pareto By Line-July 15th X808665-001-DEV01282-5-1_TS3 80 6 Yield Tracking 0502 update" xfId="9932"/>
    <cellStyle name="_FCT Pareto By Line-July 15th X808665-001-DEV01282-5-1_Update yield report for DEV02342(7.6) " xfId="9933"/>
    <cellStyle name="40% - Accent4 7" xfId="9934"/>
    <cellStyle name="_PPV ALLOCATION-Nov04_Erie  Mouse RFQ Pricing IE" xfId="9935"/>
    <cellStyle name="_FCT Pareto By Line-July 15th X808665-001-DEV01282-5-1_Yield report for Dev01975 (3)" xfId="9936"/>
    <cellStyle name="_FCT Pareto By Line-July 15th X808665-001-DEV01282-5-1_yield report for DEV02342" xfId="9937"/>
    <cellStyle name="_FCT Pareto By Line-July 15th X808665-001-DEV01282-5-1_yield report for DEV0xxxx " xfId="9938"/>
    <cellStyle name="差_Foxlink_Shadow RFQ NREUni BOM_12032009_Bolt RFQ Proposal_Foxlink_ (Pricing Summary) 2 25 2011 3 2" xfId="9939"/>
    <cellStyle name="好_River EE BOM_Creak Pearl Reliability Fixture RFQ_2009 04 24_Pearl RFQ(Submittal)ver2_05_12_2009 _Leopard UniBom_Foxlink_6 21 2010-ME_nego_Bolt RFQ Proposal_Foxlink_ (Pricing Summary) 2 25 2011 2 4" xfId="9940"/>
    <cellStyle name="_FCT Pareto By Line-July 15th X808665-001-DEV01282-5-1_Yield report for Jasper DV 0610" xfId="9941"/>
    <cellStyle name="_FCT Pareto By Line-July 16th X808665-001-DEV01282-5-1" xfId="9942"/>
    <cellStyle name="壞_Creek EE BOM cost_20090425_Creek RFQ feedback 04_28_2009_FD Update_Leopard_UniBOM_ME_0602-1_Bolt RFQ_Foxlink_03.1 2011 3 3" xfId="9943"/>
    <cellStyle name="_FCT Pareto By Line-July 16th X808665-001-DEV01282-5-1_AllErrorCodes" xfId="9944"/>
    <cellStyle name="差_Creak Pearl Reliability Fixture RFQ_2009 04 24_Creek  Pearl RFQ_May 12_Squirrel UniBom-06.23.2010_update_internal_Bolt RFQ Proposal_Foxlink_ (Pricing Summary) 2 25 2011 5" xfId="9945"/>
    <cellStyle name="_空焊明細_Book1" xfId="9946"/>
    <cellStyle name="_Seagate FLAGSHIP DESKTOP ME bom cost_Rev.A2 76" xfId="9947"/>
    <cellStyle name="_Seagate FLAGSHIP DESKTOP ME bom cost_Rev.A2 81" xfId="9948"/>
    <cellStyle name="_FCT Pareto By Line-July 16th X808665-001-DEV01282-5-1_Test Time" xfId="9949"/>
    <cellStyle name="_FCT Pareto By Line-July 16th X808665-001-DEV01282-5-1_TestMedia" xfId="9950"/>
    <cellStyle name="_FCT Pareto By Line-July 16th X808665-001-DEV01282-5-1_Update yield report for DEV02342(7.6) " xfId="9951"/>
    <cellStyle name="9_Revised AP DPO Oct 04 v2_PL Forecast by segment-most final 0806_Tom OS ( Oct)_2009 xBOX ramp up budget code applicaiton 300K --New May27" xfId="9952"/>
    <cellStyle name="_Sales Breakdown Analysis 3_Volume Fcst Jul 06-update HP _Copy of Tom OS ( Oct) new for LOG_2009 xBOX ramp up budget code applicaiton" xfId="9953"/>
    <cellStyle name="_XBOX MB repair &amp; refurbish freight cost_Lenovo Park Format_July 07 05V2" xfId="9954"/>
    <cellStyle name="_FCT Pareto By Line-July 16th X808665-001-DEV01282-5-1_Yield report for Dev01975 (3)" xfId="9955"/>
    <cellStyle name="_FCT Pareto By Line-July 16th X808665-001-DEV01282-5-1_yield report for DEV02342" xfId="9956"/>
    <cellStyle name="好_River EE BOM_Creak Pearl Reliability Fixture RFQ_2009 04 24_Creek RFQ feedback 04_28_2009_FD Update_Squirrel UniBom-06.23.2010_update_internal_Bolt RFQ Proposal_Foxlink_ (Pricing Summary) 2 25 2011 2" xfId="9957"/>
    <cellStyle name="_FCT Pareto By Line-July 16th X808665-001-DEV01282-5-1_yield report for DEV0xxxx " xfId="9958"/>
    <cellStyle name="Warning Text 2 3" xfId="9959"/>
    <cellStyle name="_FCT Pareto By Line-July 16th X808665-001-DEV01282-5-1_yield report for DEV0xxxx(Jasper DV2) " xfId="9960"/>
    <cellStyle name="差_F3   SMT設備明細_jupite r設備&amp;治工具LIST (總)_Flow Chart(shadow) A3 _Jackson 效益分析 (2-1 B0 上系統)_Leopard效益分析08-17" xfId="9961"/>
    <cellStyle name="好_River EE BOM_Xl0000002_Leopard RFQ ME BOM Costs-0618-2_Bolt RFQ_Foxlink_03.1 2011_nego meeting@MACH 4" xfId="9962"/>
    <cellStyle name="_Mechanical Contribution Margins (Q1'06, applied to Apr'04 Fcst)_Mechanical Contribution Margins forecast 0506 FP_Copy of Tom OS ( Oct) new for LOG_2009 xBOX ramp up budget code applicaiton 300K --New May27" xfId="9963"/>
    <cellStyle name="_FCT Pareto By Line-July 16th X808665-001-DEV01282-5-1_Yield report for Jasper DV 0610" xfId="9964"/>
    <cellStyle name="好_Creek EE BOM cost_20090425_Creek RFQ feedback 04_28_2009_FD Update_Bolt RFQ Proposal_Foxlink_ (Pricing Summary) 2 25 2011 7" xfId="9965"/>
    <cellStyle name="_FCT Pareto By Line-July 17th X808665-001-DEV01282-5-1" xfId="9966"/>
    <cellStyle name="_FCT Pareto By Line-July 17th X808665-001-DEV01282-5-1_AllErrorCodes" xfId="9967"/>
    <cellStyle name="_FCT Pareto By Line-July 17th X808665-001-DEV01282-5-1_Test Time" xfId="9968"/>
    <cellStyle name="好_Creek Assembly Fixture  Test Equipment RFQ_20090427_Leopard_UniBOM_ME_0531_Bolt RFQ_Foxlink_03.1 2011_nego meeting@MACH_Bolt_Cliff 4" xfId="9969"/>
    <cellStyle name="20% - 輔色6 2" xfId="9970"/>
    <cellStyle name="_FCT Pareto By Line-July 17th X808665-001-DEV01282-5-1_TestMedia" xfId="9971"/>
    <cellStyle name="_FCT Pareto By Line-July 17th X808665-001-DEV01282-5-1_TS3 80 6 Yield Tracking 0502 update" xfId="9972"/>
    <cellStyle name="差_Dolce IE 產能評估表_(12-1 Update)_Jackson 效益分析 (2-1 B0 上系統)_Leopard效益分析08-17" xfId="9973"/>
    <cellStyle name="_FCT Pareto By Line-July 17th X808665-001-DEV01282-5-1_Yield report for Dev01975 (3)" xfId="9974"/>
    <cellStyle name="_FCT Pareto By Line-July 17th X808665-001-DEV01282-5-1_yield report for DEV0xxxx " xfId="9975"/>
    <cellStyle name="_Flex Mechanicals Doumen Sales forecast - Jan.06_PL Forecast by segment-most final 0806_Tom OS ( Oct)_2009 xBOX ramp up budget code applicaiton 300K --New May27" xfId="9976"/>
    <cellStyle name="壞_Creek Assembly Fixture  Test Equipment RFQ_20090427_Leopard UniBom_Foxlink_6 21 2010-ME_nego_Bolt RFQ Proposal_Foxlink_ (Pricing Summary) 2 25 2011 2 3" xfId="9977"/>
    <cellStyle name="_FCT Pareto By Line-Sep 14th(X808667-001_DEV01288-2)_TS3 80 6 Yield Tracking 0502 update" xfId="9978"/>
    <cellStyle name="_FCT Pareto By Line-July 17th X808665-001-DEV01282-5-1_yield report for DEV0xxxx(Jasper DV2) " xfId="9979"/>
    <cellStyle name="好_River EE BOM_Creek RFQ feedback 04_28_2009_FD Update_Leopard RFQ ME BOM Costs-0618_Bolt RFQ Proposal_Foxlink_ (Pricing Summary) 2 25 2011 2 2 3" xfId="9980"/>
    <cellStyle name="_FCT Pareto By Line-July 17th X808665-001-DEV01282-5-1_Yield report for Jasper DV 0610" xfId="9981"/>
    <cellStyle name="_FCT Pareto By Line-Oct 12th(DEV01291-2)" xfId="9982"/>
    <cellStyle name="_FCT Pareto By Line-Oct 12th(DEV01291-2)_AllErrorCodes" xfId="9983"/>
    <cellStyle name="Norm੎੎ 3 3" xfId="9984"/>
    <cellStyle name="_FCT Pareto By Line-Oct 12th(DEV01291-2)_Test Time" xfId="9985"/>
    <cellStyle name="_FCT Pareto By Line-Oct 12th(DEV01291-2)_TestMedia" xfId="9986"/>
    <cellStyle name="_FCT Pareto By Line-Oct 12th(DEV01291-2)_TS3 80 6 Yield Tracking 0502 update" xfId="9987"/>
    <cellStyle name="_MRB Details" xfId="9988"/>
    <cellStyle name="好_Creek EE BOM cost_20090425_Leopard_UniBOM_ME_0602 2 2 3" xfId="9989"/>
    <cellStyle name="_FCT Pareto By Line-Oct 12th(DEV01291-2)_Update yield report for DEV02342(7.6) " xfId="9990"/>
    <cellStyle name="_FCT Pareto By Line-Oct 12th(DEV01291-2)_Yield report for Dev01975 (3)" xfId="9991"/>
    <cellStyle name="差_Creek RFQ feedback 04_28_2009_FD Update_Leopard_UniBOM_ME_0603-2_Bolt RFQ_Foxlink_03.1 2011 2 2" xfId="9992"/>
    <cellStyle name="_FCT Pareto By Line-Oct 12th(DEV01291-2)_yield report for DEV02342" xfId="9993"/>
    <cellStyle name="_FCT Pareto By Line-Oct 12th(DEV01291-2)_yield report for DEV0xxxx " xfId="9994"/>
    <cellStyle name="差_Foxlink_Shadow RFQ NREUni BOM_12032009 3" xfId="9995"/>
    <cellStyle name="20% - 强调文字颜色 2 2 5" xfId="9996"/>
    <cellStyle name="_FCT Pareto By Line-Oct 12th(DEV01291-2)_yield report for DEV0xxxx(Jasper DV2) " xfId="9997"/>
    <cellStyle name="Normal 16 2" xfId="9998"/>
    <cellStyle name="Normal 21 2" xfId="9999"/>
    <cellStyle name="_FCT Pareto By Line-Oct 13th(DEV01291-7)_AllErrorCodes" xfId="10000"/>
    <cellStyle name="差_Flow chart and Fixture(Jackson)_A1" xfId="10001"/>
    <cellStyle name="貨幣 14" xfId="10002"/>
    <cellStyle name="_FCT Pareto By Line-Oct 13th(DEV01291-7)_Test Time" xfId="10003"/>
    <cellStyle name="_FCT Pareto By Line-Oct 13th(DEV01291-7)_TestMedia" xfId="10004"/>
    <cellStyle name="好_Creek EE BOM cost_20090425_Leopard_UniBOM_ME_0602_Bolt RFQ_Foxlink_03.1 2011_nego meeting@MACH" xfId="10005"/>
    <cellStyle name="Normal 5 2 3 2" xfId="10006"/>
    <cellStyle name="_FCT Pareto By Line-Oct 13th(DEV01291-7)_TS3 80 6 Yield Tracking 0502 update" xfId="10007"/>
    <cellStyle name="差_0842周 顯卡報廢超標8D 3 2" xfId="10008"/>
    <cellStyle name="_FCT Pareto By Line-Oct 13th(DEV01291-7)_yield report for DEV02342" xfId="10009"/>
    <cellStyle name="_FCT Pareto By Line-Oct 13th(DEV01291-7)_yield report for DEV0xxxx(Jasper DV2) " xfId="10010"/>
    <cellStyle name="差_pq_Jackson 效益分析 testing update_16th Jan111_Jackson 效益分析 (2-1 B0 上系統)_squirrel效益分析08-17" xfId="10011"/>
    <cellStyle name="_weekly report 04272007_2010銷售明細實績-201006" xfId="10012"/>
    <cellStyle name="_FCT Pareto By Line-Oct 13th(DEV01291-7)_Yield report for Jasper DV 0610" xfId="10013"/>
    <cellStyle name="_Sales Forecast (plastic XX)0703_PL Fcst Jul 06-updated G&amp;A Value_Copy of Tom OS ( Oct) new for LOG_Forecast Template v4" xfId="10014"/>
    <cellStyle name="_Sales Forecast (plastic XX)1203_PL Fcst Jul 06-updated G&amp;A Value_Copy of Tom OS ( Oct) new for LOG_Forecast Template v4" xfId="10015"/>
    <cellStyle name="Normal 5 6 5 2" xfId="10016"/>
    <cellStyle name="20% - Accent4 9" xfId="10017"/>
    <cellStyle name="_FY0304_XBOX  CHANNEL RESERVE_P6 Si Ops review" xfId="10018"/>
    <cellStyle name="_FCT Pareto By Line-Oct 14th(DEV01291-7)" xfId="10019"/>
    <cellStyle name="_FCT Pareto By Line-Oct 14th(DEV01291-7)_AllErrorCodes" xfId="10020"/>
    <cellStyle name="_FCT Pareto By Line-Oct 14th(DEV01291-7)_TestMedia" xfId="10021"/>
    <cellStyle name="差_Xl0000000_Leopard_UniBOM_ME_0602-1_Bolt RFQ_Foxlink_03.1 2011_nego meeting@MACH 3 3" xfId="10022"/>
    <cellStyle name="差_Creak Pearl Reliability Fixture RFQ_2009 04 24_Creek  Pearl RFQ_May 12_Leopard Lemur Squirrel UniBom-06.22.2010_EE cost _update_internal" xfId="10023"/>
    <cellStyle name="_FCT Pareto By Line-Oct 14th(DEV01291-7)_TS3 80 6 Yield Tracking 0502 update" xfId="10024"/>
    <cellStyle name="差_Creak Pearl Reliability Fixture RFQ_2009 04 24_Creek  Pearl RFQ_May 12_Leopard_UniBOM_ME_0602 2" xfId="10025"/>
    <cellStyle name="好_Creek Assembly Fixture  Test Equipment RFQ_20090427_Leopard Lemur Squirrel UniBom-06.22.2010_EE cost _update_internal 3 3" xfId="10026"/>
    <cellStyle name="_FCT Pareto By Line-Oct 14th(DEV01291-7)_Update yield report for DEV02342(7.6) " xfId="10027"/>
    <cellStyle name="_FCT Pareto By Line-Oct 14th(DEV01291-7)_Yield report for Dev01975 (3)" xfId="10028"/>
    <cellStyle name="好_Creek EE BOM cost_20090425_Squirrel UniBom-06.23.2010_update_internal 2 2" xfId="10029"/>
    <cellStyle name="_FCT Pareto By Line-Oct 14th(DEV01291-7)_yield report for DEV02342" xfId="10030"/>
    <cellStyle name="好_River EE BOM_Creak Pearl Reliability Fixture RFQ_2009 04 24_Creek  Pearl RFQ_May 12_Squirrel UniBom-06.23.2010_update_internal 2 2" xfId="10031"/>
    <cellStyle name="_FCT Pareto By Line-Oct 14th(DEV01291-7)_yield report for DEV0xxxx " xfId="10032"/>
    <cellStyle name="_Flextronics Radon  Build Plan 4-27-2005_Mice transfer plan (2)_Scenario 1 of recovery until 1102" xfId="10033"/>
    <cellStyle name="_FCT Pareto By Line-Oct 14th(DEV01291-7)_yield report for DEV0xxxx(Jasper DV2) " xfId="10034"/>
    <cellStyle name="差_F3   SMT設備明細_jupite r設備&amp;治工具LIST (總)_Flow Chart(shadow)-b (1-4 Update)_Jackson 效益分析 (2-1 B0 上系統)_squirrel效益分析08-17" xfId="10035"/>
    <cellStyle name="20% - Accent3 5" xfId="10036"/>
    <cellStyle name="好_0842周 顯卡報廢超標8D_HP" xfId="10037"/>
    <cellStyle name="_FCT Pareto By Line-Oct 14th(DEV01291-7)_Yield report for Jasper DV 0610" xfId="10038"/>
    <cellStyle name="_FCT Pareto By Line-Sep 14th(X808667-001_DEV01288-2)" xfId="10039"/>
    <cellStyle name="好_River EE BOM_Creak Pearl Reliability Fixture RFQ_2009 04 24_Foxlink_Shadow RFQ NREUni BOM_12032009_Bolt RFQ Proposal_Foxlink_ (Pricing Summary) 2 25 2011 4 2" xfId="10040"/>
    <cellStyle name="Note 4" xfId="10041"/>
    <cellStyle name="_FCT Pareto By Line-Sep 14th(X808667-001_DEV01288-2)_AllErrorCodes" xfId="10042"/>
    <cellStyle name="_FCT Pareto By Line-Sep 14th(X808667-001_DEV01288-2)_Test Time" xfId="10043"/>
    <cellStyle name="差_0842周 顯卡報廢超標8D" xfId="10044"/>
    <cellStyle name="_FCT Pareto By Line-Sep 14th(X808667-001_DEV01288-2)_TestMedia" xfId="10045"/>
    <cellStyle name="好_River EE BOM_Xl0000002_Squirrel RFQ ME BOM Costs-0623_Bolt RFQ Proposal_Foxlink_ (Pricing Summary) 2 25 2011 6" xfId="10046"/>
    <cellStyle name="_FCT Pareto By Line-Sep 14th(X808667-001_DEV01288-2)_Yield report for Dev01975 (3)" xfId="10047"/>
    <cellStyle name="好_River EE BOM_Creak Pearl Reliability Fixture RFQ_2009 04 24_Creek RFQ feedback 04_28_2009_FD Update_Leopard RFQ ME BOM Costs-0618-2_Bolt RFQ_Foxlink_03.1 2011_nego meeting@MACH 2 2" xfId="10048"/>
    <cellStyle name="_FCT Pareto By Line-Sep 14th(X808667-001_DEV01288-2)_yield report for DEV02342" xfId="10049"/>
    <cellStyle name="_FCT Pareto By Line-Sep 14th(X808667-001_DEV01288-2)_yield report for DEV0xxxx " xfId="10050"/>
    <cellStyle name="_FCT Pareto By Line-Sep 14th(X808667-001_DEV01288-2)_yield report for DEV0xxxx(Jasper DV2) " xfId="10051"/>
    <cellStyle name="_FCT Pareto By Line-Sep 14th(X808667-001_DEV01288-2)_Yield report for Jasper DV 0610" xfId="10052"/>
    <cellStyle name="_Flex Mechanicals Doumen Sales forecast - Dec'05 (updated links)_PL Fcst Jul 06-updated G&amp;A Value_Copy of Tom OS ( Oct) new for LOG_2009 xBOX ramp up budget code applicaiton 300K --New May27" xfId="10053"/>
    <cellStyle name="_FCT Pareto By Line-Sep 15th(X808667-001_DEV01288-8)" xfId="10054"/>
    <cellStyle name="_FCT Pareto By Line-Sep 15th(X808667-001_DEV01288-8)_AllErrorCodes" xfId="10055"/>
    <cellStyle name="_Pluto NRE-03032006_Internal RFQ River Standalone  Bundle Unibom_v1 2_20080603_EJ_Stream Quotebook (Submittal)_POC2_20081117-1" xfId="10056"/>
    <cellStyle name="_FCT Pareto By Line-Sep 15th(X808667-001_DEV01288-8)_Test Time" xfId="10057"/>
    <cellStyle name="_FCT Pareto By Line-Sep 15th(X808667-001_DEV01288-8)_TS3 80 6 Yield Tracking 0502 update" xfId="10058"/>
    <cellStyle name="好_River EE BOM_Creak Pearl Reliability Fixture RFQ_2009 04 24_Creek  Pearl RFQ_May 12_Foxlink_Shadow RFQ NREUni BOM_12032009_Bolt RFQ_Foxlink_03.1 2011_nego meeting@MACH" xfId="10059"/>
    <cellStyle name="_FCT Pareto By Line-Sep 15th(X808667-001_DEV01288-8)_Update yield report for DEV02342(7.6) " xfId="10060"/>
    <cellStyle name="_FCT Pareto By Line-Sep 15th(X808667-001_DEV01288-8)_Yield report for Dev01975 (3)" xfId="10061"/>
    <cellStyle name="_FCT Pareto By Line-Sep 15th(X808667-001_DEV01288-8)_yield report for DEV02342" xfId="10062"/>
    <cellStyle name="_FCT Pareto By Line-Sep 15th(X808667-001_DEV01288-8)_yield report for DEV0xxxx " xfId="10063"/>
    <cellStyle name="差_Creak Pearl Reliability Fixture RFQ_2009 04 24_Creek RFQ feedback 04_28_2009_FD Update_Squirrel UniBom-06.23.2010_update_internal_Bolt RFQ_Foxlink_03.1 2011 3" xfId="10064"/>
    <cellStyle name="_FCT Pareto By Line-Sep 15th(X808667-001_DEV01288-8)_yield report for DEV0xxxx(Jasper DV2) " xfId="10065"/>
    <cellStyle name="_FCT Pareto By Line-Sep 15th(X808667-001_DEV01288-8)_Yield report for Jasper DV 0610" xfId="10066"/>
    <cellStyle name="_FCT Pareto By Line-Sep 16th(X808667-001_DEV01288-5)" xfId="10067"/>
    <cellStyle name="差_HP Mouse 產能評估(上系統)_MS Bolt wireless mouse FixtureEquipment Cost_A5_2010_02_21_Bolt RFQ Proposal_Foxlink_ (Pricing Summary) 2 25 2011 3" xfId="10068"/>
    <cellStyle name="_FCT Pareto By Line-Sep 16th(X808667-001_DEV01288-5)_AllErrorCodes" xfId="10069"/>
    <cellStyle name="好_River EE BOM_Creak Pearl Reliability Fixture RFQ_2009 04 24_Xl0000002_Leopard_UniBOM_ME_0531_Bolt RFQ Proposal_Foxlink_ (Pricing Summary) 2 25 2011 5 2" xfId="10070"/>
    <cellStyle name="_FCT Pareto By Line-Sep 16th(X808667-001_DEV01288-5)_Test Time" xfId="10071"/>
    <cellStyle name="好_Creek EE BOM cost_20090425_Creek RFQ feedback 04_28_2009_FD Update_Leopard RFQ ME BOM Costs-0618_Bolt RFQ_Foxlink_03.1 2011 2 3" xfId="10072"/>
    <cellStyle name="Normal 4 9" xfId="10073"/>
    <cellStyle name="_FCT Pareto By Line-Sep 16th(X808667-001_DEV01288-5)_TestMedia" xfId="10074"/>
    <cellStyle name="_Mechanical Contribution Margins (Q1'06, applied to Apr'04 Fcst)_Mechanical Contribution Margins forecast 0506 FP_PL Fcst Jul 06-updated G&amp;A Value_Copy of Tom OS ( Oct) new for LOG_X-BOX BB" xfId="10075"/>
    <cellStyle name="_FCT Pareto By Line-Sep 16th(X808667-001_DEV01288-5)_Yield report for Dev01975 (3)" xfId="10076"/>
    <cellStyle name="_FCT Pareto By Line-Sep 16th(X808667-001_DEV01288-5)_yield report for DEV02342" xfId="10077"/>
    <cellStyle name="好_Creek EE BOM cost_20090425_Leopard RFQ ME BOM Costs-0618-2_Bolt RFQ_Foxlink_03.1 2011 5" xfId="10078"/>
    <cellStyle name="_PL Forecast by segment-most final 0806_Copy of Tom OS ( Oct) new for LOG" xfId="10079"/>
    <cellStyle name="_FCT Pareto By Line-Sep 16th(X808667-001_DEV01288-5)_yield report for DEV0xxxx " xfId="10080"/>
    <cellStyle name="差_F3   SMT設備明細_效益分析_~8644671_Leopard效益分析08-17" xfId="10081"/>
    <cellStyle name="_FCT Pareto By Line-Sep 16th(X808667-001_DEV01288-5)_yield report for DEV0xxxx(Jasper DV2) " xfId="10082"/>
    <cellStyle name="_FCT Pareto By Line-Sep 16th(X808667-001_DEV01288-5)_Yield report for Jasper DV 0610" xfId="10083"/>
    <cellStyle name="_Mechanical Contribution Margins (Q2'06) 0705_Mechanical Contribution Margins forecast 0506 FP_PL Fcst Jul 06-updated G&amp;A Value_Budget GC Other Form" xfId="10084"/>
    <cellStyle name="_FCT Pareto By Line-Sep 17th(X808667-001_DEV01288-5)" xfId="10085"/>
    <cellStyle name="_FCT Pareto By Line-Sep 17th(X808667-001_DEV01288-5)_AllErrorCodes" xfId="10086"/>
    <cellStyle name="_FCT Pareto By Line-Sep 17th(X808667-001_DEV01288-5)_Test Time" xfId="10087"/>
    <cellStyle name="Normal 4 8 3 2" xfId="10088"/>
    <cellStyle name="_FCT Pareto By Line-Sep 17th(X808667-001_DEV01288-5)_TestMedia" xfId="10089"/>
    <cellStyle name="差_MB9月管審誤判超標 8D_2009MB KPI_MBO3F製造部hp0209-01 5 4" xfId="10090"/>
    <cellStyle name="好_River EE BOM_Creak Pearl Reliability Fixture RFQ_2009 04 24_Creek  Pearl RFQ_May 12_Leopard RFQ ME BOM Costs-0618-2_Bolt RFQ Proposal_Foxlink_ (Pricing Summary) 2 25 2011 2 3" xfId="10091"/>
    <cellStyle name="Currency 8" xfId="10092"/>
    <cellStyle name="_FCT Pareto By Line-Sep 17th(X808667-001_DEV01288-5)_TS3 80 6 Yield Tracking 0502 update" xfId="10093"/>
    <cellStyle name="_FCT Pareto By Line-Sep 17th(X808667-001_DEV01288-5)_Update yield report for DEV02342(7.6) " xfId="10094"/>
    <cellStyle name="_FCT Pareto By Line-Sep 17th(X808667-001_DEV01288-5)_Yield report for Dev01975 (3)" xfId="10095"/>
    <cellStyle name="好_River EE BOM_Creek RFQ feedback 04_28_2009_FD Update_Foxlink_Shadow RFQ NREUni BOM_12032009 2 3" xfId="10096"/>
    <cellStyle name="好_River EE BOM_Creak Pearl Reliability Fixture RFQ_2009 04 24_Creek  Pearl RFQ_May 12_Leopard RFQ ME BOM Costs-0618-2_Bolt RFQ Proposal_Foxlink_ (Pricing Summary) 2 25 2011" xfId="10097"/>
    <cellStyle name="Normal 3 4 3 3" xfId="10098"/>
    <cellStyle name="40% - 强调文字颜色 2 2 3" xfId="10099"/>
    <cellStyle name="_FCT Pareto By Line-Sep 17th(X808667-001_DEV01288-5)_yield report for DEV02342" xfId="10100"/>
    <cellStyle name="Normal 36 6" xfId="10101"/>
    <cellStyle name="Normal 41 6" xfId="10102"/>
    <cellStyle name="_FCT Pareto By Line-Sep 17th(X808667-001_DEV01288-5)_yield report for DEV0xxxx " xfId="10103"/>
    <cellStyle name="_FCT Pareto By Line-Sep 17th(X808667-001_DEV01288-5)_yield report for DEV0xxxx(Jasper DV2) " xfId="10104"/>
    <cellStyle name="_FCT Pareto By Line-Sep 17th(X808667-001_DEV01288-5)_Yield report for Jasper DV 0610" xfId="10105"/>
    <cellStyle name="_Mechanical Contribution Margins (Q2'06) 0705_Volume Fcst 1006 updated_Tom OS ( Oct)" xfId="10106"/>
    <cellStyle name="差_Creak Pearl Reliability Fixture RFQ_2009 04 24_Creek  Pearl RFQ_May 12_Foxlink_Shadow RFQ NREUni BOM_12032009_Bolt RFQ_Foxlink_03.1 2011 2 2" xfId="10107"/>
    <cellStyle name="好_River EE BOM_Creak Pearl Reliability Fixture RFQ_2009 04 24_Creek RFQ feedback 04_28_2009_FD Update_Leopard Lemur Squirrel UniBom-06.22.2010_EE cost _update_internal_Bolt RFQ Proposal_Foxlink_ (Pricing Summary) 2 25 2011 6" xfId="10108"/>
    <cellStyle name="_Flex Mechanicals Doumen Sales forecast - Jan.06-updated_PL Fcst Jul 06-updated G&amp;A Value_Internal Hourly Rate Q1 FY08 Version 06142007 excl. Corporate Allocation" xfId="10109"/>
    <cellStyle name="_overall Mulan PTK w28_MOST Std - S1300 F2lines_Nazca copy exact flow chart 2012313" xfId="10110"/>
    <cellStyle name="_FCT Pareto By Line-Sep 18th(X808667-001_DEV01288-5)_Test Time" xfId="10111"/>
    <cellStyle name="_FCT Pareto By Line-Sep 18th(X808667-001_DEV01288-5)_TestMedia" xfId="10112"/>
    <cellStyle name="_FCT Pareto By Line-Sep 18th(X808667-001_DEV01288-5)_TS3 80 6 Yield Tracking 0502 update" xfId="10113"/>
    <cellStyle name="_FCT Pareto By Line-Sep 18th(X808667-001_DEV01288-5)_Yield report for Dev01975 (3)" xfId="10114"/>
    <cellStyle name="_FCT Pareto By Line-Sep 18th(X808667-001_DEV01288-5)_yield report for DEV02342" xfId="10115"/>
    <cellStyle name="_FCT Pareto By Line-Sep 18th(X808667-001_DEV01288-5)_yield report for DEV0xxxx " xfId="10116"/>
    <cellStyle name="差_Creek RFQ feedback 04_28_2009_FD Update_Leopard UniBom_Foxlink_12092010 RevD-jen" xfId="10117"/>
    <cellStyle name="好_River EE BOM_Creak Pearl Reliability Fixture RFQ_2009 04 24_Creek  Pearl RFQ_May 12_Leopard_UniBOM_ME_0603-2 2" xfId="10118"/>
    <cellStyle name="好_RIO Trial run (Pre-PV 100PCS) QA Report-0610" xfId="10119"/>
    <cellStyle name="_FCT Pareto By Line-Sep 18th(X808667-001_DEV01288-5)_yield report for DEV0xxxx(Jasper DV2) " xfId="10120"/>
    <cellStyle name="40% - Accent4 2 3 3" xfId="10121"/>
    <cellStyle name="_FCT Pareto By Line-Sep 18th(X808667-001_DEV01288-5)_Yield report for Jasper DV 0610" xfId="10122"/>
    <cellStyle name="_FDM CY04'04 rev 3 Costed BOMs" xfId="10123"/>
    <cellStyle name="好_River QA Report- 8.23" xfId="10124"/>
    <cellStyle name="_Feb Freight analysis value" xfId="10125"/>
    <cellStyle name="好_River EE BOM_Creak Pearl Reliability Fixture RFQ_2009 04 24_Creek  Pearl RFQ_May 12_Leopard RFQ ME BOM Costs-0618_Bolt RFQ Proposal_Foxlink_ (Pricing Summary) 2 25 2011" xfId="10126"/>
    <cellStyle name="_不良總明細_Book1_複本 0541周周管審" xfId="10127"/>
    <cellStyle name="_Feb Freight analysis value_FY06 P4 CM Consigned RM" xfId="10128"/>
    <cellStyle name="_Volume Fcst 1006 updated_Copy of Tom OS ( Oct) new for LOG_X-BOX BB" xfId="10129"/>
    <cellStyle name="_Feb Freight analysis value_FY06 P6 CM Consigned RM" xfId="10130"/>
    <cellStyle name="_Feb Freight analysis value_FY06 P6 XBox 360 Mfg Var - Close Pack" xfId="10131"/>
    <cellStyle name="_Feb Freight analysis value_FY06 P7 CM Consigned RM" xfId="10132"/>
    <cellStyle name="_FG Review 02.20.2006" xfId="10133"/>
    <cellStyle name="_Feb Freight analysis value_FY06 Xenon Console Other Mfg Costs Forecast - january v1" xfId="10134"/>
    <cellStyle name="_Feb Freight analysis value_P2 Waynea review" xfId="10135"/>
    <cellStyle name="_February 03 Xbox Games Net Rev Analysis1" xfId="10136"/>
    <cellStyle name="_February 03 Xbox Games Net Rev Analysis1_accessories spc 1 0 slide" xfId="10137"/>
    <cellStyle name="好_Creek Assembly Fixture  Test Equipment RFQ_20090427_Leopard_UniBOM_ME_0531_Bolt RFQ_Foxlink_03.1 2011_Bolt_Cliff 2 2" xfId="10138"/>
    <cellStyle name="_February 03 Xbox Games Net Rev Analysis1_Book1" xfId="10139"/>
    <cellStyle name="_February 03 Xbox Games Net Rev Analysis1_Book5" xfId="10140"/>
    <cellStyle name="差_效益分析&amp;產能評估_Bolt RFQ Proposal_Foxlink_ (Pricing Summary) 2 25 2011 4" xfId="10141"/>
    <cellStyle name="好_Creek Assembly Fixture  Test Equipment RFQ_20090427_Xl0000002_Leopard_UniBOM_ME_0602-1_Bolt RFQ Proposal_Foxlink_ (Pricing Summary) 2 25 2011" xfId="10142"/>
    <cellStyle name="_February 03 Xbox Games Net Rev Analysis1_CopyOfP6 Waynea review" xfId="10143"/>
    <cellStyle name="_February 03 Xbox Games Net Rev Analysis1_FY06 P06 360Periphs SPC" xfId="10144"/>
    <cellStyle name="一般 3 3" xfId="10145"/>
    <cellStyle name="_短路明細_八月月報2" xfId="10146"/>
    <cellStyle name="_February 03 Xbox Games Net Rev Analysis1_FY06 P4 CM Consigned RM" xfId="10147"/>
    <cellStyle name="_Flex Mechanicals Doumen Sales forecast - Jan.06-updated_Volume Fcst 1006 updated_Tom OS ( Oct)_X-BOX Console line setup budget and Buyer list" xfId="10148"/>
    <cellStyle name="_February 03 Xbox Games Net Rev Analysis1_FY06 P5 XBox 360 Mfg Var - Close Pack" xfId="10149"/>
    <cellStyle name="_February 03 Xbox Games Net Rev Analysis1_FY06 P7 CM Consigned RM" xfId="10150"/>
    <cellStyle name="差_Xl0000002_Squirrel RFQ ME BOM Costs-0623_Bolt RFQ Proposal_Foxlink_ (Pricing Summary) 2 25 2011 3 2" xfId="10151"/>
    <cellStyle name="好_River EE BOM_Xl0000002_Leopard_UniBOM_ME_0602-1 3" xfId="10152"/>
    <cellStyle name="好_Creek Assembly Fixture  Test Equipment RFQ_20090427_Xl0000002_Squirrel UniBom-06.23.2010_update_internal 2 2 2" xfId="10153"/>
    <cellStyle name="_February 03 Xbox Games Net Rev Analysis1_FY06 P7 XBox 360 Mfg Var - Close Pack" xfId="10154"/>
    <cellStyle name="_Wistron True-Up File (May)_FY06 P7 CM Consigned RM" xfId="10155"/>
    <cellStyle name="_February 03 Xbox Games Net Rev Analysis1_FY06 P7 XBox Mfg Var - Close Pack" xfId="10156"/>
    <cellStyle name="差_Stream Package Quotation_20090311 2" xfId="10157"/>
    <cellStyle name="好_River EE BOM_Creak Pearl Reliability Fixture RFQ_2009 04 24_Foxlink_Shadow RFQ NREUni BOM_12032009_Bolt RFQ_Foxlink_03.1 2011 2 2" xfId="10158"/>
    <cellStyle name="_February 03 Xbox Games Net Rev Analysis1_FY06 P8 CM Consigned RM" xfId="10159"/>
    <cellStyle name="_February 03 Xbox Games Net Rev Analysis1_P6 Si Ops review" xfId="10160"/>
    <cellStyle name="_February 03 Xbox Games Net Rev Analysis1_P6 Si Ops review (2)" xfId="10161"/>
    <cellStyle name="Normal 35 2 2" xfId="10162"/>
    <cellStyle name="Normal 40 2 2" xfId="10163"/>
    <cellStyle name="_February 03 Xbox Games Net Rev Analysis1_P6 Waynea review" xfId="10164"/>
    <cellStyle name="差_F3   SMT設備明細_jupite r設備&amp;治工具LIST (總)_Flow Chart&amp;PQ分析(12-1)_Flow chart and Fixture(Jackson)_A1_Jackson 效益分析 (2-1 B0 上系統)_Leopard Flowchart &amp; 產能評估" xfId="10165"/>
    <cellStyle name="_February 03 Xbox Games Net Rev Analysis1_Sheet1" xfId="10166"/>
    <cellStyle name="_FE二課周報44" xfId="10167"/>
    <cellStyle name="_FG Review 07.11.2005" xfId="10168"/>
    <cellStyle name="_FIG Support Plan - 15Mar06 (LKP Response)" xfId="10169"/>
    <cellStyle name="_Final Model" xfId="10170"/>
    <cellStyle name="差_Creak Pearl Reliability Fixture RFQ_2009 04 24_Xl0000002_Bolt RFQ Proposal_Foxlink_ (Pricing Summary) 2 25 2011 2 2 2" xfId="10171"/>
    <cellStyle name="好_Creek Assembly Fixture  Test Equipment RFQ_20090427_Xl0000002_Leopard RFQ ME BOM Costs-0618_Bolt RFQ Proposal_Foxlink_ (Pricing Summary) 2 25 2011 7" xfId="10172"/>
    <cellStyle name="_Ronald Proposal 03142006 v1.0 2" xfId="10173"/>
    <cellStyle name="_Final Otter-UniBOM_10-25-2005" xfId="10174"/>
    <cellStyle name="_Final Otter-UniBOM_10-25-2005 2" xfId="10175"/>
    <cellStyle name="_Final Otter-UniBOM_10-25-2005_Erie  Mouse RFQ Pricing IE" xfId="10176"/>
    <cellStyle name="好_River EE BOM_Creek RFQ feedback 04_28_2009_FD Update_Foxlink_Shadow RFQ NREUni BOM_12032009_Bolt RFQ_Foxlink_03.1 2011_nego meeting@MACH 2 3" xfId="10177"/>
    <cellStyle name="_Final Otter-UniBOM_10-25-2005_Erie  Mouse RFQ Pricing IE 2" xfId="10178"/>
    <cellStyle name="好_River EE BOM_Creak Pearl Reliability Fixture RFQ_2009 04 24_Creek RFQ feedback 04_28_2009_FD Update_Leopard_UniBOM_ME_0603-2_Bolt RFQ Proposal_Foxlink_ (Pricing Summary) 2 25 2011 2 2 2" xfId="10179"/>
    <cellStyle name="_Final Otter-UniBOM_10-25-2005_Internal RFQ River Standalone  Bundle Unibom_v1 2_20080603_EJ" xfId="10180"/>
    <cellStyle name="_Final Otter-UniBOM_10-25-2005_Internal RFQ River Standalone  Bundle Unibom_v1 2_20080603_EJ 2" xfId="10181"/>
    <cellStyle name="_Final Otter-UniBOM_10-25-2005_Internal RFQ River Standalone  Bundle Unibom_v1 2_20080603_EJ_Stream Package Quotation_20090311" xfId="10182"/>
    <cellStyle name="好_River EE BOM_Creek RFQ feedback 04_28_2009_FD Update_Squirrel RFQ ME BOM Costs-0623 3 2" xfId="10183"/>
    <cellStyle name="_Final Otter-UniBOM_10-25-2005_Internal RFQ River Standalone  Bundle Unibom_v1 2_20080603_EJ_Stream Quotebook (Submittal)_POC2_20081117-1" xfId="10184"/>
    <cellStyle name="差_Foxlink_Shadow RFQ NREUni BOM_12032009_Wedge_ME_BOM-v00-11v0630 2" xfId="10185"/>
    <cellStyle name="40% - Accent6 3" xfId="10186"/>
    <cellStyle name="_Final Otter-UniBOM_10-25-2005_Internal RFQ River Standalone  Bundle Unibom_v1 2_20080603_EJ_Stream Quotebook(Submittal)_POC1_20080903" xfId="10187"/>
    <cellStyle name="差_Foxlink_Shadow RFQ NREUni BOM_12032009_Wedge_ME_BOM-v00-11v0630 2 2" xfId="10188"/>
    <cellStyle name="40% - Accent6 3 2" xfId="10189"/>
    <cellStyle name="_Final Otter-UniBOM_10-25-2005_Internal RFQ River Standalone  Bundle Unibom_v1 2_20080603_EJ_Stream Quotebook(Submittal)_POC1_20080903 2" xfId="10190"/>
    <cellStyle name="好_River EE BOM_Creek RFQ feedback 04_28_2009_FD Update_Leopard Lemur Squirrel UniBom-06.22.2010_EE cost _update_internal_Bolt RFQ Proposal_Foxlink_ (Pricing Summary) 2 25 2011 3" xfId="10191"/>
    <cellStyle name="_Final Otter-UniBOM_10-25-2005_Quotebook_07SEP10" xfId="10192"/>
    <cellStyle name="好_River EE BOM_Creak Pearl Reliability Fixture RFQ_2009 04 24_Creek RFQ feedback 04_28_2009_FD Update_Leopard UniBom_Foxlink_6 21 2010-ME_nego_Bolt RFQ Proposal_Foxlink_ (Pricing Summary) 2 25 2011 2 4" xfId="10193"/>
    <cellStyle name="壞_Creek Assembly Fixture  Test Equipment RFQ_20090427_Xl0000002_Leopard_UniBOM_ME_0602_Bolt RFQ Proposal_Foxlink_ (Pricing Summary) 2 25 2011 2 2 3" xfId="10194"/>
    <cellStyle name="好_River EE BOM_Creek RFQ feedback 04_28_2009_FD Update_Leopard Lemur Squirrel UniBom-06.22.2010_EE cost _update_internal_Bolt RFQ Proposal_Foxlink_ (Pricing Summary) 2 25 2011 3 2" xfId="10195"/>
    <cellStyle name="_Final Otter-UniBOM_10-25-2005_Quotebook_07SEP10 2" xfId="10196"/>
    <cellStyle name="好_River EE BOM_Foxlink_Shadow RFQ NREUni BOM_12032009 2 2" xfId="10197"/>
    <cellStyle name="差_F3   SMT設備明細_M1 SuedeFixtureEquipment Cost_A0_2010_10_15 3" xfId="10198"/>
    <cellStyle name="差_Creak Pearl Reliability Fixture RFQ_2009 04 24_Creek RFQ feedback 04_28_2009_FD Update_Leopard_UniBOM_ME_0602 3 2" xfId="10199"/>
    <cellStyle name="_Final Otter-UniBOM_10-25-2005_Quotebook_07SEP10_BlueAnt_Quotebook_V3_07SEP11" xfId="10200"/>
    <cellStyle name="好_River EE BOM_Foxlink_Shadow RFQ NREUni BOM_12032009 2 2 2" xfId="10201"/>
    <cellStyle name="差_F3   SMT設備明細_M1 SuedeFixtureEquipment Cost_A0_2010_10_15 3 2" xfId="10202"/>
    <cellStyle name="好_River EE BOM_Xl0000000_Bolt RFQ Proposal_Foxlink_ (Pricing Summary) 2 25 2011 4" xfId="10203"/>
    <cellStyle name="好_Creek Assembly Fixture  Test Equipment RFQ_20090427_Leopard_UniBOM_ME_0602_Bolt_Cliff 3 3" xfId="10204"/>
    <cellStyle name="_Final Otter-UniBOM_10-25-2005_Quotebook_07SEP10_BlueAnt_Quotebook_V3_07SEP11 2" xfId="10205"/>
    <cellStyle name="_Final Otter-UniBOM_10-25-2005_Quotebook_07SEP10_BlueAnt_Quotebook_V3_07SEP11_Internal RFQ River Standalone  Bundle Unibom_v1 2_20080603_EJ_Stream Package Quotation_20090311" xfId="10206"/>
    <cellStyle name="_Final Otter-UniBOM_10-25-2005_Quotebook_07SEP10_BlueAnt_Quotebook_V3_07SEP11_Internal RFQ River Standalone  Bundle Unibom_v1 2_20080603_EJ_Stream Quotebook(Submittal)_POC1_20080903" xfId="10207"/>
    <cellStyle name="_Final Otter-UniBOM_10-25-2005_Quotebook_07SEP10_BlueAnt_Quotebook_V3_07SEP11_Internal RFQ River Standalone  Bundle Unibom_v1 2_20080603_EJ_Stream Quotebook(Submittal)_POC1_20080903 2" xfId="10208"/>
    <cellStyle name="好_River EE BOM_Creak Pearl Reliability Fixture RFQ_2009 04 24_Creek  Pearl RFQ_May 12_Leopard_UniBOM_ME_0602 2 2 2" xfId="10209"/>
    <cellStyle name="_Final Otter-UniBOM_10-25-2005_Quotebook_07SEP10_BlueAnt_Quotebook_V3_07SEP11_RFQ_River_BAFO_2008 0606_M1" xfId="10210"/>
    <cellStyle name="好_River EE BOM_Creak Pearl Reliability Fixture RFQ_2009 04 24_Creek  Pearl RFQ_May 12_Leopard Lemur Squirrel UniBom-06.22.2010_EE cost _update_internal_Bolt RFQ_Foxlink_03.1 2011 2 3" xfId="10211"/>
    <cellStyle name="_Final Otter-UniBOM_10-25-2005_Quotebook_07SEP10_BlueAnt_Quotebook_V3_07SEP11_RFQ_River_BAFO_2008 0606_M1 2" xfId="10212"/>
    <cellStyle name="_tester demand summary_Tester Demand Plan 062707" xfId="10213"/>
    <cellStyle name="_Final Otter-UniBOM_10-25-2005_Quotebook_07SEP10_BlueAnt_Quotebook_V3_07SEP11_RFQ_River_BAFO_2008 0606_M1_Stream Package Quotation_20090311" xfId="10214"/>
    <cellStyle name="好_Creek Assembly Fixture  Test Equipment RFQ_20090427_Jackson and Shadow BOM cost_mainfile_2010 0324 rev.1" xfId="10215"/>
    <cellStyle name="_Final Otter-UniBOM_10-25-2005_Quotebook_07SEP10_BlueAnt_Quotebook_V3_07SEP11_RFQ_River_BAFO_2008 0606_M1_Stream Quotebook(Submittal)_POC1_20080903" xfId="10216"/>
    <cellStyle name="好_效益分析&amp;產能評估_M1 SuedeFixtureEquipment Cost_A0_2010_10_15_Bolt RFQ Proposal_Foxlink_ (Pricing Summary) 2 25 2011" xfId="10217"/>
    <cellStyle name="_Final Otter-UniBOM_10-25-2005_Quotebook_07SEP10_BlueAnt_Quotebook_V3_07SEP11_RFQ_River_BAFO_2008 0606_M1_Stream Quotebook(Submittal)_POC1_20080903 2" xfId="10218"/>
    <cellStyle name="20% - Accent1 12" xfId="10219"/>
    <cellStyle name="_Final Otter-UniBOM_10-25-2005_Quotebook_07SEP10_BlueAnt_Quotebook_V3_07SEP11_Stream RFQ Unibom--0626-1756" xfId="10220"/>
    <cellStyle name="_Plutto Uni_BOM 07172006_BP_Mod" xfId="10221"/>
    <cellStyle name="_Final Otter-UniBOM_10-25-2005_Quotebook_07SEP10_BlueAnt_Quotebook_V3_07SEP11_Stream RFQ Unibom--0626-1756 2" xfId="10222"/>
    <cellStyle name="_Final Otter-UniBOM_10-25-2005_Quotebook_07SEP10_BlueAnt_Quotebook_V3_07SEP11_Stream RFQ Unibom--0626-1756_Stream Package Quotation_20090311" xfId="10223"/>
    <cellStyle name="_Final Otter-UniBOM_10-25-2005_Quotebook_07SEP10_BlueAnt_Quotebook_V3_07SEP11_Stream RFQ Unibom--0626-1756_Stream Quotebook (Submittal)_POC2_20081117-1" xfId="10224"/>
    <cellStyle name="_Final Otter-UniBOM_10-25-2005_Quotebook_07SEP10_BlueAnt_Quotebook_V3_07SEP11_Stream RFQ Unibom--0626-1756_Stream Quotebook(Submittal)_POC1_20080903" xfId="10225"/>
    <cellStyle name="_Final Otter-UniBOM_10-25-2005_Quotebook_07SEP10_BlueAnt_Quotebook_V3_07SEP11_Stream RFQ Unibom--0626-1756_Stream Quotebook(Submittal)_POC1_20080903 2" xfId="10226"/>
    <cellStyle name="_Final Otter-UniBOM_10-25-2005_Quotebook_07SEP10_Internal RFQ River Standalone  Bundle Unibom_v1 2_20080603_EJ" xfId="10227"/>
    <cellStyle name="_PL Fcst_akl(Friday)_PL Forecast by segment-most final 0806_Copy of Tom OS ( Oct) new for LOG_Copy of X-BOX for line setup budget" xfId="10228"/>
    <cellStyle name="_Final Otter-UniBOM_10-25-2005_Quotebook_07SEP10_Internal RFQ River Standalone  Bundle Unibom_v1 2_20080603_EJ_Stream Package Quotation_20090311" xfId="10229"/>
    <cellStyle name="_PCBA_SENAI_ACT  FCST_2009 xBOX ramp up budget code applicaiton" xfId="10230"/>
    <cellStyle name="_Final Otter-UniBOM_10-25-2005_Quotebook_07SEP10_Internal RFQ River Standalone  Bundle Unibom_v1 2_20080603_EJ_Stream Quotebook (Submittal)_POC2_20081117-1" xfId="10231"/>
    <cellStyle name="_Final Otter-UniBOM_10-25-2005_Quotebook_07SEP10_Internal RFQ River Standalone  Bundle Unibom_v1 2_20080603_EJ_Stream Quotebook(Submittal)_POC1_20080903" xfId="10232"/>
    <cellStyle name="_Final Otter-UniBOM_10-25-2005_Quotebook_07SEP10_Internal RFQ River Standalone  Bundle Unibom_v1 2_20080603_EJ_Stream Quotebook(Submittal)_POC1_20080903 2" xfId="10233"/>
    <cellStyle name="_Final Otter-UniBOM_10-25-2005_Quotebook_07SEP10_RFQ_River_BAFO_2008 0606_M1" xfId="10234"/>
    <cellStyle name="_Final Otter-UniBOM_10-25-2005_Quotebook_07SEP10_RFQ_River_BAFO_2008 0606_M1 2" xfId="10235"/>
    <cellStyle name="好_River EE BOM_Xl0000000_Squirrel RFQ ME BOM Costs-0623 2 3" xfId="10236"/>
    <cellStyle name="_Final Otter-UniBOM_10-25-2005_Quotebook_07SEP10_RFQ_River_BAFO_2008 0606_M1_Stream Package Quotation_20090311" xfId="10237"/>
    <cellStyle name="_Final Otter-UniBOM_10-25-2005_Quotebook_07SEP10_RFQ_River_BAFO_2008 0606_M1_Stream Quotebook (Submittal)_POC2_20081117-1" xfId="10238"/>
    <cellStyle name="_Final Otter-UniBOM_10-25-2005_Quotebook_07SEP10_RFQ_River_BAFO_2008 0606_M1_Stream Quotebook(Submittal)_POC1_20080903" xfId="10239"/>
    <cellStyle name="_Final Otter-UniBOM_10-25-2005_Quotebook_07SEP10_RFQ_River_BAFO_2008 0606_M1_Stream Quotebook(Submittal)_POC1_20080903 2" xfId="10240"/>
    <cellStyle name="好_River EE BOM_Creak Pearl Reliability Fixture RFQ_2009 04 24_Creek RFQ feedback 04_28_2009_FD Update_Leopard_UniBOM_ME_0602_Bolt RFQ Proposal_Foxlink_ (Pricing Summary) 2 25 2011 2 4" xfId="10241"/>
    <cellStyle name="差_Creak Pearl Reliability Fixture RFQ_2009 04 24_Leopard_UniBOM_ME_0602_Bolt RFQ Proposal_Foxlink_ (Pricing Summary) 2 25 2011 2 3" xfId="10242"/>
    <cellStyle name="_Final Otter-UniBOM_10-25-2005_Quotebook_07SEP10_Stream RFQ Unibom--0626-1756" xfId="10243"/>
    <cellStyle name="好_River EE BOM_Creak Pearl Reliability Fixture RFQ_2009 04 24_Xl0000002_Leopard_UniBOM_ME_0602_Bolt RFQ_Foxlink_03.1 2011 3 3" xfId="10244"/>
    <cellStyle name="_Final Otter-UniBOM_10-25-2005_Quotebook_07SEP10_Stream RFQ Unibom--0626-1756 2" xfId="10245"/>
    <cellStyle name="好_River EE BOM_Creak Pearl Reliability Fixture RFQ_2009 04 24_Creek RFQ feedback 04_28_2009_FD Update_Leopard_UniBOM_ME_0531_Bolt RFQ Proposal_Foxlink_ (Pricing Summary) 2 25 2011 2 2 2" xfId="10246"/>
    <cellStyle name="Output 3_Bristol RFQ response _20101102_internal (4)" xfId="10247"/>
    <cellStyle name="_Final Otter-UniBOM_10-25-2005_Quotebook_07SEP10_Stream RFQ Unibom--0626-1756_Stream Package Quotation_20090311" xfId="10248"/>
    <cellStyle name="_Final Otter-UniBOM_10-25-2005_Quotebook_07SEP10_Stream RFQ Unibom--0626-1756_Stream Quotebook (Submittal)_POC2_20081117-1" xfId="10249"/>
    <cellStyle name="_Mechanical Contribution Margins forecast 0506 FP_Forecast Template v4" xfId="10250"/>
    <cellStyle name="_Final Otter-UniBOM_10-25-2005_Quotebook_07SEP10_Stream RFQ Unibom--0626-1756_Stream Quotebook(Submittal)_POC1_20080903" xfId="10251"/>
    <cellStyle name="_Final Otter-UniBOM_10-25-2005_Quotebook_V3_07SEP11" xfId="10252"/>
    <cellStyle name="_Final Otter-UniBOM_10-25-2005_Quotebook_V3_07SEP11 2" xfId="10253"/>
    <cellStyle name="_x001e__Project A Riskbuy list 20100125 - MS (3)" xfId="10254"/>
    <cellStyle name="_Final Otter-UniBOM_10-25-2005_Quotebook_V3_07SEP11_Internal RFQ River Standalone  Bundle Unibom_v1 2_20080603_EJ" xfId="10255"/>
    <cellStyle name="差_Creak Pearl Reliability Fixture RFQ_2009 04 24_Pearl RFQ(Submittal)ver2_05_12_2009 _Leopard UniBom_Foxlink_6 21 2010-ME_nego_Bolt RFQ_Foxlink_03.1 2011_nego meeting@MACH 3 3" xfId="10256"/>
    <cellStyle name="_Forecast - Segment WGCJune06_plforecastsample_2009 xBOX ramp up budget code applicaiton 300K --New May26 (3)" xfId="10257"/>
    <cellStyle name="_Final Otter-UniBOM_10-25-2005_Quotebook_V3_07SEP11_Internal RFQ River Standalone  Bundle Unibom_v1 2_20080603_EJ 2" xfId="10258"/>
    <cellStyle name="好_Creek Assembly Fixture  Test Equipment RFQ_20090427_Xl0000002_Leopard RFQ ME BOM Costs-0618 3 2" xfId="10259"/>
    <cellStyle name="_Final Otter-UniBOM_10-25-2005_Quotebook_V3_07SEP11_Internal RFQ River Standalone  Bundle Unibom_v1 2_20080603_EJ_Stream Package Quotation_20090311" xfId="10260"/>
    <cellStyle name="_Final Otter-UniBOM_10-25-2005_Quotebook_V3_07SEP11_Internal RFQ River Standalone  Bundle Unibom_v1 2_20080603_EJ_Stream Quotebook (Submittal)_POC2_20081117-1" xfId="10261"/>
    <cellStyle name="_Sales Breakdown Analysis 3_PL Fcst Jul 06-updated G&amp;A Value_2009 xBOX ramp up budget code applicaiton 300K --New May27" xfId="10262"/>
    <cellStyle name="_Final Otter-UniBOM_10-25-2005_Quotebook_V3_07SEP11_RFQ_River_BAFO_2008 0606_M1" xfId="10263"/>
    <cellStyle name="9_Revised AP DPO Oct 04" xfId="10264"/>
    <cellStyle name="_Final Otter-UniBOM_10-25-2005_Quotebook_V3_07SEP11_RFQ_River_BAFO_2008 0606_M1 2" xfId="10265"/>
    <cellStyle name="_ME  Monaco BOM GA060529_Tester Demand Plan" xfId="10266"/>
    <cellStyle name="差_HP  專案(設備&amp;治工具需夠買)update_M1 SuedeFixtureEquipment Cost_A0_2010_10_15_Bolt RFQ_Foxlink_03.1 2011_nego meeting@MACH 5" xfId="10267"/>
    <cellStyle name="_Final Otter-UniBOM_10-25-2005_Quotebook_V3_07SEP11_RFQ_River_BAFO_2008 0606_M1_Stream Package Quotation_20090311" xfId="10268"/>
    <cellStyle name="_FY02_BusinessStream_ScrubTemplate_YOY_EMEA_P2 Waynea review" xfId="10269"/>
    <cellStyle name="_Final Otter-UniBOM_10-25-2005_Quotebook_V3_07SEP11_RFQ_River_BAFO_2008 0606_M1_Stream Quotebook (Submittal)_POC2_20081117-1" xfId="10270"/>
    <cellStyle name="_Final Otter-UniBOM_10-25-2005_Quotebook_V3_07SEP11_RFQ_River_BAFO_2008 0606_M1_Stream Quotebook(Submittal)_POC1_20080903" xfId="10271"/>
    <cellStyle name="好_Erie Assembly Fixture  Test Equip Cost_20090716_Foxlink_Shadow RFQ NREUni BOM_12032009_Wedge_ME_BOM-v00-11v0715 3" xfId="10272"/>
    <cellStyle name="壞_Creek EE BOM cost_20090425_Squirrel UniBom-06.23.2010_update_internal 3" xfId="10273"/>
    <cellStyle name="_Final Otter-UniBOM_10-25-2005_Quotebook_V3_07SEP11_RFQ_River_BAFO_2008 0606_M1_Stream Quotebook(Submittal)_POC1_20080903 2" xfId="10274"/>
    <cellStyle name="_Final Otter-UniBOM_10-25-2005_Quotebook_V3_07SEP11_Stream RFQ Unibom--0626-1756" xfId="10275"/>
    <cellStyle name="_Final Otter-UniBOM_10-25-2005_Quotebook_V3_07SEP11_Stream RFQ Unibom--0626-1756 2" xfId="10276"/>
    <cellStyle name="_Flextronics Radon  Build Plan 4-27-2005_xBOX  HC Rlease result 0626(Jing)" xfId="10277"/>
    <cellStyle name="_Final Otter-UniBOM_10-25-2005_Quotebook_V3_07SEP11_Stream RFQ Unibom--0626-1756_Stream Package Quotation_20090311" xfId="10278"/>
    <cellStyle name="_Final Otter-UniBOM_10-25-2005_Quotebook_V3_07SEP11_Stream RFQ Unibom--0626-1756_Stream Quotebook (Submittal)_POC2_20081117-1" xfId="10279"/>
    <cellStyle name="_QuoteSystemParameters" xfId="10280"/>
    <cellStyle name="好_River EE BOM_Creak Pearl Reliability Fixture RFQ_2009 04 24_Xl0000002_Jackson and Shadow BOM cost_mainfile_2010 0324 rev.1_Leopard UniBom_Foxlink_12092010 RevD-jen" xfId="10281"/>
    <cellStyle name="_Final Otter-UniBOM_10-25-2005_RFQ_River_BAFO_2008 0606_M1" xfId="10282"/>
    <cellStyle name="_Final Otter-UniBOM_10-25-2005_RFQ_River_BAFO_2008 0606_M1 2" xfId="10283"/>
    <cellStyle name="差_Creek RFQ feedback 04_28_2009_FD Update_Leopard Lemur Squirrel UniBom-06.22.2010_EE cost _update_internal 2" xfId="10284"/>
    <cellStyle name="_Final Otter-UniBOM_10-25-2005_RFQ_River_BAFO_2008 0606_M1_Stream Package Quotation_20090311" xfId="10285"/>
    <cellStyle name="_Final Otter-UniBOM_10-25-2005_RFQ_River_BAFO_2008 0606_M1_Stream Quotebook (Submittal)_POC2_20081117-1" xfId="10286"/>
    <cellStyle name="_Final Otter-UniBOM_10-25-2005_RFQ_River_BAFO_2008 0606_M1_Stream Quotebook(Submittal)_POC1_20080903" xfId="10287"/>
    <cellStyle name="差_Creak Pearl Reliability Fixture RFQ_2009 04 24_Creek RFQ feedback 04_28_2009_FD Update_Leopard RFQ ME BOM Costs-0618-2_Bolt RFQ Proposal_Foxlink_ (Pricing Summary) 2 25 2011 6" xfId="10288"/>
    <cellStyle name="_Final Otter-UniBOM_10-25-2005_RFQ_River_BAFO_2008 0606_M1_Stream Quotebook(Submittal)_POC1_20080903 2" xfId="10289"/>
    <cellStyle name="_Final Otter-UniBOM_10-25-2005_Stream RFQ Unibom--0626-1756" xfId="10290"/>
    <cellStyle name="_Mechanical Contribution Margins (Q1'06, applied to Apr'04 Fcst)_PL Fcst Jul 06-updated G&amp;A Value_X-BOX Console line setup budget and Buyer list" xfId="10291"/>
    <cellStyle name="好_River EE BOM_Creak Pearl Reliability Fixture RFQ_2009 04 24_Creek  Pearl RFQ_May 12_Leopard UniBom_Foxlink_6 21 2010-ME_nego_Bolt RFQ Proposal_Foxlink_ (Pricing Summary) 2 25 2011 6" xfId="10292"/>
    <cellStyle name="_Final Otter-UniBOM_10-25-2005_Stream RFQ Unibom--0626-1756_Stream Package Quotation_20090311" xfId="10293"/>
    <cellStyle name="好_Creek Assembly Fixture  Test Equipment RFQ_20090427_Xl0000002_Leopard RFQ ME BOM Costs-0618-2_Bolt RFQ_Foxlink_03.1 2011 3 3" xfId="10294"/>
    <cellStyle name="差_Creak Pearl Reliability Fixture RFQ_2009 04 24_Xl0000002_Leopard_UniBOM_ME_0602_Bolt RFQ_Foxlink_03.1 2011_nego meeting@MACH 3" xfId="10295"/>
    <cellStyle name="_MRB Details_P6 Si Ops review (2)" xfId="10296"/>
    <cellStyle name="差_Creak Pearl Reliability Fixture RFQ_2009 04 24_Creek RFQ feedback 04_28_2009_FD Update_Leopard_UniBOM_ME_0602_Bolt RFQ Proposal_Foxlink_ (Pricing Summary) 2 25 2011 3 3" xfId="10297"/>
    <cellStyle name="_Final Otter-UniBOM_10-25-2005_Stream RFQ Unibom--0626-1756_Stream Quotebook (Submittal)_POC2_20081117-1" xfId="10298"/>
    <cellStyle name="_Volume Fcst 1006 updated_2009 xBOX ramp up budget code applicaiton 300K --New May27" xfId="10299"/>
    <cellStyle name="_Final Otter-UniBOM_10-25-2005_Stream RFQ Unibom--0626-1756_Stream Quotebook(Submittal)_POC1_20080903" xfId="10300"/>
    <cellStyle name="_Final Otter-UniBOM_10-25-2005_Stream RFQ Unibom--0626-1756_Stream Quotebook(Submittal)_POC1_20080903 2" xfId="10301"/>
    <cellStyle name="好_River EE BOM 4 3" xfId="10302"/>
    <cellStyle name="60% - Accent4 2 3" xfId="10303"/>
    <cellStyle name="好_River EE BOM_Creak Pearl Reliability Fixture RFQ_2009 04 24_Pearl RFQ(Submittal)ver2_05_12_2009 _Bolt RFQ Proposal_Foxlink_ (Pricing Summary) 2 25 2011 6" xfId="10304"/>
    <cellStyle name="_Fixed Asset Depreciation on assets in clearing &amp; CIP v.4" xfId="10305"/>
    <cellStyle name="好_Creek EE BOM cost_20090425_Leopard RFQ ME BOM Costs-0618_Bolt RFQ_Foxlink_03.1 2011_nego meeting@MACH 3" xfId="10306"/>
    <cellStyle name="差_Creek RFQ feedback 04_28_2009_FD Update_Jackson NRE Uni BOM_update _05072010 rev K" xfId="10307"/>
    <cellStyle name="_Flagship price  Rev.A3" xfId="10308"/>
    <cellStyle name="20% - 强调文字颜色 4 2 4" xfId="10309"/>
    <cellStyle name="_Flagship price  Rev.A3 2" xfId="10310"/>
    <cellStyle name="计算 2 3 3 2" xfId="10311"/>
    <cellStyle name="_Flavia Line Cost (060818) - Rev A" xfId="10312"/>
    <cellStyle name="_Flavia Production Investment PA5" xfId="10313"/>
    <cellStyle name="_Foxlink Xenon Forecast 7-18-2005_Internal RFQ River Standalone  Bundle Unibom_v1 2_20080603_EJ" xfId="10314"/>
    <cellStyle name="_Flex Mechanicals Doumen Sales forecast - Jan 06 updated._PL Forecast by segment-most final 0806_Budget GC Other Form" xfId="10315"/>
    <cellStyle name="好_River EE BOM_Xl0000000_Bolt RFQ_Foxlink_03.1 2011 2" xfId="10316"/>
    <cellStyle name="好_River EE BOM_Squirrel UniBom-06.23.2010_update_internal 2 2" xfId="10317"/>
    <cellStyle name="好_River EE BOM_Creak Pearl Reliability Fixture RFQ_2009 04 24_Creek  Pearl RFQ_May 12_Leopard_UniBOM_ME_0531 2 2 3" xfId="10318"/>
    <cellStyle name="_Flex Build Plan" xfId="10319"/>
    <cellStyle name="_Flex Depot 2005 rev3_2009 xBOX ramp up budget code applicaiton" xfId="10320"/>
    <cellStyle name="Normal 48 4 3" xfId="10321"/>
    <cellStyle name="Normal 53 4 3" xfId="10322"/>
    <cellStyle name="_Flex Depot 2005 rev3_2009 xBOX ramp up budget code applicaiton 300K --New May26 (3)" xfId="10323"/>
    <cellStyle name="_Flex Depot 2005 rev3_2009 xBOX ramp up budget code applicaiton 300K --New May27" xfId="10324"/>
    <cellStyle name="Calc Currency (0)" xfId="10325"/>
    <cellStyle name="_Flex Depot 2005 rev3_Budget GC Other Form" xfId="10326"/>
    <cellStyle name="_Flex Depot 2005 rev3_Copy of X-BOX for line setup budget" xfId="10327"/>
    <cellStyle name="_Flex Depot 2005 rev3_Forecast Template v2" xfId="10328"/>
    <cellStyle name="好_River EE BOM_Creak Pearl Reliability Fixture RFQ_2009 04 24_Pearl RFQ(Submittal)ver2_05_12_2009 _Leopard_UniBOM_ME_0603-2_Bolt RFQ_Foxlink_03.1 2011 4" xfId="10329"/>
    <cellStyle name="_Flex Depot 2005 rev3_Forecast Template v2_2009 xBOX ramp up budget code applicaiton" xfId="10330"/>
    <cellStyle name="_Flex Depot 2005 rev3_Forecast Template v2_2009 xBOX ramp up budget code applicaiton 300K --New May26 (3)" xfId="10331"/>
    <cellStyle name="_Flex Depot 2005 rev3_Forecast Template v2_2009 xBOX ramp up budget code applicaiton 300K --New May27" xfId="10332"/>
    <cellStyle name="_Flex Depot 2005 rev3_Forecast Template v2_Copy of X-BOX for line setup budget" xfId="10333"/>
    <cellStyle name="差_HP Mouse 產能評估(上系統)_Erie 效益分析 (Update)_Jackson 效益分析 testing update_16th Jan1_Jackson 效益分析 (2-1 B0 上系統)" xfId="10334"/>
    <cellStyle name="_Flex Depot 2005 rev3_Forecast Template v2_Forecast Template v4" xfId="10335"/>
    <cellStyle name="_Flex Depot 2005 rev3_Forecast Template v2_X-BOX BB" xfId="10336"/>
    <cellStyle name="_Mechanical Contribution Margins (Q1'06, applied to Apr'04 Fcst)_Mechanical Contribution Margins forecast 0506 FP_Tom OS ( Oct)_2009 xBOX ramp up budget code applicaiton" xfId="10337"/>
    <cellStyle name="_Flex Depot 2005 rev3_Forecast Template v2_X-BOX Console line setup budget and Buyer list" xfId="10338"/>
    <cellStyle name="好_River EE BOM_Creak Pearl Reliability Fixture RFQ_2009 04 24_Xl0000002_Squirrel RFQ ME BOM Costs-0623 2" xfId="10339"/>
    <cellStyle name="_Flex Depot 2005 rev3_plforecastsample" xfId="10340"/>
    <cellStyle name="_Z9 blueAnt ME BOM 0910 2" xfId="10341"/>
    <cellStyle name="好_Creek Assembly Fixture  Test Equipment RFQ_20090427_Xl0000002_Leopard Lemur Squirrel UniBom-06.22.2010_EE cost _update_internal_Bolt RFQ Proposal_Foxlink_ (Pricing Summary) 2 25 2011 6" xfId="10342"/>
    <cellStyle name="60% - 强调文字颜色 3 4" xfId="10343"/>
    <cellStyle name="_Flex Depot 2005 rev3_plforecastsample_2009 xBOX ramp up budget code applicaiton 300K --New May26 (3)" xfId="10344"/>
    <cellStyle name="_Flex Mechanicals Doumen Sales forecast - Dec'05 (updated links)_Volume Fcst Jul 06-update HP _2009 xBOX ramp up budget code applicaiton" xfId="10345"/>
    <cellStyle name="_Flex Depot 2005 rev3_plforecastsample_2009 xBOX ramp up budget code applicaiton 300K --New May27" xfId="10346"/>
    <cellStyle name="差_F3   SMT設備明細_M1 Bolt wireless mouse FixtureEquipment Cost_A2_2010_12_07 2" xfId="10347"/>
    <cellStyle name="_Flex Depot 2005 rev3_plforecastsample_Forecast Template v4" xfId="10348"/>
    <cellStyle name="好_Creek Assembly Fixture  Test Equipment RFQ_20090427_Leopard_UniBOM_ME_0531_Bolt RFQ_Foxlink_03.1 2011_nego meeting@MACH_Bolt_Cliff 2 2 2" xfId="10349"/>
    <cellStyle name="_Flex Mechanicals Doumen Sales forecast - Jan 06 updated._X-BOX Console line setup budget and Buyer list" xfId="10350"/>
    <cellStyle name="_Flex Depot 2005 rev3_plforecastsample_X-BOX Console line setup budget 20080414" xfId="10351"/>
    <cellStyle name="差_F3   SMT設備明細_Erie 效益分析 (Update)_效益分析(總 12-28 Update)_Leopard效益分析08-17" xfId="10352"/>
    <cellStyle name="_Flex Depot 2005 rev3_plforecastsample_X-BOX Console line setup budget and Buyer list" xfId="10353"/>
    <cellStyle name="_Flex Depot 2005 rev3_X-BOX BB" xfId="10354"/>
    <cellStyle name="_Flex Depot 2005 rev3_X-BOX Console line setup budget and Buyer list" xfId="10355"/>
    <cellStyle name="差_Xl0000002_Leopard_UniBOM_ME_0602_Bolt RFQ_Foxlink_03.1 2011_nego meeting@MACH 2" xfId="10356"/>
    <cellStyle name="_Flex Depot 2005 rev3-1.6K" xfId="10357"/>
    <cellStyle name="_Flex Depot 2005 rev3-1.6K_2009 xBOX ramp up budget code applicaiton" xfId="10358"/>
    <cellStyle name="_Flex Depot 2005 rev3-1.6K_2009 xBOX ramp up budget code applicaiton 300K --New May26 (3)" xfId="10359"/>
    <cellStyle name="_Flex Depot 2005 rev3-1.6K_2009 xBOX ramp up budget code applicaiton 300K --New May27" xfId="10360"/>
    <cellStyle name="差_Creak Pearl Reliability Fixture RFQ_2009 04 24_Pearl RFQ(Submittal)ver2_05_12_2009 _Leopard RFQ ME BOM Costs-0618 3" xfId="10361"/>
    <cellStyle name="差_Creak Pearl Reliability Fixture RFQ_2009 04 24_Leopard Lemur Squirrel UniBom-06.22.2010_EE cost _update_internal_Bolt RFQ Proposal_Foxlink_ (Pricing Summary) 2 25 2011 4 3" xfId="10362"/>
    <cellStyle name="_Flex Depot 2005 rev3-1.6K_Budget GC Other Form" xfId="10363"/>
    <cellStyle name="_Flex Depot 2005 rev3-1.6K_Forecast Template v2_2009 xBOX ramp up budget code applicaiton" xfId="10364"/>
    <cellStyle name="Currency 4 2 2 2 2" xfId="10365"/>
    <cellStyle name="_Flex Depot 2005 rev3-1.6K_Forecast Template v2_2009 xBOX ramp up budget code applicaiton 300K --New May26 (3)" xfId="10366"/>
    <cellStyle name="千分位 2 4" xfId="10367"/>
    <cellStyle name="_Flex Depot 2005 rev3-1.6K_Forecast Template v2_2009 xBOX ramp up budget code applicaiton 300K --New May27" xfId="10368"/>
    <cellStyle name="_Flex Depot 2005 rev3-1.6K_Forecast Template v2_Budget GC Other Form" xfId="10369"/>
    <cellStyle name="_Forecast - Segment WTJune06_plforecastsample_X-BOX Console line setup budget 20080414" xfId="10370"/>
    <cellStyle name="Normal 25 2 2 2 2" xfId="10371"/>
    <cellStyle name="_Flex Depot 2005 rev3-1.6K_Forecast Template v2_Copy of X-BOX for line setup budget" xfId="10372"/>
    <cellStyle name="_Flex Depot 2005 rev3-1.6K_Forecast Template v2_Forecast Template v4" xfId="10373"/>
    <cellStyle name="_Flex Depot 2005 rev3-1.6K_Forecast Template v2_X-BOX BB" xfId="10374"/>
    <cellStyle name="好_效益分析&amp;產能評估_Bolt RFQ_Foxlink_03.1 2011 3 2" xfId="10375"/>
    <cellStyle name="_Flex Depot 2005 rev3-1.6K_Forecast Template v2_X-BOX Console line setup budget 20080414" xfId="10376"/>
    <cellStyle name="好_Erie Assembly Fixture  Test Equip Cost_20090716_Bolt RFQ Proposal_Foxlink_ (Pricing Summary) 2 25 2011 2 2 3" xfId="10377"/>
    <cellStyle name="_Flex Depot 2005 rev3-1.6K_Forecast Template v2_X-BOX Console line setup budget and Buyer list" xfId="10378"/>
    <cellStyle name="_Flex Depot 2005 rev3-1.6K_plforecastsample" xfId="10379"/>
    <cellStyle name="_Flex Depot 2005 rev3-1.6K_plforecastsample_2009 xBOX ramp up budget code applicaiton" xfId="10380"/>
    <cellStyle name="差_Xl0000002_Leopard UniBom_Foxlink_6 21 2010-ME_nego_Bolt RFQ_Foxlink_03.1 2011_nego meeting@MACH 2 2" xfId="10381"/>
    <cellStyle name="_Flex Depot 2005 rev3-1.6K_plforecastsample_2009 xBOX ramp up budget code applicaiton 300K --New May26 (3)" xfId="10382"/>
    <cellStyle name="_Mechanical Contribution Margins forecast 0506 FP" xfId="10383"/>
    <cellStyle name="_Flex Depot 2005 rev3-1.6K_plforecastsample_2009 xBOX ramp up budget code applicaiton 300K --New May27" xfId="10384"/>
    <cellStyle name="_Flex Depot 2005 rev3-1.6K_plforecastsample_Budget GC Other Form" xfId="10385"/>
    <cellStyle name="差_Wedge_ME_BOM-v00-11v0630 2" xfId="10386"/>
    <cellStyle name="_Flex Depot 2005 rev3-1.6K_plforecastsample_Copy of X-BOX for line setup budget" xfId="10387"/>
    <cellStyle name="_Flex Depot 2005 rev3-1.6K_plforecastsample_Forecast Template v4" xfId="10388"/>
    <cellStyle name="_Flex Depot 2005 rev3-1.6K_plforecastsample_X-BOX BB" xfId="10389"/>
    <cellStyle name="好_River EE BOM_Creak Pearl Reliability Fixture RFQ_2009 04 24_Pearl RFQ(Submittal)ver2_05_12_2009 _Leopard RFQ ME BOM Costs-0618 3 3" xfId="10390"/>
    <cellStyle name="好_Creek EE BOM cost_20090425_Leopard RFQ ME BOM Costs-0618_Bolt RFQ Proposal_Foxlink_ (Pricing Summary) 2 25 2011 2 2" xfId="10391"/>
    <cellStyle name="_Flex Depot 2005 rev3-1.6K_plforecastsample_X-BOX Console line setup budget 20080414" xfId="10392"/>
    <cellStyle name="差_Xl0000002_Leopard RFQ ME BOM Costs-0618-2_Bolt RFQ Proposal_Foxlink_ (Pricing Summary) 2 25 2011 3 2" xfId="10393"/>
    <cellStyle name="_Flex Depot 2005 rev3-1.6K_plforecastsample_X-BOX Console line setup budget and Buyer list" xfId="10394"/>
    <cellStyle name="_Flex Depot 2005 rev3-1.6K_X-BOX BB" xfId="10395"/>
    <cellStyle name="好_River EE BOM_Creak Pearl Reliability Fixture RFQ_2009 04 24_Pearl RFQ(Submittal)ver2_05_12_2009 _Leopard UniBom_Foxlink_6 21 2010-ME_nego_Bolt RFQ_Foxlink_03.1 2011 3" xfId="10396"/>
    <cellStyle name="差_0842周 顯卡報廢超標8D 5 4" xfId="10397"/>
    <cellStyle name="_Flex Depot 2005 rev3-1.6K_X-BOX Console line setup budget 20080414" xfId="10398"/>
    <cellStyle name="差_F3   SMT設備明細_jupite r設備&amp;治工具LIST (總)_Flow Chart(shadow) A3 _~1159284" xfId="10399"/>
    <cellStyle name="_Flex Depot 2005 rev3-1.6K_X-BOX Console line setup budget and Buyer list" xfId="10400"/>
    <cellStyle name="_Flex forecast Depot 2005 rev4A" xfId="10401"/>
    <cellStyle name="_Flex forecast Depot 2005 rev4A_2009 xBOX ramp up budget code applicaiton" xfId="10402"/>
    <cellStyle name="_Flex forecast Depot 2005 rev4A_2009 xBOX ramp up budget code applicaiton 300K --New May26 (3)" xfId="10403"/>
    <cellStyle name="_Flex forecast Depot 2005 rev4A_2009 xBOX ramp up budget code applicaiton 300K --New May27" xfId="10404"/>
    <cellStyle name="壞_Creek Assembly Fixture  Test Equipment RFQ_20090427_Leopard RFQ ME BOM Costs-0618_Bolt RFQ_Foxlink_03.1 2011_nego meeting@MACH 5" xfId="10405"/>
    <cellStyle name="好_Creek Assembly Fixture  Test Equipment RFQ_20090427_Leopard_UniBOM_ME_0603-2_Bolt RFQ_Foxlink_03.1 2011_nego meeting@MACH 3 3" xfId="10406"/>
    <cellStyle name="_Flex forecast Depot 2005 rev4A_Budget GC Other Form" xfId="10407"/>
    <cellStyle name="差_F3   SMT設備明細_jupite r設備&amp;治工具LIST (總)_pq_Leopard效益分析08-17" xfId="10408"/>
    <cellStyle name="好_Creek EE BOM cost_20090425_Creek RFQ feedback 04_28_2009_FD Update_Leopard_UniBOM_ME_0603-2_Bolt RFQ Proposal_Foxlink_ (Pricing Summary) 2 25 2011 2 3" xfId="10409"/>
    <cellStyle name="_Flex forecast Depot 2005 rev4A_Forecast Template v2" xfId="10410"/>
    <cellStyle name="_Flex forecast Depot 2005 rev4A_Forecast Template v2_2009 xBOX ramp up budget code applicaiton" xfId="10411"/>
    <cellStyle name="差_Creak Pearl Reliability Fixture RFQ_2009 04 24_Xl0000002_Foxlink_Shadow RFQ NREUni BOM_12032009_Bolt RFQ_Foxlink_03.1 2011 2" xfId="10412"/>
    <cellStyle name="_Flex forecast Depot 2005 rev4A_Forecast Template v2_2009 xBOX ramp up budget code applicaiton 300K --New May26 (3)" xfId="10413"/>
    <cellStyle name="_Flex forecast Depot 2005 rev4A_Forecast Template v2_2009 xBOX ramp up budget code applicaiton 300K --New May27" xfId="10414"/>
    <cellStyle name="_Flex forecast Depot 2005 rev4A_Forecast Template v2_Budget GC Other Form" xfId="10415"/>
    <cellStyle name="差_Creak Pearl Reliability Fixture RFQ_2009 04 24_Xl0000002_Squirrel RFQ ME BOM Costs-0623_Bolt RFQ_Foxlink_03.1 2011_nego meeting@MACH 5" xfId="10416"/>
    <cellStyle name="差_Xl0000002_Leopard_UniBOM_ME_0602-1_Bolt RFQ_Foxlink_03.1 2011 4" xfId="10417"/>
    <cellStyle name="差_Xl0000002_Leopard UniBom_Foxlink_6 21 2010-ME_nego_Bolt RFQ_Foxlink_03.1 2011 5" xfId="10418"/>
    <cellStyle name="_Flex forecast Depot 2005 rev4A_Forecast Template v2_Forecast Template v4" xfId="10419"/>
    <cellStyle name="差_Xl0000002_Squirrel UniBom-06.23.2010_update_internal_Bolt RFQ Proposal_Foxlink_ (Pricing Summary) 2 25 2011 2 2 3" xfId="10420"/>
    <cellStyle name="Neutral 11" xfId="10421"/>
    <cellStyle name="好_River EE BOM_Creak Pearl Reliability Fixture RFQ_2009 04 24_Foxlink_Shadow RFQ NREUni BOM_12032009_Bolt RFQ_Foxlink_03.1 2011_nego meeting@MACH 3 2" xfId="10422"/>
    <cellStyle name="_Flex forecast Depot 2005 rev4A_Forecast Template v2_X-BOX BB" xfId="10423"/>
    <cellStyle name="Normal 4 4 3 5" xfId="10424"/>
    <cellStyle name="_Flex forecast Depot 2005 rev4A_Forecast Template v2_X-BOX Console line setup budget 20080414" xfId="10425"/>
    <cellStyle name="差_Creak Pearl Reliability Fixture RFQ_2009 04 24_Xl0000002_Foxlink_Shadow RFQ NREUni BOM_12032009_Bolt RFQ_Foxlink_03.1 2011 3 2" xfId="10426"/>
    <cellStyle name="_Flex forecast Depot 2005 rev4A_Forecast Template v2_X-BOX Console line setup budget and Buyer list" xfId="10427"/>
    <cellStyle name="差_Creak Pearl Reliability Fixture RFQ_2009 04 24_Leopard Lemur Squirrel UniBom-06.22.2010_EE cost _update_internal 2 2 3" xfId="10428"/>
    <cellStyle name="_Flex forecast Depot 2005 rev4A_Forecast Template v4" xfId="10429"/>
    <cellStyle name="_Pending MRB 4 29 05_FY06 P4 CM Consigned RM" xfId="10430"/>
    <cellStyle name="_Flex forecast Depot 2005 rev4A_plforecastsample" xfId="10431"/>
    <cellStyle name="好_River EE BOM_Creak Pearl Reliability Fixture RFQ_2009 04 24_Creek  Pearl RFQ_May 12_Squirrel RFQ ME BOM Costs-0623 2 2 3" xfId="10432"/>
    <cellStyle name="好_River EE BOM_Creak Pearl Reliability Fixture RFQ_2009 04 24_Creek RFQ feedback 04_28_2009_FD Update_Squirrel RFQ ME BOM Costs-0623_Bolt RFQ_Foxlink_03.1 2011 4" xfId="10433"/>
    <cellStyle name="_Flex forecast Depot 2005 rev4A_plforecastsample_2009 xBOX ramp up budget code applicaiton" xfId="10434"/>
    <cellStyle name="_HC Planning 0705_plforecastsample_2009 xBOX ramp up budget code applicaiton 300K --New May27" xfId="10435"/>
    <cellStyle name="_Flex forecast Depot 2005 rev4A_plforecastsample_2009 xBOX ramp up budget code applicaiton 300K --New May26 (3)" xfId="10436"/>
    <cellStyle name="_Z9i_Quotebook_(Worksheet)_V4_Stream RFQ Unibom--0626-1756 2" xfId="10437"/>
    <cellStyle name="_Flex forecast Depot 2005 rev4A_plforecastsample_Budget GC Other Form" xfId="10438"/>
    <cellStyle name="_Flex forecast Depot 2005 rev4A_plforecastsample_Copy of X-BOX for line setup budget" xfId="10439"/>
    <cellStyle name="差_HP Mouse 產能評估(上系統)_M1 Bolt wireless mouse FixtureEquipment Cost_A2_2010_12_07_Bolt RFQ Proposal_Foxlink_ (Pricing Summary) 2 25 2011 2 4" xfId="10440"/>
    <cellStyle name="好_River EE BOM_Creak Pearl Reliability Fixture RFQ_2009 04 24_Creek  Pearl RFQ_May 12_Squirrel UniBom-06.23.2010_update_internal_Bolt RFQ Proposal_Foxlink_ (Pricing Summary) 2 25 2011 5" xfId="10441"/>
    <cellStyle name="_Flex forecast Depot 2005 rev4A_plforecastsample_Forecast Template v4" xfId="10442"/>
    <cellStyle name="Euro 3" xfId="10443"/>
    <cellStyle name="_Flex forecast Depot 2005 rev4A_plforecastsample_X-BOX BB" xfId="10444"/>
    <cellStyle name="_Flex forecast Depot 2005 rev4A_plforecastsample_X-BOX Console line setup budget 20080414" xfId="10445"/>
    <cellStyle name="差_Xl0000002_Leopard_UniBOM_ME_0603-2_Bolt RFQ_Foxlink_03.1 2011_nego meeting@MACH 4" xfId="10446"/>
    <cellStyle name="_Flex forecast Depot 2005 rev4A_plforecastsample_X-BOX Console line setup budget and Buyer list" xfId="10447"/>
    <cellStyle name="_Flex forecast Depot 2005 rev4A_X-BOX BB" xfId="10448"/>
    <cellStyle name="好_River EE BOM_Xl0000002_Foxlink_Shadow RFQ NREUni BOM_12032009_Bolt RFQ Proposal_Foxlink_ (Pricing Summary) 2 25 2011 5" xfId="10449"/>
    <cellStyle name="_Flex Mechanicals Doumen Sales forecast - Dec'05 (updated links)" xfId="10450"/>
    <cellStyle name="_Flex Mechanicals Doumen Sales forecast - Dec'05 (updated links)_2009 xBOX ramp up budget code applicaiton" xfId="10451"/>
    <cellStyle name="_Flex Mechanicals Doumen Sales forecast - Dec'05 (updated links)_2009 xBOX ramp up budget code applicaiton 300K --New May26 (3)" xfId="10452"/>
    <cellStyle name="_Flex Mechanicals Doumen Sales forecast - Dec'05 (updated links)_2009 xBOX ramp up budget code applicaiton 300K --New May27" xfId="10453"/>
    <cellStyle name="_Flex Mechanicals Doumen Sales forecast - Dec'05 (updated links)_Budget GC Other Form" xfId="10454"/>
    <cellStyle name="差_dallas產能評估_flow chart 2009.12.12_效益分析(總 12-28 Update)" xfId="10455"/>
    <cellStyle name="_Flex Mechanicals Doumen Sales forecast - Dec'05 (updated links)_Copy of Tom OS ( Oct) new for LOG" xfId="10456"/>
    <cellStyle name="_Flex Mechanicals Doumen Sales forecast - Dec'05 (updated links)_Copy of Tom OS ( Oct) new for LOG_2009 xBOX ramp up budget code applicaiton" xfId="10457"/>
    <cellStyle name="_Flex Mechanicals Doumen Sales forecast - Dec'05 (updated links)_Copy of Tom OS ( Oct) new for LOG_2009 xBOX ramp up budget code applicaiton 300K --New May26 (3)" xfId="10458"/>
    <cellStyle name="_Flex Mechanicals Doumen Sales forecast - Dec'05 (updated links)_Copy of Tom OS ( Oct) new for LOG_2009 xBOX ramp up budget code applicaiton 300K --New May27" xfId="10459"/>
    <cellStyle name="_Flex Mechanicals Doumen Sales forecast - Dec'05 (updated links)_Copy of Tom OS ( Oct) new for LOG_Budget GC Other Form" xfId="10460"/>
    <cellStyle name="_MOST Std - Project A BB Line" xfId="10461"/>
    <cellStyle name="_Flex Mechanicals Doumen Sales forecast - Dec'05 (updated links)_Copy of Tom OS ( Oct) new for LOG_Copy of X-BOX for line setup budget" xfId="10462"/>
    <cellStyle name="好_River EE BOM_Creak Pearl Reliability Fixture RFQ_2009 04 24_Creek  Pearl RFQ_May 12_Leopard RFQ ME BOM Costs-0618-2 3 3" xfId="10463"/>
    <cellStyle name="好_Creek EE BOM cost_20090425_Creek RFQ feedback 04_28_2009_FD Update_Leopard_UniBOM_ME_0602-1_Bolt RFQ_Foxlink_03.1 2011 3" xfId="10464"/>
    <cellStyle name="_Mechanical Contribution Margins (Q2'06) 0705_Mechanical Contribution Margins forecast 0506 FP_Copy of Tom OS ( Oct) new for LOG_Copy of X-BOX for line setup budget" xfId="10465"/>
    <cellStyle name="_Flex Mechanicals Doumen Sales forecast - Dec'05 (updated links)_Copy of Tom OS ( Oct) new for LOG_Forecast Template v4" xfId="10466"/>
    <cellStyle name="_Flex Mechanicals Doumen Sales forecast - Dec'05 (updated links)_Copy of Tom OS ( Oct) new for LOG_X-BOX BB" xfId="10467"/>
    <cellStyle name="好_Creek Assembly Fixture  Test Equipment RFQ_20090427_Squirrel RFQ ME BOM Costs-0623_Bolt RFQ_Foxlink_03.1 2011_nego meeting@MACH 3" xfId="10468"/>
    <cellStyle name="_Flex Mechanicals Doumen Sales forecast - Dec'05 (updated links)_Copy of Tom OS ( Oct) new for LOG_X-BOX Console line setup budget 20080414" xfId="10469"/>
    <cellStyle name="差_HP Mouse 產能評估(Forecast更改後)_Jackson 效益分析 (2-1 B0 上系統)_Leopard效益分析08-17" xfId="10470"/>
    <cellStyle name="_Flex Mechanicals Doumen Sales forecast - Dec'05 (updated links)_Copy of X-BOX for line setup budget" xfId="10471"/>
    <cellStyle name="_Flex Mechanicals Doumen Sales forecast - Dec'05 (updated links)_Internal Hourly Rate Q1 FY08 Version (2)" xfId="10472"/>
    <cellStyle name="_Flex Mechanicals Doumen Sales forecast - Dec'05 (updated links)_Internal Hourly Rate Q1 FY08 Version 06052007 Draft" xfId="10473"/>
    <cellStyle name="好_River EE BOM_Xl0000002_Leopard UniBom_Foxlink_12092010 RevD-jen" xfId="10474"/>
    <cellStyle name="_Flex Mechanicals Doumen Sales forecast - Dec'05 (updated links)_Internal Hourly Rate Q1 FY08 Version 06142007 excl. Corporate Allocation" xfId="10475"/>
    <cellStyle name="差_MB9月管審換線超時8d_2009MB KPI_MBO3F製造部hp0209-01 5" xfId="10476"/>
    <cellStyle name="好_Creek Assembly Fixture  Test Equipment RFQ_20090427_Xl0000002_Leopard RFQ ME BOM Costs-0618_Bolt RFQ Proposal_Foxlink_ (Pricing Summary) 2 25 2011 4 2" xfId="10477"/>
    <cellStyle name="_Flex Mechanicals Doumen Sales forecast - Dec'05 (updated links)_Internal Hourly Rate Q1 FY08 Version 06142007 excl. Corporate Allocation_Internal Hourly Rate Q1 FY08 Version (2)" xfId="10478"/>
    <cellStyle name="_Flex Mechanicals Doumen Sales forecast - Dec'05 (updated links)_PL Fcst Jul 06-updated G&amp;A Value" xfId="10479"/>
    <cellStyle name="_Flex Mechanicals Doumen Sales forecast - Dec'05 (updated links)_PL Fcst Jul 06-updated G&amp;A Value_2009 xBOX ramp up budget code applicaiton" xfId="10480"/>
    <cellStyle name="_Flex Mechanicals Doumen Sales forecast - Dec'05 (updated links)_PL Fcst Jul 06-updated G&amp;A Value_2009 xBOX ramp up budget code applicaiton 300K --New May26 (3)" xfId="10481"/>
    <cellStyle name="差_F3   SMT設備明細_jupite r設備&amp;治工具LIST (總)_flow chart 2009.12.12_squirrel效益分析08-17" xfId="10482"/>
    <cellStyle name="_Flex Mechanicals Doumen Sales forecast - Dec'05 (updated links)_PL Fcst Jul 06-updated G&amp;A Value_2009 xBOX ramp up budget code applicaiton 300K --New May27" xfId="10483"/>
    <cellStyle name="_Flex Mechanicals Doumen Sales forecast - Dec'05 (updated links)_PL Fcst Jul 06-updated G&amp;A Value_Budget GC Other Form" xfId="10484"/>
    <cellStyle name="差_Flow Chart&amp;PQ分析(12-1)_Flow chart and Fixture(Jackson)_A1_Jackson 效益分析 (2-1 B0 上系統)_squirrel效益分析08-17" xfId="10485"/>
    <cellStyle name="好_Creek EE BOM cost_20090425_Creek RFQ feedback 04_28_2009_FD Update_Leopard RFQ ME BOM Costs-0618 2 2 3" xfId="10486"/>
    <cellStyle name="_Flex Mechanicals Doumen Sales forecast - Dec'05 (updated links)_PL Fcst Jul 06-updated G&amp;A Value_Copy of Tom OS ( Oct) new for LOG" xfId="10487"/>
    <cellStyle name="差_Xl0000002_Leopard RFQ ME BOM Costs-0618-2_Bolt RFQ Proposal_Foxlink_ (Pricing Summary) 2 25 2011 4" xfId="10488"/>
    <cellStyle name="_Flex Mechanicals Doumen Sales forecast - Dec'05 (updated links)_PL Fcst Jul 06-updated G&amp;A Value_Copy of Tom OS ( Oct) new for LOG_2009 xBOX ramp up budget code applicaiton" xfId="10489"/>
    <cellStyle name="_Flex Mechanicals Doumen Sales forecast - Dec'05 (updated links)_PL Fcst Jul 06-updated G&amp;A Value_Copy of Tom OS ( Oct) new for LOG_2009 xBOX ramp up budget code applicaiton 300K --New May26 (3)" xfId="10490"/>
    <cellStyle name="好_River EE BOM_Xl0000000_Squirrel UniBom-06.23.2010_update_internal_Bolt RFQ Proposal_Foxlink_ (Pricing Summary) 2 25 2011 4" xfId="10491"/>
    <cellStyle name="_Flex Mechanicals Doumen Sales forecast - Dec'05 (updated links)_PL Fcst Jul 06-updated G&amp;A Value_Copy of Tom OS ( Oct) new for LOG_X-BOX BB" xfId="10492"/>
    <cellStyle name="_Flex Mechanicals Doumen Sales forecast - Jan 06 updated._PL Forecast by segment-most final 0806_Tom OS ( Oct)_X-BOX Console line setup budget and Buyer list" xfId="10493"/>
    <cellStyle name="_Flex Mechanicals Doumen Sales forecast - Dec'05 (updated links)_PL Fcst Jul 06-updated G&amp;A Value_Copy of Tom OS ( Oct) new for LOG_X-BOX Console line setup budget 20080414" xfId="10494"/>
    <cellStyle name="好_MB9月管審誤判超標 8D 5 2" xfId="10495"/>
    <cellStyle name="_Flex Mechanicals Doumen Sales forecast - Dec'05 (updated links)_PL Fcst Jul 06-updated G&amp;A Value_Copy of Tom OS ( Oct) new for LOG_X-BOX Console line setup budget and Buyer list" xfId="10496"/>
    <cellStyle name="_Flex Mechanicals Doumen Sales forecast - Dec'05 (updated links)_PL Fcst Jul 06-updated G&amp;A Value_Copy of X-BOX for line setup budget" xfId="10497"/>
    <cellStyle name="好_Creek EE BOM cost_20090425_Creek RFQ feedback 04_28_2009_FD Update_Leopard_UniBOM_ME_0602 2 3" xfId="10498"/>
    <cellStyle name="_Flex Mechanicals Doumen Sales forecast - Dec'05 (updated links)_PL Fcst Jul 06-updated G&amp;A Value_Forecast Template v4" xfId="10499"/>
    <cellStyle name="_Flex Mechanicals Doumen Sales forecast - Dec'05 (updated links)_PL Fcst Jul 06-updated G&amp;A Value_Internal Hourly Rate Q1 FY08 Version 06052007 Draft" xfId="10500"/>
    <cellStyle name="_MOTO SLIC300MP FOB HK Transport Pricing Targe Vol (R2)_Lenovo Park Format_July 07 05" xfId="10501"/>
    <cellStyle name="_Flex Mechanicals Doumen Sales forecast - Jan.06-updated_PL Fcst Jul 06-updated G&amp;A Value_Copy of Tom OS ( Oct) new for LOG_2009 xBOX ramp up budget code applicaiton 300K --New May27" xfId="10502"/>
    <cellStyle name="好_Creek EE BOM cost_20090425_Leopard_UniBOM_ME_0531_Bolt RFQ_Foxlink_03.1 2011 2" xfId="10503"/>
    <cellStyle name="_Flex Mechanicals Doumen Sales forecast - Dec'05 (updated links)_PL Fcst Jul 06-updated G&amp;A Value_Internal Hourly Rate Q1 FY08 Version 06052007 Draft_Internal Hourly Rate Q1 FY08 Version (2)" xfId="10504"/>
    <cellStyle name="好_River EE BOM_Creak Pearl Reliability Fixture RFQ_2009 04 24_Pearl RFQ(Submittal)ver2_05_12_2009 _Leopard_UniBOM_ME_0602-1_Bolt RFQ_Foxlink_03.1 2011_nego meeting@MACH 2 2" xfId="10505"/>
    <cellStyle name="_Flex Mechanicals Doumen Sales forecast - Dec'05 (updated links)_PL Fcst Jul 06-updated G&amp;A Value_Internal Hourly Rate Q1 FY08 Version 06142007 excl. Corporate Allocation" xfId="10506"/>
    <cellStyle name="_Flex Mechanicals Doumen Sales forecast - Dec'05 (updated links)_PL Fcst Jul 06-updated G&amp;A Value_Internal Hourly Rate Q1 FY08 Version 06142007 excl. Corporate Allocation_Internal Hourly Rate Q1 FY08 Version (2)" xfId="10507"/>
    <cellStyle name="_Flex Mechanicals Doumen Sales forecast - Dec'05 (updated links)_PL Fcst Jul 06-updated G&amp;A Value_Tom OS ( Oct)" xfId="10508"/>
    <cellStyle name="_Flex Mechanicals Doumen Sales forecast - Dec'05 (updated links)_PL Fcst Jul 06-updated G&amp;A Value_Tom OS ( Oct)_2009 xBOX ramp up budget code applicaiton" xfId="10509"/>
    <cellStyle name="Normal 5 6 3 2 3" xfId="10510"/>
    <cellStyle name="_Flex Mechanicals Doumen Sales forecast - Dec'05 (updated links)_PL Fcst Jul 06-updated G&amp;A Value_Tom OS ( Oct)_2009 xBOX ramp up budget code applicaiton 300K --New May26 (3)" xfId="10511"/>
    <cellStyle name="_Flextronics Radon  Build Plan 4-27-2005_Production Head Count Arrangement 01-24-07_Line transition plan to B17 rev 5" xfId="10512"/>
    <cellStyle name="_Flex Mechanicals Doumen Sales forecast - Dec'05 (updated links)_PL Fcst Jul 06-updated G&amp;A Value_Tom OS ( Oct)_2009 xBOX ramp up budget code applicaiton 300K --New May27" xfId="10513"/>
    <cellStyle name="_Flex Mechanicals Doumen Sales forecast - Dec'05 (updated links)_PL Fcst Jul 06-updated G&amp;A Value_Tom OS ( Oct)_Budget GC Other Form" xfId="10514"/>
    <cellStyle name="_Flex Mechanicals Doumen Sales forecast - Dec'05 (updated links)_PL Fcst Jul 06-updated G&amp;A Value_Tom OS ( Oct)_Copy of X-BOX for line setup budget" xfId="10515"/>
    <cellStyle name="_Flex Mechanicals Doumen Sales forecast - Dec'05 (updated links)_PL Fcst Jul 06-updated G&amp;A Value_Tom OS ( Oct)_Forecast Template v4" xfId="10516"/>
    <cellStyle name="差_Creek RFQ feedback 04_28_2009_FD Update_Leopard Lemur Squirrel UniBom-06.22.2010_EE cost _update_internal_Bolt RFQ_Foxlink_03.1 2011 5" xfId="10517"/>
    <cellStyle name="_Flex Mechanicals Doumen Sales forecast - Dec'05 (updated links)_PL Fcst Jul 06-updated G&amp;A Value_Tom OS ( Oct)_X-BOX BB" xfId="10518"/>
    <cellStyle name="差_治具工程課2009年KPI_產線生產規劃KPI 2 2 3" xfId="10519"/>
    <cellStyle name="好_Creek Assembly Fixture  Test Equipment RFQ_20090427_Xl0000002_Leopard_UniBOM_ME_0531 3" xfId="10520"/>
    <cellStyle name="_Flex Mechanicals Doumen Sales forecast - Dec'05 (updated links)_PL Fcst Jul 06-updated G&amp;A Value_Tom OS ( Oct)_X-BOX Console line setup budget 20080414" xfId="10521"/>
    <cellStyle name="Calculation 9 2 3" xfId="10522"/>
    <cellStyle name="好_River EE BOM_Creak Pearl Reliability Fixture RFQ_2009 04 24_Creek RFQ feedback 04_28_2009_FD Update_Leopard RFQ ME BOM Costs-0618-2_Bolt RFQ Proposal_Foxlink_ (Pricing Summary) 2 25 2011 5 2" xfId="10523"/>
    <cellStyle name="好_Creek Assembly Fixture  Test Equipment RFQ_20090427_Leopard_UniBOM_ME_0531_Bolt RFQ_Foxlink_03.1 2011_nego meeting@MACH_Bolt_Cliff 2 4" xfId="10524"/>
    <cellStyle name="_Flex Mechanicals Doumen Sales forecast - Dec'05 (updated links)_PL Fcst Jul 06-updated G&amp;A Value_Tom OS ( Oct)_X-BOX Console line setup budget and Buyer list" xfId="10525"/>
    <cellStyle name="_PL FORECAST OF SEP,06_Tom OS ( Oct)_Budget GC Other Form" xfId="10526"/>
    <cellStyle name="_Flex Mechanicals Doumen Sales forecast - Dec'05 (updated links)_PL Fcst Jul 06-updated G&amp;A Value_X-BOX BB" xfId="10527"/>
    <cellStyle name="差_Xl0000002_Leopard_UniBOM_ME_0602-1_Bolt RFQ_Foxlink_03.1 2011_nego meeting@MACH 3" xfId="10528"/>
    <cellStyle name="_Flex Mechanicals Doumen Sales forecast - Dec'05 (updated links)_PL Fcst Jul 06-updated G&amp;A Value_X-BOX Console line setup budget 20080414" xfId="10529"/>
    <cellStyle name="_Flex Mechanicals Doumen Sales forecast - Dec'05 (updated links)_PL Fcst Jul 06-updated G&amp;A Value_X-BOX Console line setup budget and Buyer list" xfId="10530"/>
    <cellStyle name="差_Xl0000000_Bolt RFQ_Foxlink_03.1 2011 2" xfId="10531"/>
    <cellStyle name="_Flex Mechanicals Doumen Sales forecast - Dec'05 (updated links)_PL Forecast by segment-most final 0806" xfId="10532"/>
    <cellStyle name="_Flex Mechanicals Doumen Sales forecast - Dec'05 (updated links)_PL Forecast by segment-most final 0806_2009 xBOX ramp up budget code applicaiton" xfId="10533"/>
    <cellStyle name="_Flex Mechanicals Doumen Sales forecast - Dec'05 (updated links)_PL Forecast by segment-most final 0806_2009 xBOX ramp up budget code applicaiton 300K --New May26 (3)" xfId="10534"/>
    <cellStyle name="差_Creak Pearl Reliability Fixture RFQ_2009 04 24_Leopard RFQ ME BOM Costs-0618_Bolt RFQ Proposal_Foxlink_ (Pricing Summary) 2 25 2011 5" xfId="10535"/>
    <cellStyle name="_Flex Mechanicals Doumen Sales forecast - Dec'05 (updated links)_PL Forecast by segment-most final 0806_2009 xBOX ramp up budget code applicaiton 300K --New May27" xfId="10536"/>
    <cellStyle name="_Flex Mechanicals Doumen Sales forecast - Dec'05 (updated links)_PL Forecast by segment-most final 0806_Copy of Tom OS ( Oct) new for LOG" xfId="10537"/>
    <cellStyle name="_Flex Mechanicals Doumen Sales forecast - Dec'05 (updated links)_PL Forecast by segment-most final 0806_Copy of Tom OS ( Oct) new for LOG_2009 xBOX ramp up budget code applicaiton" xfId="10538"/>
    <cellStyle name="好_Jackson EE BOM " xfId="10539"/>
    <cellStyle name="_Flex Mechanicals Doumen Sales forecast - Dec'05 (updated links)_PL Forecast by segment-most final 0806_Copy of Tom OS ( Oct) new for LOG_2009 xBOX ramp up budget code applicaiton 300K --New May26 (3)" xfId="10540"/>
    <cellStyle name="Normal 10 2 2 4" xfId="10541"/>
    <cellStyle name="_Flex Mechanicals Doumen Sales forecast - Dec'05 (updated links)_PL Forecast by segment-most final 0806_Copy of Tom OS ( Oct) new for LOG_2009 xBOX ramp up budget code applicaiton 300K --New May27" xfId="10542"/>
    <cellStyle name="_Flex Mechanicals Doumen Sales forecast - Dec'05 (updated links)_PL Forecast by segment-most final 0806_Copy of Tom OS ( Oct) new for LOG_Budget GC Other Form" xfId="10543"/>
    <cellStyle name="_Flex Mechanicals Doumen Sales forecast - Dec'05 (updated links)_PL Forecast by segment-most final 0806_Copy of Tom OS ( Oct) new for LOG_Copy of X-BOX for line setup budget" xfId="10544"/>
    <cellStyle name="_Flex Mechanicals Doumen Sales forecast - Dec'05 (updated links)_PL Forecast by segment-most final 0806_Copy of Tom OS ( Oct) new for LOG_Forecast Template v4" xfId="10545"/>
    <cellStyle name="好_River EE BOM_Xl0000002_Leopard RFQ ME BOM Costs-0618-2_Bolt RFQ Proposal_Foxlink_ (Pricing Summary) 2 25 2011 3 3" xfId="10546"/>
    <cellStyle name="_PL Fcst_akl(Friday)_Volume Fcst 1006 updated" xfId="10547"/>
    <cellStyle name="_Flex Mechanicals Doumen Sales forecast - Dec'05 (updated links)_PL Forecast by segment-most final 0806_Copy of Tom OS ( Oct) new for LOG_X-BOX BB" xfId="10548"/>
    <cellStyle name="差_HP  專案(設備&amp;治工具需夠買)update_M1 Bolt wireless mouse FixtureEquipment Cost_A2_2010_12_07_Bolt RFQ Proposal_Foxlink_ (Pricing Summary) 2 25 2011 3" xfId="10549"/>
    <cellStyle name="好_Creek EE BOM cost_20090425_Creek RFQ feedback 04_28_2009_FD Update_Leopard UniBom_Foxlink_6 21 2010-ME_nego 3" xfId="10550"/>
    <cellStyle name="_PL Forecast Comparison_Mech Doumen2006_1(preliminary)_PL Forecast by segment-most final 0806_Copy of Tom OS ( Oct) new for LOG_Forecast Template v4" xfId="10551"/>
    <cellStyle name="_Flex Mechanicals Doumen Sales forecast - Dec'05 (updated links)_PL Forecast by segment-most final 0806_Copy of Tom OS ( Oct) new for LOG_X-BOX Console line setup budget 20080414" xfId="10552"/>
    <cellStyle name="差_Creak Pearl Reliability Fixture RFQ_2009 04 24_Xl0000002_Leopard RFQ ME BOM Costs-0618-2 2 2" xfId="10553"/>
    <cellStyle name="_Flex Mechanicals Doumen Sales forecast - Dec'05 (updated links)_PL Forecast by segment-most final 0806_Copy of Tom OS ( Oct) new for LOG_X-BOX Console line setup budget and Buyer list" xfId="10554"/>
    <cellStyle name="好_Creek EE BOM cost_20090425_Creek RFQ feedback 04_28_2009_FD Update_Leopard_UniBOM_ME_0602_Bolt RFQ_Foxlink_03.1 2011_nego meeting@MACH" xfId="10555"/>
    <cellStyle name="一般 6 3 2" xfId="10556"/>
    <cellStyle name="_Forecast - Segment WGCJune06_plforecastsample_Forecast Template v4" xfId="10557"/>
    <cellStyle name="_Flex Mechanicals Doumen Sales forecast - Dec'05 (updated links)_PL Forecast by segment-most final 0806_Copy of X-BOX for line setup budget" xfId="10558"/>
    <cellStyle name="_Flex Mechanicals Doumen Sales forecast - Dec'05 (updated links)_PL Forecast by segment-most final 0806_Forecast Template v4" xfId="10559"/>
    <cellStyle name="好_River EE BOM_Xl0000002_Leopard RFQ ME BOM Costs-0618-2_Bolt RFQ_Foxlink_03.1 2011_nego meeting@MACH 3 3" xfId="10560"/>
    <cellStyle name="_Flex Mechanicals Doumen Sales forecast - Dec'05 (updated links)_PL Forecast by segment-most final 0806_Tom OS ( Oct)" xfId="10561"/>
    <cellStyle name="_Flex Mechanicals Doumen Sales forecast - Jan.06_PL Fcst Jul 06-updated G&amp;A Value_Copy of Tom OS ( Oct) new for LOG_2009 xBOX ramp up budget code applicaiton 300K --New May27" xfId="10562"/>
    <cellStyle name="_Flex Mechanicals Doumen Sales forecast - Dec'05 (updated links)_PL Forecast by segment-most final 0806_Tom OS ( Oct)_2009 xBOX ramp up budget code applicaiton" xfId="10563"/>
    <cellStyle name="_Flex Mechanicals Doumen Sales forecast - Dec'05 (updated links)_PL Forecast by segment-most final 0806_Tom OS ( Oct)_2009 xBOX ramp up budget code applicaiton 300K --New May26 (3)" xfId="10564"/>
    <cellStyle name="_trentt - P4 RR Reporting_CopyOfP6 Waynea review" xfId="10565"/>
    <cellStyle name="_Flex Mechanicals Doumen Sales forecast - Dec'05 (updated links)_PL Forecast by segment-most final 0806_Tom OS ( Oct)_2009 xBOX ramp up budget code applicaiton 300K --New May27" xfId="10566"/>
    <cellStyle name="差_Creak Pearl Reliability Fixture RFQ_2009 04 24_Xl0000002_Leopard_UniBOM_ME_0603-2_Bolt RFQ Proposal_Foxlink_ (Pricing Summary) 2 25 2011 4 2" xfId="10567"/>
    <cellStyle name="40% - Accent4 15 3" xfId="10568"/>
    <cellStyle name="输出 2 2" xfId="10569"/>
    <cellStyle name="_Flex Mechanicals Doumen Sales forecast - Dec'05 (updated links)_PL Forecast by segment-most final 0806_Tom OS ( Oct)_Budget GC Other Form" xfId="10570"/>
    <cellStyle name="_Flex Mechanicals Doumen Sales forecast - Dec'05 (updated links)_PL Forecast by segment-most final 0806_Tom OS ( Oct)_X-BOX BB" xfId="10571"/>
    <cellStyle name="好_River EE BOM_Xl0000000_Foxlink_Shadow RFQ NREUni BOM_12032009_Bolt RFQ Proposal_Foxlink_ (Pricing Summary) 2 25 2011 6" xfId="10572"/>
    <cellStyle name="_Flex Mechanicals Doumen Sales forecast - Dec'05 (updated links)_PL Forecast by segment-most final 0806_Tom OS ( Oct)_X-BOX Console line setup budget 20080414" xfId="10573"/>
    <cellStyle name="好_River EE BOM_Creek RFQ feedback 04_28_2009_FD Update_Leopard_UniBOM_ME_0531_Bolt RFQ_Foxlink_03.1 2011_nego meeting@MACH" xfId="10574"/>
    <cellStyle name="_Flex Mechanicals Doumen Sales forecast - Dec'05 (updated links)_PL Forecast by segment-most final 0806_X-BOX BB" xfId="10575"/>
    <cellStyle name="Currency 2 27" xfId="10576"/>
    <cellStyle name="Currency 2 32" xfId="10577"/>
    <cellStyle name="_Flex Mechanicals Doumen Sales forecast - Dec'05 (updated links)_PL Forecast by segment-most final 0806_X-BOX Console line setup budget 20080414" xfId="10578"/>
    <cellStyle name="_Flex Mechanicals Doumen Sales forecast - Dec'05 (updated links)_PL Forecast by segment-most final 0806_X-BOX Console line setup budget and Buyer list" xfId="10579"/>
    <cellStyle name="_Flex Mechanicals Doumen Sales forecast - Dec'05 (updated links)_Tom OS ( Oct)" xfId="10580"/>
    <cellStyle name="_Flex Mechanicals Doumen Sales forecast - Dec'05 (updated links)_Tom OS ( Oct)_2009 xBOX ramp up budget code applicaiton" xfId="10581"/>
    <cellStyle name="_Flex Mechanicals Doumen Sales forecast - Dec'05 (updated links)_Tom OS ( Oct)_Budget GC Other Form" xfId="10582"/>
    <cellStyle name="差_jupite r設備&amp;治工具LIST (總)_Flow Chart&amp;PQ分析(12-1)_效益分析(總 12-28 Update)_Jackson 效益分析 (2-1 B0 上系統)_Leopard效益分析08-17" xfId="10583"/>
    <cellStyle name="_Z9 blueAnt ME BOM 0910_BlueAnt_Quotebook_V3_07SEP11_RFQ_River_BAFO_2008 0606_M1_Stream Quotebook (Submittal)_POC2_20081117-1" xfId="10584"/>
    <cellStyle name="_Flex Mechanicals Doumen Sales forecast - Dec'05 (updated links)_Tom OS ( Oct)_Copy of X-BOX for line setup budget" xfId="10585"/>
    <cellStyle name="_Flextronics Radon  Build Plan 4-27-2005_Mice transfer plan_Tester Demand Plan 062807" xfId="10586"/>
    <cellStyle name="壞_Creek EE BOM cost_20090425_Creek RFQ feedback 04_28_2009_FD Update_Leopard Lemur Squirrel UniBom-06.22.2010_EE cost _update_internal_Bolt RFQ Proposal_Foxlink_ (Pricing Summary) 2 25 2011 3" xfId="10587"/>
    <cellStyle name="Input 8 2" xfId="10588"/>
    <cellStyle name="差_Creek RFQ feedback 04_28_2009_FD Update_Leopard RFQ ME BOM Costs-0618_Bolt RFQ_Foxlink_03.1 2011 3" xfId="10589"/>
    <cellStyle name="_Flex Mechanicals Doumen Sales forecast - Dec'05 (updated links)_Tom OS ( Oct)_X-BOX Console line setup budget 20080414" xfId="10590"/>
    <cellStyle name="Accent5 6" xfId="10591"/>
    <cellStyle name="_Flex Mechanicals Doumen Sales forecast - Dec'05 (updated links)_Tom OS ( Oct)_X-BOX Console line setup budget and Buyer list" xfId="10592"/>
    <cellStyle name="_Flex Mechanicals Doumen Sales forecast - Dec'05 (updated links)_Volume Fcst 1006 updated_2009 xBOX ramp up budget code applicaiton" xfId="10593"/>
    <cellStyle name="好_Creek Assembly Fixture  Test Equipment RFQ_20090427_Leopard Lemur Squirrel UniBom-06.22.2010_EE cost _update_internal_Bolt RFQ_Foxlink_03.1 2011_nego meeting@MACH_Bolt_Cliff 6" xfId="10594"/>
    <cellStyle name="_Flex Mechanicals Doumen Sales forecast - Dec'05 (updated links)_Volume Fcst 1006 updated_2009 xBOX ramp up budget code applicaiton 300K --New May26 (3)" xfId="10595"/>
    <cellStyle name="好_River EE BOM_Creak Pearl Reliability Fixture RFQ_2009 04 24_Pearl RFQ(Submittal)ver2_05_12_2009 _Leopard RFQ ME BOM Costs-0618 2 3" xfId="10596"/>
    <cellStyle name="一般 6 4 2" xfId="10597"/>
    <cellStyle name="_Flex Mechanicals Doumen Sales forecast - Dec'05 (updated links)_Volume Fcst 1006 updated_2009 xBOX ramp up budget code applicaiton 300K --New May27" xfId="10598"/>
    <cellStyle name="_Flex Mechanicals Doumen Sales forecast - Dec'05 (updated links)_Volume Fcst 1006 updated_Copy of Tom OS ( Oct) new for LOG" xfId="10599"/>
    <cellStyle name="差_Creek RFQ feedback 04_28_2009_FD Update_Leopard_UniBOM_ME_0602-1_Bolt RFQ Proposal_Foxlink_ (Pricing Summary) 2 25 2011 3 3" xfId="10600"/>
    <cellStyle name="_Flex Mechanicals Doumen Sales forecast - Jan.06_Volume Fcst 1006 updated_Tom OS ( Oct)_X-BOX BB" xfId="10601"/>
    <cellStyle name="_Forecast - Segment WTJune06_plforecastsample_2009 xBOX ramp up budget code applicaiton 300K --New May27" xfId="10602"/>
    <cellStyle name="_Flex Mechanicals Doumen Sales forecast - Dec'05 (updated links)_Volume Fcst 1006 updated_Copy of Tom OS ( Oct) new for LOG_2009 xBOX ramp up budget code applicaiton" xfId="10603"/>
    <cellStyle name="_Flex Mechanicals Doumen Sales forecast - Dec'05 (updated links)_Volume Fcst 1006 updated_Copy of Tom OS ( Oct) new for LOG_2009 xBOX ramp up budget code applicaiton 300K --New May26 (3)" xfId="10604"/>
    <cellStyle name="壞_Creek EE BOM cost_20090425_Leopard_UniBOM_ME_0531_Bolt RFQ Proposal_Foxlink_ (Pricing Summary) 2 25 2011 2 3 3" xfId="10605"/>
    <cellStyle name="Output 10 2 3" xfId="10606"/>
    <cellStyle name="Neutral 2 2" xfId="10607"/>
    <cellStyle name="_Flex Mechanicals Doumen Sales forecast - Dec'05 (updated links)_Volume Fcst 1006 updated_Copy of Tom OS ( Oct) new for LOG_2009 xBOX ramp up budget code applicaiton 300K --New May27" xfId="10608"/>
    <cellStyle name="_Foxlink Xenon Forecast 7-18-2005_RIM Meteor charging pod_Internal RFQ River Standalone  Bundle Unibom_v1 2_20080603_EJ" xfId="10609"/>
    <cellStyle name="_Flex Mechanicals Doumen Sales forecast - Dec'05 (updated links)_Volume Fcst 1006 updated_Copy of Tom OS ( Oct) new for LOG_Budget GC Other Form" xfId="10610"/>
    <cellStyle name="_Flex Mechanicals Doumen Sales forecast - Dec'05 (updated links)_Volume Fcst 1006 updated_Copy of Tom OS ( Oct) new for LOG_Copy of X-BOX for line setup budget" xfId="10611"/>
    <cellStyle name="差_F3   SMT設備明細_效益分析_Dallas效益分析&amp;投資回收期 (12-2 A1)" xfId="10612"/>
    <cellStyle name="差_Creak Pearl Reliability Fixture RFQ_2009 04 24_Pearl RFQ(Submittal)ver2_05_12_2009 _Leopard RFQ ME BOM Costs-0618_Bolt RFQ Proposal_Foxlink_ (Pricing Summary) 2 25 2011 5 3" xfId="10613"/>
    <cellStyle name="_Flex Mechanicals Doumen Sales forecast - Dec'05 (updated links)_Volume Fcst 1006 updated_Copy of Tom OS ( Oct) new for LOG_Forecast Template v4" xfId="10614"/>
    <cellStyle name="Note 6 2 2" xfId="10615"/>
    <cellStyle name="好_River EE BOM_Creak Pearl Reliability Fixture RFQ_2009 04 24_Xl0000002 4" xfId="10616"/>
    <cellStyle name="_Flex Mechanicals Doumen Sales forecast - Dec'05 (updated links)_Volume Fcst 1006 updated_Copy of Tom OS ( Oct) new for LOG_X-BOX BB" xfId="10617"/>
    <cellStyle name="Linked Cell 5" xfId="10618"/>
    <cellStyle name="20% - Accent2 15 3" xfId="10619"/>
    <cellStyle name="_Flex Mechanicals Doumen Sales forecast - Dec'05 (updated links)_Volume Fcst 1006 updated_Copy of Tom OS ( Oct) new for LOG_X-BOX Console line setup budget and Buyer list" xfId="10620"/>
    <cellStyle name="差_HP Mouse 產能評估(Forecast更改後)_MS Bolt wireless mouse FixtureEquipment Cost_A5_2010_02_21_Bolt RFQ_Foxlink_03.1 2011_nego meeting@MACH 2" xfId="10621"/>
    <cellStyle name="_Flex Mechanicals Doumen Sales forecast - Dec'05 (updated links)_Volume Fcst 1006 updated_Copy of X-BOX for line setup budget" xfId="10622"/>
    <cellStyle name="差_Creak Pearl Reliability Fixture RFQ_2009 04 24_Xl0000002_Leopard_UniBOM_ME_0603-2_Bolt RFQ_Foxlink_03.1 2011_nego meeting@MACH 5" xfId="10623"/>
    <cellStyle name="_Flex Mechanicals Doumen Sales forecast - Dec'05 (updated links)_Volume Fcst 1006 updated_Forecast Template v4" xfId="10624"/>
    <cellStyle name="差_Creak Pearl Reliability Fixture RFQ_2009 04 24_Creek RFQ feedback 04_28_2009_FD Update_Leopard_UniBOM_ME_0603-2_Bolt RFQ_Foxlink_03.1 2011_nego meeting@MACH 2 2" xfId="10625"/>
    <cellStyle name="_Flex Mechanicals Doumen Sales forecast - Dec'05 (updated links)_Volume Fcst 1006 updated_Tom OS ( Oct)" xfId="10626"/>
    <cellStyle name="_Flex Mechanicals Doumen Sales forecast - Dec'05 (updated links)_Volume Fcst 1006 updated_Tom OS ( Oct)_2009 xBOX ramp up budget code applicaiton" xfId="10627"/>
    <cellStyle name="好_River EE BOM_Xl0000002_Squirrel RFQ ME BOM Costs-0623_Bolt RFQ Proposal_Foxlink_ (Pricing Summary) 2 25 2011 2 3" xfId="10628"/>
    <cellStyle name="_Flex Mechanicals Doumen Sales forecast - Dec'05 (updated links)_Volume Fcst 1006 updated_Tom OS ( Oct)_2009 xBOX ramp up budget code applicaiton 300K --New May26 (3)" xfId="10629"/>
    <cellStyle name="_Flex Mechanicals Doumen Sales forecast - Dec'05 (updated links)_Volume Fcst 1006 updated_Tom OS ( Oct)_2009 xBOX ramp up budget code applicaiton 300K --New May27" xfId="10630"/>
    <cellStyle name="_Flex Mechanicals Doumen Sales forecast - Dec'05 (updated links)_Volume Fcst 1006 updated_Tom OS ( Oct)_Budget GC Other Form" xfId="10631"/>
    <cellStyle name="_Flex Mechanicals Doumen Sales forecast - Dec'05 (updated links)_Volume Fcst 1006 updated_Tom OS ( Oct)_Copy of X-BOX for line setup budget" xfId="10632"/>
    <cellStyle name="_Flex Mechanicals Doumen Sales forecast - Dec'05 (updated links)_Volume Fcst 1006 updated_Tom OS ( Oct)_Forecast Template v4" xfId="10633"/>
    <cellStyle name="_Flex Mechanicals Doumen Sales forecast - Dec'05 (updated links)_Volume Fcst 1006 updated_Tom OS ( Oct)_X-BOX BB" xfId="10634"/>
    <cellStyle name="强调文字颜色 6 4" xfId="10635"/>
    <cellStyle name="_Flex Mechanicals Doumen Sales forecast - Dec'05 (updated links)_Volume Fcst 1006 updated_Tom OS ( Oct)_X-BOX Console line setup budget 20080414" xfId="10636"/>
    <cellStyle name="_Flex Mechanicals Doumen Sales forecast - Dec'05 (updated links)_Volume Fcst 1006 updated_Tom OS ( Oct)_X-BOX Console line setup budget and Buyer list" xfId="10637"/>
    <cellStyle name="_Flex Mechanicals Doumen Sales forecast - Dec'05 (updated links)_Volume Fcst 1006 updated_X-BOX BB" xfId="10638"/>
    <cellStyle name="_Flex Mechanicals Doumen Sales forecast - Dec'05 (updated links)_Volume Fcst 1006 updated_X-BOX Console line setup budget 20080414" xfId="10639"/>
    <cellStyle name="_Flex Mechanicals Doumen Sales forecast - Dec'05 (updated links)_Volume Fcst 1006 updated_X-BOX Console line setup budget and Buyer list" xfId="10640"/>
    <cellStyle name="_Flex Mechanicals Doumen Sales forecast - Dec'05 (updated links)_Volume Fcst Jul 06-update HP " xfId="10641"/>
    <cellStyle name="好_River EE BOM_Creak Pearl Reliability Fixture RFQ_2009 04 24_Leopard UniBom_Foxlink_6 21 2010-ME_nego_Bolt RFQ_Foxlink_03.1 2011 2 2" xfId="10642"/>
    <cellStyle name="20% - Accent6 12" xfId="10643"/>
    <cellStyle name="差_Creak Pearl Reliability Fixture RFQ_2009 04 24_Creek RFQ feedback 04_28_2009_FD Update_Leopard RFQ ME BOM Costs-0618_Bolt RFQ_Foxlink_03.1 2011" xfId="10644"/>
    <cellStyle name="好_Creek EE BOM cost_20090425_Leopard UniBom_Foxlink_6 21 2010-ME_nego_Bolt RFQ Proposal_Foxlink_ (Pricing Summary) 2 25 2011" xfId="10645"/>
    <cellStyle name="_Flex Mechanicals Doumen Sales forecast - Dec'05 (updated links)_Volume Fcst Jul 06-update HP _2009 xBOX ramp up budget code applicaiton 300K --New May26 (3)" xfId="10646"/>
    <cellStyle name="_Flex Mechanicals Doumen Sales forecast - Dec'05 (updated links)_Volume Fcst Jul 06-update HP _2009 xBOX ramp up budget code applicaiton 300K --New May27" xfId="10647"/>
    <cellStyle name="_Flex Mechanicals Doumen Sales forecast - Dec'05 (updated links)_Volume Fcst Jul 06-update HP _Budget GC Other Form" xfId="10648"/>
    <cellStyle name="_Flex Mechanicals Doumen Sales forecast - Dec'05 (updated links)_Volume Fcst Jul 06-update HP _Copy of Tom OS ( Oct) new for LOG" xfId="10649"/>
    <cellStyle name="_Flex Mechanicals Doumen Sales forecast - Dec'05 (updated links)_Volume Fcst Jul 06-update HP _Copy of Tom OS ( Oct) new for LOG_2009 xBOX ramp up budget code applicaiton" xfId="10650"/>
    <cellStyle name="差_HP Mouse 產能評估(Forecast更改後)_Erie 效益分析 (Update)_Flow chart and Fixture(Jackson)_A1" xfId="10651"/>
    <cellStyle name="_Flex Mechanicals Doumen Sales forecast - Dec'05 (updated links)_Volume Fcst Jul 06-update HP _Copy of Tom OS ( Oct) new for LOG_2009 xBOX ramp up budget code applicaiton 300K --New May26 (3)" xfId="10652"/>
    <cellStyle name="_Flex Mechanicals Doumen Sales forecast - Dec'05 (updated links)_Volume Fcst Jul 06-update HP _Copy of Tom OS ( Oct) new for LOG_2009 xBOX ramp up budget code applicaiton 300K --New May27" xfId="10653"/>
    <cellStyle name="_Flex Mechanicals Doumen Sales forecast - Dec'05 (updated links)_Volume Fcst Jul 06-update HP _Copy of Tom OS ( Oct) new for LOG_Budget GC Other Form" xfId="10654"/>
    <cellStyle name="好_River EE BOM_Xl0000000_Squirrel RFQ ME BOM Costs-0623_Bolt RFQ_Foxlink_03.1 2011_nego meeting@MACH 2 2" xfId="10655"/>
    <cellStyle name="_Flex Mechanicals Doumen Sales forecast - Dec'05 (updated links)_Volume Fcst Jul 06-update HP _Copy of Tom OS ( Oct) new for LOG_Copy of X-BOX for line setup budget" xfId="10656"/>
    <cellStyle name="_Flex Mechanicals Doumen Sales forecast - Dec'05 (updated links)_Volume Fcst Jul 06-update HP _Copy of Tom OS ( Oct) new for LOG_Forecast Template v4" xfId="10657"/>
    <cellStyle name="差_Xl0000000_Squirrel UniBom-06.23.2010_update_internal_Bolt RFQ Proposal_Foxlink_ (Pricing Summary) 2 25 2011 6" xfId="10658"/>
    <cellStyle name="差_Creak Pearl Reliability Fixture RFQ_2009 04 24_Pearl RFQ(Submittal)ver2_05_12_2009 _Leopard UniBom_true cost_6.23.2010" xfId="10659"/>
    <cellStyle name="_Flex Mechanicals Doumen Sales forecast - Dec'05 (updated links)_Volume Fcst Jul 06-update HP _Copy of Tom OS ( Oct) new for LOG_X-BOX BB" xfId="10660"/>
    <cellStyle name="差_Creak Pearl Reliability Fixture RFQ_2009 04 24_Xl0000002_Leopard RFQ ME BOM Costs-0618-2_Bolt RFQ_Foxlink_03.1 2011 5" xfId="10661"/>
    <cellStyle name="_Flex Mechanicals Doumen Sales forecast - Dec'05 (updated links)_Volume Fcst Jul 06-update HP _Copy of Tom OS ( Oct) new for LOG_X-BOX Console line setup budget 20080414" xfId="10662"/>
    <cellStyle name="差_Flow Chart&amp;PQ分析(12-1)_Jackson 效益分析 testing update_16th Jan1_Jackson 效益分析 (2-1 B0 上系統)" xfId="10663"/>
    <cellStyle name="_Flex Mechanicals Doumen Sales forecast - Dec'05 (updated links)_Volume Fcst Jul 06-update HP _Copy of Tom OS ( Oct) new for LOG_X-BOX Console line setup budget and Buyer list" xfId="10664"/>
    <cellStyle name="好_River EE BOM_Creak Pearl Reliability Fixture RFQ_2009 04 24_Xl0000002_Squirrel UniBom-06.23.2010_update_internal 3 3" xfId="10665"/>
    <cellStyle name="好_River EE BOM_Creak Pearl Reliability Fixture RFQ_2009 04 24_Pearl RFQ(Submittal)ver2_05_12_2009 _Squirrel UniBom-06.23.2010_update_internal 2 4" xfId="10666"/>
    <cellStyle name="_Flex Mechanicals Doumen Sales forecast - Dec'05 (updated links)_Volume Fcst Jul 06-update HP _Copy of X-BOX for line setup budget" xfId="10667"/>
    <cellStyle name="一般 6 3 4 2" xfId="10668"/>
    <cellStyle name="_Flex Mechanicals Doumen Sales forecast - Dec'05 (updated links)_Volume Fcst Jul 06-update HP _Forecast Template v4" xfId="10669"/>
    <cellStyle name="_Mechanical Contribution Margins forecast 0506 FP_Volume Fcst 1006 updated_Copy of Tom OS ( Oct) new for LOG_Budget GC Other Form" xfId="10670"/>
    <cellStyle name="差_Creak Pearl Reliability Fixture RFQ_2009 04 24_Creek RFQ feedback 04_28_2009_FD Update_Foxlink_Shadow RFQ NREUni BOM_12032009_Bolt RFQ_Foxlink_03.1 2011_nego meeting@MACH 3 3" xfId="10671"/>
    <cellStyle name="20% - Accent2 15" xfId="10672"/>
    <cellStyle name="_Flex Mechanicals Doumen Sales forecast - Dec'05 (updated links)_Volume Fcst Jul 06-update HP _Internal Hourly Rate Q1 FY08 Version 06052007 Draft" xfId="10673"/>
    <cellStyle name="_Flex Mechanicals Doumen Sales forecast - Dec'05 (updated links)_Volume Fcst Jul 06-update HP _Internal Hourly Rate Q1 FY08 Version 06052007 Draft_Internal Hourly Rate Q1 FY08 Version (2)" xfId="10674"/>
    <cellStyle name="_Flex Mechanicals Doumen Sales forecast - Dec'05 (updated links)_Volume Fcst Jul 06-update HP _Internal Hourly Rate Q1 FY08 Version 06142007 excl. Corporate Allocation" xfId="10675"/>
    <cellStyle name="差_效益分析&amp;產能評估_MS Bolt wireless mouse FixtureEquipment Cost_A5_2010_02_21_Bolt RFQ Proposal_Foxlink_ (Pricing Summary) 2 25 2011 4 3" xfId="10676"/>
    <cellStyle name="_Flex Mechanicals Doumen Sales forecast - Dec'05 (updated links)_Volume Fcst Jul 06-update HP _Internal Hourly Rate Q1 FY08 Version 06142007 excl. Corporate Allocation_Internal Hourly Rate Q1 FY08 Version (2)" xfId="10677"/>
    <cellStyle name="好_Creek Assembly Fixture  Test Equipment RFQ_20090427_Xl0000002_Squirrel RFQ ME BOM Costs-0623_Bolt RFQ_Foxlink_03.1 2011 2" xfId="10678"/>
    <cellStyle name="_Flex Mechanicals Doumen Sales forecast - Dec'05 (updated links)_Volume Fcst Jul 06-update HP _Tom OS ( Oct)" xfId="10679"/>
    <cellStyle name="_Flex Mechanicals Doumen Sales forecast - Dec'05 (updated links)_Volume Fcst Jul 06-update HP _Tom OS ( Oct)_2009 xBOX ramp up budget code applicaiton" xfId="10680"/>
    <cellStyle name="好_Creek Assembly Fixture  Test Equipment RFQ_20090427_Bolt RFQ_Foxlink_03.1 2011_nego meeting@MACH 3" xfId="10681"/>
    <cellStyle name="_Flex Mechanicals Doumen Sales forecast - Dec'05 (updated links)_Volume Fcst Jul 06-update HP _Tom OS ( Oct)_2009 xBOX ramp up budget code applicaiton 300K --New May26 (3)" xfId="10682"/>
    <cellStyle name="一般 5 2" xfId="10683"/>
    <cellStyle name="_Flex Mechanicals Doumen Sales forecast - Dec'05 (updated links)_Volume Fcst Jul 06-update HP _Tom OS ( Oct)_2009 xBOX ramp up budget code applicaiton 300K --New May27" xfId="10684"/>
    <cellStyle name="差_Creak Pearl Reliability Fixture RFQ_2009 04 24_Creek RFQ feedback 04_28_2009_FD Update_Leopard UniBom_Foxlink_6 21 2010-ME_nego_Bolt RFQ_Foxlink_03.1 2011_nego meeting@MACH" xfId="10685"/>
    <cellStyle name="好_Creek Assembly Fixture  Test Equipment RFQ_20090427_Bolt RFQ_Foxlink_03.1 2011_nego meeting@MACH 2" xfId="10686"/>
    <cellStyle name="_Flex Mechanicals Doumen Sales forecast - Dec'05 (updated links)_Volume Fcst Jul 06-update HP _Tom OS ( Oct)_Budget GC Other Form" xfId="10687"/>
    <cellStyle name="好_River EE BOM_Creak Pearl Reliability Fixture RFQ_2009 04 24_Creek RFQ feedback 04_28_2009_FD Update_Leopard RFQ ME BOM Costs-0618_Bolt RFQ Proposal_Foxlink_ (Pricing Summary) 2 25 2011 2 3" xfId="10688"/>
    <cellStyle name="_Flex Mechanicals Doumen Sales forecast - Dec'05 (updated links)_Volume Fcst Jul 06-update HP _Tom OS ( Oct)_Copy of X-BOX for line setup budget" xfId="10689"/>
    <cellStyle name="好_Creek Assembly Fixture  Test Equipment RFQ_20090427_Xl0000002_Leopard UniBom_Foxlink_6 21 2010-ME_nego 3 2" xfId="10690"/>
    <cellStyle name="_Flex Mechanicals Doumen Sales forecast - Dec'05 (updated links)_Volume Fcst Jul 06-update HP _Tom OS ( Oct)_Forecast Template v4" xfId="10691"/>
    <cellStyle name="差_F3   SMT設備明細_效益分析_Dallas flow chart&amp;設備&amp;治工具清單(12-8 A0)_Leopard效益分析08-17" xfId="10692"/>
    <cellStyle name="差_Xl0000000_Leopard_UniBOM_ME_0602" xfId="10693"/>
    <cellStyle name="_Flex Mechanicals Doumen Sales forecast - Dec'05 (updated links)_Volume Fcst Jul 06-update HP _Tom OS ( Oct)_X-BOX BB" xfId="10694"/>
    <cellStyle name="差_F3   SMT設備明細_Bolt RFQ Proposal_Foxlink_ (Pricing Summary) 2 25 2011 5" xfId="10695"/>
    <cellStyle name="_Flex Mechanicals Doumen Sales forecast - Dec'05 (updated links)_Volume Fcst Jul 06-update HP _Tom OS ( Oct)_X-BOX Console line setup budget and Buyer list" xfId="10696"/>
    <cellStyle name="一般 3 2 4" xfId="10697"/>
    <cellStyle name="_Flex Mechanicals Doumen Sales forecast - Dec'05 (updated links)_Volume Fcst Jul 06-update HP _X-BOX Console line setup budget and Buyer list" xfId="10698"/>
    <cellStyle name="警告文本 2 2 2 3" xfId="10699"/>
    <cellStyle name="_Flex Mechanicals Doumen Sales forecast - Dec'05 (updated links)_X-BOX BB" xfId="10700"/>
    <cellStyle name="好_River EE BOM_Squirrel UniBom-06.23.2010_update_internal_Bolt RFQ Proposal_Foxlink_ (Pricing Summary) 2 25 2011 2 2 2" xfId="10701"/>
    <cellStyle name="_Flex Mechanicals Doumen Sales forecast - Dec'05 R1" xfId="10702"/>
    <cellStyle name="_Flex Mechanicals Doumen Sales forecast - Dec'05 R1_2009 xBOX ramp up budget code applicaiton" xfId="10703"/>
    <cellStyle name="_Flex Mechanicals Doumen Sales forecast - Dec'05 R1_2009 xBOX ramp up budget code applicaiton 300K --New May26 (3)" xfId="10704"/>
    <cellStyle name="好_0842周 顯卡報廢超標8D_HP 2 5" xfId="10705"/>
    <cellStyle name="Normal 20 4 2" xfId="10706"/>
    <cellStyle name="_Flex Mechanicals Doumen Sales forecast - Dec'05 R1_2009 xBOX ramp up budget code applicaiton 300K --New May27" xfId="10707"/>
    <cellStyle name="_Flex Mechanicals Doumen Sales forecast - Dec'05 R1_Budget GC Other Form" xfId="10708"/>
    <cellStyle name="_Flex Mechanicals Doumen Sales forecast - Dec'05 R1_Copy of Tom OS ( Oct) new for LOG" xfId="10709"/>
    <cellStyle name="差_Creak Pearl Reliability Fixture RFQ_2009 04 24_Creek RFQ feedback 04_28_2009_FD Update_Squirrel RFQ ME BOM Costs-0623_Bolt RFQ Proposal_Foxlink_ (Pricing Summary) 2 25 2011 2" xfId="10710"/>
    <cellStyle name="_Flex Mechanicals Doumen Sales forecast - Dec'05 R1_Copy of Tom OS ( Oct) new for LOG_2009 xBOX ramp up budget code applicaiton" xfId="10711"/>
    <cellStyle name="Norm੎੎" xfId="10712"/>
    <cellStyle name="_Flex Mechanicals Doumen Sales forecast - Dec'05 R1_Copy of Tom OS ( Oct) new for LOG_2009 xBOX ramp up budget code applicaiton 300K --New May27" xfId="10713"/>
    <cellStyle name="_Flex Mechanicals Doumen Sales forecast - Dec'05 R1_Copy of Tom OS ( Oct) new for LOG_Budget GC Other Form" xfId="10714"/>
    <cellStyle name="_Flex Mechanicals Doumen Sales forecast - Dec'05 R1_Copy of Tom OS ( Oct) new for LOG_Copy of X-BOX for line setup budget" xfId="10715"/>
    <cellStyle name="_PL Fcst_akl(Friday)_Copy of Tom OS ( Oct) new for LOG" xfId="10716"/>
    <cellStyle name="差_Creak Pearl Reliability Fixture RFQ_2009 04 24_Creek  Pearl RFQ_May 12_Leopard RFQ ME BOM Costs-0618_Bolt RFQ_Foxlink_03.1 2011_nego meeting@MACH 2 2" xfId="10717"/>
    <cellStyle name="_Flex Mechanicals Doumen Sales forecast - Dec'05 R1_Copy of Tom OS ( Oct) new for LOG_X-BOX BB" xfId="10718"/>
    <cellStyle name="_Flex Mechanicals Doumen Sales forecast - Dec'05 R1_Copy of Tom OS ( Oct) new for LOG_X-BOX Console line setup budget 20080414" xfId="10719"/>
    <cellStyle name="_Flex Mechanicals Doumen Sales forecast - Dec'05 R1_Copy of X-BOX for line setup budget" xfId="10720"/>
    <cellStyle name="_Flex Mechanicals Doumen Sales forecast - Dec'05 R1_Forecast Template v4" xfId="10721"/>
    <cellStyle name="60% - 强调文字颜色 1 2 2 2 2" xfId="10722"/>
    <cellStyle name="_Flex Mechanicals Doumen Sales forecast - Dec'05 R1_Internal Hourly Rate Q1 FY08 Version (2)" xfId="10723"/>
    <cellStyle name="_OP1 DPO Forecast Final_Volume Fcst 1006 updated_Forecast Template v4" xfId="10724"/>
    <cellStyle name="_Flex Mechanicals Doumen Sales forecast - Dec'05 R1_Internal Hourly Rate Q1 FY08 Version 06052007 Draft" xfId="10725"/>
    <cellStyle name="_Flex Mechanicals Doumen Sales forecast - Dec'05 R1_Internal Hourly Rate Q1 FY08 Version 06052007 Draft_Internal Hourly Rate Q1 FY08 Version (2)" xfId="10726"/>
    <cellStyle name="好_River EE BOM_Creak Pearl Reliability Fixture RFQ_2009 04 24_Xl0000002_Leopard Lemur Squirrel UniBom-06.22.2010_EE cost _update_internal_Bolt RFQ Proposal_Foxlink_ (Pricing Summary) 2 25 2011 5" xfId="10727"/>
    <cellStyle name="好_River EE BOM_Creak Pearl Reliability Fixture RFQ_2009 04 24_Xl0000002_Leopard_UniBOM_ME_0602-1_Bolt RFQ Proposal_Foxlink_ (Pricing Summary) 2 25 2011 4 3" xfId="10728"/>
    <cellStyle name="_Flex Mechanicals Doumen Sales forecast - Dec'05 R1_Internal Hourly Rate Q1 FY08 Version 06142007 excl. Corporate Allocation" xfId="10729"/>
    <cellStyle name="_Flex Mechanicals Doumen Sales forecast - Dec'05 R1_Internal Hourly Rate Q1 FY08 Version 06142007 excl. Corporate Allocation_Internal Hourly Rate Q1 FY08 Version (2)" xfId="10730"/>
    <cellStyle name="差_Creek RFQ feedback 04_28_2009_FD Update_Leopard_UniBOM_ME_0602-1_Bolt RFQ_Foxlink_03.1 2011 3" xfId="10731"/>
    <cellStyle name="_Volume Fcst 1006 updated_Tom OS ( Oct)_2009 xBOX ramp up budget code applicaiton 300K --New May26 (3)" xfId="10732"/>
    <cellStyle name="_Flex Mechanicals Doumen Sales forecast - Dec'05 R1_PL Fcst Jul 06-updated G&amp;A Value_2009 xBOX ramp up budget code applicaiton 300K --New May27" xfId="10733"/>
    <cellStyle name="_Flex Mechanicals Doumen Sales forecast - Dec'05 R1_PL Fcst Jul 06-updated G&amp;A Value_Budget GC Other Form" xfId="10734"/>
    <cellStyle name="_Flex Mechanicals Doumen Sales forecast - Jan.06-updated_PL Forecast by segment-most final 0806_2009 xBOX ramp up budget code applicaiton 300K --New May27" xfId="10735"/>
    <cellStyle name="_Flex Mechanicals Doumen Sales forecast - Dec'05 R1_PL Fcst Jul 06-updated G&amp;A Value_Copy of Tom OS ( Oct) new for LOG" xfId="10736"/>
    <cellStyle name="_Flex Mechanicals Doumen Sales forecast - Dec'05 R1_PL Fcst Jul 06-updated G&amp;A Value_Copy of Tom OS ( Oct) new for LOG_2009 xBOX ramp up budget code applicaiton 300K --New May26 (3)" xfId="10737"/>
    <cellStyle name="差_Creak Pearl Reliability Fixture RFQ_2009 04 24_Xl0000002_Foxlink_Shadow RFQ NREUni BOM_12032009 2 4" xfId="10738"/>
    <cellStyle name="b_V-SD  Jazz Dell proposed plan 0612" xfId="10739"/>
    <cellStyle name="_Flex Mechanicals Doumen Sales forecast - Jan 06 updated._Volume Fcst 1006 updated" xfId="10740"/>
    <cellStyle name="_Flex Mechanicals Doumen Sales forecast - Dec'05 R1_PL Fcst Jul 06-updated G&amp;A Value_Copy of Tom OS ( Oct) new for LOG_2009 xBOX ramp up budget code applicaiton 300K --New May27" xfId="10741"/>
    <cellStyle name="差_效益分析&amp;產能評估_MS Bolt wireless mouse FixtureEquipment Cost_A5_2010_02_21_Bolt RFQ Proposal_Foxlink_ (Pricing Summary) 2 25 2011 3" xfId="10742"/>
    <cellStyle name="_Flex Mechanicals Doumen Sales forecast - Dec'05 R1_PL Fcst Jul 06-updated G&amp;A Value_Copy of Tom OS ( Oct) new for LOG_Budget GC Other Form" xfId="10743"/>
    <cellStyle name="_Flex Mechanicals Doumen Sales forecast - Dec'05 R1_PL Fcst Jul 06-updated G&amp;A Value_Copy of Tom OS ( Oct) new for LOG_Copy of X-BOX for line setup budget" xfId="10744"/>
    <cellStyle name="差_Creak Pearl Reliability Fixture RFQ_2009 04 24_Leopard RFQ ME BOM Costs-0618_Bolt RFQ_Foxlink_03.1 2011_nego meeting@MACH 3 2" xfId="10745"/>
    <cellStyle name="_Sheet1_Tester Demand Plan" xfId="10746"/>
    <cellStyle name="_Flex Mechanicals Doumen Sales forecast - Dec'05 R1_PL Fcst Jul 06-updated G&amp;A Value_Copy of Tom OS ( Oct) new for LOG_Forecast Template v4" xfId="10747"/>
    <cellStyle name="_Flex Mechanicals Doumen Sales forecast - Dec'05 R1_PL Fcst Jul 06-updated G&amp;A Value_Copy of Tom OS ( Oct) new for LOG_X-BOX BB" xfId="10748"/>
    <cellStyle name="_Flex Mechanicals Doumen Sales forecast - Dec'05 R1_PL Fcst Jul 06-updated G&amp;A Value_Copy of Tom OS ( Oct) new for LOG_X-BOX Console line setup budget 20080414" xfId="10749"/>
    <cellStyle name="_Flex Mechanicals Doumen Sales forecast - Dec'05 R1_PL Fcst Jul 06-updated G&amp;A Value_Copy of Tom OS ( Oct) new for LOG_X-BOX Console line setup budget and Buyer list" xfId="10750"/>
    <cellStyle name="差_Creak Pearl Reliability Fixture RFQ_2009 04 24_Creek  Pearl RFQ_May 12_Leopard RFQ ME BOM Costs-0618_Bolt RFQ_Foxlink_03.1 2011 5" xfId="10751"/>
    <cellStyle name="_Flex Mechanicals Doumen Sales forecast - Dec'05 R1_PL Fcst Jul 06-updated G&amp;A Value_Forecast Template v4" xfId="10752"/>
    <cellStyle name="差_pq_效益分析(總 12-28 Update)_squirrel效益分析08-17" xfId="10753"/>
    <cellStyle name="_Flex Mechanicals Doumen Sales forecast - Dec'05 R1_PL Fcst Jul 06-updated G&amp;A Value_Internal Hourly Rate Q1 FY08 Version 06052007 Draft" xfId="10754"/>
    <cellStyle name="_Flex Mechanicals Doumen Sales forecast - Dec'05 R1_PL Fcst Jul 06-updated G&amp;A Value_Internal Hourly Rate Q1 FY08 Version 06052007 Draft_Internal Hourly Rate Q1 FY08 Version (2)" xfId="10755"/>
    <cellStyle name="差_Creak Pearl Reliability Fixture RFQ_2009 04 24_Leopard_UniBOM_ME_0603-2_Bolt RFQ_Foxlink_03.1 2011" xfId="10756"/>
    <cellStyle name="_Flex Mechanicals Doumen Sales forecast - Dec'05 R1_PL Fcst Jul 06-updated G&amp;A Value_Internal Hourly Rate Q1 FY08 Version 06142007 excl. Corporate Allocation" xfId="10757"/>
    <cellStyle name="_Flex Mechanicals Doumen Sales forecast - Dec'05 R1_PL Fcst Jul 06-updated G&amp;A Value_Internal Hourly Rate Q1 FY08 Version 06142007 excl. Corporate Allocation_Internal Hourly Rate Q1 FY08 Version (2)" xfId="10758"/>
    <cellStyle name="好_River EE BOM_Creak Pearl Reliability Fixture RFQ_2009 04 24_Creek  Pearl RFQ_May 12_Leopard_UniBOM_ME_0603-2_Bolt RFQ_Foxlink_03.1 2011_nego meeting@MACH 3" xfId="10759"/>
    <cellStyle name="好_River EE BOM_Creek RFQ feedback 04_28_2009_FD Update_Leopard_UniBOM_ME_0531_Bolt RFQ Proposal_Foxlink_ (Pricing Summary) 2 25 2011 4 2" xfId="10760"/>
    <cellStyle name="_Quotebook_V3_07SEP11_Stream RFQ Unibom--0626-1756" xfId="10761"/>
    <cellStyle name="好_MB9月管審換線超時8d_2009MB KPI_MBO3F製造部hp0209-01 3 4" xfId="10762"/>
    <cellStyle name="好_Creek EE BOM cost_20090425_Creek RFQ feedback 04_28_2009_FD Update_Leopard UniBom_Foxlink_6 21 2010-ME_nego_Bolt RFQ Proposal_Foxlink_ (Pricing Summary) 2 25 2011 2 4" xfId="10763"/>
    <cellStyle name="_Flex Mechanicals Doumen Sales forecast - Dec'05 R1_PL Fcst Jul 06-updated G&amp;A Value_Tom OS ( Oct)_2009 xBOX ramp up budget code applicaiton" xfId="10764"/>
    <cellStyle name="好_River EE BOM_Xl0000000_Leopard Lemur Squirrel UniBom-06.22.2010_EE cost _update_internal_Bolt RFQ Proposal_Foxlink_ (Pricing Summary) 2 25 2011 5 3" xfId="10765"/>
    <cellStyle name="_Mechanical Contribution Margins (Q1'06, applied to Apr'04 Fcst)_Mechanical Contribution Margins forecast 0506 FP_Volume Fcst 1006 updated" xfId="10766"/>
    <cellStyle name="_Flex Mechanicals Doumen Sales forecast - Dec'05 R1_PL Fcst Jul 06-updated G&amp;A Value_Tom OS ( Oct)_2009 xBOX ramp up budget code applicaiton 300K --New May26 (3)" xfId="10767"/>
    <cellStyle name="好_River EE BOM_Creak Pearl Reliability Fixture RFQ_2009 04 24_Pearl RFQ(Submittal)ver2_05_12_2009 _Foxlink_Shadow RFQ NREUni BOM_12032009_Bolt RFQ Proposal_Foxlink_ (Pricing Summary) 2 25 2011 4 3" xfId="10768"/>
    <cellStyle name="_Flex Mechanicals Doumen Sales forecast - Dec'05 R1_PL Fcst Jul 06-updated G&amp;A Value_Tom OS ( Oct)_2009 xBOX ramp up budget code applicaiton 300K --New May27" xfId="10769"/>
    <cellStyle name="_Flex Mechanicals Doumen Sales forecast - Dec'05 R1_PL Fcst Jul 06-updated G&amp;A Value_Tom OS ( Oct)_Budget GC Other Form" xfId="10770"/>
    <cellStyle name="_Flex Mechanicals Doumen Sales forecast - Dec'05 R1_PL Fcst Jul 06-updated G&amp;A Value_Tom OS ( Oct)_Forecast Template v4" xfId="10771"/>
    <cellStyle name="_Flex Mechanicals Doumen Sales forecast - Dec'05 R1_PL Fcst Jul 06-updated G&amp;A Value_Tom OS ( Oct)_X-BOX BB" xfId="10772"/>
    <cellStyle name="_Flex Mechanicals Doumen Sales forecast - Dec'05 R1_PL Fcst Jul 06-updated G&amp;A Value_Tom OS ( Oct)_X-BOX Console line setup budget 20080414" xfId="10773"/>
    <cellStyle name="差_Dolce IE 產能評估表_(12-1 Update)_Jackson 效益分析 (2-1 B0 上系統)" xfId="10774"/>
    <cellStyle name="壞_Creek Assembly Fixture  Test Equipment RFQ_20090427_Xl0000002_Leopard UniBom_Foxlink_6 21 2010-ME_nego" xfId="10775"/>
    <cellStyle name="汇总 5" xfId="10776"/>
    <cellStyle name="_Mechanical Contribution Margins (Q1'06, applied to Apr'04 Fcst)_Mechanical Contribution Margins forecast 0506 FP_PL Fcst Jul 06-updated G&amp;A Value_Tom OS ( Oct)_X-BOX Console line setup budget and Buyer list" xfId="10777"/>
    <cellStyle name="_Flex Mechanicals Doumen Sales forecast - Dec'05 R1_PL Fcst Jul 06-updated G&amp;A Value_Tom OS ( Oct)_X-BOX Console line setup budget and Buyer list" xfId="10778"/>
    <cellStyle name="差_Creak Pearl Reliability Fixture RFQ_2009 04 24_Creek RFQ feedback 04_28_2009_FD Update_Leopard_UniBOM_ME_0602-1_Bolt RFQ Proposal_Foxlink_ (Pricing Summary) 2 25 2011 4 3" xfId="10779"/>
    <cellStyle name="_Flex Mechanicals Doumen Sales forecast - Dec'05 R1_PL Fcst Jul 06-updated G&amp;A Value_X-BOX BB" xfId="10780"/>
    <cellStyle name="好_River EE BOM_Xl0000000_Leopard UniBom_Foxlink_6 21 2010-ME_nego" xfId="10781"/>
    <cellStyle name="_PL Forecast Comparison_Mech Doumen2006_1(preliminary)_PL Fcst Jul 06-updated G&amp;A Value_Tom OS ( Oct)_2009 xBOX ramp up budget code applicaiton" xfId="10782"/>
    <cellStyle name="_Flex Mechanicals Doumen Sales forecast - Dec'05 R1_PL Fcst Jul 06-updated G&amp;A Value_X-BOX Console line setup budget 20080414" xfId="10783"/>
    <cellStyle name="差_F3   SMT設備明細_效益分析_flow chart 2009.12.12_~1159284" xfId="10784"/>
    <cellStyle name="好_River EE BOM_Creak Pearl Reliability Fixture RFQ_2009 04 24_Pearl RFQ(Submittal)ver2_05_12_2009 _Leopard Lemur Squirrel UniBom-06.22.2010_EE cost _update_internal_Bolt RFQ_Foxlink_03.1 2011_nego meeting@MACH 3 3" xfId="10785"/>
    <cellStyle name="_Flex Mechanicals Doumen Sales forecast - Dec'05 R1_PL Fcst Jul 06-updated G&amp;A Value_X-BOX Console line setup budget and Buyer list" xfId="10786"/>
    <cellStyle name="好_Rio QA Report-8.27_Dolce   QA Report 2010_0902" xfId="10787"/>
    <cellStyle name="_Flex Mechanicals Doumen Sales forecast - Dec'05 R1_PL Forecast by segment-most final 0806" xfId="10788"/>
    <cellStyle name="_Flex Mechanicals Doumen Sales forecast - Dec'05 R1_PL Forecast by segment-most final 0806_2009 xBOX ramp up budget code applicaiton 300K --New May26 (3)" xfId="10789"/>
    <cellStyle name="好_Creek Assembly Fixture  Test Equipment RFQ_20090427_Foxlink_Shadow RFQ NREUni BOM_12032009_Bolt RFQ_Foxlink_03.1 2011_Bolt_Cliff 2 2" xfId="10790"/>
    <cellStyle name="_Flex Mechanicals Doumen Sales forecast - Dec'05 R1_PL Forecast by segment-most final 0806_Budget GC Other Form" xfId="10791"/>
    <cellStyle name="_Flex Mechanicals Doumen Sales forecast - Dec'05 R1_PL Forecast by segment-most final 0806_Copy of Tom OS ( Oct) new for LOG" xfId="10792"/>
    <cellStyle name="_Flex Mechanicals Doumen Sales forecast - Dec'05 R1_PL Forecast by segment-most final 0806_Copy of Tom OS ( Oct) new for LOG_2009 xBOX ramp up budget code applicaiton" xfId="10793"/>
    <cellStyle name="差_MS Bolt wireless mouse FixtureEquipment Cost_A5_2010_02_21_Bolt RFQ_Foxlink_03.1 2011 4" xfId="10794"/>
    <cellStyle name="_Flex Mechanicals Doumen Sales forecast - Dec'05 R1_PL Forecast by segment-most final 0806_Copy of Tom OS ( Oct) new for LOG_2009 xBOX ramp up budget code applicaiton 300K --New May26 (3)" xfId="10795"/>
    <cellStyle name="差_jupite r設備&amp;治工具LIST (總)_pq_Flow chart and Fixture(Jackson)_A1_Jackson 效益分析 (2-1 B0 上系統)" xfId="10796"/>
    <cellStyle name="_Flex Mechanicals Doumen Sales forecast - Dec'05 R1_PL Forecast by segment-most final 0806_Copy of Tom OS ( Oct) new for LOG_2009 xBOX ramp up budget code applicaiton 300K --New May27" xfId="10797"/>
    <cellStyle name="_Flex Mechanicals Doumen Sales forecast - Dec'05 R1_PL Forecast by segment-most final 0806_Copy of Tom OS ( Oct) new for LOG_Budget GC Other Form" xfId="10798"/>
    <cellStyle name="好_River EE BOM_Creak Pearl Reliability Fixture RFQ_2009 04 24_Xl0000002_Leopard RFQ ME BOM Costs-0618_Bolt RFQ Proposal_Foxlink_ (Pricing Summary) 2 25 2011 3" xfId="10799"/>
    <cellStyle name="_Flex Mechanicals Doumen Sales forecast - Dec'05 R1_PL Forecast by segment-most final 0806_Copy of Tom OS ( Oct) new for LOG_Copy of X-BOX for line setup budget" xfId="10800"/>
    <cellStyle name="_Flex Mechanicals Doumen Sales forecast - Dec'05 R1_PL Forecast by segment-most final 0806_Copy of Tom OS ( Oct) new for LOG_X-BOX BB" xfId="10801"/>
    <cellStyle name="_Flex Mechanicals Doumen Sales forecast - Dec'05 R1_PL Forecast by segment-most final 0806_Copy of Tom OS ( Oct) new for LOG_X-BOX Console line setup budget and Buyer list" xfId="10802"/>
    <cellStyle name="_Flex Mechanicals Doumen Sales forecast - Dec'05 R1_PL Forecast by segment-most final 0806_Copy of X-BOX for line setup budget" xfId="10803"/>
    <cellStyle name="壞_Creek Assembly Fixture  Test Equipment RFQ_20090427_Xl0000002_Squirrel UniBom-06.23.2010_update_internal_Bolt RFQ_Foxlink_03.1 2011 5" xfId="10804"/>
    <cellStyle name="_Flex Mechanicals Doumen Sales forecast - Dec'05 R1_PL Forecast by segment-most final 0806_Forecast Template v4" xfId="10805"/>
    <cellStyle name="_PL Fcst Jul 06-updated G&amp;A Value_Tom OS ( Oct)_X-BOX Console line setup budget and Buyer list" xfId="10806"/>
    <cellStyle name="_Flex Mechanicals Doumen Sales forecast - Dec'05 R1_PL Forecast by segment-most final 0806_Tom OS ( Oct)" xfId="10807"/>
    <cellStyle name="_Flex Mechanicals Doumen Sales forecast - Dec'05 R1_PL Forecast by segment-most final 0806_Tom OS ( Oct)_2009 xBOX ramp up budget code applicaiton 300K --New May26 (3)" xfId="10808"/>
    <cellStyle name="_Flex Mechanicals Doumen Sales forecast - Dec'05 R1_PL Forecast by segment-most final 0806_Tom OS ( Oct)_2009 xBOX ramp up budget code applicaiton 300K --New May27" xfId="10809"/>
    <cellStyle name="_Flex Mechanicals Doumen Sales forecast - Dec'05 R1_PL Forecast by segment-most final 0806_Tom OS ( Oct)_Budget GC Other Form" xfId="10810"/>
    <cellStyle name="_Flex Mechanicals Doumen Sales forecast - Dec'05 R1_PL Forecast by segment-most final 0806_Tom OS ( Oct)_Copy of X-BOX for line setup budget" xfId="10811"/>
    <cellStyle name="_Flex Mechanicals Doumen Sales forecast - Dec'05 R1_PL Forecast by segment-most final 0806_Tom OS ( Oct)_X-BOX Console line setup budget 20080414" xfId="10812"/>
    <cellStyle name="差_HP Mouse 產能評估(上系統)_M1 Squirrel Capacity planFixtureEquipment Cost_A2_06192010_Bristol UniBom_Foxlink_02082011 RevA" xfId="10813"/>
    <cellStyle name="_Flex Mechanicals Doumen Sales forecast - Dec'05 R1_PL Forecast by segment-most final 0806_Tom OS ( Oct)_X-BOX Console line setup budget and Buyer list" xfId="10814"/>
    <cellStyle name="_Flex Mechanicals Doumen Sales forecast - Dec'05 R1_PL Forecast by segment-most final 0806_X-BOX BB" xfId="10815"/>
    <cellStyle name="_OP1 DPO Forecast Final_Volume Fcst 1006 updated_Tom OS ( Oct)_X-BOX Console line setup budget 20080414" xfId="10816"/>
    <cellStyle name="_Flex Mechanicals Doumen Sales forecast - Dec'05 R1_PL Forecast by segment-most final 0806_X-BOX Console line setup budget and Buyer list" xfId="10817"/>
    <cellStyle name="_Flex Mechanicals Doumen Sales forecast - Dec'05 R1_Tom OS ( Oct)" xfId="10818"/>
    <cellStyle name="差_Creak Pearl Reliability Fixture RFQ_2009 04 24_Creek  Pearl RFQ_May 12_Lemur RFQ ME BOM Costs-0623" xfId="10819"/>
    <cellStyle name="好_Creek EE BOM cost_20090425_Creek RFQ feedback 04_28_2009_FD Update_Leopard RFQ ME BOM Costs-0618-2_Bolt RFQ_Foxlink_03.1 2011_nego meeting@MACH 3" xfId="10820"/>
    <cellStyle name="_Flex Mechanicals Doumen Sales forecast - Dec'05 R1_Tom OS ( Oct)_2009 xBOX ramp up budget code applicaiton" xfId="10821"/>
    <cellStyle name="好_River EE BOM_Creak Pearl Reliability Fixture RFQ_2009 04 24_Xl0000002_Leopard_UniBOM_ME_0603-2 3 2" xfId="10822"/>
    <cellStyle name="Normal 5 4 2" xfId="10823"/>
    <cellStyle name="_Flex Mechanicals Doumen Sales forecast - Dec'05 R1_Tom OS ( Oct)_2009 xBOX ramp up budget code applicaiton 300K --New May26 (3)" xfId="10824"/>
    <cellStyle name="_Flex Mechanicals Doumen Sales forecast - Dec'05 R1_Tom OS ( Oct)_2009 xBOX ramp up budget code applicaiton 300K --New May27" xfId="10825"/>
    <cellStyle name="_Flex Mechanicals Doumen Sales forecast - Dec'05 R1_Tom OS ( Oct)_Budget GC Other Form" xfId="10826"/>
    <cellStyle name="_Flex Mechanicals Doumen Sales forecast - Dec'05 R1_Tom OS ( Oct)_Copy of X-BOX for line setup budget" xfId="10827"/>
    <cellStyle name="_Flex Mechanicals Doumen Sales forecast - Dec'05 R1_Tom OS ( Oct)_Forecast Template v4" xfId="10828"/>
    <cellStyle name="差_Xl0000000_Leopard_UniBOM_ME_0603-2_Bolt RFQ Proposal_Foxlink_ (Pricing Summary) 2 25 2011" xfId="10829"/>
    <cellStyle name="汇总 4" xfId="10830"/>
    <cellStyle name="_Flex Mechanicals Doumen Sales forecast - Dec'05 R1_Tom OS ( Oct)_X-BOX BB" xfId="10831"/>
    <cellStyle name="好_River EE BOM_Creak Pearl Reliability Fixture RFQ_2009 04 24_Pearl RFQ(Submittal)ver2_05_12_2009 _Leopard_UniBOM_ME_0602-1_Bolt RFQ_Foxlink_03.1 2011_nego meeting@MACH 2 3" xfId="10832"/>
    <cellStyle name="_Flex Mechanicals Doumen Sales forecast - Dec'05 R1_Tom OS ( Oct)_X-BOX Console line setup budget 20080414" xfId="10833"/>
    <cellStyle name="好_River EE BOM_Creak Pearl Reliability Fixture RFQ_2009 04 24_Leopard_UniBOM_ME_0531_Bolt RFQ Proposal_Foxlink_ (Pricing Summary) 2 25 2011 6" xfId="10834"/>
    <cellStyle name="_Flex Mechanicals Doumen Sales forecast - Dec'05 R1_Tom OS ( Oct)_X-BOX Console line setup budget and Buyer list" xfId="10835"/>
    <cellStyle name="差_效益分析&amp;產能評估_M1 SuedeFixtureEquipment Cost_A0_2010_10_15 3 2" xfId="10836"/>
    <cellStyle name="壞_Creek EE BOM cost_20090425_Squirrel RFQ ME BOM Costs-0623_Bolt RFQ Proposal_Foxlink_ (Pricing Summary) 2 25 2011 2 2" xfId="10837"/>
    <cellStyle name="差_MB9月管審換線超時8d 2 3 2" xfId="10838"/>
    <cellStyle name="_Flex Mechanicals Doumen Sales forecast - Dec'05 R1_Volume Fcst 1006 updated" xfId="10839"/>
    <cellStyle name="好_River EE BOM_Creak Pearl Reliability Fixture RFQ_2009 04 24_Leopard Lemur Squirrel UniBom-06.22.2010_EE cost _update_internal_Bolt RFQ_Foxlink_03.1 2011 3" xfId="10840"/>
    <cellStyle name="_Flex Mechanicals Doumen Sales forecast - Dec'05 R1_Volume Fcst 1006 updated_2009 xBOX ramp up budget code applicaiton" xfId="10841"/>
    <cellStyle name="_Flex Mechanicals Doumen Sales forecast - Dec'05 R1_Volume Fcst 1006 updated_2009 xBOX ramp up budget code applicaiton 300K --New May26 (3)" xfId="10842"/>
    <cellStyle name="Normal 39 4 3" xfId="10843"/>
    <cellStyle name="Normal 44 4 3" xfId="10844"/>
    <cellStyle name="_Flex Mechanicals Doumen Sales forecast - Dec'05 R1_Volume Fcst 1006 updated_Budget GC Other Form" xfId="10845"/>
    <cellStyle name="_Flex Mechanicals Doumen Sales forecast - Dec'05 R1_Volume Fcst 1006 updated_Copy of Tom OS ( Oct) new for LOG" xfId="10846"/>
    <cellStyle name="好_River EE BOM_Xl0000002_Leopard Lemur Squirrel UniBom-06.22.2010_EE cost _update_internal_Bolt RFQ_Foxlink_03.1 2011_nego meeting@MACH 2" xfId="10847"/>
    <cellStyle name="_Flex Mechanicals Doumen Sales forecast - Dec'05 R1_Volume Fcst 1006 updated_Copy of Tom OS ( Oct) new for LOG_2009 xBOX ramp up budget code applicaiton" xfId="10848"/>
    <cellStyle name="_Flex Mechanicals Doumen Sales forecast - Dec'05 R1_Volume Fcst 1006 updated_Copy of Tom OS ( Oct) new for LOG_2009 xBOX ramp up budget code applicaiton 300K --New May26 (3)" xfId="10849"/>
    <cellStyle name="_Flex Mechanicals Doumen Sales forecast - Dec'05 R1_Volume Fcst 1006 updated_Copy of Tom OS ( Oct) new for LOG_2009 xBOX ramp up budget code applicaiton 300K --New May27" xfId="10850"/>
    <cellStyle name="_Flex Mechanicals Doumen Sales forecast - Dec'05 R1_Volume Fcst 1006 updated_Copy of Tom OS ( Oct) new for LOG_Budget GC Other Form" xfId="10851"/>
    <cellStyle name="_Flex Mechanicals Doumen Sales forecast - Dec'05 R1_Volume Fcst 1006 updated_Copy of Tom OS ( Oct) new for LOG_Copy of X-BOX for line setup budget" xfId="10852"/>
    <cellStyle name="_Flex Mechanicals Doumen Sales forecast - Dec'05 R1_Volume Fcst 1006 updated_Copy of Tom OS ( Oct) new for LOG_Forecast Template v4" xfId="10853"/>
    <cellStyle name="_Flex Mechanicals Doumen Sales forecast - Dec'05 R1_Volume Fcst 1006 updated_Copy of Tom OS ( Oct) new for LOG_X-BOX BB" xfId="10854"/>
    <cellStyle name="_Flex Mechanicals Doumen Sales forecast - Dec'05 R1_Volume Fcst 1006 updated_Copy of Tom OS ( Oct) new for LOG_X-BOX Console line setup budget 20080414" xfId="10855"/>
    <cellStyle name="_Flex Mechanicals Doumen Sales forecast - Dec'05 R1_Volume Fcst 1006 updated_Copy of Tom OS ( Oct) new for LOG_X-BOX Console line setup budget and Buyer list" xfId="10856"/>
    <cellStyle name="_Flex Mechanicals Doumen Sales forecast - Dec'05 R1_Volume Fcst 1006 updated_Copy of X-BOX for line setup budget" xfId="10857"/>
    <cellStyle name="_PL FORECAST OF SEP,06_Copy of Tom OS ( Oct) new for LOG_Budget GC Other Form" xfId="10858"/>
    <cellStyle name="差_Creak Pearl Reliability Fixture RFQ_2009 04 24_Creek  Pearl RFQ_May 12_Leopard_UniBOM_ME_0602_Bolt RFQ Proposal_Foxlink_ (Pricing Summary) 2 25 2011 5" xfId="10859"/>
    <cellStyle name="_Flex Mechanicals Doumen Sales forecast - Dec'05 R1_Volume Fcst 1006 updated_Forecast Template v4" xfId="10860"/>
    <cellStyle name="_Flex Mechanicals Doumen Sales forecast - Dec'05 R1_Volume Fcst 1006 updated_Tom OS ( Oct)" xfId="10861"/>
    <cellStyle name="好_Creek Assembly Fixture  Test Equipment RFQ_20090427_Leopard_UniBOM_ME_0531_Bolt_Cliff 4" xfId="10862"/>
    <cellStyle name="_Forecast Template v2_X-BOX Console line setup budget and Buyer list" xfId="10863"/>
    <cellStyle name="_Flex Mechanicals Doumen Sales forecast - Dec'05 R1_Volume Fcst 1006 updated_Tom OS ( Oct)_2009 xBOX ramp up budget code applicaiton" xfId="10864"/>
    <cellStyle name="_Flex Mechanicals Doumen Sales forecast - Dec'05 R1_Volume Fcst 1006 updated_Tom OS ( Oct)_2009 xBOX ramp up budget code applicaiton 300K --New May26 (3)" xfId="10865"/>
    <cellStyle name="Note 8 2" xfId="10866"/>
    <cellStyle name="好_Creek EE BOM cost_20090425_Creek RFQ feedback 04_28_2009_FD Update_Leopard_UniBOM_ME_0531_Bolt RFQ Proposal_Foxlink_ (Pricing Summary) 2 25 2011 4" xfId="10867"/>
    <cellStyle name="_Flex Mechanicals Doumen Sales forecast - Dec'05 R1_Volume Fcst 1006 updated_Tom OS ( Oct)_Budget GC Other Form" xfId="10868"/>
    <cellStyle name="_Flex Mechanicals Doumen Sales forecast - Dec'05 R1_Volume Fcst 1006 updated_Tom OS ( Oct)_Copy of X-BOX for line setup budget" xfId="10869"/>
    <cellStyle name="好_Creek EE BOM cost_20090425_Leopard RFQ ME BOM Costs-0618-2_Bolt RFQ_Foxlink_03.1 2011_nego meeting@MACH 2" xfId="10870"/>
    <cellStyle name="_Flex Mechanicals Doumen Sales forecast - Dec'05 R1_Volume Fcst 1006 updated_Tom OS ( Oct)_Forecast Template v4" xfId="10871"/>
    <cellStyle name="_Flex Mechanicals Doumen Sales forecast - Dec'05 R1_Volume Fcst 1006 updated_Tom OS ( Oct)_X-BOX Console line setup budget 20080414" xfId="10872"/>
    <cellStyle name="好_River EE BOM_Xl0000000_Leopard RFQ ME BOM Costs-0618 2 4" xfId="10873"/>
    <cellStyle name="_Flex Mechanicals Doumen Sales forecast - Dec'05 R1_Volume Fcst 1006 updated_Tom OS ( Oct)_X-BOX Console line setup budget and Buyer list" xfId="10874"/>
    <cellStyle name="_Flex Mechanicals Doumen Sales forecast - Dec'05 R1_Volume Fcst 1006 updated_X-BOX BB" xfId="10875"/>
    <cellStyle name="9_Revised AP DPO Oct 04 v2_Volume Fcst 1006 updated_Tom OS ( Oct)" xfId="10876"/>
    <cellStyle name="_Flex Mechanicals Doumen Sales forecast - Dec'05 R1_Volume Fcst 1006 updated_X-BOX Console line setup budget 20080414" xfId="10877"/>
    <cellStyle name="_Summary Fcast v Budget_FY06 P7 XBox Mfg Var - Close Pack" xfId="10878"/>
    <cellStyle name="_RMA &amp; MRB Write-Offs" xfId="10879"/>
    <cellStyle name="_Flex Mechanicals Doumen Sales forecast - Dec'05 R1_Volume Fcst 1006 updated_X-BOX Console line setup budget and Buyer list" xfId="10880"/>
    <cellStyle name="差_Creak Pearl Reliability Fixture RFQ_2009 04 24_Creek  Pearl RFQ_May 12_Leopard Lemur Squirrel UniBom-06.22.2010_EE cost _update_internal_Bolt RFQ Proposal_Foxlink_ (Pricing Summary) 2 25 2011 5" xfId="10881"/>
    <cellStyle name="_PL Fcst_akl(Friday)_PL Fcst Jul 06-updated G&amp;A Value_Tom OS ( Oct)" xfId="10882"/>
    <cellStyle name="_Mechanical Contribution Margins (Q1'06, applied to Apr'04 Fcst)_Mechanical Contribution Margins forecast 0506 FP_Copy of Tom OS ( Oct) new for LOG_Forecast Template v4" xfId="10883"/>
    <cellStyle name="_Flex Mechanicals Doumen Sales forecast - Dec'05 R1_Volume Fcst Jul 06-update HP " xfId="10884"/>
    <cellStyle name="_PL Forecast Comparison_Mech Doumen2006_1(preliminary)_Volume Fcst 1006 updated_Tom OS ( Oct)_Forecast Template v4" xfId="10885"/>
    <cellStyle name="_PL Fcst_akl(Friday)_PL Fcst Jul 06-updated G&amp;A Value_Tom OS ( Oct)_2009 xBOX ramp up budget code applicaiton" xfId="10886"/>
    <cellStyle name="_Flex Mechanicals Doumen Sales forecast - Dec'05 R1_Volume Fcst Jul 06-update HP _2009 xBOX ramp up budget code applicaiton" xfId="10887"/>
    <cellStyle name="_PL Fcst_akl(Friday)_PL Fcst Jul 06-updated G&amp;A Value_Tom OS ( Oct)_2009 xBOX ramp up budget code applicaiton 300K --New May26 (3)" xfId="10888"/>
    <cellStyle name="_Flex Mechanicals Doumen Sales forecast - Dec'05 R1_Volume Fcst Jul 06-update HP _2009 xBOX ramp up budget code applicaiton 300K --New May26 (3)" xfId="10889"/>
    <cellStyle name="_PL Fcst_akl(Friday)_PL Fcst Jul 06-updated G&amp;A Value_Tom OS ( Oct)_2009 xBOX ramp up budget code applicaiton 300K --New May27" xfId="10890"/>
    <cellStyle name="_Flex Mechanicals Doumen Sales forecast - Dec'05 R1_Volume Fcst Jul 06-update HP _2009 xBOX ramp up budget code applicaiton 300K --New May27" xfId="10891"/>
    <cellStyle name="好_Creek EE BOM cost_20090425_Leopard RFQ ME BOM Costs-0618_Bolt RFQ Proposal_Foxlink_ (Pricing Summary) 2 25 2011 7" xfId="10892"/>
    <cellStyle name="_Flex Mechanicals Doumen Sales forecast - Jan.06-updated_Copy of Tom OS ( Oct) new for LOG_2009 xBOX ramp up budget code applicaiton" xfId="10893"/>
    <cellStyle name="_Flex Mechanicals Doumen Sales forecast - Dec'05 R1_Volume Fcst Jul 06-update HP _Copy of Tom OS ( Oct) new for LOG" xfId="10894"/>
    <cellStyle name="_Quotebook_07SEP10_RFQ_River_BAFO_2008 0606_M1" xfId="10895"/>
    <cellStyle name="差_Creak Pearl Reliability Fixture RFQ_2009 04 24_Xl0000002_Leopard Lemur Squirrel UniBom-06.22.2010_EE cost _update_internal 3" xfId="10896"/>
    <cellStyle name="_Flex Mechanicals Doumen Sales forecast - Dec'05 R1_Volume Fcst Jul 06-update HP _Copy of Tom OS ( Oct) new for LOG_2009 xBOX ramp up budget code applicaiton 300K --New May26 (3)" xfId="10897"/>
    <cellStyle name="好_效益分析&amp;產能評估_M1 SuedeFixtureEquipment Cost_A0_2010_10_15_Wedge_ME_BOM-v00-11v0630 2" xfId="10898"/>
    <cellStyle name="差_HP Mouse 產能評估(上系統)_Erie 效益分析 (Update)_Flow Chart&amp;設備治工具清單 _Jackson 效益分析 (2-1 B0 上系統)_squirrel效益分析08-17" xfId="10899"/>
    <cellStyle name="差_F3   SMT設備明細_jupite r設備&amp;治工具LIST (總)_flow chart 2009.12.12_~5631336_Jackson 效益分析 (2-1 B0 上系統)" xfId="10900"/>
    <cellStyle name="_Flex Mechanicals Doumen Sales forecast - Dec'05 R1_Volume Fcst Jul 06-update HP _Copy of Tom OS ( Oct) new for LOG_2009 xBOX ramp up budget code applicaiton 300K --New May27" xfId="10901"/>
    <cellStyle name="_Flex Mechanicals Doumen Sales forecast - Dec'05 R1_Volume Fcst Jul 06-update HP _Copy of Tom OS ( Oct) new for LOG_Budget GC Other Form" xfId="10902"/>
    <cellStyle name="Accent2_CMAP20 ASUS-2009 KPI Review" xfId="10903"/>
    <cellStyle name="_Plutto Uni_BOM 04062006 2" xfId="10904"/>
    <cellStyle name="_Flex Mechanicals Doumen Sales forecast - Jan.06_PL Forecast by segment-most final 0806_Tom OS ( Oct)_X-BOX BB" xfId="10905"/>
    <cellStyle name="_Flex Mechanicals Doumen Sales forecast - Dec'05 R1_Volume Fcst Jul 06-update HP _Copy of Tom OS ( Oct) new for LOG_Copy of X-BOX for line setup budget" xfId="10906"/>
    <cellStyle name="_Flex Mechanicals Doumen Sales forecast - Dec'05 R1_Volume Fcst Jul 06-update HP _Copy of Tom OS ( Oct) new for LOG_Forecast Template v4" xfId="10907"/>
    <cellStyle name="_Flex Mechanicals Doumen Sales forecast - Dec'05 R1_Volume Fcst Jul 06-update HP _Copy of Tom OS ( Oct) new for LOG_X-BOX BB" xfId="10908"/>
    <cellStyle name="好_River EE BOM_Xl0000002_Leopard_UniBOM_ME_0602-1_Bolt RFQ Proposal_Foxlink_ (Pricing Summary) 2 25 2011 5 2" xfId="10909"/>
    <cellStyle name="_Flex Mechanicals Doumen Sales forecast - Dec'05 R1_Volume Fcst Jul 06-update HP _Copy of Tom OS ( Oct) new for LOG_X-BOX Console line setup budget 20080414" xfId="10910"/>
    <cellStyle name="好_River EE BOM_Creak Pearl Reliability Fixture RFQ_2009 04 24_Creek  Pearl RFQ_May 12_Foxlink_Shadow RFQ NREUni BOM_12032009_Bolt RFQ Proposal_Foxlink_ (Pricing Summary) 2 25 2011 4 3" xfId="10911"/>
    <cellStyle name="_Flex Mechanicals Doumen Sales forecast - Dec'05 R1_Volume Fcst Jul 06-update HP _Copy of Tom OS ( Oct) new for LOG_X-BOX Console line setup budget and Buyer list" xfId="10912"/>
    <cellStyle name="好_Creek Assembly Fixture  Test Equipment RFQ_20090427_Leopard_UniBOM_ME_0603-2 2 2 2" xfId="10913"/>
    <cellStyle name="Normal 8" xfId="10914"/>
    <cellStyle name="_PL Fcst_akl(Friday)_PL Fcst Jul 06-updated G&amp;A Value_Tom OS ( Oct)_Forecast Template v4" xfId="10915"/>
    <cellStyle name="_Flex Mechanicals Doumen Sales forecast - Dec'05 R1_Volume Fcst Jul 06-update HP _Forecast Template v4" xfId="10916"/>
    <cellStyle name="差_Creak Pearl Reliability Fixture RFQ_2009 04 24_Creek RFQ feedback 04_28_2009_FD Update_Leopard RFQ ME BOM Costs-0618-2_Bolt RFQ Proposal_Foxlink_ (Pricing Summary) 2 25 2011 4 3" xfId="10917"/>
    <cellStyle name="好_River EE BOM_Creak Pearl Reliability Fixture RFQ_2009 04 24_Creek RFQ feedback 04_28_2009_FD Update_Jackson and Shadow BOM cost_mainfile_2010 0324 rev.1_Leopard UniBom_Foxlink_12272010 RevF_shirley" xfId="10918"/>
    <cellStyle name="_Flex Mechanicals Doumen Sales forecast - Dec'05 R1_Volume Fcst Jul 06-update HP _Internal Hourly Rate Q1 FY08 Version (2)" xfId="10919"/>
    <cellStyle name="_Flex Mechanicals Doumen Sales forecast - Dec'05 R1_Volume Fcst Jul 06-update HP _Internal Hourly Rate Q1 FY08 Version 06052007 Draft" xfId="10920"/>
    <cellStyle name="好_River EE BOM_Xl0000002_Bolt RFQ Proposal_Foxlink_ (Pricing Summary) 2 25 2011 4 2" xfId="10921"/>
    <cellStyle name="_Flex Mechanicals Doumen Sales forecast - Dec'05 R1_Volume Fcst Jul 06-update HP _Internal Hourly Rate Q1 FY08 Version 06052007 Draft_Internal Hourly Rate Q1 FY08 Version (2)" xfId="10922"/>
    <cellStyle name="_Flex Mechanicals Doumen Sales forecast - Dec'05 R1_Volume Fcst Jul 06-update HP _Internal Hourly Rate Q1 FY08 Version 06142007 excl. Corporate Allocation" xfId="10923"/>
    <cellStyle name="差_jupite r設備&amp;治工具LIST (總)_Flow Chart&amp;PQ分析(12-1)_Jackson 效益分析 (2-1 B0 上系統)" xfId="10924"/>
    <cellStyle name="Note 7 2 3" xfId="10925"/>
    <cellStyle name="差_Creak Pearl Reliability Fixture RFQ_2009 04 24_Creek RFQ feedback 04_28_2009_FD Update_Squirrel UniBom_Foxlink_7.27.2010" xfId="10926"/>
    <cellStyle name="好_River EE BOM_Creak Pearl Reliability Fixture RFQ_2009 04 24_Xl0000002_Leopard RFQ ME BOM Costs-0618-2_Bolt RFQ Proposal_Foxlink_ (Pricing Summary) 2 25 2011 2 2 3" xfId="10927"/>
    <cellStyle name="_Flex Mechanicals Doumen Sales forecast - Dec'05 R1_Volume Fcst Jul 06-update HP _Internal Hourly Rate Q1 FY08 Version 06142007 excl. Corporate Allocation_Internal Hourly Rate Q1 FY08 Version (2)" xfId="10928"/>
    <cellStyle name="_Flex Mechanicals Doumen Sales forecast - Jan.06-updated_Volume Fcst 1006 updated_2009 xBOX ramp up budget code applicaiton 300K --New May26 (3)" xfId="10929"/>
    <cellStyle name="_Flex Mechanicals Doumen Sales forecast - Dec'05 R1_Volume Fcst Jul 06-update HP _Tom OS ( Oct)_2009 xBOX ramp up budget code applicaiton" xfId="10930"/>
    <cellStyle name="差_F3   SMT設備明細_jupite r設備&amp;治工具LIST (總)_Flow Chart&amp;PQ分析(12-1)_~5631336" xfId="10931"/>
    <cellStyle name="差_Creak Pearl Reliability Fixture RFQ_2009 04 24_Xl0000002_Leopard_UniBOM_ME_0603-2_Bolt RFQ Proposal_Foxlink_ (Pricing Summary) 2 25 2011 2 2 2" xfId="10932"/>
    <cellStyle name="_Flex Mechanicals Doumen Sales forecast - Dec'05 R1_Volume Fcst Jul 06-update HP _Tom OS ( Oct)_2009 xBOX ramp up budget code applicaiton 300K --New May27" xfId="10933"/>
    <cellStyle name="差_Creak Pearl Reliability Fixture RFQ_2009 04 24_Squirrel RFQ ME BOM Costs-0623_Bolt RFQ_Foxlink_03.1 2011_nego meeting@MACH 3 2" xfId="10934"/>
    <cellStyle name="好_River EE BOM_Creak Pearl Reliability Fixture RFQ_2009 04 24_Creek RFQ feedback 04_28_2009_FD Update_Squirrel UniBom-06.23.2010_update_internal_Bolt RFQ Proposal_Foxlink_ (Pricing Summary) 2 25 2011 4 3" xfId="10935"/>
    <cellStyle name="_Flex Mechanicals Doumen Sales forecast - Dec'05 R1_Volume Fcst Jul 06-update HP _Tom OS ( Oct)_Budget GC Other Form" xfId="10936"/>
    <cellStyle name="好_River EE BOM_Creak Pearl Reliability Fixture RFQ_2009 04 24_Creek RFQ feedback 04_28_2009_FD Update_Leopard_UniBOM_ME_0602_Bolt RFQ Proposal_Foxlink_ (Pricing Summary) 2 25 2011 5 2" xfId="10937"/>
    <cellStyle name="Normal 36 3 2 2" xfId="10938"/>
    <cellStyle name="Normal 41 3 2 2" xfId="10939"/>
    <cellStyle name="_Flex Mechanicals Doumen Sales forecast - Dec'05 R1_Volume Fcst Jul 06-update HP _Tom OS ( Oct)_Forecast Template v4" xfId="10940"/>
    <cellStyle name="_Flex Mechanicals Doumen Sales forecast - Dec'05 R1_Volume Fcst Jul 06-update HP _Tom OS ( Oct)_X-BOX BB" xfId="10941"/>
    <cellStyle name="_Flex Mechanicals Doumen Sales forecast - Dec'05 R1_Volume Fcst Jul 06-update HP _Tom OS ( Oct)_X-BOX Console line setup budget 20080414" xfId="10942"/>
    <cellStyle name="_Flex Mechanicals Doumen Sales forecast - Dec'05 R1_Volume Fcst Jul 06-update HP _Tom OS ( Oct)_X-BOX Console line setup budget and Buyer list" xfId="10943"/>
    <cellStyle name="_PL Fcst_akl(Friday)_PL Fcst Jul 06-updated G&amp;A Value_Tom OS ( Oct)_X-BOX BB" xfId="10944"/>
    <cellStyle name="_Flex Mechanicals Doumen Sales forecast - Dec'05 R1_Volume Fcst Jul 06-update HP _X-BOX BB" xfId="10945"/>
    <cellStyle name="_PL Fcst_akl(Friday)_PL Fcst Jul 06-updated G&amp;A Value_Tom OS ( Oct)_X-BOX Console line setup budget 20080414" xfId="10946"/>
    <cellStyle name="_Flex Mechanicals Doumen Sales forecast - Dec'05 R1_Volume Fcst Jul 06-update HP _X-BOX Console line setup budget 20080414" xfId="10947"/>
    <cellStyle name="_PL Fcst_akl(Friday)_PL Fcst Jul 06-updated G&amp;A Value_Tom OS ( Oct)_X-BOX Console line setup budget and Buyer list" xfId="10948"/>
    <cellStyle name="_Flex Mechanicals Doumen Sales forecast - Dec'05 R1_Volume Fcst Jul 06-update HP _X-BOX Console line setup budget and Buyer list" xfId="10949"/>
    <cellStyle name="_Flex Mechanicals Doumen Sales forecast - Dec'05 R1_X-BOX Console line setup budget 20080414" xfId="10950"/>
    <cellStyle name="Normal 4 3 2 2 2" xfId="10951"/>
    <cellStyle name="_Flex Mechanicals Doumen Sales forecast - Jan 06 updated." xfId="10952"/>
    <cellStyle name="好_治具工程課2009年KPI 5 4" xfId="10953"/>
    <cellStyle name="_Flex Mechanicals Doumen Sales forecast - Jan 06 updated._2009 xBOX ramp up budget code applicaiton" xfId="10954"/>
    <cellStyle name="_Flex Mechanicals Doumen Sales forecast - Jan 06 updated._2009 xBOX ramp up budget code applicaiton 300K --New May26 (3)" xfId="10955"/>
    <cellStyle name="_Flex Mechanicals Doumen Sales forecast - Jan 06 updated._2009 xBOX ramp up budget code applicaiton 300K --New May27" xfId="10956"/>
    <cellStyle name="差_HP  專案(設備&amp;治工具需夠買)update_Erie 效益分析 (Update)_效益分析(總 12-28 Update)_Jackson 效益分析 (2-1 B0 上系統)" xfId="10957"/>
    <cellStyle name="好_Creek Assembly Fixture  Test Equipment RFQ_20090427_Xl0000002_Foxlink_Shadow RFQ NREUni BOM_12032009_Bolt RFQ_Foxlink_03.1 2011 3 2" xfId="10958"/>
    <cellStyle name="20% - Accent2 3 3 3" xfId="10959"/>
    <cellStyle name="好_River EE BOM_Creak Pearl Reliability Fixture RFQ_2009 04 24_Foxlink_Shadow RFQ NREUni BOM_12032009 3" xfId="10960"/>
    <cellStyle name="_Flex Mechanicals Doumen Sales forecast - Jan 06 updated._Copy of Tom OS ( Oct) new for LOG" xfId="10961"/>
    <cellStyle name="_Flex Mechanicals Doumen Sales forecast - Jan 06 updated._Copy of Tom OS ( Oct) new for LOG_2009 xBOX ramp up budget code applicaiton" xfId="10962"/>
    <cellStyle name="_Flex Mechanicals Doumen Sales forecast - Jan 06 updated._Copy of Tom OS ( Oct) new for LOG_2009 xBOX ramp up budget code applicaiton 300K --New May26 (3)" xfId="10963"/>
    <cellStyle name="差_F3   SMT設備明細_M1 Bolt wireless mouse FixtureEquipment Cost_A2_2010_12_07_Bolt RFQ Proposal_Foxlink_ (Pricing Summary) 2 25 2011 7" xfId="10964"/>
    <cellStyle name="差_HP Mouse 產能評估(Forecast更改後)_M1 SuedeFixtureEquipment Cost_A0_2010_10_15_Bolt RFQ Proposal_Foxlink_ (Pricing Summary) 2 25 2011 4 2" xfId="10965"/>
    <cellStyle name="_quotation(IBM) to david new_Lenovo Park Format_July 07 05" xfId="10966"/>
    <cellStyle name="_Flex Mechanicals Doumen Sales forecast - Jan 06 updated._Copy of Tom OS ( Oct) new for LOG_Forecast Template v4" xfId="10967"/>
    <cellStyle name="差_Xl0000002_Leopard UniBom_Foxlink_6 21 2010-ME_nego_Bolt RFQ_Foxlink_03.1 2011_nego meeting@MACH 5" xfId="10968"/>
    <cellStyle name="_Flex Mechanicals Doumen Sales forecast - Jan 06 updated._Copy of Tom OS ( Oct) new for LOG_X-BOX BB" xfId="10969"/>
    <cellStyle name="_Flex Mechanicals Doumen Sales forecast - Jan 06 updated._Copy of X-BOX for line setup budget" xfId="10970"/>
    <cellStyle name="_Flex Mechanicals Doumen Sales forecast - Jan 06 updated._Forecast Template v4" xfId="10971"/>
    <cellStyle name="_Flex Mechanicals Doumen Sales forecast - Jan 06 updated._Internal Hourly Rate Q1 FY08 Version (2)" xfId="10972"/>
    <cellStyle name="_Flex Mechanicals Doumen Sales forecast - Jan 06 updated._Internal Hourly Rate Q1 FY08 Version 06052007 Draft" xfId="10973"/>
    <cellStyle name="_Flex Mechanicals Doumen Sales forecast - Jan 06 updated._Internal Hourly Rate Q1 FY08 Version 06052007 Draft_Internal Hourly Rate Q1 FY08 Version (2)" xfId="10974"/>
    <cellStyle name="差_Creak Pearl Reliability Fixture RFQ_2009 04 24_Creek  Pearl RFQ_May 12_Bolt RFQ_Foxlink_03.1 2011_nego meeting@MACH 3 3" xfId="10975"/>
    <cellStyle name="_Flex Mechanicals Doumen Sales forecast - Jan 06 updated._Internal Hourly Rate Q1 FY08 Version 06142007 excl. Corporate Allocation_Internal Hourly Rate Q1 FY08 Version (2)" xfId="10976"/>
    <cellStyle name="差_dallas產能評估_Dallas效益分析&amp;投資回收期 (12-2 A1)_效益分析(總 12-28 Update)_squirrel效益分析08-17" xfId="10977"/>
    <cellStyle name="_Flex Mechanicals Doumen Sales forecast - Jan 06 updated._PL Fcst Jul 06-updated G&amp;A Value" xfId="10978"/>
    <cellStyle name="好_River EE BOM_Xl0000002_Leopard_UniBOM_ME_0531_Bolt RFQ Proposal_Foxlink_ (Pricing Summary) 2 25 2011" xfId="10979"/>
    <cellStyle name="好_Creek EE BOM cost_20090425_Leopard UniBom_Foxlink_6 21 2010-nego" xfId="10980"/>
    <cellStyle name="_Flex Mechanicals Doumen Sales forecast - Jan 06 updated._PL Fcst Jul 06-updated G&amp;A Value_2009 xBOX ramp up budget code applicaiton" xfId="10981"/>
    <cellStyle name="好_Creek Assembly Fixture  Test Equipment RFQ_20090427_Leopard UniBom_Foxlink_6 21 2010-ME_nego_Bolt RFQ_Foxlink_03.1 2011_nego meeting@MACH" xfId="10982"/>
    <cellStyle name="_Flex Mechanicals Doumen Sales forecast - Jan 06 updated._PL Fcst Jul 06-updated G&amp;A Value_2009 xBOX ramp up budget code applicaiton 300K --New May26 (3)" xfId="10983"/>
    <cellStyle name="_Flex Mechanicals Doumen Sales forecast - Jan 06 updated._PL Fcst Jul 06-updated G&amp;A Value_2009 xBOX ramp up budget code applicaiton 300K --New May27" xfId="10984"/>
    <cellStyle name="差_Creak Pearl Reliability Fixture RFQ_2009 04 24_Creek  Pearl RFQ_May 12_Leopard_UniBOM_ME_0603-2_Bolt RFQ Proposal_Foxlink_ (Pricing Summary) 2 25 2011 4 2" xfId="10985"/>
    <cellStyle name="_Flex Mechanicals Doumen Sales forecast - Jan 06 updated._PL Fcst Jul 06-updated G&amp;A Value_Budget GC Other Form" xfId="10986"/>
    <cellStyle name="_Flex Mechanicals Doumen Sales forecast - Jan 06 updated._PL Fcst Jul 06-updated G&amp;A Value_Copy of Tom OS ( Oct) new for LOG" xfId="10987"/>
    <cellStyle name="差_Creak Pearl Reliability Fixture RFQ_2009 04 24_Creek RFQ feedback 04_28_2009_FD Update_Squirrel RFQ ME BOM Costs-0623 2 2" xfId="10988"/>
    <cellStyle name="_Flex Mechanicals Doumen Sales forecast - Jan 06 updated._PL Fcst Jul 06-updated G&amp;A Value_Copy of Tom OS ( Oct) new for LOG_2009 xBOX ramp up budget code applicaiton" xfId="10989"/>
    <cellStyle name="差_Xl0000000_Leopard_UniBOM_ME_0531 2 4" xfId="10990"/>
    <cellStyle name="好_River EE BOM_Xl0000000_Leopard_UniBOM_ME_0603-2_Bolt RFQ_Foxlink_03.1 2011 2 3" xfId="10991"/>
    <cellStyle name="_Flex Mechanicals Doumen Sales forecast - Jan 06 updated._PL Fcst Jul 06-updated G&amp;A Value_Copy of Tom OS ( Oct) new for LOG_2009 xBOX ramp up budget code applicaiton 300K --New May26 (3)" xfId="10992"/>
    <cellStyle name="_Flex Mechanicals Doumen Sales forecast - Jan 06 updated._PL Fcst Jul 06-updated G&amp;A Value_Copy of Tom OS ( Oct) new for LOG_2009 xBOX ramp up budget code applicaiton 300K --New May27" xfId="10993"/>
    <cellStyle name="_Flex Mechanicals Doumen Sales forecast - Jan 06 updated._PL Fcst Jul 06-updated G&amp;A Value_Copy of Tom OS ( Oct) new for LOG_Budget GC Other Form" xfId="10994"/>
    <cellStyle name="一般 6 3 4 3" xfId="10995"/>
    <cellStyle name="_Flex Mechanicals Doumen Sales forecast - Jan 06 updated._PL Fcst Jul 06-updated G&amp;A Value_Copy of Tom OS ( Oct) new for LOG_Copy of X-BOX for line setup budget" xfId="10996"/>
    <cellStyle name="_Flex Mechanicals Doumen Sales forecast - Jan 06 updated._PL Fcst Jul 06-updated G&amp;A Value_Copy of Tom OS ( Oct) new for LOG_X-BOX BB" xfId="10997"/>
    <cellStyle name="好_Creek Assembly Fixture  Test Equipment RFQ_20090427_Leopard_UniBOM_ME_0531_Bolt RFQ Proposal_Foxlink_ (Pricing Summary) 2 25 2011 2" xfId="10998"/>
    <cellStyle name="_Flex Mechanicals Doumen Sales forecast - Jan 06 updated._PL Fcst Jul 06-updated G&amp;A Value_Copy of Tom OS ( Oct) new for LOG_X-BOX Console line setup budget 20080414" xfId="10999"/>
    <cellStyle name="_Flex Mechanicals Doumen Sales forecast - Jan 06 updated._PL Fcst Jul 06-updated G&amp;A Value_Copy of Tom OS ( Oct) new for LOG_X-BOX Console line setup budget and Buyer list" xfId="11000"/>
    <cellStyle name="标题 1 2 3" xfId="11001"/>
    <cellStyle name="_Flex Mechanicals Doumen Sales forecast - Jan 06 updated._PL Fcst Jul 06-updated G&amp;A Value_Copy of X-BOX for line setup budget" xfId="11002"/>
    <cellStyle name="_Flex Mechanicals Doumen Sales forecast - Jan 06 updated._PL Fcst Jul 06-updated G&amp;A Value_Forecast Template v4" xfId="11003"/>
    <cellStyle name="差_Creak Pearl Reliability Fixture RFQ_2009 04 24_Xl0000002_Leopard RFQ ME BOM Costs-0618" xfId="11004"/>
    <cellStyle name="差_Creak Pearl Reliability Fixture RFQ_2009 04 24_Xl0000002_Leopard RFQ ME BOM Costs-0623" xfId="11005"/>
    <cellStyle name="好_Erie Assembly Fixture  Test Equip Cost_20090716_Foxlink_Shadow RFQ NREUni BOM_12032009_Bolt RFQ_Foxlink_03.1 2011 3 3" xfId="11006"/>
    <cellStyle name="_Flex Mechanicals Doumen Sales forecast - Jan 06 updated._PL Fcst Jul 06-updated G&amp;A Value_Internal Hourly Rate Q1 FY08 Version (2)" xfId="11007"/>
    <cellStyle name="好_River EE BOM_Creak Pearl Reliability Fixture RFQ_2009 04 24_Creek  Pearl RFQ_May 12_Leopard RFQ ME BOM Costs-0618_Bolt RFQ_Foxlink_03.1 2011 3" xfId="11008"/>
    <cellStyle name="_Flex Mechanicals Doumen Sales forecast - Jan 06 updated._PL Fcst Jul 06-updated G&amp;A Value_Internal Hourly Rate Q1 FY08 Version 06052007 Draft" xfId="11009"/>
    <cellStyle name="好_效益分析&amp;產能評估_MS Bolt wireless mouse FixtureEquipment Cost_A5_2010_02_21_Bolt RFQ_Foxlink_03.1 2011 3 3" xfId="11010"/>
    <cellStyle name="好_River EE BOM_Creak Pearl Reliability Fixture RFQ_2009 04 24_Pearl RFQ(Submittal)ver2_05_12_2009 _Leopard_UniBOM_ME_0531_Bolt RFQ_Foxlink_03.1 2011 2 3" xfId="11011"/>
    <cellStyle name="_Flex Mechanicals Doumen Sales forecast - Jan 06 updated._PL Fcst Jul 06-updated G&amp;A Value_Internal Hourly Rate Q1 FY08 Version 06052007 Draft_Internal Hourly Rate Q1 FY08 Version (2)" xfId="11012"/>
    <cellStyle name="_Flex Mechanicals Doumen Sales forecast - Jan 06 updated._PL Fcst Jul 06-updated G&amp;A Value_Internal Hourly Rate Q1 FY08 Version 06142007 excl. Corporate Allocation_Internal Hourly Rate Q1 FY08 Version (2)" xfId="11013"/>
    <cellStyle name="好_Creek Assembly Fixture  Test Equipment RFQ_20090427_Xl0000002_Leopard_UniBOM_ME_0603-2 2 4" xfId="11014"/>
    <cellStyle name="_Flex Mechanicals Doumen Sales forecast - Jan 06 updated._PL Fcst Jul 06-updated G&amp;A Value_Tom OS ( Oct)_2009 xBOX ramp up budget code applicaiton" xfId="11015"/>
    <cellStyle name="_Flex Mechanicals Doumen Sales forecast - Jan 06 updated._PL Fcst Jul 06-updated G&amp;A Value_Tom OS ( Oct)_2009 xBOX ramp up budget code applicaiton 300K --New May26 (3)" xfId="11016"/>
    <cellStyle name="差_Creak Pearl Reliability Fixture RFQ_2009 04 24_Pearl RFQ(Submittal)ver2_05_12_2009 _Squirrel RFQ ME BOM Costs-0623 2 2" xfId="11017"/>
    <cellStyle name="_Flex Mechanicals Doumen Sales forecast - Jan 06 updated._PL Fcst Jul 06-updated G&amp;A Value_Tom OS ( Oct)_2009 xBOX ramp up budget code applicaiton 300K --New May27" xfId="11018"/>
    <cellStyle name="好_Creek Assembly Fixture  Test Equipment RFQ_20090427_Squirrel RFQ ME BOM Costs-0623_Bolt RFQ_Foxlink_03.1 2011_nego meeting@MACH 2 3" xfId="11019"/>
    <cellStyle name="_Flex Mechanicals Doumen Sales forecast - Jan 06 updated._PL Fcst Jul 06-updated G&amp;A Value_Tom OS ( Oct)_Budget GC Other Form" xfId="11020"/>
    <cellStyle name="_Flextronics Radon  Build Plan 4-27-2005_Line transition plan to B17 rev.3_Tester Demand Plan 062707" xfId="11021"/>
    <cellStyle name="标题 1 3 2" xfId="11022"/>
    <cellStyle name="_Flex Mechanicals Doumen Sales forecast - Jan 06 updated._PL Fcst Jul 06-updated G&amp;A Value_Tom OS ( Oct)_Copy of X-BOX for line setup budget" xfId="11023"/>
    <cellStyle name="_Flex Mechanicals Doumen Sales forecast - Jan 06 updated._PL Fcst Jul 06-updated G&amp;A Value_Tom OS ( Oct)_Forecast Template v4" xfId="11024"/>
    <cellStyle name="_Flex Mechanicals Doumen Sales forecast - Jan 06 updated._PL Fcst Jul 06-updated G&amp;A Value_Tom OS ( Oct)_X-BOX BB" xfId="11025"/>
    <cellStyle name="好_River EE BOM_Creek RFQ feedback 04_28_2009_FD Update_Jackson and Shadow BOM cost_mainfile_2010 0324 rev.1_Leopard UniBom_Foxlink_12092010 RevD-jen" xfId="11026"/>
    <cellStyle name="_Flex Mechanicals Doumen Sales forecast - Jan 06 updated._PL Fcst Jul 06-updated G&amp;A Value_Tom OS ( Oct)_X-BOX Console line setup budget 20080414" xfId="11027"/>
    <cellStyle name="Note 8 2 3" xfId="11028"/>
    <cellStyle name="好_Creek EE BOM cost_20090425_Creek RFQ feedback 04_28_2009_FD Update_Leopard_UniBOM_ME_0531_Bolt RFQ Proposal_Foxlink_ (Pricing Summary) 2 25 2011 4 3" xfId="11029"/>
    <cellStyle name="差_HP Mouse 產能評估(Forecast更改後) 2 2" xfId="11030"/>
    <cellStyle name="_Flex Mechanicals Doumen Sales forecast - Jan 06 updated._PL Fcst Jul 06-updated G&amp;A Value_Tom OS ( Oct)_X-BOX Console line setup budget and Buyer list" xfId="11031"/>
    <cellStyle name="_Flex Mechanicals Doumen Sales forecast - Jan 06 updated._PL Fcst Jul 06-updated G&amp;A Value_X-BOX BB" xfId="11032"/>
    <cellStyle name="comma zerodec 3" xfId="11033"/>
    <cellStyle name="_Opex_FY06 P7 XBox Mfg Var - Close Pack" xfId="11034"/>
    <cellStyle name="_Flex Mechanicals Doumen Sales forecast - Jan 06 updated._PL Fcst Jul 06-updated G&amp;A Value_X-BOX Console line setup budget 20080414" xfId="11035"/>
    <cellStyle name="Accent6 12" xfId="11036"/>
    <cellStyle name="_Flex Mechanicals Doumen Sales forecast - Jan 06 updated._PL Fcst Jul 06-updated G&amp;A Value_X-BOX Console line setup budget and Buyer list" xfId="11037"/>
    <cellStyle name="_Flex Mechanicals Doumen Sales forecast - Jan 06 updated._PL Forecast by segment-most final 0806" xfId="11038"/>
    <cellStyle name="差_Creak Pearl Reliability Fixture RFQ_2009 04 24_Creek RFQ feedback 04_28_2009_FD Update_Leopard RFQ ME BOM Costs-0618-2_Bolt RFQ_Foxlink_03.1 2011_nego meeting@MACH 3 2" xfId="11039"/>
    <cellStyle name="_Flex Mechanicals Doumen Sales forecast - Jan 06 updated._PL Forecast by segment-most final 0806_2009 xBOX ramp up budget code applicaiton" xfId="11040"/>
    <cellStyle name="_Flex Mechanicals Doumen Sales forecast - Jan 06 updated._PL Forecast by segment-most final 0806_2009 xBOX ramp up budget code applicaiton 300K --New May26 (3)" xfId="11041"/>
    <cellStyle name="_Mulan Edge Procurement Plan May 30 P1A_MOST Std - Project A BB Line_Nazca copy exact flow chart 20120409" xfId="11042"/>
    <cellStyle name="_Flex Mechanicals Doumen Sales forecast - Jan 06 updated._PL Forecast by segment-most final 0806_2009 xBOX ramp up budget code applicaiton 300K --New May27" xfId="11043"/>
    <cellStyle name="_Flex Mechanicals Doumen Sales forecast - Jan 06 updated._PL Forecast by segment-most final 0806_Copy of Tom OS ( Oct) new for LOG" xfId="11044"/>
    <cellStyle name="_Flex Mechanicals Doumen Sales forecast - Jan 06 updated._PL Forecast by segment-most final 0806_Copy of Tom OS ( Oct) new for LOG_2009 xBOX ramp up budget code applicaiton" xfId="11045"/>
    <cellStyle name="_Flex Mechanicals Doumen Sales forecast - Jan 06 updated._PL Forecast by segment-most final 0806_Copy of Tom OS ( Oct) new for LOG_2009 xBOX ramp up budget code applicaiton 300K --New May26 (3)" xfId="11046"/>
    <cellStyle name="_Flex Mechanicals Doumen Sales forecast - Jan 06 updated._PL Forecast by segment-most final 0806_Copy of Tom OS ( Oct) new for LOG_2009 xBOX ramp up budget code applicaiton 300K --New May27" xfId="11047"/>
    <cellStyle name="_Flex Mechanicals Doumen Sales forecast - Jan 06 updated._PL Forecast by segment-most final 0806_Copy of Tom OS ( Oct) new for LOG_Budget GC Other Form" xfId="11048"/>
    <cellStyle name="差_治具工程課2009年KPI_2009MB KPI-0205 5 2 3" xfId="11049"/>
    <cellStyle name="_Flex Mechanicals Doumen Sales forecast - Jan 06 updated._PL Forecast by segment-most final 0806_Copy of Tom OS ( Oct) new for LOG_Copy of X-BOX for line setup budget" xfId="11050"/>
    <cellStyle name="差 2 2 3" xfId="11051"/>
    <cellStyle name="好_River EE BOM_Xl0000002_Leopard_UniBOM_ME_0531_Bolt RFQ_Foxlink_03.1 2011 2 2" xfId="11052"/>
    <cellStyle name="好_Creek EE BOM cost_20090425_Leopard_UniBOM_ME_0603-2_Bolt RFQ_Foxlink_03.1 2011_nego meeting@MACH 3 2" xfId="11053"/>
    <cellStyle name="_Flex Mechanicals Doumen Sales forecast - Jan 06 updated._PL Forecast by segment-most final 0806_Copy of Tom OS ( Oct) new for LOG_X-BOX BB" xfId="11054"/>
    <cellStyle name="好_River EE BOM_Creak Pearl Reliability Fixture RFQ_2009 04 24_Pearl RFQ(Submittal)ver2_05_12_2009 _Bolt RFQ Proposal_Foxlink_ (Pricing Summary) 2 25 2011 2 4" xfId="11055"/>
    <cellStyle name="_Flex Mechanicals Doumen Sales forecast - Jan 06 updated._PL Forecast by segment-most final 0806_Copy of Tom OS ( Oct) new for LOG_X-BOX Console line setup budget 20080414" xfId="11056"/>
    <cellStyle name="_Forecast - Segment WGCJune06_2009 xBOX ramp up budget code applicaiton 300K --New May27" xfId="11057"/>
    <cellStyle name="_Flex Mechanicals Doumen Sales forecast - Jan 06 updated._PL Forecast by segment-most final 0806_Copy of Tom OS ( Oct) new for LOG_X-BOX Console line setup budget and Buyer list" xfId="11058"/>
    <cellStyle name="差_Xl0000002_Bolt RFQ Proposal_Foxlink_ (Pricing Summary) 2 25 2011 2 3" xfId="11059"/>
    <cellStyle name="_Flex Mechanicals Doumen Sales forecast - Jan 06 updated._PL Forecast by segment-most final 0806_Copy of X-BOX for line setup budget" xfId="11060"/>
    <cellStyle name="好_River EE BOM_Bolt RFQ Proposal_Foxlink_ (Pricing Summary) 2 25 2011 2 2" xfId="11061"/>
    <cellStyle name="_Flex Mechanicals Doumen Sales forecast - Jan 06 updated._PL Forecast by segment-most final 0806_Forecast Template v4" xfId="11062"/>
    <cellStyle name="好_River EE BOM_Creak Pearl Reliability Fixture RFQ_2009 04 24_Creek  Pearl RFQ_May 12" xfId="11063"/>
    <cellStyle name="Accent3 14" xfId="11064"/>
    <cellStyle name="_Flex Mechanicals Doumen Sales forecast - Jan 06 updated._PL Forecast by segment-most final 0806_Tom OS ( Oct)" xfId="11065"/>
    <cellStyle name="_Flex Mechanicals Doumen Sales forecast - Jan 06 updated._PL Forecast by segment-most final 0806_Tom OS ( Oct)_2009 xBOX ramp up budget code applicaiton" xfId="11066"/>
    <cellStyle name="好_River EE BOM_Xl0000000_Foxlink_Shadow RFQ NREUni BOM_12032009_Bolt RFQ_Foxlink_03.1 2011" xfId="11067"/>
    <cellStyle name="_Flex Mechanicals Doumen Sales forecast - Jan 06 updated._PL Forecast by segment-most final 0806_Tom OS ( Oct)_2009 xBOX ramp up budget code applicaiton 300K --New May27" xfId="11068"/>
    <cellStyle name="_Flex Mechanicals Doumen Sales forecast - Jan 06 updated._PL Forecast by segment-most final 0806_Tom OS ( Oct)_Budget GC Other Form" xfId="11069"/>
    <cellStyle name="_Flex Mechanicals Doumen Sales forecast - Jan 06 updated._PL Forecast by segment-most final 0806_Tom OS ( Oct)_Copy of X-BOX for line setup budget" xfId="11070"/>
    <cellStyle name="_Flex Mechanicals Doumen Sales forecast - Jan 06 updated._PL Forecast by segment-most final 0806_Tom OS ( Oct)_Forecast Template v4" xfId="11071"/>
    <cellStyle name="_Flex Mechanicals Doumen Sales forecast - Jan 06 updated._PL Forecast by segment-most final 0806_X-BOX BB" xfId="11072"/>
    <cellStyle name="差_F3   SMT設備明細_Jackson 效益分析 testing update_16th Jan111_Jackson 效益分析 (2-1 B0 上系統)_Leopard效益分析08-17" xfId="11073"/>
    <cellStyle name="差_Creak Pearl Reliability Fixture RFQ_2009 04 24_Pearl RFQ(Submittal)ver2_05_12_2009 _Leopard RFQ ME BOM Costs-0618_Bolt RFQ_Foxlink_03.1 2011" xfId="11074"/>
    <cellStyle name="_Flex Mechanicals Doumen Sales forecast - Jan 06 updated._PL Forecast by segment-most final 0806_X-BOX Console line setup budget 20080414" xfId="11075"/>
    <cellStyle name="_Flex Mechanicals Doumen Sales forecast - Jan 06 updated._PL Forecast by segment-most final 0806_X-BOX Console line setup budget and Buyer list" xfId="11076"/>
    <cellStyle name="_Flex Mechanicals Doumen Sales forecast - Jan 06 updated._Tom OS ( Oct)" xfId="11077"/>
    <cellStyle name="好_River EE BOM_Creak Pearl Reliability Fixture RFQ_2009 04 24_Creek RFQ feedback 04_28_2009_FD Update_Leopard_UniBOM_ME_0531_Bolt RFQ_Foxlink_03.1 2011 3" xfId="11078"/>
    <cellStyle name="_Flex Mechanicals Doumen Sales forecast - Jan 06 updated._Tom OS ( Oct)_2009 xBOX ramp up budget code applicaiton" xfId="11079"/>
    <cellStyle name="差_0842周 顯卡報廢超標8D_HP 3 3" xfId="11080"/>
    <cellStyle name="_Flex Mechanicals Doumen Sales forecast - Jan 06 updated._Tom OS ( Oct)_2009 xBOX ramp up budget code applicaiton 300K --New May26 (3)" xfId="11081"/>
    <cellStyle name="好_River EE BOM_Creek RFQ feedback 04_28_2009_FD Update_Leopard_UniBOM_ME_0602_Bolt RFQ Proposal_Foxlink_ (Pricing Summary) 2 25 2011 2 2 3" xfId="11082"/>
    <cellStyle name="_Flex Mechanicals Doumen Sales forecast - Jan 06 updated._Tom OS ( Oct)_2009 xBOX ramp up budget code applicaiton 300K --New May27" xfId="11083"/>
    <cellStyle name="差_Creek RFQ feedback 04_28_2009_FD Update_Leopard RFQ ME BOM Costs-0618-2 3 3" xfId="11084"/>
    <cellStyle name="好_River EE BOM_Creak Pearl Reliability Fixture RFQ_2009 04 24_Leopard_UniBOM_ME_0603-2_Bolt RFQ Proposal_Foxlink_ (Pricing Summary) 2 25 2011 5 3" xfId="11085"/>
    <cellStyle name="_Flex Mechanicals Doumen Sales forecast - Jan 06 updated._Tom OS ( Oct)_Budget GC Other Form" xfId="11086"/>
    <cellStyle name="40% - 强调文字颜色 3 2 2 2 2" xfId="11087"/>
    <cellStyle name="_PL Forecast by segment-most final 0806_X-BOX Console line setup budget and Buyer list" xfId="11088"/>
    <cellStyle name="_Flex Mechanicals Doumen Sales forecast - Jan 06 updated._Tom OS ( Oct)_Copy of X-BOX for line setup budget" xfId="11089"/>
    <cellStyle name="_Flex Mechanicals Doumen Sales forecast - Jan 06 updated._Tom OS ( Oct)_Forecast Template v4" xfId="11090"/>
    <cellStyle name="壞_Creek Assembly Fixture  Test Equipment RFQ_20090427_Xl0000002_Leopard_UniBOM_ME_0602-1_Bolt RFQ_Foxlink_03.1 2011_nego meeting@MACH 2 3" xfId="11091"/>
    <cellStyle name="_Flex Mechanicals Doumen Sales forecast - Jan 06 updated._Tom OS ( Oct)_X-BOX BB" xfId="11092"/>
    <cellStyle name="_Flex Mechanicals Doumen Sales forecast - Jan 06 updated._Tom OS ( Oct)_X-BOX Console line setup budget 20080414" xfId="11093"/>
    <cellStyle name="_Flex Mechanicals Doumen Sales forecast - Jan 06 updated._Tom OS ( Oct)_X-BOX Console line setup budget and Buyer list" xfId="11094"/>
    <cellStyle name="差_Xl0000000_Leopard_UniBOM_ME_0602_Bolt RFQ_Foxlink_03.1 2011 3 2" xfId="11095"/>
    <cellStyle name="_Flex Mechanicals Doumen Sales forecast - Jan 06 updated._Volume Fcst 1006 updated_2009 xBOX ramp up budget code applicaiton" xfId="11096"/>
    <cellStyle name="差_F3   SMT設備明細_M1 Lemur Capacity planFixtureEquipment Cost_A2_06192010" xfId="11097"/>
    <cellStyle name="好_River EE BOM_Creak Pearl Reliability Fixture RFQ_2009 04 24_Creek  Pearl RFQ_May 12_Leopard_UniBOM_ME_0603-2" xfId="11098"/>
    <cellStyle name="好_River EE BOM_Xl0000000_Foxlink_Shadow RFQ NREUni BOM_12032009 2 2 3" xfId="11099"/>
    <cellStyle name="好_River EE BOM_Creak Pearl Reliability Fixture RFQ_2009 04 24_Xl0000002_Squirrel UniBom-06.23.2010_update_internal_Bolt RFQ_Foxlink_03.1 2011_nego meeting@MACH 3 3" xfId="11100"/>
    <cellStyle name="_Flex Mechanicals Doumen Sales forecast - Jan 06 updated._Volume Fcst 1006 updated_Budget GC Other Form" xfId="11101"/>
    <cellStyle name="_Flex Mechanicals Doumen Sales forecast - Jan 06 updated._Volume Fcst 1006 updated_Copy of Tom OS ( Oct) new for LOG" xfId="11102"/>
    <cellStyle name="好_River EE BOM_Xl0000000_Foxlink_Shadow RFQ NREUni BOM_12032009_Bolt RFQ Proposal_Foxlink_ (Pricing Summary) 2 25 2011 2 4" xfId="11103"/>
    <cellStyle name="_Flex Mechanicals Doumen Sales forecast - Jan.06-updated_Copy of Tom OS ( Oct) new for LOG_Budget GC Other Form" xfId="11104"/>
    <cellStyle name="_Flex Mechanicals Doumen Sales forecast - Jan 06 updated._Volume Fcst 1006 updated_Copy of Tom OS ( Oct) new for LOG_2009 xBOX ramp up budget code applicaiton" xfId="11105"/>
    <cellStyle name="_Flex Mechanicals Doumen Sales forecast - Jan 06 updated._Volume Fcst 1006 updated_Copy of Tom OS ( Oct) new for LOG_2009 xBOX ramp up budget code applicaiton 300K --New May26 (3)" xfId="11106"/>
    <cellStyle name="_Flex Mechanicals Doumen Sales forecast - Jan 06 updated._Volume Fcst 1006 updated_Copy of Tom OS ( Oct) new for LOG_2009 xBOX ramp up budget code applicaiton 300K --New May27" xfId="11107"/>
    <cellStyle name="好_Creek EE BOM cost_20090425_Creek RFQ feedback 04_28_2009_FD Update_Leopard RFQ ME BOM Costs-0618-2_Bolt RFQ Proposal_Foxlink_ (Pricing Summary) 2 25 2011 2 2 2" xfId="11108"/>
    <cellStyle name="Currency 4 4 5" xfId="11109"/>
    <cellStyle name="_Flex Mechanicals Doumen Sales forecast - Jan 06 updated._Volume Fcst 1006 updated_Copy of Tom OS ( Oct) new for LOG_Budget GC Other Form" xfId="11110"/>
    <cellStyle name="_Flex Mechanicals Doumen Sales forecast - Jan 06 updated._Volume Fcst 1006 updated_Copy of Tom OS ( Oct) new for LOG_Copy of X-BOX for line setup budget" xfId="11111"/>
    <cellStyle name="差_Creak Pearl Reliability Fixture RFQ_2009 04 24_Pearl RFQ(Submittal)ver2_05_12_2009 _Squirrel RFQ ME BOM Costs-0623_Bolt RFQ Proposal_Foxlink_ (Pricing Summary) 2 25 2011 2 2 3" xfId="11112"/>
    <cellStyle name="20% - Accent1 7" xfId="11113"/>
    <cellStyle name="好_River EE BOM_Creak Pearl Reliability Fixture RFQ_2009 04 24_Leopard_UniBOM_ME_0603-2_Bolt RFQ Proposal_Foxlink_ (Pricing Summary) 2 25 2011 3 3" xfId="11114"/>
    <cellStyle name="_Flex Mechanicals Doumen Sales forecast - Jan 06 updated._Volume Fcst 1006 updated_Copy of Tom OS ( Oct) new for LOG_Forecast Template v4" xfId="11115"/>
    <cellStyle name="_Flex Mechanicals Doumen Sales forecast - Jan 06 updated._Volume Fcst 1006 updated_Copy of Tom OS ( Oct) new for LOG_X-BOX BB" xfId="11116"/>
    <cellStyle name="好_River EE BOM_Creek RFQ feedback 04_28_2009_FD Update_Leopard Lemur Squirrel UniBom-06.22.2010_EE cost _update_internal_Bolt RFQ Proposal_Foxlink_ (Pricing Summary) 2 25 2011 2 2 2" xfId="11117"/>
    <cellStyle name="_Flex Mechanicals Doumen Sales forecast - Jan 06 updated._Volume Fcst 1006 updated_Copy of Tom OS ( Oct) new for LOG_X-BOX Console line setup budget and Buyer list" xfId="11118"/>
    <cellStyle name="好_效益分析&amp;產能評估_M1 SuedeFixtureEquipment Cost_A0_2010_10_15_Bolt RFQ_Foxlink_03.1 2011_nego meeting@MACH 2 3" xfId="11119"/>
    <cellStyle name="_Flex Mechanicals Doumen Sales forecast - Jan 06 updated._Volume Fcst 1006 updated_Copy of X-BOX for line setup budget" xfId="11120"/>
    <cellStyle name="_Flex Mechanicals Doumen Sales forecast - Jan 06 updated._Volume Fcst 1006 updated_Forecast Template v4" xfId="11121"/>
    <cellStyle name="好_Creek Assembly Fixture  Test Equipment RFQ_20090427_Leopard_UniBOM_ME_0602-1_Bolt RFQ_Foxlink_03.1 2011_nego meeting@MACH_Bolt_Cliff 5 3" xfId="11122"/>
    <cellStyle name="差_Creek RFQ feedback 04_28_2009_FD Update_Leopard RFQ ME BOM Costs-0618-2_Bolt RFQ Proposal_Foxlink_ (Pricing Summary) 2 25 2011 4 3" xfId="11123"/>
    <cellStyle name="差_Xl0000000_Bolt RFQ_Foxlink_03.1 2011_nego meeting@MACH 4" xfId="11124"/>
    <cellStyle name="_Flex Mechanicals Doumen Sales forecast - Jan 06 updated._Volume Fcst 1006 updated_Tom OS ( Oct)" xfId="11125"/>
    <cellStyle name="差_Erie mouse 效益分析( 11-19 A1)" xfId="11126"/>
    <cellStyle name="Sheet Title" xfId="11127"/>
    <cellStyle name="_Flex Mechanicals Doumen Sales forecast - Jan 06 updated._Volume Fcst 1006 updated_Tom OS ( Oct)_2009 xBOX ramp up budget code applicaiton" xfId="11128"/>
    <cellStyle name="_Flex Mechanicals Doumen Sales forecast - Jan 06 updated._Volume Fcst 1006 updated_Tom OS ( Oct)_2009 xBOX ramp up budget code applicaiton 300K --New May26 (3)" xfId="11129"/>
    <cellStyle name="_Flex Mechanicals Doumen Sales forecast - Jan 06 updated._Volume Fcst 1006 updated_Tom OS ( Oct)_2009 xBOX ramp up budget code applicaiton 300K --New May27" xfId="11130"/>
    <cellStyle name="_Flex Mechanicals Doumen Sales forecast - Jan 06 updated._Volume Fcst 1006 updated_Tom OS ( Oct)_Copy of X-BOX for line setup budget" xfId="11131"/>
    <cellStyle name="_Flex Mechanicals Doumen Sales forecast - Jan 06 updated._Volume Fcst 1006 updated_Tom OS ( Oct)_Forecast Template v4" xfId="11132"/>
    <cellStyle name="_XBOX MB RR Transport Cost - Air &amp; Express 040506R1" xfId="11133"/>
    <cellStyle name="_Flex Mechanicals Doumen Sales forecast - Jan 06 updated._Volume Fcst 1006 updated_Tom OS ( Oct)_X-BOX BB" xfId="11134"/>
    <cellStyle name="_Flex Mechanicals Doumen Sales forecast - Jan 06 updated._Volume Fcst 1006 updated_Tom OS ( Oct)_X-BOX Console line setup budget and Buyer list" xfId="11135"/>
    <cellStyle name="差_0842周 顯卡報廢超標8D_2009MB KPI_MBO3F製造部hp0209-01 5 2" xfId="11136"/>
    <cellStyle name="_Flex Mechanicals Doumen Sales forecast - Jan 06 updated._Volume Fcst 1006 updated_X-BOX BB" xfId="11137"/>
    <cellStyle name="差_dallas產能評估_Dallas效益分析&amp;投資回收期 (12-2 A1)_Flow Chart&amp;設備治工具清單 _Jackson 效益分析 (2-1 B0 上系統)_Leopard Flowchart &amp; 產能評估" xfId="11138"/>
    <cellStyle name="Note 13" xfId="11139"/>
    <cellStyle name="_Flex Mechanicals Doumen Sales forecast - Jan 06 updated._Volume Fcst 1006 updated_X-BOX Console line setup budget 20080414" xfId="11140"/>
    <cellStyle name="Normal 45 2 2 3" xfId="11141"/>
    <cellStyle name="Normal 50 2 2 3" xfId="11142"/>
    <cellStyle name="_Flex Mechanicals Doumen Sales forecast - Jan 06 updated._Volume Fcst 1006 updated_X-BOX Console line setup budget and Buyer list" xfId="11143"/>
    <cellStyle name="_Flex Mechanicals Doumen Sales forecast - Jan 06 updated._Volume Fcst Jul 06-update HP " xfId="11144"/>
    <cellStyle name="_Flex Mechanicals Doumen Sales forecast - Jan 06 updated._Volume Fcst Jul 06-update HP _2009 xBOX ramp up budget code applicaiton" xfId="11145"/>
    <cellStyle name="_Flex Mechanicals Doumen Sales forecast - Jan 06 updated._Volume Fcst Jul 06-update HP _2009 xBOX ramp up budget code applicaiton 300K --New May26 (3)" xfId="11146"/>
    <cellStyle name="_Flex Mechanicals Doumen Sales forecast - Jan 06 updated._Volume Fcst Jul 06-update HP _2009 xBOX ramp up budget code applicaiton 300K --New May27" xfId="11147"/>
    <cellStyle name="差_F3   SMT設備明細_Bolt RFQ_Foxlink_03.1 2011 3 3" xfId="11148"/>
    <cellStyle name="Normal 5 4 4 2" xfId="11149"/>
    <cellStyle name="Normal 35 4 3" xfId="11150"/>
    <cellStyle name="Normal 40 4 3" xfId="11151"/>
    <cellStyle name="_Zune RF Transmitter_RET Plan  Cost_Draft_20070327_RFQ_River_BAFO_2008 0606_M1" xfId="11152"/>
    <cellStyle name="_Flex Mechanicals Doumen Sales forecast - Jan 06 updated._Volume Fcst Jul 06-update HP _Budget GC Other Form" xfId="11153"/>
    <cellStyle name="差_Xl0000000_Foxlink_Shadow RFQ NREUni BOM_12032009_Bolt RFQ_Foxlink_03.1 2011 3 2" xfId="11154"/>
    <cellStyle name="_Flex Mechanicals Doumen Sales forecast - Jan 06 updated._Volume Fcst Jul 06-update HP _Copy of Tom OS ( Oct) new for LOG" xfId="11155"/>
    <cellStyle name="_Flex Mechanicals Doumen Sales forecast - Jan 06 updated._Volume Fcst Jul 06-update HP _Copy of Tom OS ( Oct) new for LOG_2009 xBOX ramp up budget code applicaiton" xfId="11156"/>
    <cellStyle name="好_River EE BOM_Creak Pearl Reliability Fixture RFQ_2009 04 24_Creek RFQ feedback 04_28_2009_FD Update_Leopard_UniBOM_ME_0531_Bolt RFQ Proposal_Foxlink_ (Pricing Summary) 2 25 2011 2 3" xfId="11157"/>
    <cellStyle name="60% - Accent2 2 2" xfId="11158"/>
    <cellStyle name="_Flex Mechanicals Doumen Sales forecast - Jan 06 updated._Volume Fcst Jul 06-update HP _Copy of Tom OS ( Oct) new for LOG_2009 xBOX ramp up budget code applicaiton 300K --New May26 (3)" xfId="11159"/>
    <cellStyle name="Normal 11 2 2 2" xfId="11160"/>
    <cellStyle name="_Flex Mechanicals Doumen Sales forecast - Jan 06 updated._Volume Fcst Jul 06-update HP _Copy of Tom OS ( Oct) new for LOG_2009 xBOX ramp up budget code applicaiton 300K --New May27" xfId="11161"/>
    <cellStyle name="好_效益分析&amp;產能評估_MS Bolt wireless mouse FixtureEquipment Cost_A5_2010_02_21_Bolt RFQ_Foxlink_03.1 2011" xfId="11162"/>
    <cellStyle name="_Flex Mechanicals Doumen Sales forecast - Jan 06 updated._Volume Fcst Jul 06-update HP _Copy of Tom OS ( Oct) new for LOG_Budget GC Other Form" xfId="11163"/>
    <cellStyle name="_Sales Forecast (plastic XX)0703_Tom OS ( Oct)_2009 xBOX ramp up budget code applicaiton 300K --New May27" xfId="11164"/>
    <cellStyle name="_Sales Forecast (plastic XX)1203_Tom OS ( Oct)_2009 xBOX ramp up budget code applicaiton 300K --New May27" xfId="11165"/>
    <cellStyle name="_Flex Mechanicals Doumen Sales forecast - Jan 06 updated._Volume Fcst Jul 06-update HP _Copy of Tom OS ( Oct) new for LOG_Copy of X-BOX for line setup budget" xfId="11166"/>
    <cellStyle name="_Ind' Mar Summary report of July 06_2009 xBOX ramp up budget code applicaiton 300K --New May26 (3)" xfId="11167"/>
    <cellStyle name="_Flex Mechanicals Doumen Sales forecast - Jan 06 updated._Volume Fcst Jul 06-update HP _Copy of Tom OS ( Oct) new for LOG_Forecast Template v4" xfId="11168"/>
    <cellStyle name="差_HP Mouse 產能評估(Forecast更改後)_Bolt RFQ_Foxlink_03.1 2011_nego meeting@MACH 2 3" xfId="11169"/>
    <cellStyle name="好_River EE BOM_Creak Pearl Reliability Fixture RFQ_2009 04 24_Creek  Pearl RFQ_May 12_Leopard_UniBOM_ME_0531_Bolt RFQ Proposal_Foxlink_ (Pricing Summary) 2 25 2011 4 2" xfId="11170"/>
    <cellStyle name="_Flex Mechanicals Doumen Sales forecast - Jan 06 updated._Volume Fcst Jul 06-update HP _Copy of Tom OS ( Oct) new for LOG_X-BOX BB" xfId="11171"/>
    <cellStyle name="差_Xl0000000 2 2 3" xfId="11172"/>
    <cellStyle name="_Flex Mechanicals Doumen Sales forecast - Jan 06 updated._Volume Fcst Jul 06-update HP _Copy of Tom OS ( Oct) new for LOG_X-BOX Console line setup budget 20080414" xfId="11173"/>
    <cellStyle name="_Flex Mechanicals Doumen Sales forecast - Jan 06 updated._Volume Fcst Jul 06-update HP _Copy of Tom OS ( Oct) new for LOG_X-BOX Console line setup budget and Buyer list" xfId="11174"/>
    <cellStyle name="Normal 4 4 5" xfId="11175"/>
    <cellStyle name="差_效益分析_Dallas flow chart&amp;設備&amp;治工具清單(12-8 A0)_Flow chart and Fixture(1-4)_Jackson 效益分析 (2-1 B0 上系統)_Leopard Flowchart &amp; 產能評估" xfId="11176"/>
    <cellStyle name="_Flex Mechanicals Doumen Sales forecast - Jan 06 updated._Volume Fcst Jul 06-update HP _Copy of X-BOX for line setup budget" xfId="11177"/>
    <cellStyle name="_Flex Mechanicals Doumen Sales forecast - Jan 06 updated._Volume Fcst Jul 06-update HP _Internal Hourly Rate Q1 FY08 Version (2)" xfId="11178"/>
    <cellStyle name="60% - Accent1 13" xfId="11179"/>
    <cellStyle name="_Flex Mechanicals Doumen Sales forecast - Jan 06 updated._Volume Fcst Jul 06-update HP _Internal Hourly Rate Q1 FY08 Version 06052007 Draft" xfId="11180"/>
    <cellStyle name="差_Creak Pearl Reliability Fixture RFQ_2009 04 24_Pearl RFQ(Submittal)ver2_05_12_2009 _Leopard UniBom_Foxlink_6 21 2010-ME_nego 2 2" xfId="11181"/>
    <cellStyle name="_Flex Mechanicals Doumen Sales forecast - Jan 06 updated._Volume Fcst Jul 06-update HP _Internal Hourly Rate Q1 FY08 Version 06052007 Draft_Internal Hourly Rate Q1 FY08 Version (2)" xfId="11182"/>
    <cellStyle name="好_River EE BOM_Creek RFQ feedback 04_28_2009_FD Update_Bolt RFQ_Foxlink_03.1 2011 2 2" xfId="11183"/>
    <cellStyle name="_Flex Mechanicals Doumen Sales forecast - Jan 06 updated._Volume Fcst Jul 06-update HP _Internal Hourly Rate Q1 FY08 Version 06142007 excl. Corporate Allocation" xfId="11184"/>
    <cellStyle name="差_MS Bolt wireless mouse FixtureEquipment Cost_A5_2010_02_21_Bolt RFQ Proposal_Foxlink_ (Pricing Summary) 2 25 2011 2 2 3" xfId="11185"/>
    <cellStyle name="差_Creak Pearl Reliability Fixture RFQ_2009 04 24_Pearl RFQ(Submittal)ver2_05_12_2009 _Squirrel UniBom-06.23.2010_update_internal_Bolt RFQ_Foxlink_03.1 2011 2 3" xfId="11186"/>
    <cellStyle name="_Flex Mechanicals Doumen Sales forecast - Jan 06 updated._Volume Fcst Jul 06-update HP _Internal Hourly Rate Q1 FY08 Version 06142007 excl. Corporate Allocation_Internal Hourly Rate Q1 FY08 Version (2)" xfId="11187"/>
    <cellStyle name="_Flex Mechanicals Doumen Sales forecast - Jan 06 updated._Volume Fcst Jul 06-update HP _Tom OS ( Oct)" xfId="11188"/>
    <cellStyle name="_Flex Mechanicals Doumen Sales forecast - Jan 06 updated._Volume Fcst Jul 06-update HP _Tom OS ( Oct)_2009 xBOX ramp up budget code applicaiton" xfId="11189"/>
    <cellStyle name="_Kermit COGS estimate 112806" xfId="11190"/>
    <cellStyle name="好_River EE BOM_Creak Pearl Reliability Fixture RFQ_2009 04 24_Creek RFQ feedback 04_28_2009_FD Update_Squirrel RFQ ME BOM Costs-0623_Bolt RFQ Proposal_Foxlink_ (Pricing Summary) 2 25 2011 5 2" xfId="11191"/>
    <cellStyle name="好_Creek EE BOM cost_20090425_Squirrel UniBom-06 23 2010_update_internal" xfId="11192"/>
    <cellStyle name="_Flex Mechanicals Doumen Sales forecast - Jan 06 updated._Volume Fcst Jul 06-update HP _Tom OS ( Oct)_2009 xBOX ramp up budget code applicaiton 300K --New May26 (3)" xfId="11193"/>
    <cellStyle name="差_Creak Pearl Reliability Fixture RFQ_2009 04 24_Xl0000002_Bolt RFQ_Foxlink_03.1 2011 2 2" xfId="11194"/>
    <cellStyle name="壞_Creek Assembly Fixture  Test Equipment RFQ_20090427_Leopard_UniBOM_ME_0531_Bolt RFQ Proposal_Foxlink_ (Pricing Summary) 2 25 2011 2 2 2" xfId="11195"/>
    <cellStyle name="_Flex Mechanicals Doumen Sales forecast - Jan 06 updated._Volume Fcst Jul 06-update HP _Tom OS ( Oct)_2009 xBOX ramp up budget code applicaiton 300K --New May27" xfId="11196"/>
    <cellStyle name="_Flex Mechanicals Doumen Sales forecast - Jan 06 updated._Volume Fcst Jul 06-update HP _Tom OS ( Oct)_Budget GC Other Form" xfId="11197"/>
    <cellStyle name="_Flex Mechanicals Doumen Sales forecast - Jan 06 updated._Volume Fcst Jul 06-update HP _Tom OS ( Oct)_Copy of X-BOX for line setup budget" xfId="11198"/>
    <cellStyle name="好_River EE BOM_Creak Pearl Reliability Fixture RFQ_2009 04 24_Creek  Pearl RFQ_May 12_Leopard Lemur Squirrel UniBom-06.22.2010_EE cost _update_internal 2" xfId="11199"/>
    <cellStyle name="_Flex Mechanicals Doumen Sales forecast - Jan 06 updated._Volume Fcst Jul 06-update HP _Tom OS ( Oct)_Forecast Template v4" xfId="11200"/>
    <cellStyle name="_Flex Mechanicals Doumen Sales forecast - Jan 06 updated._Volume Fcst Jul 06-update HP _Tom OS ( Oct)_X-BOX BB" xfId="11201"/>
    <cellStyle name="_PPV ALLOCATION-Nov04_Stream RFQ Unibom--0626-1756" xfId="11202"/>
    <cellStyle name="差_Creek RFQ feedback 04_28_2009_FD Update_Leopard_UniBOM_ME_0602_Bolt RFQ_Foxlink_03.1 2011_nego meeting@MACH" xfId="11203"/>
    <cellStyle name="_Flex Mechanicals Doumen Sales forecast - Jan 06 updated._Volume Fcst Jul 06-update HP _Tom OS ( Oct)_X-BOX Console line setup budget 20080414" xfId="11204"/>
    <cellStyle name="_Flex Mechanicals Doumen Sales forecast - Jan 06 updated._Volume Fcst Jul 06-update HP _Tom OS ( Oct)_X-BOX Console line setup budget and Buyer list" xfId="11205"/>
    <cellStyle name="_Flex Mechanicals Doumen Sales forecast - Jan 06 updated._Volume Fcst Jul 06-update HP _X-BOX BB" xfId="11206"/>
    <cellStyle name="_Flex Mechanicals Doumen Sales forecast - Jan 06 updated._Volume Fcst Jul 06-update HP _X-BOX Console line setup budget 20080414" xfId="11207"/>
    <cellStyle name="差_dallas產能評估_Flow chart and Fixture(Jackson)_A1_Jackson 效益分析 (2-1 B0 上系統)_squirrel效益分析08-17" xfId="11208"/>
    <cellStyle name="_Flex Mechanicals Doumen Sales forecast - Jan 06 updated._Volume Fcst Jul 06-update HP _X-BOX Console line setup budget and Buyer list" xfId="11209"/>
    <cellStyle name="差_Xl0000002_Leopard RFQ ME BOM Costs-0618_Bolt RFQ Proposal_Foxlink_ (Pricing Summary) 2 25 2011 3" xfId="11210"/>
    <cellStyle name="好_River EE BOM_Xl0000002_Leopard RFQ ME BOM Costs-0618_Bolt RFQ_Foxlink_03.1 2011 3" xfId="11211"/>
    <cellStyle name="_Flex Mechanicals Doumen Sales forecast - Jan 06 updated._X-BOX BB" xfId="11212"/>
    <cellStyle name="60% - 强调文字颜色 5 3 2 2" xfId="11213"/>
    <cellStyle name="_Flex Mechanicals Doumen Sales forecast - Jan 06 updated._X-BOX Console line setup budget 20080414" xfId="11214"/>
    <cellStyle name="_Flex Mechanicals Doumen Sales forecast - Jan.06" xfId="11215"/>
    <cellStyle name="_Sales Breakdown Analysis 3_PL Forecast by segment-most final 0806_Tom OS ( Oct)_2009 xBOX ramp up budget code applicaiton 300K --New May27" xfId="11216"/>
    <cellStyle name="Normal 46 2 2 2" xfId="11217"/>
    <cellStyle name="Normal 51 2 2 2" xfId="11218"/>
    <cellStyle name="_XLSTestErrorCodes_TestMedia" xfId="11219"/>
    <cellStyle name="_Flex Mechanicals Doumen Sales forecast - Jan.06_2009 xBOX ramp up budget code applicaiton" xfId="11220"/>
    <cellStyle name="_Flex Mechanicals Doumen Sales forecast - Jan.06_2009 xBOX ramp up budget code applicaiton 300K --New May26 (3)" xfId="11221"/>
    <cellStyle name="_Flex Mechanicals Doumen Sales forecast - Jan.06_2009 xBOX ramp up budget code applicaiton 300K --New May27" xfId="11222"/>
    <cellStyle name="好_River EE BOM_Creak Pearl Reliability Fixture RFQ_2009 04 24_Squirrel UniBom-06.23.2010_update_internal 2 3" xfId="11223"/>
    <cellStyle name="差_效益分析&amp;產能評估_M1 SuedeFixtureEquipment Cost_A0_2010_10_15_Wedge_ME_BOM-v00-11v0715 2" xfId="11224"/>
    <cellStyle name="_Flex Mechanicals Doumen Sales forecast - Jan.06_Budget GC Other Form" xfId="11225"/>
    <cellStyle name="壞_Creek Assembly Fixture  Test Equipment RFQ_20090427_Xl0000002_Bolt RFQ_Foxlink_03.1 2011_nego meeting@MACH 3 3" xfId="11226"/>
    <cellStyle name="_Flex Mechanicals Doumen Sales forecast - Jan.06_Copy of X-BOX for line setup budget" xfId="11227"/>
    <cellStyle name="好_River EE BOM_Xl0000002_Leopard RFQ ME BOM Costs-0618-2_Bolt RFQ_Foxlink_03.1 2011 2 3" xfId="11228"/>
    <cellStyle name="_Flex Mechanicals Doumen Sales forecast - Jan.06_Internal Hourly Rate Q1 FY08 Version (2)" xfId="11229"/>
    <cellStyle name="_Flex Mechanicals Doumen Sales forecast - Jan.06_Internal Hourly Rate Q1 FY08 Version 06052007 Draft" xfId="11230"/>
    <cellStyle name="_Flex Mechanicals Doumen Sales forecast - Jan.06_Internal Hourly Rate Q1 FY08 Version 06052007 Draft_Internal Hourly Rate Q1 FY08 Version (2)" xfId="11231"/>
    <cellStyle name="_Flex Mechanicals Doumen Sales forecast - Jan.06_Internal Hourly Rate Q1 FY08 Version 06142007 excl. Corporate Allocation" xfId="11232"/>
    <cellStyle name="_Flex Mechanicals Doumen Sales forecast - Jan.06_PL Fcst Jul 06-updated G&amp;A Value_2009 xBOX ramp up budget code applicaiton" xfId="11233"/>
    <cellStyle name="_Flex Mechanicals Doumen Sales forecast - Jan.06_PL Fcst Jul 06-updated G&amp;A Value_2009 xBOX ramp up budget code applicaiton 300K --New May26 (3)" xfId="11234"/>
    <cellStyle name="_Flex Mechanicals Doumen Sales forecast - Jan.06_PL Fcst Jul 06-updated G&amp;A Value_2009 xBOX ramp up budget code applicaiton 300K --New May27" xfId="11235"/>
    <cellStyle name="差_Erie mouse 效益分析( 11-19 A1)_~5631336_Jackson 效益分析 (2-1 B0 上系統)_Leopard Flowchart &amp; 產能評估" xfId="11236"/>
    <cellStyle name="_PL Forecast by segment-most final 0806_2009 xBOX ramp up budget code applicaiton" xfId="11237"/>
    <cellStyle name="好_Creek EE BOM cost_20090425_Leopard_UniBOM_ME_0531_Bolt RFQ Proposal_Foxlink_ (Pricing Summary) 2 25 2011 2 4" xfId="11238"/>
    <cellStyle name="_Flex Mechanicals Doumen Sales forecast - Jan.06_PL Fcst Jul 06-updated G&amp;A Value_Budget GC Other Form" xfId="11239"/>
    <cellStyle name="好_River EE BOM_Creak Pearl Reliability Fixture RFQ_2009 04 24_Creek  Pearl RFQ_May 12_Squirrel UniBom-06.23.2010_update_internal_Bolt RFQ Proposal_Foxlink_ (Pricing Summary) 2 25 2011 5 3" xfId="11240"/>
    <cellStyle name="_Flex Mechanicals Doumen Sales forecast - Jan.06_PL Fcst Jul 06-updated G&amp;A Value_Copy of Tom OS ( Oct) new for LOG" xfId="11241"/>
    <cellStyle name="_gregfu slides_FY06 P7 CM Consigned RM" xfId="11242"/>
    <cellStyle name="_FMTTQCI-MISH485-P004_Nazca copy exact flow chart 20120409" xfId="11243"/>
    <cellStyle name="_Flex Mechanicals Doumen Sales forecast - Jan.06_PL Fcst Jul 06-updated G&amp;A Value_Copy of Tom OS ( Oct) new for LOG_2009 xBOX ramp up budget code applicaiton" xfId="11244"/>
    <cellStyle name="_Flex Mechanicals Doumen Sales forecast - Jan.06_PL Fcst Jul 06-updated G&amp;A Value_Copy of Tom OS ( Oct) new for LOG_2009 xBOX ramp up budget code applicaiton 300K --New May26 (3)" xfId="11245"/>
    <cellStyle name="_Flex Mechanicals Doumen Sales forecast - Jan.06_PL Fcst Jul 06-updated G&amp;A Value_Copy of Tom OS ( Oct) new for LOG_Budget GC Other Form" xfId="11246"/>
    <cellStyle name="Normal 39" xfId="11247"/>
    <cellStyle name="Normal 44" xfId="11248"/>
    <cellStyle name="_PAVO DV BB  Flowchart 2009.05.31_Nazca copy exact flow chart 20120409" xfId="11249"/>
    <cellStyle name="_Flex Mechanicals Doumen Sales forecast - Jan.06_PL Fcst Jul 06-updated G&amp;A Value_Copy of Tom OS ( Oct) new for LOG_Copy of X-BOX for line setup budget" xfId="11250"/>
    <cellStyle name="差_HP Mouse 產能評估(上系統)_Bolt RFQ_Foxlink_03.1 2011 4" xfId="11251"/>
    <cellStyle name="_Flex Mechanicals Doumen Sales forecast - Jan.06_PL Fcst Jul 06-updated G&amp;A Value_Copy of Tom OS ( Oct) new for LOG_Forecast Template v4" xfId="11252"/>
    <cellStyle name="_Flex Mechanicals Doumen Sales forecast - Jan.06_PL Fcst Jul 06-updated G&amp;A Value_Copy of Tom OS ( Oct) new for LOG_X-BOX BB" xfId="11253"/>
    <cellStyle name="差_Xl0000002_Squirrel RFQ ME BOM Costs-0623_Bolt RFQ Proposal_Foxlink_ (Pricing Summary) 2 25 2011" xfId="11254"/>
    <cellStyle name="差_F3   SMT設備明細_效益分析_Dallas flow chart&amp;設備&amp;治工具清單(12-8 A0)_Jackson 效益分析 testing update_16th Jan111" xfId="11255"/>
    <cellStyle name="差_dallas產能評估_效益分析(總 12-28 Update)_Jackson 效益分析 (2-1 B0 上系統)_Leopard效益分析08-17" xfId="11256"/>
    <cellStyle name="_Flex Mechanicals Doumen Sales forecast - Jan.06_PL Fcst Jul 06-updated G&amp;A Value_Copy of Tom OS ( Oct) new for LOG_X-BOX Console line setup budget 20080414" xfId="11257"/>
    <cellStyle name="好_River EE BOM_Creak Pearl Reliability Fixture RFQ_2009 04 24_Xl0000002_Squirrel RFQ ME BOM Costs-0623_Bolt RFQ_Foxlink_03.1 2011" xfId="11258"/>
    <cellStyle name="_Flex Mechanicals Doumen Sales forecast - Jan.06_PL Fcst Jul 06-updated G&amp;A Value_Copy of Tom OS ( Oct) new for LOG_X-BOX Console line setup budget and Buyer list" xfId="11259"/>
    <cellStyle name="_Flex Mechanicals Doumen Sales forecast - Jan.06_PL Fcst Jul 06-updated G&amp;A Value_Copy of X-BOX for line setup budget" xfId="11260"/>
    <cellStyle name="_Flex Mechanicals Doumen Sales forecast - Jan.06_PL Fcst Jul 06-updated G&amp;A Value_Forecast Template v4" xfId="11261"/>
    <cellStyle name="_Flex Mechanicals Doumen Sales forecast - Jan.06_PL Fcst Jul 06-updated G&amp;A Value_Internal Hourly Rate Q1 FY08 Version (2)" xfId="11262"/>
    <cellStyle name="_Flex Mechanicals Doumen Sales forecast - Jan.06_PL Fcst Jul 06-updated G&amp;A Value_Internal Hourly Rate Q1 FY08 Version 06052007 Draft" xfId="11263"/>
    <cellStyle name="_Flex Mechanicals Doumen Sales forecast - Jan.06_PL Fcst Jul 06-updated G&amp;A Value_Internal Hourly Rate Q1 FY08 Version 06052007 Draft_Internal Hourly Rate Q1 FY08 Version (2)" xfId="11264"/>
    <cellStyle name="_Flex Mechanicals Doumen Sales forecast - Jan.06_PL Fcst Jul 06-updated G&amp;A Value_Internal Hourly Rate Q1 FY08 Version 06142007 excl. Corporate Allocation" xfId="11265"/>
    <cellStyle name="差_Xl0000002_Leopard RFQ ME BOM Costs-0618-2_Bolt RFQ_Foxlink_03.1 2011_nego meeting@MACH 2 3" xfId="11266"/>
    <cellStyle name="_Flex Mechanicals Doumen Sales forecast - Jan.06_PL Fcst Jul 06-updated G&amp;A Value_Internal Hourly Rate Q1 FY08 Version 06142007 excl. Corporate Allocation_Internal Hourly Rate Q1 FY08 Version (2)" xfId="11267"/>
    <cellStyle name="差_Creak Pearl Reliability Fixture RFQ_2009 04 24_Xl0000002_Bolt RFQ Proposal_Foxlink_ (Pricing Summary) 2 25 2011 4" xfId="11268"/>
    <cellStyle name="_Flex Mechanicals Doumen Sales forecast - Jan.06_PL Fcst Jul 06-updated G&amp;A Value_Tom OS ( Oct)" xfId="11269"/>
    <cellStyle name="_Flex Mechanicals Doumen Sales forecast - Jan.06_PL Fcst Jul 06-updated G&amp;A Value_Tom OS ( Oct)_2009 xBOX ramp up budget code applicaiton" xfId="11270"/>
    <cellStyle name="_Flex Mechanicals Doumen Sales forecast - Jan.06_PL Fcst Jul 06-updated G&amp;A Value_Tom OS ( Oct)_2009 xBOX ramp up budget code applicaiton 300K --New May26 (3)" xfId="11271"/>
    <cellStyle name="_Flex Mechanicals Doumen Sales forecast - Jan.06_PL Fcst Jul 06-updated G&amp;A Value_Tom OS ( Oct)_2009 xBOX ramp up budget code applicaiton 300K --New May27" xfId="11272"/>
    <cellStyle name="_Flex Mechanicals Doumen Sales forecast - Jan.06_PL Fcst Jul 06-updated G&amp;A Value_Tom OS ( Oct)_Budget GC Other Form" xfId="11273"/>
    <cellStyle name="_北五廠新客戶機種SMT線體評估-2011.07.09 Eric" xfId="11274"/>
    <cellStyle name="_Flex Mechanicals Doumen Sales forecast - Jan.06_PL Fcst Jul 06-updated G&amp;A Value_Tom OS ( Oct)_Copy of X-BOX for line setup budget" xfId="11275"/>
    <cellStyle name="_Flex Mechanicals Doumen Sales forecast - Jan.06_PL Fcst Jul 06-updated G&amp;A Value_Tom OS ( Oct)_Forecast Template v4" xfId="11276"/>
    <cellStyle name="好_River EE BOM_Creak Pearl Reliability Fixture RFQ_2009 04 24_Squirrel RFQ ME BOM Costs-0623" xfId="11277"/>
    <cellStyle name="好_River EE BOM_Creak Pearl Reliability Fixture RFQ_2009 04 24_Pearl RFQ(Submittal)ver2_05_12_2009 _Leopard RFQ ME BOM Costs-0618_Bolt RFQ_Foxlink_03.1 2011 3" xfId="11278"/>
    <cellStyle name="60% - Accent6 11" xfId="11279"/>
    <cellStyle name="_Flex Mechanicals Doumen Sales forecast - Jan.06_PL Fcst Jul 06-updated G&amp;A Value_Tom OS ( Oct)_X-BOX BB" xfId="11280"/>
    <cellStyle name="好_Creek Assembly Fixture  Test Equipment RFQ_20090427_Xl0000002_Squirrel RFQ ME BOM Costs-0623_Bolt RFQ Proposal_Foxlink_ (Pricing Summary) 2 25 2011 2" xfId="11281"/>
    <cellStyle name="_Flex Mechanicals Doumen Sales forecast - Jan.06_PL Fcst Jul 06-updated G&amp;A Value_Tom OS ( Oct)_X-BOX Console line setup budget 20080414" xfId="11282"/>
    <cellStyle name="好_River EE BOM_Creak Pearl Reliability Fixture RFQ_2009 04 24_Xl0000002_Leopard_UniBOM_ME_0531_Bolt RFQ_Foxlink_03.1 2011_nego meeting@MACH 2" xfId="11283"/>
    <cellStyle name="_Flex Mechanicals Doumen Sales forecast - Jan.06_PL Fcst Jul 06-updated G&amp;A Value_Tom OS ( Oct)_X-BOX Console line setup budget and Buyer list" xfId="11284"/>
    <cellStyle name="好_River EE BOM_Creak Pearl Reliability Fixture RFQ_2009 04 24_Creek RFQ feedback 04_28_2009_FD Update_Leopard_UniBOM_ME_0603-2 2 2" xfId="11285"/>
    <cellStyle name="好_Creek Assembly Fixture  Test Equipment RFQ_20090427_Xl0000002_Leopard RFQ ME BOM Costs-0618-2_Bolt RFQ_Foxlink_03.1 2011 4" xfId="11286"/>
    <cellStyle name="好_HP all model 標準工時(W1130) 2 3 2" xfId="11287"/>
    <cellStyle name="_Flex Mechanicals Doumen Sales forecast - Jan.06_PL Fcst Jul 06-updated G&amp;A Value_X-BOX Console line setup budget 20080414" xfId="11288"/>
    <cellStyle name="差_Creak Pearl Reliability Fixture RFQ_2009 04 24_Creek RFQ feedback 04_28_2009_FD Update_Leopard_UniBOM_ME_0602-1_Bolt RFQ Proposal_Foxlink_ (Pricing Summary) 2 25 2011 5" xfId="11289"/>
    <cellStyle name="Good 11" xfId="11290"/>
    <cellStyle name="_Forecast - Segment WGCJune06_Forecast Template v2_X-BOX Console line setup budget and Buyer list" xfId="11291"/>
    <cellStyle name="_Flex Mechanicals Doumen Sales forecast - Jan.06_PL Forecast by segment-most final 0806" xfId="11292"/>
    <cellStyle name="好_River EE BOM_Creak Pearl Reliability Fixture RFQ_2009 04 24_Pearl RFQ(Submittal)ver2_05_12_2009 _Leopard RFQ ME BOM Costs-0618_Bolt RFQ_Foxlink_03.1 2011_nego meeting@MACH 4" xfId="11293"/>
    <cellStyle name="好_River EE BOM_Creak Pearl Reliability Fixture RFQ_2009 04 24_Creek  Pearl RFQ_May 12_Leopard_UniBOM_ME_0602-1_Bolt RFQ_Foxlink_03.1 2011 2" xfId="11294"/>
    <cellStyle name="_Flex Mechanicals Doumen Sales forecast - Jan.06_PL Forecast by segment-most final 0806_2009 xBOX ramp up budget code applicaiton" xfId="11295"/>
    <cellStyle name="差_Xl0000000_Squirrel UniBom-06.23.2010_update_internal 4" xfId="11296"/>
    <cellStyle name="Normal 3 3 3" xfId="11297"/>
    <cellStyle name="40% - 强调文字颜色 1 2" xfId="11298"/>
    <cellStyle name="_Flex Mechanicals Doumen Sales forecast - Jan.06_PL Forecast by segment-most final 0806_2009 xBOX ramp up budget code applicaiton 300K --New May26 (3)" xfId="11299"/>
    <cellStyle name="20% - 强调文字颜色 4 2" xfId="11300"/>
    <cellStyle name="_Forecast - Segment WVJune06_Forecast Template v2_2009 xBOX ramp up budget code applicaiton" xfId="11301"/>
    <cellStyle name="_Flex Mechanicals Doumen Sales forecast - Jan.06_PL Forecast by segment-most final 0806_2009 xBOX ramp up budget code applicaiton 300K --New May27" xfId="11302"/>
    <cellStyle name="差_HP Mouse 產能評估(Forecast更改後)_MS Bolt wireless mouse FixtureEquipment Cost_A5_2010_02_21_Bolt RFQ Proposal_Foxlink_ (Pricing Summary) 2 25 2011 2 2 3" xfId="11303"/>
    <cellStyle name="_Flex Mechanicals Doumen Sales forecast - Jan.06_PL Forecast by segment-most final 0806_Budget GC Other Form" xfId="11304"/>
    <cellStyle name="_Flex Mechanicals Doumen Sales forecast - Jan.06_PL Forecast by segment-most final 0806_Copy of Tom OS ( Oct) new for LOG" xfId="11305"/>
    <cellStyle name="_Flex Mechanicals Doumen Sales forecast - Jan.06_PL Forecast by segment-most final 0806_Copy of Tom OS ( Oct) new for LOG_2009 xBOX ramp up budget code applicaiton 300K --New May26 (3)" xfId="11306"/>
    <cellStyle name="_Flex Mechanicals Doumen Sales forecast - Jan.06_PL Forecast by segment-most final 0806_Copy of Tom OS ( Oct) new for LOG_2009 xBOX ramp up budget code applicaiton 300K --New May27" xfId="11307"/>
    <cellStyle name="_Flex Mechanicals Doumen Sales forecast - Jan.06_PL Forecast by segment-most final 0806_Copy of Tom OS ( Oct) new for LOG_Copy of X-BOX for line setup budget" xfId="11308"/>
    <cellStyle name="_Flex Mechanicals Doumen Sales forecast - Jan.06_PL Forecast by segment-most final 0806_Copy of Tom OS ( Oct) new for LOG_X-BOX BB" xfId="11309"/>
    <cellStyle name="_Flex Mechanicals Doumen Sales forecast - Jan.06_PL Forecast by segment-most final 0806_Copy of Tom OS ( Oct) new for LOG_X-BOX Console line setup budget 20080414" xfId="11310"/>
    <cellStyle name="_Flex Mechanicals Doumen Sales forecast - Jan.06_PL Forecast by segment-most final 0806_Copy of Tom OS ( Oct) new for LOG_X-BOX Console line setup budget and Buyer list" xfId="11311"/>
    <cellStyle name="_Flex Mechanicals Doumen Sales forecast - Jan.06_PL Forecast by segment-most final 0806_Tom OS ( Oct)" xfId="11312"/>
    <cellStyle name="好_River EE BOM_Creek RFQ feedback 04_28_2009_FD Update_Leopard_UniBOM_ME_0602-1_Bolt RFQ Proposal_Foxlink_ (Pricing Summary) 2 25 2011 4 2" xfId="11313"/>
    <cellStyle name="_Flex Mechanicals Doumen Sales forecast - Jan.06_PL Forecast by segment-most final 0806_Tom OS ( Oct)_Budget GC Other Form" xfId="11314"/>
    <cellStyle name="差_HP  專案(設備&amp;治工具需夠買)update_MS Bolt wireless mouse FixtureEquipment Cost_A5_2010_02_21_Bolt RFQ_Foxlink_03.1 2011_nego meeting@MACH 3 2" xfId="11315"/>
    <cellStyle name="Title 14" xfId="11316"/>
    <cellStyle name="_Flex Mechanicals Doumen Sales forecast - Jan.06_PL Forecast by segment-most final 0806_Tom OS ( Oct)_Copy of X-BOX for line setup budget" xfId="11317"/>
    <cellStyle name="Output 6" xfId="11318"/>
    <cellStyle name="好_River EE BOM_Creek RFQ feedback 04_28_2009_FD Update_Leopard UniBom_Foxlink_6 21 2010-ME_nego_Bolt RFQ_Foxlink_03.1 2011 3 2" xfId="11319"/>
    <cellStyle name="_Flex Mechanicals Doumen Sales forecast - Jan.06-updated_Volume Fcst Jul 06-update HP _Tom OS ( Oct)" xfId="11320"/>
    <cellStyle name="_Flex Mechanicals Doumen Sales forecast - Jan.06_PL Forecast by segment-most final 0806_Tom OS ( Oct)_Forecast Template v4" xfId="11321"/>
    <cellStyle name="壞_Creek EE BOM cost_20090425_Leopard UniBom_Foxlink_6 21 2010-ME_nego_Bolt RFQ_Foxlink_03.1 2011 2 2" xfId="11322"/>
    <cellStyle name="_Flex Mechanicals Doumen Sales forecast - Jan.06_PL Forecast by segment-most final 0806_Tom OS ( Oct)_X-BOX Console line setup budget and Buyer list" xfId="11323"/>
    <cellStyle name="差_Creak Pearl Reliability Fixture RFQ_2009 04 24_Squirrel RFQ ME BOM Costs-0623_Bolt RFQ Proposal_Foxlink_ (Pricing Summary) 2 25 2011 3 3" xfId="11324"/>
    <cellStyle name="_Flex Mechanicals Doumen Sales forecast - Jan.06_PL Forecast by segment-most final 0806_X-BOX BB" xfId="11325"/>
    <cellStyle name="_Flex Mechanicals Doumen Sales forecast - Jan.06_PL Forecast by segment-most final 0806_X-BOX Console line setup budget 20080414" xfId="11326"/>
    <cellStyle name="Normal 29 3 2" xfId="11327"/>
    <cellStyle name="Normal 34 3 2" xfId="11328"/>
    <cellStyle name="_Flex Mechanicals Doumen Sales forecast - Jan.06_PL Forecast by segment-most final 0806_X-BOX Console line setup budget and Buyer list" xfId="11329"/>
    <cellStyle name="_Mulan Edge EP0 KRH CTB wk28_2_Nazca copy exact flow chart 2012313" xfId="11330"/>
    <cellStyle name="_Flex Mechanicals Doumen Sales forecast - Jan.06_Tom OS ( Oct)" xfId="11331"/>
    <cellStyle name="差_Creak Pearl Reliability Fixture RFQ_2009 04 24_Squirrel UniBom-06.23.2010_update_internal_Bolt RFQ_Foxlink_03.1 2011_nego meeting@MACH 5" xfId="11332"/>
    <cellStyle name="_Flex Mechanicals Doumen Sales forecast - Jan.06_Tom OS ( Oct)_2009 xBOX ramp up budget code applicaiton" xfId="11333"/>
    <cellStyle name="_Mechanical Contribution Margins (Q1'06, applied to Apr'04 Fcst)_Mechanical Contribution Margins forecast 0506 FP_X-BOX Console line setup budget 20080414" xfId="11334"/>
    <cellStyle name="好_Creek Assembly Fixture  Test Equipment RFQ_20090427_Leopard_UniBOM_ME_0602-1_Bolt RFQ Proposal_Foxlink_ (Pricing Summary) 2 25 2011 6" xfId="11335"/>
    <cellStyle name="_Flex Mechanicals Doumen Sales forecast - Jan.06_Tom OS ( Oct)_2009 xBOX ramp up budget code applicaiton 300K --New May26 (3)" xfId="11336"/>
    <cellStyle name="差_Creak Pearl Reliability Fixture RFQ_2009 04 24_Creek  Pearl RFQ_May 12_Leopard_UniBOM_ME_0603-2_Bolt RFQ_Foxlink_03.1 2011" xfId="11337"/>
    <cellStyle name="_Flex Mechanicals Doumen Sales forecast - Jan.06_Tom OS ( Oct)_2009 xBOX ramp up budget code applicaiton 300K --New May27" xfId="11338"/>
    <cellStyle name="差_HP Mouse 產能評估(上系統)_Bolt RFQ Proposal_Foxlink_ (Pricing Summary) 2 25 2011 2 4" xfId="11339"/>
    <cellStyle name="_Flex Mechanicals Doumen Sales forecast - Jan.06_Tom OS ( Oct)_Budget GC Other Form" xfId="11340"/>
    <cellStyle name="_Flex Mechanicals Doumen Sales forecast - Jan.06_Tom OS ( Oct)_Copy of X-BOX for line setup budget" xfId="11341"/>
    <cellStyle name="20% - Accent5 3 2 3" xfId="11342"/>
    <cellStyle name="_Flex Mechanicals Doumen Sales forecast - Jan.06_Tom OS ( Oct)_Forecast Template v4" xfId="11343"/>
    <cellStyle name="好_Creek EE BOM cost_20090425_Squirrel UniBom-06.23.2010_update_internal_Bolt RFQ_Foxlink_03.1 2011_nego meeting@MACH 2 3" xfId="11344"/>
    <cellStyle name="_Flex Mechanicals Doumen Sales forecast - Jan.06_Tom OS ( Oct)_X-BOX BB" xfId="11345"/>
    <cellStyle name="好_River EE BOM_Creak Pearl Reliability Fixture RFQ_2009 04 24_Xl0000002_Leopard RFQ ME BOM Costs-0618-2 3" xfId="11346"/>
    <cellStyle name="_Flex Mechanicals Doumen Sales forecast - Jan.06_Tom OS ( Oct)_X-BOX Console line setup budget and Buyer list" xfId="11347"/>
    <cellStyle name="_Qtr3 Pricing WZS" xfId="11348"/>
    <cellStyle name="好_River EE BOM_Creak Pearl Reliability Fixture RFQ_2009 04 24_Pearl RFQ(Submittal)ver2_05_12_2009 _Leopard_UniBOM_ME_0531_Bolt RFQ Proposal_Foxlink_ (Pricing Summary) 2 25 2011 2" xfId="11349"/>
    <cellStyle name="_Flex Mechanicals Doumen Sales forecast - Jan.06_Volume Fcst 1006 updated" xfId="11350"/>
    <cellStyle name="_Flex Mechanicals Doumen Sales forecast - Jan.06_Volume Fcst 1006 updated_2009 xBOX ramp up budget code applicaiton" xfId="11351"/>
    <cellStyle name="_Flex Mechanicals Doumen Sales forecast - Jan.06_Volume Fcst 1006 updated_2009 xBOX ramp up budget code applicaiton 300K --New May27" xfId="11352"/>
    <cellStyle name="好_River EE BOM_Creak Pearl Reliability Fixture RFQ_2009 04 24_Xl0000002_Leopard Lemur Squirrel UniBom-06.22.2010_EE cost _update_internal_Bolt RFQ_Foxlink_03.1 2011_nego meeting@MACH" xfId="11353"/>
    <cellStyle name="_Flex Mechanicals Doumen Sales forecast - Jan.06_Volume Fcst 1006 updated_Budget GC Other Form" xfId="11354"/>
    <cellStyle name="_Flex Mechanicals Doumen Sales forecast - Jan.06_Volume Fcst 1006 updated_Copy of Tom OS ( Oct) new for LOG" xfId="11355"/>
    <cellStyle name="_Sales Forecast (plastic XX)0703_Volume Fcst Jul 06-update HP _2009 xBOX ramp up budget code applicaiton 300K --New May27" xfId="11356"/>
    <cellStyle name="_Sales Forecast (plastic XX)1203_Volume Fcst Jul 06-update HP _2009 xBOX ramp up budget code applicaiton 300K --New May27" xfId="11357"/>
    <cellStyle name="_Flex Mechanicals Doumen Sales forecast - Jan.06_Volume Fcst 1006 updated_Copy of Tom OS ( Oct) new for LOG_2009 xBOX ramp up budget code applicaiton" xfId="11358"/>
    <cellStyle name="好_River EE BOM_Xl0000002_Leopard_UniBOM_ME_0531_Bolt RFQ_Foxlink_03.1 2011 3 2" xfId="11359"/>
    <cellStyle name="差_治具工程課2009年KPI_KPI 1006 2 2 2 2" xfId="11360"/>
    <cellStyle name="差 2 3 3" xfId="11361"/>
    <cellStyle name="_Flex Mechanicals Doumen Sales forecast - Jan.06_Volume Fcst 1006 updated_Copy of Tom OS ( Oct) new for LOG_2009 xBOX ramp up budget code applicaiton 300K --New May26 (3)" xfId="11362"/>
    <cellStyle name="_Flex Mechanicals Doumen Sales forecast - Jan.06_Volume Fcst 1006 updated_Copy of Tom OS ( Oct) new for LOG_2009 xBOX ramp up budget code applicaiton 300K --New May27" xfId="11363"/>
    <cellStyle name="_Flex Mechanicals Doumen Sales forecast - Jan.06_Volume Fcst 1006 updated_Copy of Tom OS ( Oct) new for LOG_Budget GC Other Form" xfId="11364"/>
    <cellStyle name="_Flex Mechanicals Doumen Sales forecast - Jan.06_Volume Fcst 1006 updated_Copy of Tom OS ( Oct) new for LOG_Forecast Template v4" xfId="11365"/>
    <cellStyle name="好_River EE BOM_Creak Pearl Reliability Fixture RFQ_2009 04 24_Pearl RFQ(Submittal)ver2_05_12_2009 _Leopard_UniBOM_ME_0602-1_Bolt RFQ_Foxlink_03.1 2011_nego meeting@MACH 3" xfId="11366"/>
    <cellStyle name="差_F3   SMT設備明細_效益分析_Flow chart and Fixture(Jackson)_A1_Jackson 效益分析 (2-1 B0 上系統)_Leopard Flowchart &amp; 產能評估" xfId="11367"/>
    <cellStyle name="_Flex Mechanicals Doumen Sales forecast - Jan.06_Volume Fcst 1006 updated_Copy of Tom OS ( Oct) new for LOG_X-BOX Console line setup budget 20080414" xfId="11368"/>
    <cellStyle name="好_Erie Assembly Fixture  Test Equip Cost_20090716_Oslo Quark Certification 20100312_Leopard UniBom_Foxlink_12092010 RevD-jen" xfId="11369"/>
    <cellStyle name="_Flex Mechanicals Doumen Sales forecast - Jan.06_Volume Fcst 1006 updated_Copy of Tom OS ( Oct) new for LOG_X-BOX Console line setup budget and Buyer list" xfId="11370"/>
    <cellStyle name="差_HP Mouse 產能評估(Forecast更改後)_M1 SuedeFixtureEquipment Cost_A0_2010_10_15_Bolt RFQ Proposal_Foxlink_ (Pricing Summary) 2 25 2011 5" xfId="11371"/>
    <cellStyle name="差_Creek RFQ feedback 04_28_2009_FD Update_Leopard UniBom_Foxlink_6 21 2010-ME_nego_Bolt RFQ Proposal_Foxlink_ (Pricing Summary) 2 25 2011 4 2" xfId="11372"/>
    <cellStyle name="_Seagate FLAGSHIP DESKTOP ME bom cost_Rev.A2 89" xfId="11373"/>
    <cellStyle name="_Seagate FLAGSHIP DESKTOP ME bom cost_Rev.A2 94" xfId="11374"/>
    <cellStyle name="_Flex Mechanicals Doumen Sales forecast - Jan.06_Volume Fcst 1006 updated_Forecast Template v4" xfId="11375"/>
    <cellStyle name="Normal 5 6" xfId="11376"/>
    <cellStyle name="_Flex Mechanicals Doumen Sales forecast - Jan.06_Volume Fcst 1006 updated_Tom OS ( Oct)" xfId="11377"/>
    <cellStyle name="_Flex Mechanicals Doumen Sales forecast - Jan.06_Volume Fcst 1006 updated_Tom OS ( Oct)_2009 xBOX ramp up budget code applicaiton" xfId="11378"/>
    <cellStyle name="差_Xl0000002_Leopard Lemur Squirrel UniBom-06.22.2010_EE cost _update_internal_Bolt RFQ Proposal_Foxlink_ (Pricing Summary) 2 25 2011 4" xfId="11379"/>
    <cellStyle name="_Flex Mechanicals Doumen Sales forecast - Jan.06_Volume Fcst 1006 updated_Tom OS ( Oct)_2009 xBOX ramp up budget code applicaiton 300K --New May26 (3)" xfId="11380"/>
    <cellStyle name="_Flex Mechanicals Doumen Sales forecast - Jan.06_Volume Fcst 1006 updated_Tom OS ( Oct)_2009 xBOX ramp up budget code applicaiton 300K --New May27" xfId="11381"/>
    <cellStyle name="好_River EE BOM_Creek RFQ feedback 04_28_2009_FD Update_Squirrel RFQ ME BOM Costs-0623_Bolt RFQ_Foxlink_03.1 2011 2 3" xfId="11382"/>
    <cellStyle name="_Flex Mechanicals Doumen Sales forecast - Jan.06_Volume Fcst 1006 updated_Tom OS ( Oct)_Budget GC Other Form" xfId="11383"/>
    <cellStyle name="_Flex Mechanicals Doumen Sales forecast - Jan.06_Volume Fcst 1006 updated_Tom OS ( Oct)_Copy of X-BOX for line setup budget" xfId="11384"/>
    <cellStyle name="_Flex Mechanicals Doumen Sales forecast - Jan.06_Volume Fcst 1006 updated_Tom OS ( Oct)_Forecast Template v4" xfId="11385"/>
    <cellStyle name="_Flex Mechanicals Doumen Sales forecast - Jan.06_Volume Fcst 1006 updated_Tom OS ( Oct)_X-BOX Console line setup budget and Buyer list" xfId="11386"/>
    <cellStyle name="差_F3   SMT設備明細_jupite r設備&amp;治工具LIST (總)_Dallas flow chart&amp;設備&amp;治工具清單(12-8 A0)_~5631336_Jackson 效益分析 (2-1 B0 上系統)_squirrel效益分析08-17" xfId="11387"/>
    <cellStyle name="好_HP Mouse 產能評估(Forecast更改後)_M1 Lemur Capacity planFixtureEquipment Cost_A2_06192010" xfId="11388"/>
    <cellStyle name="_Flex Mechanicals Doumen Sales forecast - Jan.06_Volume Fcst 1006 updated_X-BOX BB" xfId="11389"/>
    <cellStyle name="_Flex Mechanicals Doumen Sales forecast - Jan.06_Volume Fcst 1006 updated_X-BOX Console line setup budget and Buyer list" xfId="11390"/>
    <cellStyle name="_XBOX QA" xfId="11391"/>
    <cellStyle name="_Flex Mechanicals Doumen Sales forecast - Jan.06_Volume Fcst Jul 06-update HP " xfId="11392"/>
    <cellStyle name="_PL Forecast Comparison_Mech Doumen2006_1(preliminary)_Volume Fcst Jul 06-update HP _2009 xBOX ramp up budget code applicaiton 300K --New May26 (3)" xfId="11393"/>
    <cellStyle name="_Flex Mechanicals Doumen Sales forecast - Jan.06_Volume Fcst Jul 06-update HP _2009 xBOX ramp up budget code applicaiton" xfId="11394"/>
    <cellStyle name="_Flex Mechanicals Doumen Sales forecast - Jan.06_Volume Fcst Jul 06-update HP _2009 xBOX ramp up budget code applicaiton 300K --New May26 (3)" xfId="11395"/>
    <cellStyle name="差_HP Mouse 產能評估(上系統)_MS Bolt wireless mouse FixtureEquipment Cost_A5_2010_02_21_Bolt RFQ_Foxlink_03.1 2011 3 2" xfId="11396"/>
    <cellStyle name="_Flex Mechanicals Doumen Sales forecast - Jan.06_Volume Fcst Jul 06-update HP _2009 xBOX ramp up budget code applicaiton 300K --New May27" xfId="11397"/>
    <cellStyle name="差_效益分析_Dallas效益分析&amp;投資回收期 (12-2 A1)_Flow Chart&amp;設備治工具清單 _Leopard效益分析08-17" xfId="11398"/>
    <cellStyle name="_Mechanical Contribution Margins (Q2'06) 0705_Copy of Tom OS ( Oct) new for LOG" xfId="11399"/>
    <cellStyle name="_Flex Mechanicals Doumen Sales forecast - Jan.06_Volume Fcst Jul 06-update HP _Budget GC Other Form" xfId="11400"/>
    <cellStyle name="好_River EE BOM_Creek RFQ feedback 04_28_2009_FD Update_Leopard Lemur Squirrel UniBom-06.22.2010_EE cost _update_internal" xfId="11401"/>
    <cellStyle name="好_River EE BOM_Creak Pearl Reliability Fixture RFQ_2009 04 24_Creek  Pearl RFQ_May 12_Leopard UniBom_Foxlink_6 21 2010-ME_nego_Bolt RFQ Proposal_Foxlink_ (Pricing Summary) 2 25 2011 5 3" xfId="11402"/>
    <cellStyle name="_Flex Mechanicals Doumen Sales forecast - Jan.06_Volume Fcst Jul 06-update HP _Copy of Tom OS ( Oct) new for LOG_2009 xBOX ramp up budget code applicaiton" xfId="11403"/>
    <cellStyle name="どちらでもない" xfId="11404"/>
    <cellStyle name="_Mechanical Contribution Margins (Q2'06) 0705_Mechanical Contribution Margins forecast 0506 FP_Volume Fcst 1006 updated_Copy of Tom OS ( Oct) new for LOG_2009 xBOX ramp up budget code applicaiton 300K --New May26 (3)" xfId="11405"/>
    <cellStyle name="_Flex Mechanicals Doumen Sales forecast - Jan.06_Volume Fcst Jul 06-update HP _Copy of Tom OS ( Oct) new for LOG_2009 xBOX ramp up budget code applicaiton 300K --New May27" xfId="11406"/>
    <cellStyle name="差_Xl0000002_Lemur RFQ ME BOM Costs-0623" xfId="11407"/>
    <cellStyle name="_Flex Mechanicals Doumen Sales forecast - Jan.06_Volume Fcst Jul 06-update HP _Copy of Tom OS ( Oct) new for LOG_Budget GC Other Form" xfId="11408"/>
    <cellStyle name="_Flex Mechanicals Doumen Sales forecast - Jan.06_Volume Fcst Jul 06-update HP _Copy of Tom OS ( Oct) new for LOG_Copy of X-BOX for line setup budget" xfId="11409"/>
    <cellStyle name="_Flex Mechanicals Doumen Sales forecast - Jan.06_Volume Fcst Jul 06-update HP _Copy of Tom OS ( Oct) new for LOG_Forecast Template v4" xfId="11410"/>
    <cellStyle name="_Flex Mechanicals Doumen Sales forecast - Jan.06_Volume Fcst Jul 06-update HP _Copy of Tom OS ( Oct) new for LOG_X-BOX BB" xfId="11411"/>
    <cellStyle name="差_效益分析&amp;產能評估_M1 SuedeFixtureEquipment Cost_A0_2010_10_15_Bolt RFQ_Foxlink_03.1 2011" xfId="11412"/>
    <cellStyle name="60% - Accent5 15" xfId="11413"/>
    <cellStyle name="_Flex Mechanicals Doumen Sales forecast - Jan.06_Volume Fcst Jul 06-update HP _Copy of Tom OS ( Oct) new for LOG_X-BOX Console line setup budget 20080414" xfId="11414"/>
    <cellStyle name="_Flex Mechanicals Doumen Sales forecast - Jan.06_Volume Fcst Jul 06-update HP _Copy of Tom OS ( Oct) new for LOG_X-BOX Console line setup budget and Buyer list" xfId="11415"/>
    <cellStyle name="_Flex Mechanicals Doumen Sales forecast - Jan.06_Volume Fcst Jul 06-update HP _Copy of X-BOX for line setup budget" xfId="11416"/>
    <cellStyle name="_Flex Mechanicals Doumen Sales forecast - Jan.06_Volume Fcst Jul 06-update HP _Forecast Template v4" xfId="11417"/>
    <cellStyle name="_Mpos Forecast on Sep 292005_Line transition plan to B17 rev 5_Tester Demand Plan 062707" xfId="11418"/>
    <cellStyle name="_Flex Mechanicals Doumen Sales forecast - Jan.06_Volume Fcst Jul 06-update HP _Internal Hourly Rate Q1 FY08 Version (2)" xfId="11419"/>
    <cellStyle name="_Flex Mechanicals Doumen Sales forecast - Jan.06_Volume Fcst Jul 06-update HP _Internal Hourly Rate Q1 FY08 Version 06142007 excl. Corporate Allocation" xfId="11420"/>
    <cellStyle name="_Flex Mechanicals Doumen Sales forecast - Jan.06_Volume Fcst Jul 06-update HP _Internal Hourly Rate Q1 FY08 Version 06142007 excl. Corporate Allocation_Internal Hourly Rate Q1 FY08 Version (2)" xfId="11421"/>
    <cellStyle name="_Flex Mechanicals Doumen Sales forecast - Jan.06_Volume Fcst Jul 06-update HP _Tom OS ( Oct)" xfId="11422"/>
    <cellStyle name="_Flex Mechanicals Doumen Sales forecast - Jan.06_Volume Fcst Jul 06-update HP _Tom OS ( Oct)_2009 xBOX ramp up budget code applicaiton" xfId="11423"/>
    <cellStyle name="_Flex Mechanicals Doumen Sales forecast - Jan.06_Volume Fcst Jul 06-update HP _Tom OS ( Oct)_2009 xBOX ramp up budget code applicaiton 300K --New May26 (3)" xfId="11424"/>
    <cellStyle name="差_F3   SMT設備明細_squirrel效益分析08-17" xfId="11425"/>
    <cellStyle name="差_0842周 顯卡報廢超標8D_2009MB KPI_MBO3F製造部hp0209-01 2 2 2 2" xfId="11426"/>
    <cellStyle name="好_River EE BOM_Creak Pearl Reliability Fixture RFQ_2009 04 24_Xl0000002_Leopard_UniBOM_ME_0602 2" xfId="11427"/>
    <cellStyle name="_Flex Mechanicals Doumen Sales forecast - Jan.06_Volume Fcst Jul 06-update HP _Tom OS ( Oct)_Budget GC Other Form" xfId="11428"/>
    <cellStyle name="差_Creak Pearl Reliability Fixture RFQ_2009 04 24_Creek  Pearl RFQ_May 12_Squirrel UniBom-06.23.2010_update_internal 2 2 2" xfId="11429"/>
    <cellStyle name="好_River EE BOM_Creek RFQ feedback 04_28_2009_FD Update_Squirrel RFQ ME BOM Costs-0623_Bolt RFQ_Foxlink_03.1 2011_nego meeting@MACH 4" xfId="11430"/>
    <cellStyle name="_Flex Mechanicals Doumen Sales forecast - Jan.06_Volume Fcst Jul 06-update HP _Tom OS ( Oct)_Copy of X-BOX for line setup budget" xfId="11431"/>
    <cellStyle name="差_MB9月管審換線超時8d_HP 5" xfId="11432"/>
    <cellStyle name="_Flex Mechanicals Doumen Sales forecast - Jan.06_Volume Fcst Jul 06-update HP _Tom OS ( Oct)_Forecast Template v4" xfId="11433"/>
    <cellStyle name="好_River EE BOM_Xl0000002_Leopard_UniBOM_ME_0603-2_Bolt RFQ_Foxlink_03.1 2011" xfId="11434"/>
    <cellStyle name="_Flex Mechanicals Doumen Sales forecast - Jan.06_Volume Fcst Jul 06-update HP _Tom OS ( Oct)_X-BOX BB" xfId="11435"/>
    <cellStyle name="_Flex Mechanicals Doumen Sales forecast - Jan.06_Volume Fcst Jul 06-update HP _Tom OS ( Oct)_X-BOX Console line setup budget 20080414" xfId="11436"/>
    <cellStyle name="_Flex Mechanicals Doumen Sales forecast - Jan.06_Volume Fcst Jul 06-update HP _Tom OS ( Oct)_X-BOX Console line setup budget and Buyer list" xfId="11437"/>
    <cellStyle name="好_效益分析&amp;產能評估_M1 SuedeFixtureEquipment Cost_A0_2010_10_15_Bolt RFQ Proposal_Foxlink_ (Pricing Summary) 2 25 2011 3 3" xfId="11438"/>
    <cellStyle name="_Flex Mechanicals Doumen Sales forecast - Jan.06_Volume Fcst Jul 06-update HP _X-BOX BB" xfId="11439"/>
    <cellStyle name="好_River EE BOM_Creak Pearl Reliability Fixture RFQ_2009 04 24_Foxlink_Shadow RFQ NREUni BOM_12032009_Bolt RFQ_Foxlink_03.1 2011 3" xfId="11440"/>
    <cellStyle name="_Flex Mechanicals Doumen Sales forecast - Jan.06_Volume Fcst Jul 06-update HP _X-BOX Console line setup budget and Buyer list" xfId="11441"/>
    <cellStyle name="_Flex Mechanicals Doumen Sales forecast - Jan.06_X-BOX Console line setup budget 20080414" xfId="11442"/>
    <cellStyle name="_Flex Mechanicals Doumen Sales forecast - Jan.06-updated_2009 xBOX ramp up budget code applicaiton" xfId="11443"/>
    <cellStyle name="好_治具工程課2009年KPI_2009MB KPI-0205 3 3" xfId="11444"/>
    <cellStyle name="_Flex Mechanicals Doumen Sales forecast - Jan.06-updated_2009 xBOX ramp up budget code applicaiton 300K --New May26 (3)" xfId="11445"/>
    <cellStyle name="_Flex Mechanicals Doumen Sales forecast - Jan.06-updated_2009 xBOX ramp up budget code applicaiton 300K --New May27" xfId="11446"/>
    <cellStyle name="好_River EE BOM_Creak Pearl Reliability Fixture RFQ_2009 04 24_Creek RFQ feedback 04_28_2009_FD Update_Leopard_UniBOM_ME_0602_Bolt RFQ_Foxlink_03.1 2011_nego meeting@MACH 4" xfId="11447"/>
    <cellStyle name="_Flex Mechanicals Doumen Sales forecast - Jan.06-updated_Copy of Tom OS ( Oct) new for LOG" xfId="11448"/>
    <cellStyle name="_Flex Mechanicals Doumen Sales forecast - Jan.06-updated_Copy of Tom OS ( Oct) new for LOG_2009 xBOX ramp up budget code applicaiton 300K --New May27" xfId="11449"/>
    <cellStyle name="差_dallas產能評估_Dallas flow chart&amp;設備&amp;治工具清單(12-8 A0)_~5631336" xfId="11450"/>
    <cellStyle name="_Mechanical Contribution Margins (Q1'06, applied to Apr'04 Fcst)_Mechanical Contribution Margins forecast 0506 FP_PL Forecast by segment-most final 0806_Copy of Tom OS ( Oct) new for LOG_X-BOX BB" xfId="11451"/>
    <cellStyle name="_Flex Mechanicals Doumen Sales forecast - Jan.06-updated_Copy of Tom OS ( Oct) new for LOG_Forecast Template v4" xfId="11452"/>
    <cellStyle name="好_River EE BOM_Creak Pearl Reliability Fixture RFQ_2009 04 24_Creek  Pearl RFQ_May 12_Leopard_UniBOM_ME_0602-1_Bolt RFQ Proposal_Foxlink_ (Pricing Summary) 2 25 2011 4 2" xfId="11453"/>
    <cellStyle name="_Flex Mechanicals Doumen Sales forecast - Jan.06-updated_Copy of Tom OS ( Oct) new for LOG_X-BOX BB" xfId="11454"/>
    <cellStyle name="_Flex Mechanicals Doumen Sales forecast - Jan.06-updated_Copy of Tom OS ( Oct) new for LOG_X-BOX Console line setup budget 20080414" xfId="11455"/>
    <cellStyle name="_Flex Mechanicals Doumen Sales forecast - Jan.06-updated_Copy of Tom OS ( Oct) new for LOG_X-BOX Console line setup budget and Buyer list" xfId="11456"/>
    <cellStyle name="_X802678-001 Xenon Commodity Costed BOM (3)_4 27_to MS_Tester Demand Plan 062807_Tester Demand Plan 062707" xfId="11457"/>
    <cellStyle name="_Jun05_WZS" xfId="11458"/>
    <cellStyle name="_Flex Mechanicals Doumen Sales forecast - Jan.06-updated_Copy of X-BOX for line setup budget" xfId="11459"/>
    <cellStyle name="_Flex Mechanicals Doumen Sales forecast - Jan.06-updated_Forecast Template v4" xfId="11460"/>
    <cellStyle name="_Flex Mechanicals Doumen Sales forecast - Jan.06-updated_Internal Hourly Rate Q1 FY08 Version 06052007 Draft_Internal Hourly Rate Q1 FY08 Version (2)" xfId="11461"/>
    <cellStyle name="好_Dolce QA Report(RSD2 build)2010_0913" xfId="11462"/>
    <cellStyle name="_Flex Mechanicals Doumen Sales forecast - Jan.06-updated_Internal Hourly Rate Q1 FY08 Version 06142007 excl. Corporate Allocation" xfId="11463"/>
    <cellStyle name="差_效益分析_flow chart 2009.12.12_Jackson 效益分析 (2-1 B0 上系統)_Leopard Flowchart &amp; 產能評估" xfId="11464"/>
    <cellStyle name="差_Creak Pearl Reliability Fixture RFQ_2009 04 24_Creek RFQ feedback 04_28_2009_FD Update_Squirrel RFQ ME BOM Costs-0623_Bolt RFQ Proposal_Foxlink_ (Pricing Summary) 2 25 2011 4 2" xfId="11465"/>
    <cellStyle name="_Flex Mechanicals Doumen Sales forecast - Jan.06-updated_PL Fcst Jul 06-updated G&amp;A Value" xfId="11466"/>
    <cellStyle name="差_dallas產能評估_Dallas flow chart&amp;設備&amp;治工具清單(12-8 A0)_Leopard Flowchart &amp; 產能評估" xfId="11467"/>
    <cellStyle name="Normal 25" xfId="11468"/>
    <cellStyle name="Normal 30" xfId="11469"/>
    <cellStyle name="_Flex Mechanicals Doumen Sales forecast - Jan.06-updated_PL Fcst Jul 06-updated G&amp;A Value_2009 xBOX ramp up budget code applicaiton" xfId="11470"/>
    <cellStyle name="_Flex Mechanicals Doumen Sales forecast - Jan.06-updated_PL Fcst Jul 06-updated G&amp;A Value_2009 xBOX ramp up budget code applicaiton 300K --New May26 (3)" xfId="11471"/>
    <cellStyle name="_Flex Mechanicals Doumen Sales forecast - Jan.06-updated_PL Fcst Jul 06-updated G&amp;A Value_2009 xBOX ramp up budget code applicaiton 300K --New May27" xfId="11472"/>
    <cellStyle name="60% - アクセント 1" xfId="11473"/>
    <cellStyle name="_Flex Mechanicals Doumen Sales forecast - Jan.06-updated_PL Fcst Jul 06-updated G&amp;A Value_Budget GC Other Form" xfId="11474"/>
    <cellStyle name="40% - Accent4 3 2 3" xfId="11475"/>
    <cellStyle name="_Radon Costed BOM Rev E 7-30-05_Dawson_RFP_Foxlink_Response_Proposal 的 工作表" xfId="11476"/>
    <cellStyle name="_Flex Mechanicals Doumen Sales forecast - Jan.06-updated_PL Fcst Jul 06-updated G&amp;A Value_Copy of Tom OS ( Oct) new for LOG" xfId="11477"/>
    <cellStyle name="_Flex Mechanicals Doumen Sales forecast - Jan.06-updated_PL Fcst Jul 06-updated G&amp;A Value_Copy of Tom OS ( Oct) new for LOG_2009 xBOX ramp up budget code applicaiton" xfId="11478"/>
    <cellStyle name="_Flex Mechanicals Doumen Sales forecast - Jan.06-updated_PL Fcst Jul 06-updated G&amp;A Value_Copy of Tom OS ( Oct) new for LOG_2009 xBOX ramp up budget code applicaiton 300K --New May26 (3)" xfId="11479"/>
    <cellStyle name="好_Creek Assembly Fixture  Test Equipment RFQ_20090427_Leopard UniBom_Foxlink_6 21 2010-ME_nego 2 4" xfId="11480"/>
    <cellStyle name="Normal 39 4 2" xfId="11481"/>
    <cellStyle name="Normal 44 4 2" xfId="11482"/>
    <cellStyle name="_Flex Mechanicals Doumen Sales forecast - Jan.06-updated_PL Fcst Jul 06-updated G&amp;A Value_Copy of Tom OS ( Oct) new for LOG_Budget GC Other Form" xfId="11483"/>
    <cellStyle name="_Flex Mechanicals Doumen Sales forecast - Jan.06-updated_PL Fcst Jul 06-updated G&amp;A Value_Copy of Tom OS ( Oct) new for LOG_Copy of X-BOX for line setup budget" xfId="11484"/>
    <cellStyle name="差_F3   SMT設備明細_效益分析_Flow Chart(shadow)-b (1-4 Update)_squirrel效益分析08-17" xfId="11485"/>
    <cellStyle name="好_River EE BOM_Squirrel UniBom-06.23.2010_update_internal" xfId="11486"/>
    <cellStyle name="差_Creak Pearl Reliability Fixture RFQ_2009 04 24_Creek  Pearl RFQ_May 12_Leopard_UniBOM_ME_0602_Bolt RFQ Proposal_Foxlink_ (Pricing Summary) 2 25 2011 4" xfId="11487"/>
    <cellStyle name="_Flex Mechanicals Doumen Sales forecast - Jan.06-updated_PL Fcst Jul 06-updated G&amp;A Value_Copy of Tom OS ( Oct) new for LOG_Forecast Template v4" xfId="11488"/>
    <cellStyle name="_Flex Mechanicals Doumen Sales forecast - Jan.06-updated_PL Fcst Jul 06-updated G&amp;A Value_Copy of Tom OS ( Oct) new for LOG_X-BOX Console line setup budget 20080414" xfId="11489"/>
    <cellStyle name="差_Creak Pearl Reliability Fixture RFQ_2009 04 24_Creek RFQ feedback 04_28_2009_FD Update_Leopard UniBom_Foxlink_6 21 2010-ME_nego 2 2" xfId="11490"/>
    <cellStyle name="_Flex Mechanicals Doumen Sales forecast - Jan.06-updated_PL Fcst Jul 06-updated G&amp;A Value_Copy of Tom OS ( Oct) new for LOG_X-BOX Console line setup budget and Buyer list" xfId="11491"/>
    <cellStyle name="_空焊明細_八月月報2_0538周周管審--FINl" xfId="11492"/>
    <cellStyle name="_Flex Mechanicals Doumen Sales forecast - Jan.06-updated_PL Fcst Jul 06-updated G&amp;A Value_Copy of X-BOX for line setup budget" xfId="11493"/>
    <cellStyle name="_Flex Mechanicals Doumen Sales forecast - Jan.06-updated_PL Fcst Jul 06-updated G&amp;A Value_Forecast Template v4" xfId="11494"/>
    <cellStyle name="_Flex Mechanicals Doumen Sales forecast - Jan.06-updated_PL Fcst Jul 06-updated G&amp;A Value_Internal Hourly Rate Q1 FY08 Version (2)" xfId="11495"/>
    <cellStyle name="_FY0304_XBOX  CHANNEL RESERVE_Book1" xfId="11496"/>
    <cellStyle name="_Flex Mechanicals Doumen Sales forecast - Jan.06-updated_PL Fcst Jul 06-updated G&amp;A Value_Internal Hourly Rate Q1 FY08 Version 06052007 Draft" xfId="11497"/>
    <cellStyle name="好_River EE BOM_Creak Pearl Reliability Fixture RFQ_2009 04 24_Leopard_UniBOM_ME_0603-2_Bolt RFQ_Foxlink_03.1 2011_nego meeting@MACH 3 3" xfId="11498"/>
    <cellStyle name="_Flex Mechanicals Doumen Sales forecast - Jan.06-updated_PL Fcst Jul 06-updated G&amp;A Value_Internal Hourly Rate Q1 FY08 Version 06052007 Draft_Internal Hourly Rate Q1 FY08 Version (2)" xfId="11499"/>
    <cellStyle name="_Flex Mechanicals Doumen Sales forecast - Jan.06-updated_PL Fcst Jul 06-updated G&amp;A Value_Internal Hourly Rate Q1 FY08 Version 06142007 excl. Corporate Allocation_Internal Hourly Rate Q1 FY08 Version (2)" xfId="11500"/>
    <cellStyle name="好_River EE BOM_Creek RFQ feedback 04_28_2009_FD Update_Foxlink_Shadow RFQ NREUni BOM_12032009 3" xfId="11501"/>
    <cellStyle name="Normal 3 4 4" xfId="11502"/>
    <cellStyle name="40% - 强调文字颜色 2 3" xfId="11503"/>
    <cellStyle name="_Flex Mechanicals Doumen Sales forecast - Jan.06-updated_PL Fcst Jul 06-updated G&amp;A Value_Tom OS ( Oct)" xfId="11504"/>
    <cellStyle name="_Flex Mechanicals Doumen Sales forecast - Jan.06-updated_PL Fcst Jul 06-updated G&amp;A Value_Tom OS ( Oct)_2009 xBOX ramp up budget code applicaiton 300K --New May26 (3)" xfId="11505"/>
    <cellStyle name="_Flex Mechanicals Doumen Sales forecast - Jan.06-updated_PL Fcst Jul 06-updated G&amp;A Value_Tom OS ( Oct)_2009 xBOX ramp up budget code applicaiton 300K --New May27" xfId="11506"/>
    <cellStyle name="_Flex Mechanicals Doumen Sales forecast - Jan.06-updated_PL Fcst Jul 06-updated G&amp;A Value_Tom OS ( Oct)_Copy of X-BOX for line setup budget" xfId="11507"/>
    <cellStyle name="_Flex Mechanicals Doumen Sales forecast - Jan.06-updated_PL Fcst Jul 06-updated G&amp;A Value_Tom OS ( Oct)_Forecast Template v4" xfId="11508"/>
    <cellStyle name="差_Creak Pearl Reliability Fixture RFQ_2009 04 24_Leopard RFQ ME BOM Costs-0618 3" xfId="11509"/>
    <cellStyle name="_Flex Mechanicals Doumen Sales forecast - Jan.06-updated_PL Fcst Jul 06-updated G&amp;A Value_Tom OS ( Oct)_X-BOX BB" xfId="11510"/>
    <cellStyle name="_Flex Mechanicals Doumen Sales forecast - Jan.06-updated_PL Fcst Jul 06-updated G&amp;A Value_Tom OS ( Oct)_X-BOX Console line setup budget 20080414" xfId="11511"/>
    <cellStyle name="_Flex Mechanicals Doumen Sales forecast - Jan.06-updated_PL Fcst Jul 06-updated G&amp;A Value_Tom OS ( Oct)_X-BOX Console line setup budget and Buyer list" xfId="11512"/>
    <cellStyle name="_Flex Mechanicals Doumen Sales forecast - Jan.06-updated_PL Fcst Jul 06-updated G&amp;A Value_X-BOX BB" xfId="11513"/>
    <cellStyle name="好_Creek EE BOM cost_20090425_Foxlink_Shadow RFQ NREUni BOM_12032009_Bolt RFQ_Foxlink_03.1 2011_nego meeting@MACH 4" xfId="11514"/>
    <cellStyle name="好_River EE BOM_Creak Pearl Reliability Fixture RFQ_2009 04 24_Pearl RFQ(Submittal)ver2_05_12_2009 _Leopard UniBom_Foxlink_6 21 2010-ME_nego_Bolt RFQ_Foxlink_03.1 2011 3 2" xfId="11515"/>
    <cellStyle name="_Flex Mechanicals Doumen Sales forecast - Jan.06-updated_PL Fcst Jul 06-updated G&amp;A Value_X-BOX Console line setup budget 20080414" xfId="11516"/>
    <cellStyle name="差_Creak Pearl Reliability Fixture RFQ_2009 04 24_Creek RFQ feedback 04_28_2009_FD Update_Leopard UniBom_Foxlink_6 21 2010-ME_nego_Bolt RFQ_Foxlink_03.1 2011_nego meeting@MACH 3" xfId="11517"/>
    <cellStyle name="好_Creek Assembly Fixture  Test Equipment RFQ_20090427_Bolt RFQ_Foxlink_03.1 2011_nego meeting@MACH 2 3" xfId="11518"/>
    <cellStyle name="_Flex Mechanicals Doumen Sales forecast - Jan.06-updated_PL Fcst Jul 06-updated G&amp;A Value_X-BOX Console line setup budget and Buyer list" xfId="11519"/>
    <cellStyle name="_Flextronics Radon  Build Plan 4-27-2005_Xenon Ramp Plan form" xfId="11520"/>
    <cellStyle name="差_Creak Pearl Reliability Fixture RFQ_2009 04 24_Creek RFQ feedback 04_28_2009_FD Update_Leopard_UniBOM_ME_0603-2_Bolt RFQ_Foxlink_03.1 2011 5" xfId="11521"/>
    <cellStyle name="好_Creek EE BOM cost_20090425_Bolt RFQ_Foxlink_03.1 2011_nego meeting@MACH 2 3" xfId="11522"/>
    <cellStyle name="_Flex Mechanicals Doumen Sales forecast - Jan.06-updated_PL Forecast by segment-most final 0806" xfId="11523"/>
    <cellStyle name="差_Creak Pearl Reliability Fixture RFQ_2009 04 24_Creek RFQ feedback 04_28_2009_FD Update_Leopard RFQ ME BOM Costs-0618-2_Bolt RFQ Proposal_Foxlink_ (Pricing Summary) 2 25 2011 3 3" xfId="11524"/>
    <cellStyle name="_Flex Mechanicals Doumen Sales forecast - Jan.06-updated_PL Forecast by segment-most final 0806_2009 xBOX ramp up budget code applicaiton" xfId="11525"/>
    <cellStyle name="_Flex Mechanicals Doumen Sales forecast - Jan.06-updated_PL Forecast by segment-most final 0806_2009 xBOX ramp up budget code applicaiton 300K --New May26 (3)" xfId="11526"/>
    <cellStyle name="_Flex Mechanicals Doumen Sales forecast - Jan.06-updated_PL Forecast by segment-most final 0806_Budget GC Other Form" xfId="11527"/>
    <cellStyle name="_Flex Mechanicals Doumen Sales forecast - Jan.06-updated_PL Forecast by segment-most final 0806_Copy of Tom OS ( Oct) new for LOG" xfId="11528"/>
    <cellStyle name="_MBO 人力編製1" xfId="11529"/>
    <cellStyle name="_Flex Mechanicals Doumen Sales forecast - Jan.06-updated_PL Forecast by segment-most final 0806_Copy of Tom OS ( Oct) new for LOG_2009 xBOX ramp up budget code applicaiton" xfId="11530"/>
    <cellStyle name="好_Creek Assembly Fixture  Test Equipment RFQ_20090427_Xl0000002_Leopard RFQ ME BOM Costs-0618-2_Bolt RFQ Proposal_Foxlink_ (Pricing Summary) 2 25 2011 2" xfId="11531"/>
    <cellStyle name="_Mechanical Contribution Margins (Q2'06) 0705_Mechanical Contribution Margins forecast 0506 FP_Tom OS ( Oct)_X-BOX BB" xfId="11532"/>
    <cellStyle name="_Flex Mechanicals Doumen Sales forecast - Jan.06-updated_PL Forecast by segment-most final 0806_Copy of Tom OS ( Oct) new for LOG_Budget GC Other Form" xfId="11533"/>
    <cellStyle name="40% - Accent5 9" xfId="11534"/>
    <cellStyle name="_Flex Mechanicals Doumen Sales forecast - Jan.06-updated_PL Forecast by segment-most final 0806_Copy of Tom OS ( Oct) new for LOG_Copy of X-BOX for line setup budget" xfId="11535"/>
    <cellStyle name="_Flex Mechanicals Doumen Sales forecast - Jan.06-updated_PL Forecast by segment-most final 0806_Copy of Tom OS ( Oct) new for LOG_Forecast Template v4" xfId="11536"/>
    <cellStyle name="好_River EE BOM_Creek RFQ feedback 04_28_2009_FD Update_Leopard UniBom_Foxlink_6 21 2010-ME_nego 3 2" xfId="11537"/>
    <cellStyle name="差_Xl0000002_Leopard_UniBOM_ME_0602_Bolt RFQ Proposal_Foxlink_ (Pricing Summary) 2 25 2011 4 3" xfId="11538"/>
    <cellStyle name="_Flex Mechanicals Doumen Sales forecast - Jan.06-updated_PL Forecast by segment-most final 0806_Copy of Tom OS ( Oct) new for LOG_X-BOX BB" xfId="11539"/>
    <cellStyle name="_Flex Mechanicals Doumen Sales forecast - Jan.06-updated_PL Forecast by segment-most final 0806_Copy of Tom OS ( Oct) new for LOG_X-BOX Console line setup budget 20080414" xfId="11540"/>
    <cellStyle name="强调文字颜色 3 3 2 2" xfId="11541"/>
    <cellStyle name="好_River EE BOM_Creak Pearl Reliability Fixture RFQ_2009 04 24_Creek  Pearl RFQ_May 12_Squirrel UniBom-06.23.2010_update_internal" xfId="11542"/>
    <cellStyle name="_Flex Mechanicals Doumen Sales forecast - Jan.06-updated_PL Forecast by segment-most final 0806_Copy of X-BOX for line setup budget" xfId="11543"/>
    <cellStyle name="_Flex Mechanicals Doumen Sales forecast - Jan.06-updated_PL Forecast by segment-most final 0806_Forecast Template v4" xfId="11544"/>
    <cellStyle name="好_Creek Assembly Fixture  Test Equipment RFQ_20090427_Squirrel RFQ ME BOM Costs-0623 2 2 3" xfId="11545"/>
    <cellStyle name="Currency 2 11" xfId="11546"/>
    <cellStyle name="40% - 强调文字颜色 3 2 3" xfId="11547"/>
    <cellStyle name="_Flex Mechanicals Doumen Sales forecast - Jan.06-updated_PL Forecast by segment-most final 0806_Tom OS ( Oct)" xfId="11548"/>
    <cellStyle name="差_Creak Pearl Reliability Fixture RFQ_2009 04 24_Pearl RFQ(Submittal)ver2_05_12_2009 _Squirrel UniBom-06.23.2010_update_internal 3 3" xfId="11549"/>
    <cellStyle name="_Flex Mechanicals Doumen Sales forecast - Jan.06-updated_PL Forecast by segment-most final 0806_Tom OS ( Oct)_2009 xBOX ramp up budget code applicaiton" xfId="11550"/>
    <cellStyle name="_Flex Mechanicals Doumen Sales forecast - Jan.06-updated_PL Forecast by segment-most final 0806_Tom OS ( Oct)_2009 xBOX ramp up budget code applicaiton 300K --New May26 (3)" xfId="11551"/>
    <cellStyle name="_Flex Mechanicals Doumen Sales forecast - Jan.06-updated_PL Forecast by segment-most final 0806_Tom OS ( Oct)_2009 xBOX ramp up budget code applicaiton 300K --New May27" xfId="11552"/>
    <cellStyle name="Normal 39 2 2" xfId="11553"/>
    <cellStyle name="Normal 44 2 2" xfId="11554"/>
    <cellStyle name="_Flex Mechanicals Doumen Sales forecast - Jan.06-updated_PL Forecast by segment-most final 0806_Tom OS ( Oct)_Budget GC Other Form" xfId="11555"/>
    <cellStyle name="_Flex Mechanicals Doumen Sales forecast - Jan.06-updated_PL Forecast by segment-most final 0806_Tom OS ( Oct)_Forecast Template v4" xfId="11556"/>
    <cellStyle name="_Flex Mechanicals Doumen Sales forecast - Jan.06-updated_PL Forecast by segment-most final 0806_Tom OS ( Oct)_X-BOX BB" xfId="11557"/>
    <cellStyle name="_Flex Mechanicals Doumen Sales forecast - Jan.06-updated_PL Forecast by segment-most final 0806_Tom OS ( Oct)_X-BOX Console line setup budget 20080414" xfId="11558"/>
    <cellStyle name="_Flex Mechanicals Doumen Sales forecast - Jan.06-updated_PL Forecast by segment-most final 0806_Tom OS ( Oct)_X-BOX Console line setup budget and Buyer list" xfId="11559"/>
    <cellStyle name="_Flex Mechanicals Doumen Sales forecast - Jan.06-updated_PL Forecast by segment-most final 0806_X-BOX Console line setup budget 20080414" xfId="11560"/>
    <cellStyle name="好_Creek Assembly Fixture  Test Equipment RFQ_20090427_Leopard_UniBOM_ME_0602-1_Bolt_Cliff 2 4" xfId="11561"/>
    <cellStyle name="_Flex Mechanicals Doumen Sales forecast - Jan.06-updated_Tom OS ( Oct)" xfId="11562"/>
    <cellStyle name="_Flex Mechanicals Doumen Sales forecast - Jan.06-updated_Tom OS ( Oct)_2009 xBOX ramp up budget code applicaiton" xfId="11563"/>
    <cellStyle name="差_HP Mouse 產能評估(上系統)_Bolt RFQ_Foxlink_03.1 2011_nego meeting@MACH 3" xfId="11564"/>
    <cellStyle name="_Flex Mechanicals Doumen Sales forecast - Jan.06-updated_Tom OS ( Oct)_2009 xBOX ramp up budget code applicaiton 300K --New May26 (3)" xfId="11565"/>
    <cellStyle name="差_F3   SMT設備明細_效益分析_Dallas效益分析&amp;投資回收期 (12-2 A1)_~5631336_Jackson 效益分析 (2-1 B0 上系統)_Leopard Flowchart &amp; 產能評估" xfId="11566"/>
    <cellStyle name="Normal 3 2 3 2" xfId="11567"/>
    <cellStyle name="_Flex Mechanicals Doumen Sales forecast - Jan.06-updated_Tom OS ( Oct)_2009 xBOX ramp up budget code applicaiton 300K --New May27" xfId="11568"/>
    <cellStyle name="_Flex Mechanicals Doumen Sales forecast - Jan.06-updated_Tom OS ( Oct)_Budget GC Other Form" xfId="11569"/>
    <cellStyle name="_PPV ALLOCATION-Nov04_Internal RFQ River Standalone  Bundle Unibom_v1 2_20080603_EJ_Stream Package Quotation_20090311" xfId="11570"/>
    <cellStyle name="_Flex Mechanicals Doumen Sales forecast - Jan.06-updated_Tom OS ( Oct)_Copy of X-BOX for line setup budget" xfId="11571"/>
    <cellStyle name="_Flex Mechanicals Doumen Sales forecast - Jan.06-updated_Tom OS ( Oct)_Forecast Template v4" xfId="11572"/>
    <cellStyle name="_Flex Mechanicals Doumen Sales forecast - Jan.06-updated_Tom OS ( Oct)_X-BOX BB" xfId="11573"/>
    <cellStyle name="_Flex Mechanicals Doumen Sales forecast - Jan.06-updated_Tom OS ( Oct)_X-BOX Console line setup budget and Buyer list" xfId="11574"/>
    <cellStyle name="差_jupite r設備&amp;治工具LIST (總)_Leopard效益分析08-17" xfId="11575"/>
    <cellStyle name="差_Creak Pearl Reliability Fixture RFQ_2009 04 24_Bolt RFQ_Foxlink_03.1 2011_nego meeting@MACH 2 3" xfId="11576"/>
    <cellStyle name="好_效益分析&amp;產能評估_M1 SuedeFixtureEquipment Cost_A0_2010_10_15_Bolt RFQ_Foxlink_03.1 2011 2 2" xfId="11577"/>
    <cellStyle name="好_Creek Assembly Fixture  Test Equipment RFQ_20090427_Bolt RFQ Proposal_Foxlink_ (Pricing Summary) 2 25 2011 2 3" xfId="11578"/>
    <cellStyle name="_Flex Mechanicals Doumen Sales forecast - Jan.06-updated_Volume Fcst 1006 updated" xfId="11579"/>
    <cellStyle name="差_HP Mouse 產能評估(上系統)_M1 SuedeFixtureEquipment Cost_A0_2010_10_15_Bolt RFQ_Foxlink_03.1 2011_nego meeting@MACH 3 2" xfId="11580"/>
    <cellStyle name="_Flex Mechanicals Doumen Sales forecast - Jan.06-updated_Volume Fcst 1006 updated_2009 xBOX ramp up budget code applicaiton" xfId="11581"/>
    <cellStyle name="好_Erie Assembly Fixture  Test Equip Cost_20090716 3 2" xfId="11582"/>
    <cellStyle name="_Z9i_Quotebook_(Worksheet)_V4_Internal RFQ River Standalone  Bundle Unibom_v1 2_20080603_EJ_Stream Quotebook (Submittal)_POC2_20081117-1" xfId="11583"/>
    <cellStyle name="_Flex Mechanicals Doumen Sales forecast - Jan.06-updated_Volume Fcst 1006 updated_2009 xBOX ramp up budget code applicaiton 300K --New May27" xfId="11584"/>
    <cellStyle name="_Flex Mechanicals Doumen Sales forecast - Jan.06-updated_Volume Fcst 1006 updated_Budget GC Other Form" xfId="11585"/>
    <cellStyle name="差_F3   SMT設備明細_效益分析(總 12-28 Update)_squirrel效益分析08-17" xfId="11586"/>
    <cellStyle name="_Flex Mechanicals Doumen Sales forecast - Jan.06-updated_Volume Fcst 1006 updated_Copy of Tom OS ( Oct) new for LOG" xfId="11587"/>
    <cellStyle name="差_F3   SMT設備明細_jupite r設備&amp;治工具LIST (總)_pq" xfId="11588"/>
    <cellStyle name="_Flex Mechanicals Doumen Sales forecast - Jan.06-updated_Volume Fcst 1006 updated_Copy of Tom OS ( Oct) new for LOG_2009 xBOX ramp up budget code applicaiton" xfId="11589"/>
    <cellStyle name="好_River EE BOM_Creak Pearl Reliability Fixture RFQ_2009 04 24_Creek RFQ feedback 04_28_2009_FD Update_Leopard Lemur Squirrel UniBom-06.22.2010_EE cost _update_internal_Bolt RFQ Proposal_Foxlink_ (Pricing Summary) 2 25 2011 3 3" xfId="11590"/>
    <cellStyle name="_Flex Mechanicals Doumen Sales forecast - Jan.06-updated_Volume Fcst 1006 updated_Copy of Tom OS ( Oct) new for LOG_Copy of X-BOX for line setup budget" xfId="11591"/>
    <cellStyle name="差_Creak Pearl Reliability Fixture RFQ_2009 04 24_Creek  Pearl RFQ_May 12_Leopard RFQ ME BOM Costs-0618-2_Bolt RFQ_Foxlink_03.1 2011_nego meeting@MACH 4" xfId="11592"/>
    <cellStyle name="好_River EE BOM_Creak Pearl Reliability Fixture RFQ_2009 04 24_Pearl RFQ(Submittal)ver2_05_12_2009 _Bolt RFQ_Foxlink_03.1 2011_nego meeting@MACH 3 3" xfId="11593"/>
    <cellStyle name="_MS Alvin Plastics RFQ Worksheets - Nypro 030307_Stream RFQ Unibom--0626-1756" xfId="11594"/>
    <cellStyle name="_Flex Mechanicals Doumen Sales forecast - Jan.06-updated_Volume Fcst 1006 updated_Copy of Tom OS ( Oct) new for LOG_X-BOX BB" xfId="11595"/>
    <cellStyle name="_Flex Mechanicals Doumen Sales forecast - Jan.06-updated_Volume Fcst 1006 updated_Copy of Tom OS ( Oct) new for LOG_X-BOX Console line setup budget 20080414" xfId="11596"/>
    <cellStyle name="_Flex Mechanicals Doumen Sales forecast - Jan.06-updated_Volume Fcst 1006 updated_Tom OS ( Oct)" xfId="11597"/>
    <cellStyle name="_Flex Mechanicals Doumen Sales forecast - Jan.06-updated_Volume Fcst 1006 updated_Tom OS ( Oct)_2009 xBOX ramp up budget code applicaiton" xfId="11598"/>
    <cellStyle name="_Flex Mechanicals Doumen Sales forecast - Jan.06-updated_Volume Fcst 1006 updated_Tom OS ( Oct)_2009 xBOX ramp up budget code applicaiton 300K --New May26 (3)" xfId="11599"/>
    <cellStyle name="Input 13 2 2" xfId="11600"/>
    <cellStyle name="_Flex Mechanicals Doumen Sales forecast - Jan.06-updated_Volume Fcst 1006 updated_Tom OS ( Oct)_2009 xBOX ramp up budget code applicaiton 300K --New May27" xfId="11601"/>
    <cellStyle name="_Flex Mechanicals Doumen Sales forecast - Jan.06-updated_Volume Fcst 1006 updated_Tom OS ( Oct)_Budget GC Other Form" xfId="11602"/>
    <cellStyle name="_Flex Mechanicals Doumen Sales forecast - Jan.06-updated_Volume Fcst 1006 updated_Tom OS ( Oct)_Copy of X-BOX for line setup budget" xfId="11603"/>
    <cellStyle name="_Flex Mechanicals Doumen Sales forecast - Jan.06-updated_Volume Fcst 1006 updated_Tom OS ( Oct)_Forecast Template v4" xfId="11604"/>
    <cellStyle name="Normal 13" xfId="11605"/>
    <cellStyle name="_Flex Mechanicals Doumen Sales forecast - Jan.06-updated_Volume Fcst 1006 updated_Tom OS ( Oct)_X-BOX BB" xfId="11606"/>
    <cellStyle name="差_Creak Pearl Reliability Fixture RFQ_2009 04 24_Pearl RFQ(Submittal)ver2_05_12_2009 _Leopard UniBom_Foxlink_6 21 2010-ME_nego_Bolt RFQ Proposal_Foxlink_ (Pricing Summary) 2 25 2011 3 2" xfId="11607"/>
    <cellStyle name="好_River EE BOM_Creak Pearl Reliability Fixture RFQ_2009 04 24_Creek  Pearl RFQ_May 12 3" xfId="11608"/>
    <cellStyle name="_Flex Mechanicals Doumen Sales forecast - Jan.06-updated_Volume Fcst 1006 updated_X-BOX BB" xfId="11609"/>
    <cellStyle name="=C:\WINNT\SYSTEM32\COMMAND.COM 25" xfId="11610"/>
    <cellStyle name="=C:\WINNT\SYSTEM32\COMMAND.COM 30" xfId="11611"/>
    <cellStyle name="_Flex Mechanicals Doumen Sales forecast - Jan.06-updated_Volume Fcst 1006 updated_X-BOX Console line setup budget 20080414" xfId="11612"/>
    <cellStyle name="_Flex Mechanicals Doumen Sales forecast - Jan.06-updated_Volume Fcst 1006 updated_X-BOX Console line setup budget and Buyer list" xfId="11613"/>
    <cellStyle name="_Flex Mechanicals Doumen Sales forecast - Jan.06-updated_Volume Fcst Jul 06-update HP _2009 xBOX ramp up budget code applicaiton" xfId="11614"/>
    <cellStyle name="_Flex Mechanicals Doumen Sales forecast - Jan.06-updated_Volume Fcst Jul 06-update HP _2009 xBOX ramp up budget code applicaiton 300K --New May26 (3)" xfId="11615"/>
    <cellStyle name="好_Creek Assembly Fixture  Test Equipment RFQ_20090427_Leopard UniBom_Foxlink_6 21 2010-ME_nego_Bolt RFQ_Foxlink_03.1 2011_nego meeting@MACH_Bolt_Cliff 2 3" xfId="11616"/>
    <cellStyle name="_Flex Mechanicals Doumen Sales forecast - Jan.06-updated_Volume Fcst Jul 06-update HP _2009 xBOX ramp up budget code applicaiton 300K --New May27" xfId="11617"/>
    <cellStyle name="_Flex Mechanicals Doumen Sales forecast - Jan.06-updated_Volume Fcst Jul 06-update HP _Budget GC Other Form" xfId="11618"/>
    <cellStyle name="差_F3   SMT設備明細_jupite r設備&amp;治工具LIST (總)_Flow Chart&amp;PQ分析(12-1)_Flow Chart&amp;設備治工具清單 _Jackson 效益分析 (2-1 B0 上系統)_squirrel效益分析08-17" xfId="11619"/>
    <cellStyle name="好_River EE BOM_Xl0000000_Leopard_UniBOM_ME_0602-1_Bolt RFQ_Foxlink_03.1 2011" xfId="11620"/>
    <cellStyle name="_Flex Mechanicals Doumen Sales forecast - Jan.06-updated_Volume Fcst Jul 06-update HP _Copy of Tom OS ( Oct) new for LOG_2009 xBOX ramp up budget code applicaiton" xfId="11621"/>
    <cellStyle name="_Flex Mechanicals Doumen Sales forecast - Jan.06-updated_Volume Fcst Jul 06-update HP _Copy of Tom OS ( Oct) new for LOG_2009 xBOX ramp up budget code applicaiton 300K --New May26 (3)" xfId="11622"/>
    <cellStyle name="好_River EE BOM_Xl0000000_Foxlink_Shadow RFQ NREUni BOM_12032009_Bolt RFQ_Foxlink_03.1 2011 4" xfId="11623"/>
    <cellStyle name="_Flex Mechanicals Doumen Sales forecast - Jan.06-updated_Volume Fcst Jul 06-update HP _Copy of Tom OS ( Oct) new for LOG_2009 xBOX ramp up budget code applicaiton 300K --New May27" xfId="11624"/>
    <cellStyle name="_Flex Mechanicals Doumen Sales forecast - Jan.06-updated_Volume Fcst Jul 06-update HP _Copy of Tom OS ( Oct) new for LOG_Budget GC Other Form" xfId="11625"/>
    <cellStyle name="差_Creek RFQ feedback 04_28_2009_FD Update_Leopard_UniBOM_ME_0602_Bolt RFQ Proposal_Foxlink_ (Pricing Summary) 2 25 2011 5 2" xfId="11626"/>
    <cellStyle name="差_dallas產能評估_Flow Chart&amp;設備治工具清單 _Leopard效益分析08-17" xfId="11627"/>
    <cellStyle name="差_HP  專案(設備&amp;治工具需夠買)update_Erie 效益分析 (Update)_Flow chart and Fixture(1-4)_Jackson 效益分析 (2-1 B0 上系統)" xfId="11628"/>
    <cellStyle name="好_Creek Assembly Fixture  Test Equipment RFQ_20090427_Leopard RFQ ME BOM Costs-0618-2_Bolt RFQ_Foxlink_03.1 2011_Bolt_Cliff 4" xfId="11629"/>
    <cellStyle name="20% - 强调文字颜色 1 2 2 4" xfId="11630"/>
    <cellStyle name="_Flex Mechanicals Doumen Sales forecast - Jan.06-updated_Volume Fcst Jul 06-update HP _Copy of Tom OS ( Oct) new for LOG_Forecast Template v4" xfId="11631"/>
    <cellStyle name="好_River EE BOM_Creak Pearl Reliability Fixture RFQ_2009 04 24_Xl0000002_Squirrel RFQ ME BOM Costs-0623_Bolt RFQ Proposal_Foxlink_ (Pricing Summary) 2 25 2011 2 2" xfId="11632"/>
    <cellStyle name="_Flex Mechanicals Doumen Sales forecast - Jan.06-updated_Volume Fcst Jul 06-update HP _Copy of Tom OS ( Oct) new for LOG_X-BOX Console line setup budget 20080414" xfId="11633"/>
    <cellStyle name="_Flex Mechanicals Doumen Sales forecast - Jan.06-updated_Volume Fcst Jul 06-update HP _Copy of Tom OS ( Oct) new for LOG_X-BOX Console line setup budget and Buyer list" xfId="11634"/>
    <cellStyle name="_Flex Mechanicals Doumen Sales forecast - Jan.06-updated_Volume Fcst Jul 06-update HP _Forecast Template v4" xfId="11635"/>
    <cellStyle name="好_Creek Assembly Fixture  Test Equipment RFQ_20090427_Leopard RFQ ME BOM Costs-0618-2_Bolt RFQ_Foxlink_03.1 2011_nego meeting@MACH_Bolt_Cliff 4" xfId="11636"/>
    <cellStyle name="_Flex Mechanicals Doumen Sales forecast - Jan.06-updated_Volume Fcst Jul 06-update HP _Internal Hourly Rate Q1 FY08 Version (2)" xfId="11637"/>
    <cellStyle name="好_Erie Assembly Fixture  Test Equip Cost_20090716_Foxlink_Shadow RFQ NREUni BOM_12032009_Bolt RFQ Proposal_Foxlink_ (Pricing Summary) 2 25 2011 2 2" xfId="11638"/>
    <cellStyle name="_Flex Mechanicals Doumen Sales forecast - Jan.06-updated_Volume Fcst Jul 06-update HP _Internal Hourly Rate Q1 FY08 Version 06052007 Draft" xfId="11639"/>
    <cellStyle name="_Flex Mechanicals Doumen Sales forecast - Jan.06-updated_Volume Fcst Jul 06-update HP _Internal Hourly Rate Q1 FY08 Version 06052007 Draft_Internal Hourly Rate Q1 FY08 Version (2)" xfId="11640"/>
    <cellStyle name="_Flex Mechanicals Doumen Sales forecast - Jan.06-updated_Volume Fcst Jul 06-update HP _Internal Hourly Rate Q1 FY08 Version 06142007 excl. Corporate Allocation" xfId="11641"/>
    <cellStyle name="_Flex Mechanicals Doumen Sales forecast - Jan.06-updated_Volume Fcst Jul 06-update HP _Internal Hourly Rate Q1 FY08 Version 06142007 excl. Corporate Allocation_Internal Hourly Rate Q1 FY08 Version (2)" xfId="11642"/>
    <cellStyle name="好_River EE BOM_Creak Pearl Reliability Fixture RFQ_2009 04 24_Creek RFQ feedback 04_28_2009_FD Update_Leopard RFQ ME BOM Costs-0618-2_Bolt RFQ_Foxlink_03.1 2011_nego meeting@MACH 4" xfId="11643"/>
    <cellStyle name="_Flex Mechanicals Doumen Sales forecast - Jan.06-updated_Volume Fcst Jul 06-update HP _Tom OS ( Oct)_2009 xBOX ramp up budget code applicaiton" xfId="11644"/>
    <cellStyle name="好_效益分析&amp;產能評估_M1 SuedeFixtureEquipment Cost_A0_2010_10_15_Bolt RFQ_Foxlink_03.1 2011 3 3" xfId="11645"/>
    <cellStyle name="_Flex Mechanicals Doumen Sales forecast - Jan.06-updated_Volume Fcst Jul 06-update HP _Tom OS ( Oct)_2009 xBOX ramp up budget code applicaiton 300K --New May26 (3)" xfId="11646"/>
    <cellStyle name="好_River EE BOM_Creak Pearl Reliability Fixture RFQ_2009 04 24_Creek  Pearl RFQ_May 12_Leopard_UniBOM_ME_0603-2_Bolt RFQ_Foxlink_03.1 2011_nego meeting@MACH 4" xfId="11647"/>
    <cellStyle name="好_River EE BOM_Creek RFQ feedback 04_28_2009_FD Update_Leopard_UniBOM_ME_0531_Bolt RFQ Proposal_Foxlink_ (Pricing Summary) 2 25 2011 4 3" xfId="11648"/>
    <cellStyle name="_Mechanical Contribution Margins (Q2'06) 0705_Mechanical Contribution Margins forecast 0506 FP_Volume Fcst 1006 updated_Copy of Tom OS ( Oct) new for LOG_Forecast Template v4" xfId="11649"/>
    <cellStyle name="_Flex Mechanicals Doumen Sales forecast - Jan.06-updated_Volume Fcst Jul 06-update HP _Tom OS ( Oct)_2009 xBOX ramp up budget code applicaiton 300K --New May27" xfId="11650"/>
    <cellStyle name="_Flex Mechanicals Doumen Sales forecast - Jan.06-updated_Volume Fcst Jul 06-update HP _Tom OS ( Oct)_Budget GC Other Form" xfId="11651"/>
    <cellStyle name="_Flex Mechanicals Doumen Sales forecast - Jan.06-updated_Volume Fcst Jul 06-update HP _Tom OS ( Oct)_Copy of X-BOX for line setup budget" xfId="11652"/>
    <cellStyle name="_Flex Mechanicals Doumen Sales forecast - Jan.06-updated_Volume Fcst Jul 06-update HP _Tom OS ( Oct)_Forecast Template v4" xfId="11653"/>
    <cellStyle name="_Flex Mechanicals Doumen Sales forecast - Jan.06-updated_Volume Fcst Jul 06-update HP _Tom OS ( Oct)_X-BOX Console line setup budget 20080414" xfId="11654"/>
    <cellStyle name="_Flextronics Radon  Build Plan 4-27-2005_Capacity demand for Radon 200k_Tester Demand Plan 062807" xfId="11655"/>
    <cellStyle name="好_River EE BOM_Creek RFQ feedback 04_28_2009_FD Update_Bolt RFQ_Foxlink_03.1 2011_nego meeting@MACH 4" xfId="11656"/>
    <cellStyle name="_Sales Breakdown Analysis 3_Volume Fcst 1006 updated_2009 xBOX ramp up budget code applicaiton 300K --New May27" xfId="11657"/>
    <cellStyle name="_Flex Mechanicals Doumen Sales forecast - Jan.06-updated_Volume Fcst Jul 06-update HP _X-BOX BB" xfId="11658"/>
    <cellStyle name="好_River EE BOM_Xl0000002_Leopard_UniBOM_ME_0531_Bolt RFQ Proposal_Foxlink_ (Pricing Summary) 2 25 2011 2 2 3" xfId="11659"/>
    <cellStyle name="pricing 2" xfId="11660"/>
    <cellStyle name="_Flex Mechanicals Doumen Sales forecast - Jan.06-updated_Volume Fcst Jul 06-update HP _X-BOX Console line setup budget 20080414" xfId="11661"/>
    <cellStyle name="_Flex Mechanicals Doumen Sales forecast - Jan.06-updated_Volume Fcst Jul 06-update HP _X-BOX Console line setup budget and Buyer list" xfId="11662"/>
    <cellStyle name="好_River EE BOM_Creak Pearl Reliability Fixture RFQ_2009 04 24_Pearl RFQ(Submittal)ver2_05_12_2009 _Leopard_UniBOM_ME_0603-2 3 2" xfId="11663"/>
    <cellStyle name="_Mechanical Contribution Margins (Q1'06, applied to Apr'04 Fcst)_PL Forecast by segment-most final 0806_X-BOX Console line setup budget 20080414" xfId="11664"/>
    <cellStyle name="_Flex Mechanicals Doumen Sales forecast - Jan.06-updated_X-BOX BB" xfId="11665"/>
    <cellStyle name="_Flex Mechanicals Doumen Sales forecast - Jan.06-updated_X-BOX Console line setup budget 20080414" xfId="11666"/>
    <cellStyle name="_Flex Mechanicals Doumen Sales forecast - Jan.06-updated_X-BOX Console line setup budget and Buyer list" xfId="11667"/>
    <cellStyle name="差_Creak Pearl Reliability Fixture RFQ_2009 04 24_Creek  Pearl RFQ_May 12_Leopard Lemur Squirrel UniBom-06.22.2010_EE cost _update_internal 2 3" xfId="11668"/>
    <cellStyle name="_Flex MU FOB HK Cost - 20050422" xfId="11669"/>
    <cellStyle name="_Flex Xenon Peripheral Build Plan 11-21-05" xfId="11670"/>
    <cellStyle name="_FLEXcomputing Overall Revenue Forecast - Jul'CY2006Rev02" xfId="11671"/>
    <cellStyle name="9_Revised AP DPO Oct 04 v2_Volume Fcst 1006 updated_Copy of Tom OS ( Oct) new for LOG_2009 xBOX ramp up budget code applicaiton 300K --New May26 (3)" xfId="11672"/>
    <cellStyle name="_FLEXcomputing Overall Revenue Forecast - June'CY2006Rev02" xfId="11673"/>
    <cellStyle name="_FLEXcomputing Overall Revenue Forecast - June'CY2006Rev03" xfId="11674"/>
    <cellStyle name="_FlexDOload 10-14-05 flex" xfId="11675"/>
    <cellStyle name="差_Creak Pearl Reliability Fixture RFQ_2009 04 24_Xl0000002_Leopard Lemur Squirrel UniBom-06.22.2010_EE cost _update_internal_Bolt RFQ Proposal_Foxlink_ (Pricing Summary) 2 25 2011 2 3" xfId="11676"/>
    <cellStyle name="_FlexDOload 10-14-05 flex 2" xfId="11677"/>
    <cellStyle name="差_Creak Pearl Reliability Fixture RFQ_2009 04 24_Xl0000002_Leopard Lemur Squirrel UniBom-06.22.2010_EE cost _update_internal_Bolt RFQ Proposal_Foxlink_ (Pricing Summary) 2 25 2011 2 4" xfId="11678"/>
    <cellStyle name="_FlexDOload 10-14-05 flex 3" xfId="11679"/>
    <cellStyle name="_FlexStandardQuoteExample(JasonDated110107)" xfId="11680"/>
    <cellStyle name="差_Creak Pearl Reliability Fixture RFQ_2009 04 24_Creek RFQ feedback 04_28_2009_FD Update_Leopard RFQ ME BOM Costs-0618 3 2" xfId="11681"/>
    <cellStyle name="_Flextronics forecast 7_28_05" xfId="11682"/>
    <cellStyle name="_Flextronics forecast 7_28_05_2009 xBOX ramp up budget code applicaiton" xfId="11683"/>
    <cellStyle name="差_F3   SMT設備明細_M1 SuedeFixtureEquipment Cost_A0_2010_10_15_Bolt RFQ Proposal_Foxlink_ (Pricing Summary) 2 25 2011 4" xfId="11684"/>
    <cellStyle name="_Flextronics forecast 7_28_05_2009 xBOX ramp up budget code applicaiton 300K --New May26 (3)" xfId="11685"/>
    <cellStyle name="_Flextronics forecast 7_28_05_2009 xBOX ramp up budget code applicaiton 300K --New May27" xfId="11686"/>
    <cellStyle name="_Flextronics forecast 7_28_05_Budget GC Other Form" xfId="11687"/>
    <cellStyle name="_Flextronics forecast 7_28_05_Copy of X-BOX for line setup budget" xfId="11688"/>
    <cellStyle name="一般 4 3" xfId="11689"/>
    <cellStyle name="_Flextronics forecast 7_28_05_Forecast Template v4" xfId="11690"/>
    <cellStyle name="_Flextronics forecast 7_28_05_X-BOX BB" xfId="11691"/>
    <cellStyle name="好_效益分析&amp;產能評估 2 4" xfId="11692"/>
    <cellStyle name="_Flextronics forecast 7_28_05_X-BOX Console line setup budget 20080414" xfId="11693"/>
    <cellStyle name="_Flextronics forecast 7_28_05_X-BOX Console line setup budget and Buyer list" xfId="11694"/>
    <cellStyle name="好_River EE BOM_Creek RFQ feedback 04_28_2009_FD Update_Leopard Lemur Squirrel UniBom-06.22.2010_EE cost _update_internal_Bolt RFQ_Foxlink_03.1 2011 5" xfId="11695"/>
    <cellStyle name="_Flextronics Radon  Build Plan 4-27-2005" xfId="11696"/>
    <cellStyle name="差_Flow Chart&amp;PQ分析(12-1)_效益分析(總 12-28 Update)_squirrel效益分析08-17" xfId="11697"/>
    <cellStyle name="_Flextronics Radon  Build Plan 4-27-2005_080131 Xbox Capacity ramp plan  for 2008 (2)" xfId="11698"/>
    <cellStyle name="_Flextronics Radon  Build Plan 4-27-2005_Capacity demand for Radon 200k" xfId="11699"/>
    <cellStyle name="好_River EE BOM_Creak Pearl Reliability Fixture RFQ_2009 04 24_Xl0000002_Leopard UniBom_Foxlink_6 21 2010-nego" xfId="11700"/>
    <cellStyle name="_Flextronics Radon  Build Plan 4-27-2005_Capacity demand for Radon 200k_Line transition plan to B17 rev 5_Tester Demand Plan 062707" xfId="11701"/>
    <cellStyle name="_Flextronics Radon  Build Plan 4-27-2005_Capacity demand for Radon 200k_Scenario 1 of recovery until 1102" xfId="11702"/>
    <cellStyle name="_Flextronics Radon  Build Plan 4-27-2005_Capacity demand for Radon 200k_Scenario 2 of recovery until 1116" xfId="11703"/>
    <cellStyle name="_Flextronics Radon  Build Plan 4-27-2005_Capacity demand for Radon 200k_Scenario 2 of recovery until 1116_Tester Demand Plan 062707" xfId="11704"/>
    <cellStyle name="差_Xl0000000_Foxlink_Shadow RFQ NREUni BOM_12032009_Bolt RFQ Proposal_Foxlink_ (Pricing Summary) 2 25 2011 4 3" xfId="11705"/>
    <cellStyle name="20% - Accent6 10" xfId="11706"/>
    <cellStyle name="_Flextronics Radon  Build Plan 4-27-2005_Capacity demand for Radon 200k_Tester Demand Plan" xfId="11707"/>
    <cellStyle name="_Flextronics Radon  Build Plan 4-27-2005_Capacity demand for Radon 200k_Tester Demand Plan 062807_Tester Demand Plan 062707" xfId="11708"/>
    <cellStyle name="_supplier contact way (2)_Copy of MOST Std - S1300 F2lines_Nazca copy exact flow chart 2012313" xfId="11709"/>
    <cellStyle name="_Flextronics Radon  Build Plan 4-27-2005_Capacity demand for Radon 200k_Tester Demand Plan_Tester Demand Plan 062707" xfId="11710"/>
    <cellStyle name="_Flextronics Radon  Build Plan 4-27-2005_Computing BU2 DL headcount demand of Nov 26" xfId="11711"/>
    <cellStyle name="_Flextronics Radon  Build Plan 4-27-2005_Console Capacity 15% buffer" xfId="11712"/>
    <cellStyle name="PrePop Currency (2) 2" xfId="11713"/>
    <cellStyle name="_Flextronics Radon  Build Plan 4-27-2005_Console Line transition plan to B17 rev.5" xfId="11714"/>
    <cellStyle name="_Flextronics Radon  Build Plan 4-27-2005_Console Line transition plan to B17 rev.5_Scenario 1 of recovery until 1102" xfId="11715"/>
    <cellStyle name="差_Creak Pearl Reliability Fixture RFQ_2009 04 24_Pearl RFQ(Submittal)ver2_05_12_2009 _Leopard_UniBOM_ME_0603-2_Bolt RFQ Proposal_Foxlink_ (Pricing Summary) 2 25 2011 4 3" xfId="11716"/>
    <cellStyle name="_Flextronics Radon  Build Plan 4-27-2005_Console Line transition plan to B17 rev.5_Scenario 1 of recovery until 1102_Tester Demand Plan 062707" xfId="11717"/>
    <cellStyle name="好_Creek EE BOM cost_20090425_Bolt RFQ_Foxlink_03.1 2011_nego meeting@MACH 3 3" xfId="11718"/>
    <cellStyle name="_Flextronics Radon  Build Plan 4-27-2005_Console Line transition plan to B17 rev.5_Scenario 2 of recovery until 1116" xfId="11719"/>
    <cellStyle name="_Flextronics Radon  Build Plan 4-27-2005_Console Line transition plan to B17 rev.5_Scenario 2 of recovery until 1116_Tester Demand Plan 062707" xfId="11720"/>
    <cellStyle name="_Flextronics Radon  Build Plan 4-27-2005_Console Line transition plan to B17 rev.5_Tester Demand Plan" xfId="11721"/>
    <cellStyle name="_Flextronics Radon  Build Plan 4-27-2005_Console Line transition plan to B17 rev.5_Tester Demand Plan 062807" xfId="11722"/>
    <cellStyle name="_Flextronics Radon  Build Plan 4-27-2005_Console Line transition plan to B17 rev.5_Tester Demand Plan 062807_Tester Demand Plan 062707" xfId="11723"/>
    <cellStyle name="差_Flow Chart&amp;PQ分析(12-1)_Flow chart and Fixture(Jackson)_A1_Jackson 效益分析 (2-1 B0 上系統)_Leopard Flowchart &amp; 產能評估" xfId="11724"/>
    <cellStyle name="好 4 2" xfId="11725"/>
    <cellStyle name="差_F3   SMT設備明細_jupite r設備&amp;治工具LIST (總)_Jackson 效益分析 testing update_16th Jan111" xfId="11726"/>
    <cellStyle name="_Flextronics Radon  Build Plan 4-27-2005_Console Line transition plan to B17 rev.5_Tester Demand Plan_Tester Demand Plan 062707" xfId="11727"/>
    <cellStyle name="差_F3   SMT設備明細_jupite r設備&amp;治工具LIST (總)_Dallas效益分析&amp;投資回收期 (12-2 A1)_~5631336_Jackson 效益分析 (2-1 B0 上系統)_Leopard Flowchart &amp; 產能評估" xfId="11728"/>
    <cellStyle name="_Flextronics Radon  Build Plan 4-27-2005_Copy of Line transition plan to B17 rev 6" xfId="11729"/>
    <cellStyle name="好_River EE BOM_Creak Pearl Reliability Fixture RFQ_2009 04 24_Creek RFQ feedback 04_28_2009_FD Update_Leopard_UniBOM_ME_0602_Bolt RFQ Proposal_Foxlink_ (Pricing Summary) 2 25 2011 2 2 3" xfId="11730"/>
    <cellStyle name="_Flextronics Radon  Build Plan 4-27-2005_Copy of Xbox Capacity ramp plan  rev 15" xfId="11731"/>
    <cellStyle name="60% - Accent3 7" xfId="11732"/>
    <cellStyle name="_Flextronics Radon  Build Plan 4-27-2005_DL hiring plan 1-27-08" xfId="11733"/>
    <cellStyle name="_Flextronics Radon  Build Plan 4-27-2005_Line capacity plan to B17(2-27" xfId="11734"/>
    <cellStyle name="_Flextronics Radon  Build Plan 4-27-2005_Line capacity plan to B17(2-27_Line transition plan to B17 rev 5" xfId="11735"/>
    <cellStyle name="_Flextronics Radon  Build Plan 4-27-2005_Line capacity plan to B17(2-27_Line transition plan to B17 rev 5_Tester Demand Plan 062707" xfId="11736"/>
    <cellStyle name="_Flextronics Radon  Build Plan 4-27-2005_Line capacity plan to B17(2-27_Scenario 2 of recovery until 1116" xfId="11737"/>
    <cellStyle name="差_Creak Pearl Reliability Fixture RFQ_2009 04 24_Squirrel UniBom-06.23.2010_update_internal 2 4" xfId="11738"/>
    <cellStyle name="好_River EE BOM_Xl0000000_Leopard RFQ ME BOM Costs-0618_Bolt RFQ_Foxlink_03.1 2011_nego meeting@MACH" xfId="11739"/>
    <cellStyle name="_Flextronics Radon  Build Plan 4-27-2005_Line capacity plan to B17(2-27_Scenario 2 of recovery until 1116_Tester Demand Plan 062707" xfId="11740"/>
    <cellStyle name="PrePop Units (1)" xfId="11741"/>
    <cellStyle name="_Flextronics Radon  Build Plan 4-27-2005_Line capacity plan to B17(2-27_Tester Demand Plan 062807" xfId="11742"/>
    <cellStyle name="好_Creek EE BOM cost_20090425_Creek RFQ feedback 04_28_2009_FD Update_Leopard_UniBOM_ME_0602_Bolt RFQ_Foxlink_03.1 2011_nego meeting@MACH 4" xfId="11743"/>
    <cellStyle name="一般 6 3 2 4" xfId="11744"/>
    <cellStyle name="_Flextronics Radon  Build Plan 4-27-2005_Line capacity plan to B17(2-27_Tester Demand Plan 062807_Tester Demand Plan 062707" xfId="11745"/>
    <cellStyle name="_Flextronics Radon  Build Plan 4-27-2005_Line capacity plan to B17(2-27_Tester Demand Plan_Tester Demand Plan 062707" xfId="11746"/>
    <cellStyle name="_Flextronics Radon  Build Plan 4-27-2005_Line transition plan to B17" xfId="11747"/>
    <cellStyle name="Heading 2 10" xfId="11748"/>
    <cellStyle name="_FMTTQCI-MISH485-P007_FMTQCI-MIS3H064-P027(01)Nazca Copy Exact Flow chart" xfId="11749"/>
    <cellStyle name="差_jupite r設備&amp;治工具LIST (總)_Dallas flow chart&amp;設備&amp;治工具清單(12-8 A0)_Flow chart and Fixture(1-4)" xfId="11750"/>
    <cellStyle name="_Flextronics Radon  Build Plan 4-27-2005_Line transition plan to B17 " xfId="11751"/>
    <cellStyle name="_Flextronics Radon  Build Plan 4-27-2005_Line transition plan to B17 _Line transition plan to B17 rev 5" xfId="11752"/>
    <cellStyle name="差_Creak Pearl Reliability Fixture RFQ_2009 04 24_Xl0000002_Leopard RFQ ME BOM Costs-0618_Bolt RFQ_Foxlink_03.1 2011_nego meeting@MACH 4" xfId="11753"/>
    <cellStyle name="_Flextronics Radon  Build Plan 4-27-2005_Line transition plan to B17 _Line transition plan to B17 rev 5_Tester Demand Plan 062707" xfId="11754"/>
    <cellStyle name="_Flextronics Radon  Build Plan 4-27-2005_Line transition plan to B17 _Scenario 1 of recovery until 1102" xfId="11755"/>
    <cellStyle name="_Flextronics Radon  Build Plan 4-27-2005_Line transition plan to B17 _Scenario 1 of recovery until 1102_Tester Demand Plan 062707" xfId="11756"/>
    <cellStyle name="_Flextronics Radon  Build Plan 4-27-2005_Line transition plan to B17 _Scenario 2 of recovery until 1116" xfId="11757"/>
    <cellStyle name="好_Creek Assembly Fixture  Test Equipment RFQ_20090427_Leopard UniBom_Foxlink_6 21 2010-ME_nego_Bolt_Cliff 3 2" xfId="11758"/>
    <cellStyle name="_Flextronics Radon  Build Plan 4-27-2005_Line transition plan to B17 _Scenario 2 of recovery until 1116_Tester Demand Plan 062707" xfId="11759"/>
    <cellStyle name="差_Creak Pearl Reliability Fixture RFQ_2009 04 24_Pearl RFQ(Submittal)ver2_05_12_2009 _Leopard RFQ ME BOM Costs-0618_Bolt RFQ_Foxlink_03.1 2011 4" xfId="11760"/>
    <cellStyle name="_Flextronics Radon  Build Plan 4-27-2005_Line transition plan to B17 _Tester Demand Plan" xfId="11761"/>
    <cellStyle name="好_River EE BOM_Xl0000002_Leopard Lemur Squirrel UniBom-06.22.2010_EE cost _update_internal_Bolt RFQ Proposal_Foxlink_ (Pricing Summary) 2 25 2011 7" xfId="11762"/>
    <cellStyle name="好_River EE BOM_Xl0000000_Squirrel RFQ ME BOM Costs-0623 2 2 2" xfId="11763"/>
    <cellStyle name="好_Creek Assembly Fixture  Test Equipment RFQ_20090427_Leopard_UniBOM_ME_0602_Bolt RFQ Proposal_Foxlink_ (Pricing Summary) 2 25 2011 6" xfId="11764"/>
    <cellStyle name="_Flextronics Radon  Build Plan 4-27-2005_Line transition plan to B17 _Tester Demand Plan 062807" xfId="11765"/>
    <cellStyle name="好_Creek Assembly Fixture  Test Equipment RFQ_20090427_Leopard RFQ ME BOM Costs-0618_Bolt RFQ_Foxlink_03.1 2011_Bolt_Cliff 3 2" xfId="11766"/>
    <cellStyle name="差_pq_效益分析(總 12-28 Update)" xfId="11767"/>
    <cellStyle name="好_Creek EE BOM cost_20090425_Leopard_UniBOM_ME_0603-2_Bolt RFQ Proposal_Foxlink_ (Pricing Summary) 2 25 2011 3" xfId="11768"/>
    <cellStyle name="_Flextronics Radon  Build Plan 4-27-2005_Line transition plan to B17 _Tester Demand Plan 062807_Tester Demand Plan 062707" xfId="11769"/>
    <cellStyle name="差_Xl0000002_Leopard_UniBOM_ME_0602_Bolt RFQ Proposal_Foxlink_ (Pricing Summary) 2 25 2011 3 2" xfId="11770"/>
    <cellStyle name="_Flextronics Radon  Build Plan 4-27-2005_Xbox Capacity ramp plan  for 2008 Rev1" xfId="11771"/>
    <cellStyle name="好_River EE BOM_Creak Pearl Reliability Fixture RFQ_2009 04 24_Pearl RFQ(Submittal)ver2_05_12_2009 _Squirrel UniBom-06.23.2010_update_internal_Bolt RFQ_Foxlink_03.1 2011_nego meeting@MACH 3 3" xfId="11772"/>
    <cellStyle name="_Flextronics Radon  Build Plan 4-27-2005_Line transition plan to B17 _Tester Demand Plan_Tester Demand Plan 062707" xfId="11773"/>
    <cellStyle name="差_Creak Pearl Reliability Fixture RFQ_2009 04 24_Pearl RFQ(Submittal)ver2_05_12_2009 _Leopard_UniBOM_ME_0531 2 4" xfId="11774"/>
    <cellStyle name="_Flextronics Radon  Build Plan 4-27-2005_Line transition plan to B17 rev.6" xfId="11775"/>
    <cellStyle name="_Flextronics Radon  Build Plan 4-27-2005_Line transition plan to B17 revised" xfId="11776"/>
    <cellStyle name="差_jupite r設備&amp;治工具LIST (總)_Dallas flow chart&amp;設備&amp;治工具清單(12-8 A0)_Jackson 效益分析 testing update_16th Jan1_Jackson 效益分析 (2-1 B0 上系統)" xfId="11777"/>
    <cellStyle name="_Mechanical Contribution Margins (Q1'06, applied to Apr'04 Fcst)_Tom OS ( Oct)_X-BOX Console line setup budget and Buyer list" xfId="11778"/>
    <cellStyle name="_Flextronics Radon  Build Plan 4-27-2005_Line transition plan to B17 revised 2" xfId="11779"/>
    <cellStyle name="_Flextronics Radon  Build Plan 4-27-2005_Line transition plan to B17 revised 2 " xfId="11780"/>
    <cellStyle name="_Flextronics Radon  Build Plan 4-27-2005_Line transition plan to B17 revised 2 _Line transition plan to B17 rev 5" xfId="11781"/>
    <cellStyle name="_Flextronics Radon  Build Plan 4-27-2005_Line transition plan to B17 revised 2 _Line transition plan to B17 rev 5_Tester Demand Plan 062707" xfId="11782"/>
    <cellStyle name="_Flextronics Radon  Build Plan 4-27-2005_Line transition plan to B17 revised 2 _Scenario 1 of recovery until 1102_Tester Demand Plan 062707" xfId="11783"/>
    <cellStyle name="好_River EE BOM_Creak Pearl Reliability Fixture RFQ_2009 04 24_Pearl RFQ(Submittal)ver2_05_12_2009 _Leopard_UniBOM_ME_0603-2 2 4" xfId="11784"/>
    <cellStyle name="_Flextronics Radon  Build Plan 4-27-2005_Line transition plan to B17 revised 2 _Scenario 2 of recovery until 1116" xfId="11785"/>
    <cellStyle name="好_River EE BOM_Xl0000000_Leopard UniBom_Foxlink_6 21 2010-ME_nego_Bolt RFQ_Foxlink_03.1 2011 3 3" xfId="11786"/>
    <cellStyle name="_Flextronics Radon  Build Plan 4-27-2005_Line transition plan to B17 revised 2 _Scenario 2 of recovery until 1116_Tester Demand Plan 062707" xfId="11787"/>
    <cellStyle name="差_F3   SMT設備明細_jupite r設備&amp;治工具LIST (總)_pq_Jackson 效益分析 testing update_16th Jan111_Jackson 效益分析 (2-1 B0 上系統)" xfId="11788"/>
    <cellStyle name="_Flextronics Radon  Build Plan 4-27-2005_Line transition plan to B17 revised 2 _Tester Demand Plan" xfId="11789"/>
    <cellStyle name="_Flextronics Radon  Build Plan 4-27-2005_Line transition plan to B17 revised 2 _Tester Demand Plan 062807" xfId="11790"/>
    <cellStyle name="差_jupite r設備&amp;治工具LIST (總)_Flow Chart&amp;PQ分析(12-1)_Flow Chart&amp;設備治工具清單 _Jackson 效益分析 (2-1 B0 上系統)_Leopard效益分析08-17" xfId="11791"/>
    <cellStyle name="_Flextronics Radon  Build Plan 4-27-2005_Line transition plan to B17 revised 2 _Tester Demand Plan 062807_Tester Demand Plan 062707" xfId="11792"/>
    <cellStyle name="Note 10 2 2" xfId="11793"/>
    <cellStyle name="_Flextronics Radon  Build Plan 4-27-2005_Line transition plan to B17 revised 2_Line transition plan to B17 rev 5" xfId="11794"/>
    <cellStyle name="_Flextronics Radon  Build Plan 4-27-2005_Line transition plan to B17 revised 2_Line transition plan to B17 rev 5_Tester Demand Plan 062707" xfId="11795"/>
    <cellStyle name="好_Creek Assembly Fixture  Test Equipment RFQ_20090427_Leopard UniBom_Foxlink_6 21 2010-ME_nego_Bolt_Cliff 3" xfId="11796"/>
    <cellStyle name="_Flextronics Radon  Build Plan 4-27-2005_Line transition plan to B17 revised 2_Scenario 1 of recovery until 1102" xfId="11797"/>
    <cellStyle name="好_Creek EE BOM cost_20090425_Creek RFQ feedback 04_28_2009_FD Update_Leopard_UniBOM_ME_0602_Bolt RFQ_Foxlink_03.1 2011 2" xfId="11798"/>
    <cellStyle name="_Flextronics Radon  Build Plan 4-27-2005_Line transition plan to B17 revised 2_Scenario 1 of recovery until 1102_Tester Demand Plan 062707" xfId="11799"/>
    <cellStyle name="_Flextronics Radon  Build Plan 4-27-2005_Line transition plan to B17 revised 2_Scenario 2 of recovery until 1116_Tester Demand Plan 062707" xfId="11800"/>
    <cellStyle name="差_HP Mouse 產能評估(Forecast更改後)_M1 SuedeFixtureEquipment Cost_A0_2010_10_15_Bolt RFQ_Foxlink_03.1 2011 2 2" xfId="11801"/>
    <cellStyle name="_Flextronics Radon  Build Plan 4-27-2005_Line transition plan to B17 revised 2_Tester Demand Plan" xfId="11802"/>
    <cellStyle name="好_Erie Assembly Fixture  Test Equip Cost_20090716_Jackson NRE Uni BOM_update _05072010 rev K" xfId="11803"/>
    <cellStyle name="_Flextronics Radon  Build Plan 4-27-2005_Line transition plan to B17 revised 2_Tester Demand Plan 062807" xfId="11804"/>
    <cellStyle name="_Flextronics Radon  Build Plan 4-27-2005_Line transition plan to B17 revised 2_Tester Demand Plan 062807_Tester Demand Plan 062707" xfId="11805"/>
    <cellStyle name="_Mechanical Contribution Margins (Q2'06) 0705_Mechanical Contribution Margins forecast 0506 FP_PL Fcst Jul 06-updated G&amp;A Value_Internal Hourly Rate Q1 FY08 Version 06052007 Draft" xfId="11806"/>
    <cellStyle name="_Flextronics Radon  Build Plan 4-27-2005_Line transition plan to B17 revised_Line transition plan to B17 rev 5" xfId="11807"/>
    <cellStyle name="_Flextronics Radon  Build Plan 4-27-2005_Line transition plan to B17 revised_Line transition plan to B17 rev 5_Tester Demand Plan 062707" xfId="11808"/>
    <cellStyle name="差_Xl0000002_Leopard_UniBOM_ME_0531 2" xfId="11809"/>
    <cellStyle name="好_Creek EE BOM cost_20090425_Creek RFQ feedback 04_28_2009_FD Update_Squirrel UniBom-06.23.2010_update_internal_Bolt RFQ_Foxlink_03.1 2011 3 3" xfId="11810"/>
    <cellStyle name="_Flextronics Radon  Build Plan 4-27-2005_Line transition plan to B17 revised_Scenario 1 of recovery until 1102" xfId="11811"/>
    <cellStyle name="_Flextronics Radon  Build Plan 4-27-2005_Line transition plan to B17 revised_Scenario 1 of recovery until 1102_Tester Demand Plan 062707" xfId="11812"/>
    <cellStyle name="差_Xl0000002_Squirrel UniBom-06.23.2010_update_internal_Bolt RFQ Proposal_Foxlink_ (Pricing Summary) 2 25 2011 3 2" xfId="11813"/>
    <cellStyle name="_Flextronics Radon  Build Plan 4-27-2005_Line transition plan to B17 revised_Scenario 2 of recovery until 1116" xfId="11814"/>
    <cellStyle name="差_Creak Pearl Reliability Fixture RFQ_2009 04 24_Creek  Pearl RFQ_May 12_Leopard Lemur Squirrel UniBom-06.22.2010_EE cost _update_internal 3 2" xfId="11815"/>
    <cellStyle name="_Flextronics Radon  Build Plan 4-27-2005_Line transition plan to B17 revised_Scenario 2 of recovery until 1116_Tester Demand Plan 062707" xfId="11816"/>
    <cellStyle name="好_River EE BOM_Xl0000000_Leopard_UniBOM_ME_0603-2_Bolt RFQ Proposal_Foxlink_ (Pricing Summary) 2 25 2011 2 2 3" xfId="11817"/>
    <cellStyle name="_Flextronics Radon  Build Plan 4-27-2005_Line transition plan to B17 revised_Tester Demand Plan" xfId="11818"/>
    <cellStyle name="好_Creek Assembly Fixture  Test Equipment RFQ_20090427_Leopard RFQ ME BOM Costs-0618_Bolt RFQ_Foxlink_03.1 2011 2" xfId="11819"/>
    <cellStyle name="_Flextronics Radon  Build Plan 4-27-2005_Line transition plan to B17 revised_Tester Demand Plan 062807" xfId="11820"/>
    <cellStyle name="_X-BOX Console line setup budget and Buyer list" xfId="11821"/>
    <cellStyle name="_Flextronics Radon  Build Plan 4-27-2005_Line transition plan to B17 revised_Tester Demand Plan 062807_Tester Demand Plan 062707" xfId="11822"/>
    <cellStyle name="_Mechanical Contribution Margins (Q2'06) 0705_Mechanical Contribution Margins forecast 0506 FP_PL Forecast by segment-most final 0806_Tom OS ( Oct)" xfId="11823"/>
    <cellStyle name="_Flextronics Radon  Build Plan 4-27-2005_Line transition plan to B17 revised_Tester Demand Plan_Tester Demand Plan 062707" xfId="11824"/>
    <cellStyle name="_Flextronics Radon  Build Plan 4-27-2005_Line transition plan to B17_Line transition plan to B17 rev 5" xfId="11825"/>
    <cellStyle name="_Flextronics Radon  Build Plan 4-27-2005_Line transition plan to B17_Line transition plan to B17 rev 5_Tester Demand Plan 062707" xfId="11826"/>
    <cellStyle name="好_Creek EE BOM cost_20090425_Creek RFQ feedback 04_28_2009_FD Update_Squirrel RFQ ME BOM Costs-0623_Bolt RFQ Proposal_Foxlink_ (Pricing Summary) 2 25 2011 5 3" xfId="11827"/>
    <cellStyle name="_Flextronics Radon  Build Plan 4-27-2005_Line transition plan to B17_Scenario 1 of recovery until 1102_Tester Demand Plan 062707" xfId="11828"/>
    <cellStyle name="昗弨_laroux_1" xfId="11829"/>
    <cellStyle name="_Flextronics Radon  Build Plan 4-27-2005_Line transition plan to B17_Scenario 2 of recovery until 1116_Tester Demand Plan 062707" xfId="11830"/>
    <cellStyle name="好_River EE BOM_Creak Pearl Reliability Fixture RFQ_2009 04 24_Xl0000002_Squirrel RFQ ME BOM Costs-0623 2 4" xfId="11831"/>
    <cellStyle name="好_Creek EE BOM cost_20090425_Foxlink_Shadow RFQ NREUni BOM_12032009_Bolt RFQ Proposal_Foxlink_ (Pricing Summary) 2 25 2011 2 2" xfId="11832"/>
    <cellStyle name="_Flextronics Radon  Build Plan 4-27-2005_Line transition plan to B17_Tester Demand Plan" xfId="11833"/>
    <cellStyle name="_Flextronics Radon  Build Plan 4-27-2005_Line transition plan to B17_Tester Demand Plan 062807" xfId="11834"/>
    <cellStyle name="_Flextronics Radon  Build Plan 4-27-2005_Line transition plan to B17_Tester Demand Plan_Tester Demand Plan 062707" xfId="11835"/>
    <cellStyle name="_Flextronics Radon  Build Plan 4-27-2005_Manpower review summary 071029" xfId="11836"/>
    <cellStyle name="好_Creek Assembly Fixture  Test Equipment RFQ_20090427_Leopard UniBom_Foxlink_6 21 2010-ME_nego 3 2" xfId="11837"/>
    <cellStyle name="_Flextronics Radon  Build Plan 4-27-2005_Manpower review summary 071113" xfId="11838"/>
    <cellStyle name="_Flextronics Radon  Build Plan 4-27-2005_Manpower review summary 071115" xfId="11839"/>
    <cellStyle name="差_MS Bolt wireless mouse FixtureEquipment Cost_A5_2010_02_21_Bolt RFQ Proposal_Foxlink_ (Pricing Summary) 2 25 2011 4 2" xfId="11840"/>
    <cellStyle name="差_HP Mouse 產能評估(Forecast更改後)_Bolt RFQ Proposal_Foxlink_ (Pricing Summary) 2 25 2011 3 3" xfId="11841"/>
    <cellStyle name="差_Creak Pearl Reliability Fixture RFQ_2009 04 24_Creek RFQ feedback 04_28_2009_FD Update_Leopard_UniBOM_ME_0602-1 2 2 3" xfId="11842"/>
    <cellStyle name="Currency 16 3 2" xfId="11843"/>
    <cellStyle name="_Flextronics Radon  Build Plan 4-27-2005_Manpower review summary 270108" xfId="11844"/>
    <cellStyle name="Enter Units (2)" xfId="11845"/>
    <cellStyle name="差_效益分析_Leopard效益分析08-17" xfId="11846"/>
    <cellStyle name="_Flextronics Radon  Build Plan 4-27-2005_Mice Daily Output Plan (2)_Line transition plan to B17 rev 5" xfId="11847"/>
    <cellStyle name="_Flextronics Radon  Build Plan 4-27-2005_Mice Daily Output Plan (2)_Scenario 1 of recovery until 1102" xfId="11848"/>
    <cellStyle name="_Flextronics Radon  Build Plan 4-27-2005_Mice Daily Output Plan (2)_Scenario 1 of recovery until 1102_Tester Demand Plan 062707" xfId="11849"/>
    <cellStyle name="Currency 4 4 2 3" xfId="11850"/>
    <cellStyle name="Normal 59 3" xfId="11851"/>
    <cellStyle name="_Flextronics Radon  Build Plan 4-27-2005_Mice Daily Output Plan (2)_Scenario 2 of recovery until 1116" xfId="11852"/>
    <cellStyle name="_Flextronics Radon  Build Plan 4-27-2005_Mice Daily Output Plan (2)_Tester Demand Plan" xfId="11853"/>
    <cellStyle name="_Revenue Forecast for Mar'06_Rev01" xfId="11854"/>
    <cellStyle name="_Flextronics Radon  Build Plan 4-27-2005_Mice Daily Output Plan (2)_Tester Demand Plan 062807" xfId="11855"/>
    <cellStyle name="_Flextronics Radon  Build Plan 4-27-2005_Mice Daily Output Plan (2)_Tester Demand Plan 062807_Tester Demand Plan 062707" xfId="11856"/>
    <cellStyle name="差_Bolt RFQ Proposal_Foxlink_ (Pricing Summary) 2 25 2011 2 4" xfId="11857"/>
    <cellStyle name="好_River EE BOM_Xl0000000_Leopard_UniBOM_ME_0602" xfId="11858"/>
    <cellStyle name="_Flextronics Radon  Build Plan 4-27-2005_Mice Daily Output Plan (2)_Tester Demand Plan_Tester Demand Plan 062707" xfId="11859"/>
    <cellStyle name="差_MB9月管審誤判超標 8D_HP 5 4" xfId="11860"/>
    <cellStyle name="_Flextronics Radon  Build Plan 4-27-2005_Mice Daily Output Plan 0621 (2)" xfId="11861"/>
    <cellStyle name="_Flextronics Radon  Build Plan 4-27-2005_Mice Daily Output Plan 0621 (2)_Tester Demand Plan 062707" xfId="11862"/>
    <cellStyle name="_工作表 在 200806經管月報" xfId="11863"/>
    <cellStyle name="好_River EE BOM_Xl0000000_Leopard_UniBOM_ME_0602-1_Bolt RFQ_Foxlink_03.1 2011_nego meeting@MACH 3" xfId="11864"/>
    <cellStyle name="_Flextronics Radon  Build Plan 4-27-2005_Mice Daily Output Plan 0817" xfId="11865"/>
    <cellStyle name="_Flextronics Radon  Build Plan 4-27-2005_Mice Daily Output Plan updated 0723" xfId="11866"/>
    <cellStyle name="_Flextronics Radon  Build Plan 4-27-2005_Mice transfer plan" xfId="11867"/>
    <cellStyle name="_Flextronics Radon  Build Plan 4-27-2005_Mice transfer plan (2)" xfId="11868"/>
    <cellStyle name="好_Creek Assembly Fixture  Test Equipment RFQ_20090427_Squirrel UniBom_Foxlink_6 28 2010" xfId="11869"/>
    <cellStyle name="_PPV ALLOCATION-Nov04_Dawson_RFP_Foxlink_Response_Proposal 的 工作表_Stream RFQ Unibom--0626-1756_Stream Package Quotation_20090311" xfId="11870"/>
    <cellStyle name="_Flextronics Radon  Build Plan 4-27-2005_Mice transfer plan (2)_Line transition plan to B17 rev 5" xfId="11871"/>
    <cellStyle name="差_Creak Pearl Reliability Fixture RFQ_2009 04 24_Creek  Pearl RFQ_May 12_Leopard_UniBOM_ME_0602-1_Bolt RFQ_Foxlink_03.1 2011_nego meeting@MACH 2" xfId="11872"/>
    <cellStyle name="差_Creak Pearl Reliability Fixture RFQ_2009 04 24_Creek  Pearl RFQ_May 12_Leopard_UniBOM_ME_0602_Bolt RFQ_Foxlink_03.1 2011 2" xfId="11873"/>
    <cellStyle name="_Flextronics Radon  Build Plan 4-27-2005_Mice transfer plan (2)_Scenario 1 of recovery until 1102_Tester Demand Plan 062707" xfId="11874"/>
    <cellStyle name="_Sales Breakdown Analysis 3_Volume Fcst Jul 06-update HP _Copy of Tom OS ( Oct) new for LOG_X-BOX BB" xfId="11875"/>
    <cellStyle name="_Flextronics Radon  Build Plan 4-27-2005_Mice transfer plan (2)_Scenario 2 of recovery until 1116" xfId="11876"/>
    <cellStyle name="_Flextronics Radon  Build Plan 4-27-2005_Mice transfer plan (2)_Scenario 2 of recovery until 1116_Tester Demand Plan 062707" xfId="11877"/>
    <cellStyle name="好_Creek Assembly Fixture  Test Equipment RFQ_20090427_Squirrel UniBom-06.23.2010_update_internal 3 2" xfId="11878"/>
    <cellStyle name="_Mechanical Contribution Margins (Q2'06) 0705_Mechanical Contribution Margins forecast 0506 FP" xfId="11879"/>
    <cellStyle name="_Flextronics Radon  Build Plan 4-27-2005_Mice transfer plan (2)_Tester Demand Plan" xfId="11880"/>
    <cellStyle name="_Flextronics Radon  Build Plan 4-27-2005_Mice transfer plan (2)_Tester Demand Plan 062807" xfId="11881"/>
    <cellStyle name="差_Creak Pearl Reliability Fixture RFQ_2009 04 24_Creek  Pearl RFQ_May 12_Leopard RFQ ME BOM Costs-0618-2_Bolt RFQ Proposal_Foxlink_ (Pricing Summary) 2 25 2011 4 2" xfId="11882"/>
    <cellStyle name="_Flextronics Radon  Build Plan 4-27-2005_Mice transfer plan (2)_Tester Demand Plan 062807_Tester Demand Plan 062707" xfId="11883"/>
    <cellStyle name="好_River EE BOM_Creak Pearl Reliability Fixture RFQ_2009 04 24_Xl0000002_Squirrel RFQ ME BOM Costs-0623_Bolt RFQ_Foxlink_03.1 2011_nego meeting@MACH 3 2" xfId="11884"/>
    <cellStyle name="差_治具工程課2009年KPI_HP 2 2 3" xfId="11885"/>
    <cellStyle name="_Flextronics Radon  Build Plan 4-27-2005_Mice transfer plan_Line transition plan to B17 rev 5" xfId="11886"/>
    <cellStyle name="_Sales Forecast (plastic XX)0703_Volume Fcst Jul 06-update HP _X-BOX BB" xfId="11887"/>
    <cellStyle name="_Sales Forecast (plastic XX)1203_Volume Fcst Jul 06-update HP _X-BOX BB" xfId="11888"/>
    <cellStyle name="_Flextronics Radon  Build Plan 4-27-2005_Mice transfer plan_Line transition plan to B17 rev 5_Tester Demand Plan 062707" xfId="11889"/>
    <cellStyle name="_Flextronics Radon  Build Plan 4-27-2005_Mice transfer plan_Scenario 1 of recovery until 1102" xfId="11890"/>
    <cellStyle name="好_Creek Assembly Fixture  Test Equipment RFQ_20090427_Leopard UniBom_Foxlink_6 21 2010-ME_nego_Bolt RFQ_Foxlink_03.1 2011_nego meeting@MACH_Bolt_Cliff 4" xfId="11891"/>
    <cellStyle name="_Flextronics Radon  Build Plan 4-27-2005_Mice transfer plan_Scenario 1 of recovery until 1102_Tester Demand Plan 062707" xfId="11892"/>
    <cellStyle name="好_Erie Assembly Fixture  Test Equip Cost_20090716_Bolt RFQ Proposal_Foxlink_ (Pricing Summary) 2 25 2011 3 2" xfId="11893"/>
    <cellStyle name="_Flextronics Radon  Build Plan 4-27-2005_Mice transfer plan_Scenario 2 of recovery until 1116" xfId="11894"/>
    <cellStyle name="好_Creek EE BOM cost_20090425_Bolt RFQ Proposal_Foxlink_ (Pricing Summary) 2 25 2011 3 3" xfId="11895"/>
    <cellStyle name="_Flextronics Radon  Build Plan 4-27-2005_Mice transfer plan_Scenario 2 of recovery until 1116_Tester Demand Plan 062707" xfId="11896"/>
    <cellStyle name="_Mechanical Contribution Margins (Q1'06, applied to Apr'04 Fcst)_Mechanical Contribution Margins forecast 0506 FP_Copy of Tom OS ( Oct) new for LOG_X-BOX Console line setup budget 20080414" xfId="11897"/>
    <cellStyle name="_Flextronics Radon  Build Plan 4-27-2005_Mice transfer plan_Tester Demand Plan" xfId="11898"/>
    <cellStyle name="_Flextronics Radon  Build Plan 4-27-2005_Mice transfer plan_Tester Demand Plan 062807_Tester Demand Plan 062707" xfId="11899"/>
    <cellStyle name="_Flextronics Radon  Build Plan 4-27-2005_Mice transfer plan_Tester Demand Plan_Tester Demand Plan 062707" xfId="11900"/>
    <cellStyle name="差_F3   SMT設備明細_效益分析_flow chart 2009.12.12_效益分析(總 12-28 Update)_Jackson 效益分析 (2-1 B0 上系統)" xfId="11901"/>
    <cellStyle name="_PL Fcst_akl(Friday)_Tom OS ( Oct)" xfId="11902"/>
    <cellStyle name="_Flextronics Radon  Build Plan 4-27-2005_Production Head Count Arrangement 01-24-07" xfId="11903"/>
    <cellStyle name="好_River EE BOM_Foxlink_Shadow RFQ NREUni BOM_12032009 3" xfId="11904"/>
    <cellStyle name="_Flextronics Radon  Build Plan 4-27-2005_Production Head Count Arrangement 01-24-07_Line transition plan to B17 rev 5_Tester Demand Plan 062707" xfId="11905"/>
    <cellStyle name="_Flextronics Radon  Build Plan 4-27-2005_Production Head Count Arrangement 01-24-07_Scenario 1 of recovery until 1102" xfId="11906"/>
    <cellStyle name="好_River EE BOM_Creak Pearl Reliability Fixture RFQ_2009 04 24_Pearl RFQ(Submittal)ver2_05_12_2009 _Leopard Lemur Squirrel UniBom-06.22.2010_EE cost _update_internal_Bolt RFQ_Foxlink_03.1 2011_nego meeting@MACH" xfId="11907"/>
    <cellStyle name="_Jing and Mulan Edge Cost Down July 21" xfId="11908"/>
    <cellStyle name="_Flextronics Radon  Build Plan 4-27-2005_Production Head Count Arrangement 01-24-07_Scenario 2 of recovery until 1116" xfId="11909"/>
    <cellStyle name="_Flextronics Radon  Build Plan 4-27-2005_Production Head Count Arrangement 01-24-07_Tester Demand Plan" xfId="11910"/>
    <cellStyle name="_Flextronics Radon  Build Plan 4-27-2005_Production Head Count Arrangement 01-24-07_Tester Demand Plan_Tester Demand Plan 062707" xfId="11911"/>
    <cellStyle name="好_K TEST" xfId="11912"/>
    <cellStyle name="好_Bristol ME parts tooling cost 20101022 updated" xfId="11913"/>
    <cellStyle name="_Flextronics Radon  Build Plan 4-27-2005_Proposal Capacity Ramp up Plan  for 2008" xfId="11914"/>
    <cellStyle name="_Flextronics Radon  Build Plan 4-27-2005_Tester Demand Plan 062707" xfId="11915"/>
    <cellStyle name="_Flextronics Radon  Build Plan 4-27-2005_Xbox Capacity ramp plan  for 2008" xfId="11916"/>
    <cellStyle name="差_原物料" xfId="11917"/>
    <cellStyle name="_Flextronics Radon  Build Plan 4-27-2005_Xbox Capacity ramp plan  for 2008 (2)" xfId="11918"/>
    <cellStyle name="差_Creek RFQ feedback 04_28_2009_FD Update_Foxlink_Shadow RFQ NREUni BOM_12032009" xfId="11919"/>
    <cellStyle name="_Flextronics Radon  Build Plan 4-27-2005_Xbox Capacity ramp plan  for 2008 (3)" xfId="11920"/>
    <cellStyle name="好_River EE BOM_Xl0000002_Leopard RFQ ME BOM Costs-0618 2 3" xfId="11921"/>
    <cellStyle name="_Flextronics Radon  Build Plan 4-27-2005_Xbox Capacity ramp plan  for 2008 (5)" xfId="11922"/>
    <cellStyle name="好_River EE BOM_Creek RFQ feedback 04_28_2009_FD Update_Leopard UniBom_Foxlink_6 21 2010-ME_nego 2 2" xfId="11923"/>
    <cellStyle name="差_Xl0000002_Leopard_UniBOM_ME_0602_Bolt RFQ Proposal_Foxlink_ (Pricing Summary) 2 25 2011 3 3" xfId="11924"/>
    <cellStyle name="9_Revised AP DPO Oct 04 v2_Volume Fcst 1006 updated_Tom OS ( Oct)_X-BOX BB" xfId="11925"/>
    <cellStyle name="_Flextronics Radon  Build Plan 4-27-2005_Xbox Capacity ramp plan  for 2008 Rev2" xfId="11926"/>
    <cellStyle name="_Flextronics Radon  Build Plan 4-27-2005_Xbox Capacity ramp plan  for 2008 Rev9a (2)" xfId="11927"/>
    <cellStyle name="差_HP Mouse 產能評估(Forecast更改後)_M1 SuedeFixtureEquipment Cost_A0_2010_10_15 2 2 3" xfId="11928"/>
    <cellStyle name="差_Creak Pearl Reliability Fixture RFQ_2009 04 24_Leopard UniBom_Foxlink_6 21 2010-nego" xfId="11929"/>
    <cellStyle name="_FY03 Solectron Japan &amp; Australia summary-amend_P2 Waynea review" xfId="11930"/>
    <cellStyle name="壞_Creek Assembly Fixture  Test Equipment RFQ_20090427_Leopard_UniBOM_ME_0531_Bolt RFQ Proposal_Foxlink_ (Pricing Summary) 2 25 2011 4" xfId="11931"/>
    <cellStyle name="_Flextronics Radon  Build Plan 4-27-2005_Xbox Capacity ramp plan  rev 10" xfId="11932"/>
    <cellStyle name="_Flextronics Radon  Build Plan 4-27-2005_Xbox Capacity ramp plan  rev 14" xfId="11933"/>
    <cellStyle name="_Flextronics Radon  Build Plan 4-27-2005_Xbox Capacity ramp plan (2)" xfId="11934"/>
    <cellStyle name="差_HP Mouse 產能評估(上系統)_Bolt RFQ Proposal_Foxlink_ (Pricing Summary) 2 25 2011 6" xfId="11935"/>
    <cellStyle name="好_River  QA Report-12.14" xfId="11936"/>
    <cellStyle name="_Flextronics Radon  Build Plan 4-27-2005_Xbox Capacity ramp plan 2008 rev 1" xfId="11937"/>
    <cellStyle name="差_HP  專案(設備&amp;治工具需夠買)update_Bolt RFQ Proposal_Foxlink_ (Pricing Summary) 2 25 2011 3 3" xfId="11938"/>
    <cellStyle name="好_River EE BOM_Creak Pearl Reliability Fixture RFQ_2009 04 24_Creek RFQ feedback 04_28_2009_FD Update_Leopard_UniBOM_ME_0602 2 2 3" xfId="11939"/>
    <cellStyle name="_Flextronics Radon  Build Plan 4-27-2005_Xbox Capacity ramp plan for 2008 Rev12" xfId="11940"/>
    <cellStyle name="_Flextronics Radon  Build Plan 4-27-2005_Xbox Capacity ramp plan for 2008 Rev13" xfId="11941"/>
    <cellStyle name="差_F3   SMT設備明細_jupite r設備&amp;治工具LIST (總)_Dallas效益分析&amp;投資回收期 (12-2 A1)_~5631336_Jackson 效益分析 (2-1 B0 上系統)_squirrel效益分析08-17" xfId="11942"/>
    <cellStyle name="差_Creak Pearl Reliability Fixture RFQ_2009 04 24_Pearl RFQ(Submittal)ver2_05_12_2009 _Leopard_UniBOM_ME_0602-1_Bolt RFQ_Foxlink_03.1 2011 4" xfId="11943"/>
    <cellStyle name="_Flextronics Radon  Build Plan 4-27-2005_Xenon Ramp Plan form_Line transition plan to B17 rev 5" xfId="11944"/>
    <cellStyle name="差_dallas產能評估_Flow Chart(shadow)-b (1-4 Update)" xfId="11945"/>
    <cellStyle name="_Flextronics Radon  Build Plan 4-27-2005_Xenon Ramp Plan form_Line transition plan to B17 rev 5_Tester Demand Plan 062707" xfId="11946"/>
    <cellStyle name="好_River EE BOM_Xl0000002_Leopard_UniBOM_ME_0531_Bolt RFQ_Foxlink_03.1 2011 2" xfId="11947"/>
    <cellStyle name="好_Creek Assembly Fixture  Test Equipment RFQ_20090427_Xl0000002_Leopard_UniBOM_ME_0603-2_Bolt RFQ Proposal_Foxlink_ (Pricing Summary) 2 25 2011 4" xfId="11948"/>
    <cellStyle name="_Flextronics Radon  Build Plan 4-27-2005_Xenon Ramp Plan form_Scenario 1 of recovery until 1102" xfId="11949"/>
    <cellStyle name="好_Creek EE BOM cost_20090425_Creek RFQ feedback 04_28_2009_FD Update_Leopard Lemur Squirrel UniBom-06.22.2010_EE cost _update_internal_Bolt RFQ_Foxlink_03.1 2011_nego meeting@MACH 2 3" xfId="11950"/>
    <cellStyle name="好_Creek EE BOM cost_20090425_Creek RFQ feedback 04_28_2009_FD Update_Foxlink_Shadow RFQ NREUni BOM_12032009_Bolt RFQ_Foxlink_03.1 2011_nego meeting@MACH 2 2" xfId="11951"/>
    <cellStyle name="_Seagate FLAGSHIP DESKTOP ME bom cost_Rev.A2 79" xfId="11952"/>
    <cellStyle name="_Seagate FLAGSHIP DESKTOP ME bom cost_Rev.A2 84" xfId="11953"/>
    <cellStyle name="_Flextronics Radon  Build Plan 4-27-2005_Xenon Ramp Plan form_Scenario 1 of recovery until 1102_Tester Demand Plan 062707" xfId="11954"/>
    <cellStyle name="差_F3   SMT設備明細_效益分析_Dallas效益分析&amp;投資回收期 (12-2 A1)_Jackson 效益分析 testing update_16th Jan1_Jackson 效益分析 (2-1 B0 上系統)" xfId="11955"/>
    <cellStyle name="_Flextronics Radon  Build Plan 4-27-2005_Xenon Ramp Plan form_Scenario 2 of recovery until 1116_Tester Demand Plan 062707" xfId="11956"/>
    <cellStyle name="_Flextronics Radon  Build Plan 4-27-2005_Xenon Ramp Plan form_Tester Demand Plan" xfId="11957"/>
    <cellStyle name="_Flextronics Radon  Build Plan 4-27-2005_Xenon Ramp Plan form_Tester Demand Plan 062807" xfId="11958"/>
    <cellStyle name="差_Creak Pearl Reliability Fixture RFQ_2009 04 24_Pearl RFQ(Submittal)ver2_05_12_2009 _Leopard RFQ ME BOM Costs-0618-2_Bolt RFQ_Foxlink_03.1 2011" xfId="11959"/>
    <cellStyle name="_Flextronics Radon  Build Plan 4-27-2005_Xenon Ramp Plan form_Tester Demand Plan 062807_Tester Demand Plan 062707" xfId="11960"/>
    <cellStyle name="差_Creak Pearl Reliability Fixture RFQ_2009 04 24_Xl0000002_Leopard RFQ ME BOM Costs-0618_Bolt RFQ_Foxlink_03.1 2011_nego meeting@MACH 3 3" xfId="11961"/>
    <cellStyle name="Normal 17 2 2" xfId="11962"/>
    <cellStyle name="Normal 22 2 2" xfId="11963"/>
    <cellStyle name="_Flextronics Radon  Build Plan 4-27-2005_Xenon Ramp Plan form_Tester Demand Plan_Tester Demand Plan 062707" xfId="11964"/>
    <cellStyle name="_September Forecast - Peripherals" xfId="11965"/>
    <cellStyle name="_FM6010 Forecast" xfId="11966"/>
    <cellStyle name="_FMA CP-2007.08.16" xfId="11967"/>
    <cellStyle name="好_River EE BOM_Creak Pearl Reliability Fixture RFQ_2009 04 24_Pearl RFQ(Submittal)ver2_05_12_2009 _Squirrel UniBom-06.23.2010_update_internal_Bolt RFQ Proposal_Foxlink_ (Pricing Summary) 2 25 2011 2 2 3" xfId="11968"/>
    <cellStyle name="_FMTQCI-MIS1H033(16)PAVO BB TQCI Cover" xfId="11969"/>
    <cellStyle name="好_Creek Assembly Fixture  Test Equipment RFQ_20090427_Leopard_UniBOM_ME_0602_Bolt RFQ_Foxlink_03.1 2011_Bolt_Cliff 4 2" xfId="11970"/>
    <cellStyle name="_FMTQCI-MISH1047-P001(02) Adpater pcking  flow chart" xfId="11971"/>
    <cellStyle name="好_River EE BOM_Creak Pearl Reliability Fixture RFQ_2009 04 24_Xl0000002_Leopard Lemur Squirrel UniBom-06.22.2010_EE cost _update_internal_Bolt RFQ_Foxlink_03.1 2011" xfId="11972"/>
    <cellStyle name="_FMTQCI-MISH989--P001(02)  Retail HDDM  HPF for all  Process flow chart" xfId="11973"/>
    <cellStyle name="差_Creak Pearl Reliability Fixture RFQ_2009 04 24_Xl0000002_Leopard UniBom_Foxlink_6 21 2010-ME_nego_Bolt RFQ Proposal_Foxlink_ (Pricing Summary) 2 25 2011 7" xfId="11974"/>
    <cellStyle name="_FMTTQCI-MIS1H033( PAVO BB TQCI)2009.03.09" xfId="11975"/>
    <cellStyle name="差_Creak Pearl Reliability Fixture RFQ_2009 04 24_Xl0000002_Leopard UniBom_Foxlink_6 21 2010-ME_nego_Bolt RFQ Proposal_Foxlink_ (Pricing Summary) 2 25 2011 5" xfId="11976"/>
    <cellStyle name="_FMTTQCI-MIS1H033( PAVO BB TQCI)2009.03.12" xfId="11977"/>
    <cellStyle name="_FMTTQCI-MISH1082-P001(01) Ghost packaging  flow chart" xfId="11978"/>
    <cellStyle name="_FMTTQCI-MISH182-P001(01)  Xbox360 FAA-00007  Process Flowchart boxbuild &amp; package" xfId="11979"/>
    <cellStyle name="_Xbox November COGS Close Pack_Sheet1" xfId="11980"/>
    <cellStyle name="_Support Plan - 7Mar06 rev2" xfId="11981"/>
    <cellStyle name="_FMTTQCI-MISH485-P001" xfId="11982"/>
    <cellStyle name="差_Creak Pearl Reliability Fixture RFQ_2009 04 24_Bolt RFQ Proposal_Foxlink_ (Pricing Summary) 2 25 2011 2 4" xfId="11983"/>
    <cellStyle name="_FMTTQCI-MISH485-P001_FMTQCI-MIS3H064-P027(01)Nazca Copy Exact Flow chart" xfId="11984"/>
    <cellStyle name="好_Creek Assembly Fixture  Test Equipment RFQ_20090427_Leopard RFQ ME BOM Costs-0618_Bolt RFQ Proposal_Foxlink_ (Pricing Summary) 2 25 2011 6" xfId="11985"/>
    <cellStyle name="_FMTTQCI-MISH485-P001_Nazca copy exact flow chart 20120409" xfId="11986"/>
    <cellStyle name="_FMTTQCI-MISH485-P001_Nazca copy exact flow chart 2012313" xfId="11987"/>
    <cellStyle name="_FMTTQCI-MISH485-P0013" xfId="11988"/>
    <cellStyle name="_不良總明細_八月月報2" xfId="11989"/>
    <cellStyle name="60% - 强调文字颜色 3 2 2 2 2" xfId="11990"/>
    <cellStyle name="_FMTTQCI-MISH485-P0013_FMTQCI-MIS3H064-P027(01)Nazca Copy Exact Flow chart" xfId="11991"/>
    <cellStyle name="_FMTTQCI-MISH485-P0013_Nazca copy exact flow chart 20120409" xfId="11992"/>
    <cellStyle name="差_Creak Pearl Reliability Fixture RFQ_2009 04 24_Creek RFQ feedback 04_28_2009_FD Update_Leopard_UniBOM_ME_0531_Bolt RFQ Proposal_Foxlink_ (Pricing Summary) 2 25 2011 2 2" xfId="11993"/>
    <cellStyle name="好_River EE BOM_Creek RFQ feedback 04_28_2009_FD Update_Leopard_UniBOM_ME_0602-1_Bolt RFQ_Foxlink_03.1 2011_nego meeting@MACH" xfId="11994"/>
    <cellStyle name="好_River EE BOM_Creak Pearl Reliability Fixture RFQ_2009 04 24_Pearl RFQ(Submittal)ver2_05_12_2009 _Bolt RFQ Proposal_Foxlink_ (Pricing Summary) 2 25 2011 3" xfId="11995"/>
    <cellStyle name="_FMTTQCI-MISH485-P0013_Nazca copy exact flow chart 2012313" xfId="11996"/>
    <cellStyle name="Normal 28 2 2 2" xfId="11997"/>
    <cellStyle name="Normal 33 2 2 2" xfId="11998"/>
    <cellStyle name="_FMTTQCI-MISH485-P002" xfId="11999"/>
    <cellStyle name="_FMTTQCI-MISH485-P002_FMTQCI-MIS3H064-P027(01)Nazca Copy Exact Flow chart" xfId="12000"/>
    <cellStyle name="好_River EE BOM_Xl0000002_Leopard UniBom_Foxlink_6 21 2010-ME_nego_Bolt RFQ Proposal_Foxlink_ (Pricing Summary) 2 25 2011 4" xfId="12001"/>
    <cellStyle name="_FMTTQCI-MISH485-P002_Nazca copy exact flow chart 2012313" xfId="12002"/>
    <cellStyle name="40% - Accent2 9" xfId="12003"/>
    <cellStyle name="Normal 28 2 2 3" xfId="12004"/>
    <cellStyle name="Normal 33 2 2 3" xfId="12005"/>
    <cellStyle name="_FMTTQCI-MISH485-P003" xfId="12006"/>
    <cellStyle name="_FMTTQCI-MISH485-P003_FMTQCI-MIS3H064-P027(01)Nazca Copy Exact Flow chart" xfId="12007"/>
    <cellStyle name="_FMTTQCI-MISH485-P003_Nazca copy exact flow chart 20120409" xfId="12008"/>
    <cellStyle name="_FMTTQCI-MISH485-P003_Nazca copy exact flow chart 2012313" xfId="12009"/>
    <cellStyle name="好_River EE BOM_Creak Pearl Reliability Fixture RFQ_2009 04 24_Pearl RFQ(Submittal)ver2_05_12_2009 _Leopard_UniBOM_ME_0603-2_Bolt RFQ Proposal_Foxlink_ (Pricing Summary) 2 25 2011 7" xfId="12010"/>
    <cellStyle name="_FMTTQCI-MISH485-P004" xfId="12011"/>
    <cellStyle name="差_Xl0000002_Leopard UniBom_Foxlink_6 21 2010-ME_nego_Bolt RFQ Proposal_Foxlink_ (Pricing Summary) 2 25 2011 5" xfId="12012"/>
    <cellStyle name="_Foxlink Xenon Forecast 7-18-2005_RIM Meteor charging pod_ME and packaging parts &amp; tools cost for river with Rev A-20080521_RFQ_River_BAFO_2008 0606_M1" xfId="12013"/>
    <cellStyle name="_FMTTQCI-MISH485-P004.5" xfId="12014"/>
    <cellStyle name="_FMTTQCI-MISH485-P004.5_FMTQCI-MIS3H064-P027(01)Nazca Copy Exact Flow chart" xfId="12015"/>
    <cellStyle name="_FMTTQCI-MISH485-P004.5_Nazca copy exact flow chart 20120409" xfId="12016"/>
    <cellStyle name="_FMTTQCI-MISH485-P004.5_Nazca copy exact flow chart 2012313" xfId="12017"/>
    <cellStyle name="差_Creak Pearl Reliability Fixture RFQ_2009 04 24_Creek  Pearl RFQ_May 12_Leopard_UniBOM_ME_0603-2_Bolt RFQ Proposal_Foxlink_ (Pricing Summary) 2 25 2011 7" xfId="12018"/>
    <cellStyle name="Linked Cell 14" xfId="12019"/>
    <cellStyle name="_FMTTQCI-MISH485-P004_FMTQCI-MIS3H064-P027(01)Nazca Copy Exact Flow chart" xfId="12020"/>
    <cellStyle name="好_Erie Trial run  QA Report-1103_Dolce   QA Report 2010_0902 (A3)_~7519239" xfId="12021"/>
    <cellStyle name="_FMTTQCI-MISH485-P004_Nazca copy exact flow chart 2012313" xfId="12022"/>
    <cellStyle name="_Mechanical Contribution Margins (Q2'06) 0705_Mechanical Contribution Margins forecast 0506 FP_Volume Fcst 1006 updated_2009 xBOX ramp up budget code applicaiton 300K --New May27" xfId="12023"/>
    <cellStyle name="_FMTTQCI-MISH485-P005" xfId="12024"/>
    <cellStyle name="_FMTTQCI-MISH485-P010" xfId="12025"/>
    <cellStyle name="_FMTTQCI-MISH485-P005_FMTQCI-MIS3H064-P027(01)Nazca Copy Exact Flow chart" xfId="12026"/>
    <cellStyle name="_FMTTQCI-MISH485-P010_FMTQCI-MIS3H064-P027(01)Nazca Copy Exact Flow chart" xfId="12027"/>
    <cellStyle name="_Forecast for Eri(Ascom) and RSA Aug 22,05" xfId="12028"/>
    <cellStyle name="_FMTTQCI-MISH485-P005_Nazca copy exact flow chart 20120409" xfId="12029"/>
    <cellStyle name="_FMTTQCI-MISH485-P010_Nazca copy exact flow chart 20120409" xfId="12030"/>
    <cellStyle name="_FMTTQCI-MISH485-P005_Nazca copy exact flow chart 2012313" xfId="12031"/>
    <cellStyle name="_FMTTQCI-MISH485-P010_Nazca copy exact flow chart 2012313" xfId="12032"/>
    <cellStyle name="差_Creak Pearl Reliability Fixture RFQ_2009 04 24_Foxlink_Shadow RFQ NREUni BOM_12032009_Bolt RFQ_Foxlink_03.1 2011_nego meeting@MACH 4" xfId="12033"/>
    <cellStyle name="_FMTTQCI-MISH485-P006" xfId="12034"/>
    <cellStyle name="_FMTTQCI-MISH485-P006_FMTQCI-MIS3H064-P027(01)Nazca Copy Exact Flow chart" xfId="12035"/>
    <cellStyle name="_FMTTQCI-MISH485-P006_Nazca copy exact flow chart 20120409" xfId="12036"/>
    <cellStyle name="好_River EE BOM_Creak Pearl Reliability Fixture RFQ_2009 04 24_Leopard_UniBOM_ME_0603-2_Bolt RFQ_Foxlink_03.1 2011 3 2" xfId="12037"/>
    <cellStyle name="_FMTTQCI-MISH485-P006_Nazca copy exact flow chart 2012313" xfId="12038"/>
    <cellStyle name="_Mechanical Contribution Margins (Q1'06, applied to Apr'04 Fcst)_PL Forecast by segment-most final 0806_Copy of Tom OS ( Oct) new for LOG_2009 xBOX ramp up budget code applicaiton" xfId="12039"/>
    <cellStyle name="_FMTTQCI-MISH485-P007" xfId="12040"/>
    <cellStyle name="_FMTTQCI-MISH485-P007_Nazca copy exact flow chart 20120409" xfId="12041"/>
    <cellStyle name="_FMTTQCI-MISH485-P007_Nazca copy exact flow chart 2012313" xfId="12042"/>
    <cellStyle name="_FMTTQCI-MISH485-P008" xfId="12043"/>
    <cellStyle name="好_Creek Assembly Fixture  Test Equipment RFQ_20090427_Xl0000002_Leopard UniBom-06 22 2010_update_internal" xfId="12044"/>
    <cellStyle name="_FMTTQCI-MISH485-P008.5" xfId="12045"/>
    <cellStyle name="_FMTTQCI-MISH485-P008.5_FMTQCI-MIS3H064-P027(01)Nazca Copy Exact Flow chart" xfId="12046"/>
    <cellStyle name="标题 4 2 3 2" xfId="12047"/>
    <cellStyle name="_FMTTQCI-MISH485-P008.5_Nazca copy exact flow chart 20120409" xfId="12048"/>
    <cellStyle name="_FMTTQCI-MISH485-P008.5_Nazca copy exact flow chart 2012313" xfId="12049"/>
    <cellStyle name="_FMTTQCI-MISH485-P008.6" xfId="12050"/>
    <cellStyle name="差_Creak Pearl Reliability Fixture RFQ_2009 04 24_Leopard_UniBOM_ME_0602-1 2 4" xfId="12051"/>
    <cellStyle name="_FMTTQCI-MISH485-P008.6_FMTQCI-MIS3H064-P027(01)Nazca Copy Exact Flow chart" xfId="12052"/>
    <cellStyle name="_FMTTQCI-MISH485-P008.6_Nazca copy exact flow chart 20120409" xfId="12053"/>
    <cellStyle name="_FMTTQCI-MISH485-P008.6_Nazca copy exact flow chart 2012313" xfId="12054"/>
    <cellStyle name="好_River EE BOM_Xl0000000_Leopard Lemur Squirrel UniBom-06.22.2010_EE cost _update_internal_Bolt RFQ_Foxlink_03.1 2011_nego meeting@MACH 3 2" xfId="12055"/>
    <cellStyle name="_FMTTQCI-MISH485-P008_FMTQCI-MIS3H064-P027(01)Nazca Copy Exact Flow chart" xfId="12056"/>
    <cellStyle name="差_jupite r設備&amp;治工具LIST (總)_Flow Chart&amp;PQ分析(12-1)_Flow chart and Fixture(Jackson)_A1_Jackson 效益分析 (2-1 B0 上系統)_Leopard效益分析08-17" xfId="12057"/>
    <cellStyle name="差_Creak Pearl Reliability Fixture RFQ_2009 04 24_Leopard_UniBOM_ME_0603-2_Bolt RFQ_Foxlink_03.1 2011_nego meeting@MACH 2 3" xfId="12058"/>
    <cellStyle name="_FMTTQCI-MISH485-P008_Nazca copy exact flow chart 20120409" xfId="12059"/>
    <cellStyle name="_FMTTQCI-MISH485-P009" xfId="12060"/>
    <cellStyle name="_FMTTQCI-MISH485-P009_FMTQCI-MIS3H064-P027(01)Nazca Copy Exact Flow chart" xfId="12061"/>
    <cellStyle name="_FMTTQCI-MISH485-P009_Nazca copy exact flow chart 20120409" xfId="12062"/>
    <cellStyle name="_FMTTQCI-MISH485-P009_Nazca copy exact flow chart 2012313" xfId="12063"/>
    <cellStyle name="差_Creak Pearl Reliability Fixture RFQ_2009 04 24_Pearl RFQ(Submittal)ver2_05_12_2009 _Leopard UniBom_Foxlink_6 21 2010-ME_nego_Bolt RFQ Proposal_Foxlink_ (Pricing Summary) 2 25 2011 2" xfId="12064"/>
    <cellStyle name="好_River EE BOM_Creak Pearl Reliability Fixture RFQ_2009 04 24_Xl0000002_Bolt RFQ_Foxlink_03.1 2011 3 2" xfId="12065"/>
    <cellStyle name="_PL Forecast by segment-most final 0806_Internal Hourly Rate Q1 FY08 Version 06142007 excl. Corporate Allocation" xfId="12066"/>
    <cellStyle name="_FMTTQCI-MISH485-P012.5" xfId="12067"/>
    <cellStyle name="_FMTTQCI-MISH485-P012.5_Nazca copy exact flow chart 20120409" xfId="12068"/>
    <cellStyle name="差_Creak Pearl Reliability Fixture RFQ_2009 04 24_Pearl RFQ(Submittal)ver2_05_12_2009 _Leopard RFQ ME BOM Costs-0618_Bolt RFQ_Foxlink_03.1 2011_nego meeting@MACH 3 3" xfId="12069"/>
    <cellStyle name="_FMTTQCI-MISH485-P012.5_Nazca copy exact flow chart 2012313" xfId="12070"/>
    <cellStyle name="_FMTTQCI-MISH485-P018" xfId="12071"/>
    <cellStyle name="_FMTTQCI-MISH485-P018_FMTQCI-MIS3H064-P027(01)Nazca Copy Exact Flow chart" xfId="12072"/>
    <cellStyle name="_FOL_PCBA_Manaus_Oct_Fcst_0910_with transformer" xfId="12073"/>
    <cellStyle name="_FOL_PCBA_Sorocaba_Oct'04" xfId="12074"/>
    <cellStyle name="_follow up list-MA" xfId="12075"/>
    <cellStyle name="好_MB9月管審誤判超標 8D_HP 6 2" xfId="12076"/>
    <cellStyle name="_Forecast - Segment WGCJune06" xfId="12077"/>
    <cellStyle name="_Forecast - Segment WGCJune06_2009 xBOX ramp up budget code applicaiton" xfId="12078"/>
    <cellStyle name="_Forecast - Segment WGCJune06_2009 xBOX ramp up budget code applicaiton 300K --New May26 (3)" xfId="12079"/>
    <cellStyle name="_Forecast - Segment WGCJune06_Budget GC Other Form" xfId="12080"/>
    <cellStyle name="_Xbox November COGS Close Pack_360 Tooling &amp; Test" xfId="12081"/>
    <cellStyle name="_Forecast - Segment WGCJune06_Forecast Template v2" xfId="12082"/>
    <cellStyle name="_Forecast - Segment WGCJune06_Forecast Template v2_2009 xBOX ramp up budget code applicaiton" xfId="12083"/>
    <cellStyle name="_Forecast - Segment WGCJune06_Forecast Template v2_2009 xBOX ramp up budget code applicaiton 300K --New May26 (3)" xfId="12084"/>
    <cellStyle name="差_Creak Pearl Reliability Fixture RFQ_2009 04 24_Pearl RFQ(Submittal)ver2_05_12_2009 _Squirrel RFQ ME BOM Costs-0623_Bolt RFQ Proposal_Foxlink_ (Pricing Summary) 2 25 2011 2 4" xfId="12085"/>
    <cellStyle name="差_~1159284" xfId="12086"/>
    <cellStyle name="_W521 5 Mulan Edge KRH _FSA comments _Copy of MOST Std - S1300 F2lines" xfId="12087"/>
    <cellStyle name="_Forecast - Segment WGCJune06_Forecast Template v2_2009 xBOX ramp up budget code applicaiton 300K --New May27" xfId="12088"/>
    <cellStyle name="_Forecast - Segment WGCJune06_Forecast Template v2_Budget GC Other Form" xfId="12089"/>
    <cellStyle name="_Forecast - Segment WGCJune06_Forecast Template v2_Copy of X-BOX for line setup budget" xfId="12090"/>
    <cellStyle name="差_dallas產能評估_Dallas flow chart&amp;設備&amp;治工具清單(12-8 A0)_Jackson 效益分析 testing update_16th Jan111_Jackson 效益分析 (2-1 B0 上系統)_squirrel效益分析08-17" xfId="12091"/>
    <cellStyle name="_Forecast - Segment WGCJune06_Forecast Template v2_Forecast Template v4" xfId="12092"/>
    <cellStyle name="好_River EE BOM_Creak Pearl Reliability Fixture RFQ_2009 04 24_Leopard_UniBOM_ME_0602-1_Bolt RFQ Proposal_Foxlink_ (Pricing Summary) 2 25 2011 4" xfId="12093"/>
    <cellStyle name="好_Erie 效益分析 (Update)_效益分析(總 12-28 Update)_Leopard效益分析08-17" xfId="12094"/>
    <cellStyle name="_PL Fcst_akl(Friday)_Volume Fcst 1006 updated_2009 xBOX ramp up budget code applicaiton 300K --New May26 (3)" xfId="12095"/>
    <cellStyle name="_Forecast - Segment WGCJune06_Forecast Template v2_X-BOX BB" xfId="12096"/>
    <cellStyle name="_Forecast - Segment WGCJune06_Forecast Template v2_X-BOX Console line setup budget 20080414" xfId="12097"/>
    <cellStyle name="好_River EE BOM_Xl0000000_Foxlink_Shadow RFQ NREUni BOM_12032009_Bolt RFQ Proposal_Foxlink_ (Pricing Summary) 2 25 2011 5 2" xfId="12098"/>
    <cellStyle name="_Forecast - Segment WGCJune06_Forecast Template v4" xfId="12099"/>
    <cellStyle name="_Forecast - Segment WGCJune06_plforecastsample" xfId="12100"/>
    <cellStyle name="_Forecast - Segment WGCJune06_plforecastsample_2009 xBOX ramp up budget code applicaiton" xfId="12101"/>
    <cellStyle name="_Forecast - Segment WGCJune06_plforecastsample_2009 xBOX ramp up budget code applicaiton 300K --New May27" xfId="12102"/>
    <cellStyle name="好_效益分析&amp;產能評估_Bolt RFQ Proposal_Foxlink_ (Pricing Summary) 2 25 2011 3 2" xfId="12103"/>
    <cellStyle name="_Forecast - Segment WGCJune06_plforecastsample_Budget GC Other Form" xfId="12104"/>
    <cellStyle name="_Forecast - Segment WGCJune06_plforecastsample_Copy of X-BOX for line setup budget" xfId="12105"/>
    <cellStyle name="Normal 5 3 4 3 2" xfId="12106"/>
    <cellStyle name="_Forecast - Segment WGCJune06_plforecastsample_X-BOX Console line setup budget 20080414" xfId="12107"/>
    <cellStyle name="_Forecast - Segment WGCJune06_plforecastsample_X-BOX Console line setup budget and Buyer list" xfId="12108"/>
    <cellStyle name="_Forecast - Segment WGCJune06_X-BOX BB" xfId="12109"/>
    <cellStyle name="好_治具工程課2009年KPI_2009MB KPI-0205 2 2 2" xfId="12110"/>
    <cellStyle name="_Forecast - Segment WGCJune06_X-BOX Console line setup budget 20080414" xfId="12111"/>
    <cellStyle name="_Forecast - Segment WGCJune06_X-BOX Console line setup budget and Buyer list" xfId="12112"/>
    <cellStyle name="好_River EE BOM_Creak Pearl Reliability Fixture RFQ_2009 04 24_Creek  Pearl RFQ_May 12_Squirrel UniBom-06.23.2010_update_internal 2 4" xfId="12113"/>
    <cellStyle name="_Forecast - Segment WTJune06" xfId="12114"/>
    <cellStyle name="_Forecast - Segment WTJune06_2009 xBOX ramp up budget code applicaiton" xfId="12115"/>
    <cellStyle name="好_River EE BOM_Creek RFQ feedback 04_28_2009_FD Update_Squirrel UniBom-06.23.2010_update_internal" xfId="12116"/>
    <cellStyle name="好_Creek Assembly Fixture  Test Equipment RFQ_20090427_Xl0000002_Leopard_UniBOM_ME_0602_Bolt RFQ Proposal_Foxlink_ (Pricing Summary) 2 25 2011 2 2" xfId="12117"/>
    <cellStyle name="_Forecast - Segment WTJune06_2009 xBOX ramp up budget code applicaiton 300K --New May26 (3)" xfId="12118"/>
    <cellStyle name="Output 13 2 2" xfId="12119"/>
    <cellStyle name="_Forecast - Segment WTJune06_2009 xBOX ramp up budget code applicaiton 300K --New May27" xfId="12120"/>
    <cellStyle name="_Forecast - Segment WTJune06_Budget GC Other Form" xfId="12121"/>
    <cellStyle name="_Forecast - Segment WTJune06_Copy of X-BOX for line setup budget" xfId="12122"/>
    <cellStyle name="Heading 1 13" xfId="12123"/>
    <cellStyle name="_Forecast - Segment WTJune06_Forecast Template v2" xfId="12124"/>
    <cellStyle name="好_Erie Assembly Fixture  Test Equip Cost_20090716_Bolt RFQ Proposal_Foxlink_ (Pricing Summary) 2 25 2011" xfId="12125"/>
    <cellStyle name="_Forecast - Segment WTJune06_Forecast Template v2_2009 xBOX ramp up budget code applicaiton 300K --New May26 (3)" xfId="12126"/>
    <cellStyle name="_Forecast - Segment WTJune06_Forecast Template v2_2009 xBOX ramp up budget code applicaiton 300K --New May27" xfId="12127"/>
    <cellStyle name="Commeh[0]_laroux_mud plant bolted" xfId="12128"/>
    <cellStyle name="_Forecast - Segment WTJune06_Forecast Template v2_Budget GC Other Form" xfId="12129"/>
    <cellStyle name="_Xbox Capacity ramp plan for 2008 Rev11" xfId="12130"/>
    <cellStyle name="_Forecast - Segment WTJune06_Forecast Template v2_Copy of X-BOX for line setup budget" xfId="12131"/>
    <cellStyle name="_Quotebook_07SEP10_BlueAnt_Quotebook_V3_07SEP11_RFQ_River_BAFO_2008 0606_M1_Stream Package Quotation_20090311" xfId="12132"/>
    <cellStyle name="_Forecast - Segment WTJune06_Forecast Template v2_Forecast Template v4" xfId="12133"/>
    <cellStyle name="_Forecast - Segment WTJune06_Forecast Template v2_X-BOX BB" xfId="12134"/>
    <cellStyle name="差_Flow Chart&amp;設備治工具清單 _Jackson 效益分析 (2-1 B0 上系統)" xfId="12135"/>
    <cellStyle name="_Plantronics_Rainier_Dev Pricing_Apr.16_Internal RFQ River Standalone  Bundle Unibom_v1 2_20080603_EJ 2" xfId="12136"/>
    <cellStyle name="_Forecast - Segment WTJune06_Forecast Template v2_X-BOX Console line setup budget 20080414" xfId="12137"/>
    <cellStyle name="_Forecast - Segment WTJune06_Forecast Template v2_X-BOX Console line setup budget and Buyer list" xfId="12138"/>
    <cellStyle name="_Forecast - Segment WTJune06_Forecast Template v4" xfId="12139"/>
    <cellStyle name="_Forecast - Segment WTJune06_plforecastsample" xfId="12140"/>
    <cellStyle name="好_效益分析&amp;產能評估_Bolt RFQ_Foxlink_03.1 2011 5" xfId="12141"/>
    <cellStyle name="_Forecast - Segment WTJune06_plforecastsample_2009 xBOX ramp up budget code applicaiton" xfId="12142"/>
    <cellStyle name="_Forecast - Segment WTJune06_plforecastsample_2009 xBOX ramp up budget code applicaiton 300K --New May26 (3)" xfId="12143"/>
    <cellStyle name="_Forecast - Segment WTJune06_plforecastsample_Budget GC Other Form" xfId="12144"/>
    <cellStyle name="_Forecast - Segment WTJune06_plforecastsample_X-BOX BB" xfId="12145"/>
    <cellStyle name="好_River EE BOM_Creak Pearl Reliability Fixture RFQ_2009 04 24_Creek  Pearl RFQ_May 12 3 2" xfId="12146"/>
    <cellStyle name="Normal 25 3" xfId="12147"/>
    <cellStyle name="Normal 30 3" xfId="12148"/>
    <cellStyle name="_Forecast - Segment WTJune06_plforecastsample_X-BOX Console line setup budget and Buyer list" xfId="12149"/>
    <cellStyle name="_Forecast - Segment WTJune06_X-BOX BB" xfId="12150"/>
    <cellStyle name="60% - Accent5 3 2" xfId="12151"/>
    <cellStyle name="好_Erie Trial run  QA Report-1103_Dolce   QA Report 2010_0902_~7519239" xfId="12152"/>
    <cellStyle name="_Forecast - Segment WTJune06_X-BOX Console line setup budget 20080414" xfId="12153"/>
    <cellStyle name="壞_Creek EE BOM cost_20090425_Squirrel UniBom-06.23.2010_update_internal_Bolt RFQ_Foxlink_03.1 2011 2 3" xfId="12154"/>
    <cellStyle name="差_Xl0000002_Leopard RFQ ME BOM Costs-0618_Bolt RFQ Proposal_Foxlink_ (Pricing Summary) 2 25 2011 4 3" xfId="12155"/>
    <cellStyle name="_Forecast - Segment WVJune06" xfId="12156"/>
    <cellStyle name="_Forecast - Segment WVJune06_2009 xBOX ramp up budget code applicaiton" xfId="12157"/>
    <cellStyle name="好_Creek EE BOM cost_20090425_Creek RFQ feedback 04_28_2009_FD Update_Leopard RFQ ME BOM Costs-0618-2_Bolt RFQ Proposal_Foxlink_ (Pricing Summary) 2 25 2011 2 2 3" xfId="12158"/>
    <cellStyle name="_Forecast - Segment WVJune06_2009 xBOX ramp up budget code applicaiton 300K --New May26 (3)" xfId="12159"/>
    <cellStyle name="差_Xl0000002_Bolt RFQ_Foxlink_03.1 2011_nego meeting@MACH 2" xfId="12160"/>
    <cellStyle name="_產線產能格式04.V1xls.5.09" xfId="12161"/>
    <cellStyle name="_Forecast - Segment WVJune06_2009 xBOX ramp up budget code applicaiton 300K --New May27" xfId="12162"/>
    <cellStyle name="好_River EE BOM_Xl0000000_Leopard RFQ ME BOM Costs-0618_Bolt RFQ_Foxlink_03.1 2011_nego meeting@MACH 3 2" xfId="12163"/>
    <cellStyle name="_Forecast - Segment WVJune06_Forecast Template v2" xfId="12164"/>
    <cellStyle name="_Forecast - Segment WVJune06_Forecast Template v2_2009 xBOX ramp up budget code applicaiton 300K --New May26 (3)" xfId="12165"/>
    <cellStyle name="_Forecast - Segment WVJune06_Forecast Template v2_2009 xBOX ramp up budget code applicaiton 300K --New May27" xfId="12166"/>
    <cellStyle name="_Forecast - Segment WVJune06_Forecast Template v2_Budget GC Other Form" xfId="12167"/>
    <cellStyle name="_Mechanical Contribution Margins forecast 0506 FP_Tom OS ( Oct)_2009 xBOX ramp up budget code applicaiton 300K --New May27" xfId="12168"/>
    <cellStyle name="_Forecast - Segment WVJune06_Forecast Template v2_Copy of X-BOX for line setup budget" xfId="12169"/>
    <cellStyle name="_Forecast - Segment WVJune06_Forecast Template v2_Forecast Template v4" xfId="12170"/>
    <cellStyle name="_Forecast - Segment WVJune06_Forecast Template v2_X-BOX BB" xfId="12171"/>
    <cellStyle name="_Forecast - Segment WVJune06_Forecast Template v2_X-BOX Console line setup budget and Buyer list" xfId="12172"/>
    <cellStyle name="_Forecast - Segment WVJune06_Forecast Template v4" xfId="12173"/>
    <cellStyle name="差_Creak Pearl Reliability Fixture RFQ_2009 04 24_Pearl RFQ(Submittal)ver2_05_12_2009 _Leopard RFQ ME BOM Costs-0618-2_Bolt RFQ Proposal_Foxlink_ (Pricing Summary) 2 25 2011 5 2" xfId="12174"/>
    <cellStyle name="_Forecast - Segment WVJune06_plforecastsample_2009 xBOX ramp up budget code applicaiton" xfId="12175"/>
    <cellStyle name="差_HP Mouse 產能評估(Forecast更改後)_M1 SuedeFixtureEquipment Cost_A0_2010_10_15_Bolt RFQ_Foxlink_03.1 2011_nego meeting@MACH 3" xfId="12176"/>
    <cellStyle name="好_River EE BOM_Creek RFQ feedback 04_28_2009_FD Update_Leopard Lemur Squirrel UniBom-06.22.2010_EE cost _update_internal 2" xfId="12177"/>
    <cellStyle name="_Forecast - Segment WVJune06_plforecastsample_2009 xBOX ramp up budget code applicaiton 300K --New May26 (3)" xfId="12178"/>
    <cellStyle name="_Forecast - Segment WVJune06_plforecastsample_2009 xBOX ramp up budget code applicaiton 300K --New May27" xfId="12179"/>
    <cellStyle name="_Open Select License_accessories spc 1 0 slide" xfId="12180"/>
    <cellStyle name="_Mechanical Contribution Margins (Q1'06, applied to Apr'04 Fcst)_PL Fcst Jul 06-updated G&amp;A Value_2009 xBOX ramp up budget code applicaiton 300K --New May26 (3)" xfId="12181"/>
    <cellStyle name="_Forecast - Segment WVJune06_plforecastsample_Budget GC Other Form" xfId="12182"/>
    <cellStyle name="Accent1 4" xfId="12183"/>
    <cellStyle name="_Forecast - Segment WVJune06_plforecastsample_Copy of X-BOX for line setup budget" xfId="12184"/>
    <cellStyle name="9_Charlotte Price Model_A_MOST Std - S1300 F2lines" xfId="12185"/>
    <cellStyle name="_Forecast - Segment WVJune06_plforecastsample_X-BOX Console line setup budget 20080414" xfId="12186"/>
    <cellStyle name="_Forecast - Segment WVJune06_plforecastsample_X-BOX Console line setup budget and Buyer list" xfId="12187"/>
    <cellStyle name="好_River EE BOM_Xl0000000_Leopard_UniBOM_ME_0603-2 2" xfId="12188"/>
    <cellStyle name="_Forecast - Segment WVJune06_X-BOX BB" xfId="12189"/>
    <cellStyle name="_Forecast - Segment WVJune06_X-BOX Console line setup budget 20080414" xfId="12190"/>
    <cellStyle name="好_River EE BOM_Creek RFQ feedback 04_28_2009_FD Update_Leopard UniBom_Foxlink_6 21 2010-ME_nego_Bolt RFQ Proposal_Foxlink_ (Pricing Summary) 2 25 2011 2 4" xfId="12191"/>
    <cellStyle name="_Forecast - Segment-HP-June06(1)" xfId="12192"/>
    <cellStyle name="好_River EE BOM_Creak Pearl Reliability Fixture RFQ_2009 04 24_Creek  Pearl RFQ_May 12_Leopard_UniBOM_ME_0602_Bolt RFQ_Foxlink_03.1 2011 2 3" xfId="12193"/>
    <cellStyle name="_Forecast - Segment-HP-June06(1)_2009 xBOX ramp up budget code applicaiton" xfId="12194"/>
    <cellStyle name="_Foxlink Xenon Forecast 7-18-2005 2" xfId="12195"/>
    <cellStyle name="_Forecast - Segment-HP-June06(1)_2009 xBOX ramp up budget code applicaiton 300K --New May26 (3)" xfId="12196"/>
    <cellStyle name="Comma 16 2 2" xfId="12197"/>
    <cellStyle name="_Forecast - Segment-HP-June06(1)_Budget GC Other Form" xfId="12198"/>
    <cellStyle name="差_Creak Pearl Reliability Fixture RFQ_2009 04 24_Squirrel UniBom-06.23.2010_update_internal_Bolt RFQ_Foxlink_03.1 2011" xfId="12199"/>
    <cellStyle name="_Forecast - Segment-HP-June06(1)_Copy of X-BOX for line setup budget" xfId="12200"/>
    <cellStyle name="_Forecast - Segment-HP-June06(1)_Forecast Template v2" xfId="12201"/>
    <cellStyle name="_Forecast - Segment-HP-June06(1)_Forecast Template v2_2009 xBOX ramp up budget code applicaiton" xfId="12202"/>
    <cellStyle name="_Forecast - Segment-HP-June06(1)_Forecast Template v2_2009 xBOX ramp up budget code applicaiton 300K --New May26 (3)" xfId="12203"/>
    <cellStyle name="好_治具工程課2009年KPI_產線生產規劃KPI 2 2 3" xfId="12204"/>
    <cellStyle name="_Forecast - Segment-HP-June06(1)_Forecast Template v2_2009 xBOX ramp up budget code applicaiton 300K --New May27" xfId="12205"/>
    <cellStyle name="_Forecast - Segment-HP-June06(1)_Forecast Template v2_Budget GC Other Form" xfId="12206"/>
    <cellStyle name="_Forecast - Segment-HP-June06(1)_Forecast Template v2_Copy of X-BOX for line setup budget" xfId="12207"/>
    <cellStyle name="输出 3 4" xfId="12208"/>
    <cellStyle name="差_Creak Pearl Reliability Fixture RFQ_2009 04 24_Squirrel UniBom-06.23.2010_update_internal_Bolt RFQ_Foxlink_03.1 2011 2" xfId="12209"/>
    <cellStyle name="_Forecast - Segment-HP-June06(1)_Forecast Template v2_Forecast Template v4" xfId="12210"/>
    <cellStyle name="_Forecast - Segment-HP-June06(1)_Forecast Template v2_X-BOX BB" xfId="12211"/>
    <cellStyle name="_Forecast - Segment-HP-June06(1)_Forecast Template v2_X-BOX Console line setup budget 20080414" xfId="12212"/>
    <cellStyle name="差_Creak Pearl Reliability Fixture RFQ_2009 04 24_Xl0000002_Leopard RFQ ME BOM Costs-0618-2 3 3" xfId="12213"/>
    <cellStyle name="好_Creek Assembly Fixture  Test Equipment RFQ_20090427_Xl0000002_Leopard_UniBOM_ME_0531_Bolt RFQ Proposal_Foxlink_ (Pricing Summary) 2 25 2011 2" xfId="12214"/>
    <cellStyle name="_Forecast - Segment-HP-June06(1)_Forecast Template v2_X-BOX Console line setup budget and Buyer list" xfId="12215"/>
    <cellStyle name="40% - Accent6 2 3 3" xfId="12216"/>
    <cellStyle name="_FY05 Console Other Mfg Costs - 2nd Pass rev1 050504_P6 Si Ops review (2)" xfId="12217"/>
    <cellStyle name="_Forecast - Segment-HP-June06(1)_Forecast Template v4" xfId="12218"/>
    <cellStyle name="_Forecast - Segment-HP-June06(1)_plforecastsample" xfId="12219"/>
    <cellStyle name="_Forecast - Segment-HP-June06(1)_plforecastsample_2009 xBOX ramp up budget code applicaiton 300K --New May26 (3)" xfId="12220"/>
    <cellStyle name="好_River EE BOM_Creak Pearl Reliability Fixture RFQ_2009 04 24_Squirrel UniBom-06.23.2010_update_internal_Bolt RFQ_Foxlink_03.1 2011 3 3" xfId="12221"/>
    <cellStyle name="_Forecast - Segment-HP-June06(1)_plforecastsample_2009 xBOX ramp up budget code applicaiton 300K --New May27" xfId="12222"/>
    <cellStyle name="好_Creek Assembly Fixture  Test Equipment RFQ_20090427_Xl0000002_Leopard UniBom_Foxlink_6 21 2010-ME_nego_Bolt RFQ Proposal_Foxlink_ (Pricing Summary) 2 25 2011 4" xfId="12223"/>
    <cellStyle name="_Forecast - Segment-HP-June06(1)_plforecastsample_Budget GC Other Form" xfId="12224"/>
    <cellStyle name="_Forecast - Segment-HP-June06(1)_plforecastsample_Copy of X-BOX for line setup budget" xfId="12225"/>
    <cellStyle name="差_dallas產能評估_Flow Chart&amp;設備治工具清單 _Jackson 效益分析 (2-1 B0 上系統)" xfId="12226"/>
    <cellStyle name="_Forecast - Segment-HP-June06(1)_plforecastsample_Forecast Template v4" xfId="12227"/>
    <cellStyle name="_Forecast - Segment-HP-June06(1)_plforecastsample_X-BOX BB" xfId="12228"/>
    <cellStyle name="好_Creek Assembly Fixture  Test Equipment RFQ_20090427_Xl0000002_Leopard UniBom_Foxlink_6 21 2010-ME_nego_Bolt RFQ_Foxlink_03.1 2011 3 2" xfId="12229"/>
    <cellStyle name="_Forecast - Segment-HP-June06(1)_X-BOX BB" xfId="12230"/>
    <cellStyle name="_Forecast - Segment-HP-June06(1)_X-BOX Console line setup budget 20080414" xfId="12231"/>
    <cellStyle name="_Forecast - Segment-OCE-June06(1)" xfId="12232"/>
    <cellStyle name="_Forecast - Segment-OCE-June06(1)_2009 xBOX ramp up budget code applicaiton" xfId="12233"/>
    <cellStyle name="差_Creek RFQ feedback 04_28_2009_FD Update_Leopard_UniBOM_ME_0602 2 2" xfId="12234"/>
    <cellStyle name="_Forecast - Segment-OCE-June06(1)_2009 xBOX ramp up budget code applicaiton 300K --New May26 (3)" xfId="12235"/>
    <cellStyle name="_Forecast - Segment-OCE-June06(1)_Budget GC Other Form" xfId="12236"/>
    <cellStyle name="_Forecast - Segment-OCE-June06(1)_Copy of X-BOX for line setup budget" xfId="12237"/>
    <cellStyle name="_PL Fcst_akl(Friday)_PL Fcst Jul 06-updated G&amp;A Value_Budget GC Other Form" xfId="12238"/>
    <cellStyle name="_Forecast - Segment-OCE-June06(1)_Forecast Template v2" xfId="12239"/>
    <cellStyle name="_Forecast - Segment-OCE-June06(1)_Forecast Template v2_2009 xBOX ramp up budget code applicaiton 300K --New May26 (3)" xfId="12240"/>
    <cellStyle name="_PL Forecast Comparison_Mech Doumen2006_1(preliminary)_Copy of Tom OS ( Oct) new for LOG" xfId="12241"/>
    <cellStyle name="_Forecast - Segment-OCE-June06(1)_Forecast Template v2_Budget GC Other Form" xfId="12242"/>
    <cellStyle name="_PL Forecast Comparison_Mech Doumen2006_1(preliminary)_Volume Fcst Jul 06-update HP _Copy of Tom OS ( Oct) new for LOG_X-BOX Console line setup budget and Buyer list" xfId="12243"/>
    <cellStyle name="_Forecast - Segment-OCE-June06(1)_Forecast Template v2_Copy of X-BOX for line setup budget" xfId="12244"/>
    <cellStyle name="_Forecast - Segment-OCE-June06(1)_Forecast Template v2_Forecast Template v4" xfId="12245"/>
    <cellStyle name="_Forecast - Segment-OCE-June06(1)_Forecast Template v2_X-BOX Console line setup budget 20080414" xfId="12246"/>
    <cellStyle name="_Forecast - Segment-OCE-June06(1)_Forecast Template v2_X-BOX Console line setup budget and Buyer list" xfId="12247"/>
    <cellStyle name="_Forecast - Segment-OCE-June06(1)_plforecastsample" xfId="12248"/>
    <cellStyle name="_Forecast - Segment-OCE-June06(1)_plforecastsample_2009 xBOX ramp up budget code applicaiton" xfId="12249"/>
    <cellStyle name="_KYE KROSA NRT-20071014" xfId="12250"/>
    <cellStyle name="_Forecast - Segment-OCE-June06(1)_plforecastsample_2009 xBOX ramp up budget code applicaiton 300K --New May26 (3)" xfId="12251"/>
    <cellStyle name="好_HP all model 標準工時(W1130) 3 2 3" xfId="12252"/>
    <cellStyle name="_Forecast - Segment-OCE-June06(1)_plforecastsample_2009 xBOX ramp up budget code applicaiton 300K --New May27" xfId="12253"/>
    <cellStyle name="_Forecast - Segment-OCE-June06(1)_plforecastsample_Copy of X-BOX for line setup budget" xfId="12254"/>
    <cellStyle name="差_Creak Pearl Reliability Fixture RFQ_2009 04 24_Leopard_UniBOM_ME_0531_Bolt RFQ Proposal_Foxlink_ (Pricing Summary) 2 25 2011 2" xfId="12255"/>
    <cellStyle name="_Forecast - Segment-OCE-June06(1)_plforecastsample_Forecast Template v4" xfId="12256"/>
    <cellStyle name="_Forecast - Segment-OCE-June06(1)_plforecastsample_X-BOX BB" xfId="12257"/>
    <cellStyle name="好_Creek EE BOM cost_20090425_Creek RFQ feedback 04_28_2009_FD Update_Leopard Lemur Squirrel UniBom-06.22.2010_EE cost _update_internal 2 2" xfId="12258"/>
    <cellStyle name="_Forecast - Segment-OCE-June06(1)_plforecastsample_X-BOX Console line setup budget 20080414" xfId="12259"/>
    <cellStyle name="好_River EE BOM_Creak Pearl Reliability Fixture RFQ_2009 04 24_Pearl RFQ(Submittal)ver2_05_12_2009 _Leopard_UniBOM_ME_0603-2 2 2" xfId="12260"/>
    <cellStyle name="_Forecast - Segment-OCE-June06(1)_plforecastsample_X-BOX Console line setup budget and Buyer list" xfId="12261"/>
    <cellStyle name="40% - Accent3 3 3 2" xfId="12262"/>
    <cellStyle name="Calculation 12" xfId="12263"/>
    <cellStyle name="_Forecast - Segment-OCE-June06(1)_X-BOX BB" xfId="12264"/>
    <cellStyle name="_Forecast - Segment-OCE-June06(1)_X-BOX Console line setup budget 20080414" xfId="12265"/>
    <cellStyle name="_PACKAGE COST-Lenovo 13LS" xfId="12266"/>
    <cellStyle name="_Forecast - Segment-OCE-June06(1)_X-BOX Console line setup budget and Buyer list" xfId="12267"/>
    <cellStyle name="20% - 强调文字颜色 3 2 4" xfId="12268"/>
    <cellStyle name="_forecast 7-12 kevin" xfId="12269"/>
    <cellStyle name="好_River EE BOM_Xl0000000_Leopard UniBom_Foxlink_6 21 2010-ME_nego_Bolt RFQ Proposal_Foxlink_ (Pricing Summary) 2 25 2011 6" xfId="12270"/>
    <cellStyle name="_forecast for Feb'06" xfId="12271"/>
    <cellStyle name="_forecast for Jan'06(PM)" xfId="12272"/>
    <cellStyle name="Normal 4 5 4 3" xfId="12273"/>
    <cellStyle name="_Q3 OS_X-BOX Console line setup budget 20080414" xfId="12274"/>
    <cellStyle name="_Forecast Summary" xfId="12275"/>
    <cellStyle name="_internal- uPad-D Quotebook_20080521_v1.2_Internal RFQ River Standalone  Bundle Unibom_v1 2_20080603_EJ_Stream Package Quotation_20090311" xfId="12276"/>
    <cellStyle name="_Forecast Summary_2009 xBOX ramp up budget code applicaiton 300K --New May27" xfId="12277"/>
    <cellStyle name="_Forecast Summary_Copy of X-BOX for line setup budget" xfId="12278"/>
    <cellStyle name="壞_Creek Assembly Fixture  Test Equipment RFQ_20090427_Xl0000002_Leopard_UniBOM_ME_0602 2 2 2" xfId="12279"/>
    <cellStyle name="差_dallas產能評估_Dallas flow chart&amp;設備&amp;治工具清單(12-8 A0)_Flow Chart&amp;設備治工具清單 _Jackson 效益分析 (2-1 B0 上系統)_Leopard Flowchart &amp; 產能評估" xfId="12280"/>
    <cellStyle name="差_Creak Pearl Reliability Fixture RFQ_2009 04 24_Leopard_UniBOM_ME_0602-1_Bolt RFQ_Foxlink_03.1 2011 2" xfId="12281"/>
    <cellStyle name="好_River EE BOM_Creak Pearl Reliability Fixture RFQ_2009 04 24_Xl0000002_Leopard RFQ ME BOM Costs-0618_Bolt RFQ_Foxlink_03.1 2011 5" xfId="12282"/>
    <cellStyle name="_Forecast Summary_Forecast Template v4" xfId="12283"/>
    <cellStyle name="_Forecast Summary_Line transition plan to B17 rev 5" xfId="12284"/>
    <cellStyle name="_Forecast Summary_Line transition plan to B17 rev 5_Tester Demand Plan 062707" xfId="12285"/>
    <cellStyle name="好_Creek Assembly Fixture  Test Equipment RFQ_20090427_Leopard_UniBOM_ME_0602-1_Bolt RFQ_Foxlink_03.1 2011_nego meeting@MACH 2 2" xfId="12286"/>
    <cellStyle name="_Forecast Summary_Scenario 1 of recovery until 1102" xfId="12287"/>
    <cellStyle name="好_River EE BOM_Creak Pearl Reliability Fixture RFQ_2009 04 24_Creek  Pearl RFQ_May 12_Jackson and Shadow BOM cost_mainfile_2010 0324 rev.1_Leopard UniBom_Foxlink_12092010 RevD-jen" xfId="12288"/>
    <cellStyle name="_Forecast Summary_Scenario 1 of recovery until 1102_Tester Demand Plan 062707" xfId="12289"/>
    <cellStyle name="差_F3   SMT設備明細_效益分析_flow chart 2009.12.12_Flow Chart&amp;設備治工具清單 _Jackson 效益分析 (2-1 B0 上系統)_squirrel效益分析08-17" xfId="12290"/>
    <cellStyle name="_Forecast Summary_Scenario 2 of recovery until 1116" xfId="12291"/>
    <cellStyle name="好_Creek EE BOM cost_20090425_Leopard RFQ ME BOM Costs-0618 3" xfId="12292"/>
    <cellStyle name="_Forecast Summary_Scenario 2 of recovery until 1116_Tester Demand Plan 062707" xfId="12293"/>
    <cellStyle name="_Forecast Summary_Tester Demand Plan" xfId="12294"/>
    <cellStyle name="Input 5" xfId="12295"/>
    <cellStyle name="_Forecast Summary_Tester Demand Plan 062807" xfId="12296"/>
    <cellStyle name="好_River EE BOM_Xl0000000_Leopard RFQ ME BOM Costs-0618-2 3 2" xfId="12297"/>
    <cellStyle name="_Forecast Summary_Tester Demand Plan_Tester Demand Plan 062707" xfId="12298"/>
    <cellStyle name="_Forecast Summary_X-BOX BB" xfId="12299"/>
    <cellStyle name="好_River EE BOM_Creek RFQ feedback 04_28_2009_FD Update_Leopard RFQ ME BOM Costs-0618-2_Bolt RFQ Proposal_Foxlink_ (Pricing Summary) 2 25 2011 7" xfId="12300"/>
    <cellStyle name="壞_Creek Assembly Fixture  Test Equipment RFQ_20090427_Leopard RFQ ME BOM Costs-0618-2_Bolt RFQ_Foxlink_03.1 2011 3" xfId="12301"/>
    <cellStyle name="_Forecast Summary_X-BOX Console line setup budget 20080414" xfId="12302"/>
    <cellStyle name="_Forecast Summary_X-BOX Console line setup budget and Buyer list" xfId="12303"/>
    <cellStyle name="_Forecast Template v2" xfId="12304"/>
    <cellStyle name="差_Creek RFQ feedback 04_28_2009_FD Update_Squirrel UniBom_Foxlink_6 28 2010" xfId="12305"/>
    <cellStyle name="好_River EE BOM_Creak Pearl Reliability Fixture RFQ_2009 04 24_Creek RFQ feedback 04_28_2009_FD Update_Leopard Lemur Squirrel UniBom-06.22.2010_EE cost _update_internal_Bolt RFQ_Foxlink_03.1 2011 5" xfId="12306"/>
    <cellStyle name="_Forecast Template v2_2009 xBOX ramp up budget code applicaiton" xfId="12307"/>
    <cellStyle name="差_HP Mouse 產能評估(上系統)_Bolt RFQ Proposal_Foxlink_ (Pricing Summary) 2 25 2011 4 2" xfId="12308"/>
    <cellStyle name="_Forecast Template v2_2009 xBOX ramp up budget code applicaiton 300K --New May26 (3)" xfId="12309"/>
    <cellStyle name="_Forecast Template v2_Copy of X-BOX for line setup budget" xfId="12310"/>
    <cellStyle name="壞_Creek EE BOM cost_20090425_Leopard_UniBOM_ME_0603-2 3 3" xfId="12311"/>
    <cellStyle name="_Forecast Template v2_Forecast Template v4" xfId="12312"/>
    <cellStyle name="_Forecast Template v2_X-BOX BB" xfId="12313"/>
    <cellStyle name="好_River EE BOM_Creak Pearl Reliability Fixture RFQ_2009 04 24_Xl0000002_Leopard Lemur Squirrel UniBom-06.22.2010_EE cost _update_internal_Bolt RFQ_Foxlink_03.1 2011 2" xfId="12314"/>
    <cellStyle name="_Mechanical Contribution Margins (Q2'06) 0705_Copy of Tom OS ( Oct) new for LOG_2009 xBOX ramp up budget code applicaiton 300K --New May26 (3)" xfId="12315"/>
    <cellStyle name="_Forecast Variance for Apr'06_Rev02" xfId="12316"/>
    <cellStyle name="_Forecast Variance for May'06_Rev01(May 02)" xfId="12317"/>
    <cellStyle name="_Mechanical Contribution Margins forecast 0506 FP_Copy of X-BOX for line setup budget" xfId="12318"/>
    <cellStyle name="_Forecast Variance for May'06_Rev02(May 09)" xfId="12319"/>
    <cellStyle name="_LCMY07費用分析080108" xfId="12320"/>
    <cellStyle name="_Forecast_Tom" xfId="12321"/>
    <cellStyle name="差_Creak Pearl Reliability Fixture RFQ_2009 04 24_Creek  Pearl RFQ_May 12_Leopard_UniBOM_ME_0531 3 3" xfId="12322"/>
    <cellStyle name="_Forecast051226" xfId="12323"/>
    <cellStyle name="_forecast060213" xfId="12324"/>
    <cellStyle name="_forecast060227" xfId="12325"/>
    <cellStyle name="_forecast0603131" xfId="12326"/>
    <cellStyle name="_PL Fcst_akl(Friday)_Volume Fcst Jul 06-update HP _Internal Hourly Rate Q1 FY08 Version 06052007 Draft" xfId="12327"/>
    <cellStyle name="_forecast060320" xfId="12328"/>
    <cellStyle name="_forecast060327" xfId="12329"/>
    <cellStyle name="_forecast060403" xfId="12330"/>
    <cellStyle name="差_jupite r設備&amp;治工具LIST (總)_pq_Jackson 效益分析 testing update_16th Jan1_Jackson 效益分析 (2-1 B0 上系統)" xfId="12331"/>
    <cellStyle name="好_River EE BOM_Creak Pearl Reliability Fixture RFQ_2009 04 24_Pearl RFQ(Submittal)ver2_05_12_2009 _Leopard Lemur Squirrel UniBom-06.22.2010_EE cost _update_internal_Bolt RFQ Proposal_Foxlink_ (Pricing Summary) 2 25 2011 7" xfId="12332"/>
    <cellStyle name="Text all Centre" xfId="12333"/>
    <cellStyle name="_Z9 blueAnt ME BOM 0910 final_BlueAnt_Quotebook_V3_07SEP11_Stream RFQ Unibom--0626-1756_Stream Quotebook(Submittal)_POC1_20080903" xfId="12334"/>
    <cellStyle name="_forecast0604101" xfId="12335"/>
    <cellStyle name="差_Creak Pearl Reliability Fixture RFQ_2009 04 24_Xl0000002_Leopard_UniBOM_ME_0531_Bolt RFQ_Foxlink_03.1 2011_nego meeting@MACH 2 3" xfId="12336"/>
    <cellStyle name="_Forecast'Sep" xfId="12337"/>
    <cellStyle name="_Mulan Edge Procurement Plan May 30 P1A_FMTQCI-MIS3H064-P027(01)Nazca Copy Exact Flow chart" xfId="12338"/>
    <cellStyle name="_Foxlink Retail AV Packs Costed BOM 081305" xfId="12339"/>
    <cellStyle name="_Foxlink Retail AV Packs Costed BOM 081305_Dawson_Dev Pricing" xfId="12340"/>
    <cellStyle name="_Foxlink Retail AV Packs Costed BOM 081305_FM Transmitter_Dev Labor NRE_Mar26-07" xfId="12341"/>
    <cellStyle name="差_MB9月管審誤判超標 8D 5 2 2" xfId="12342"/>
    <cellStyle name="壞_Creek Assembly Fixture  Test Equipment RFQ_20090427_Xl0000002_Squirrel RFQ ME BOM Costs-0623_Bolt RFQ_Foxlink_03.1 2011_nego meeting@MACH 2" xfId="12343"/>
    <cellStyle name="_Foxlink Retail AV Packs Costed BOM 081305_Gutenberg Development Pricing" xfId="12344"/>
    <cellStyle name="_Foxlink Retail AV Packs Costed BOM 081305_Gutenberg Manufacturing Pricing" xfId="12345"/>
    <cellStyle name="_Foxlink Retail AV Packs Costed BOM 081305_Zune v2  Manufacturing Pricing" xfId="12346"/>
    <cellStyle name="好_River EE BOM_Creak Pearl Reliability Fixture RFQ_2009 04 24_Creek RFQ feedback 04_28_2009_FD Update_Leopard_UniBOM_ME_0602-1_Bolt RFQ_Foxlink_03.1 2011 4" xfId="12347"/>
    <cellStyle name="好_River EE BOM_Creak Pearl Reliability Fixture RFQ_2009 04 24_Xl0000002_Leopard RFQ ME BOM Costs-0618_Bolt RFQ_Foxlink_03.1 2011_nego meeting@MACH 3 2" xfId="12348"/>
    <cellStyle name="好_Creek Assembly Fixture  Test Equipment RFQ_20090427_Leopard Lemur Squirrel UniBom-06.22.2010_EE cost _update_internal_Bolt_Cliff 2 3" xfId="12349"/>
    <cellStyle name="_Foxlink Retail AV Packs Costed BOM 081305_Zune V2 FM Transmitter_Schedule A" xfId="12350"/>
    <cellStyle name="_Foxlink Xenon Forecast 7-18-2005" xfId="12351"/>
    <cellStyle name="壞_Erie Assembly Fixture  Test Equip Cost_20090716_Foxlink_Shadow RFQ NREUni BOM_12032009_Bolt RFQ_Foxlink_03.1 2011_nego meeting@MACH 3" xfId="12352"/>
    <cellStyle name="_Foxlink Xenon Forecast 7-18-2005_Internal RFQ River Standalone  Bundle Unibom_v1 2_20080603_EJ_Stream Package Quotation_20090311" xfId="12353"/>
    <cellStyle name="_Foxlink Xenon Forecast 7-18-2005_Internal RFQ River Standalone  Bundle Unibom_v1 2_20080603_EJ_Stream Quotebook (Submittal)_POC2_20081117-1" xfId="12354"/>
    <cellStyle name="Comma  - Style6" xfId="12355"/>
    <cellStyle name="_Foxlink Xenon Forecast 7-18-2005_Internal RFQ River Standalone  Bundle Unibom_v1 2_20080603_EJ_Stream Quotebook(Submittal)_POC1_20080903" xfId="12356"/>
    <cellStyle name="_Foxlink Xenon Forecast 7-18-2005_Internal RFQ River Standalone  Bundle Unibom_v1 2_20080603_EJ_Stream Quotebook(Submittal)_POC1_20080903 2" xfId="12357"/>
    <cellStyle name="差_jupite r設備&amp;治工具LIST (總)_效益分析 (12-9 A1)_squirrel效益分析08-17" xfId="12358"/>
    <cellStyle name="差_jupite r設備&amp;治工具LIST (總)_Dallas效益分析&amp;投資回收期 (12-2 A1)_Jackson 效益分析 testing update_16th Jan1" xfId="12359"/>
    <cellStyle name="Number [1] in K-Units" xfId="12360"/>
    <cellStyle name="_Foxlink Xenon Forecast 7-18-2005_ME and packaging parts &amp; tools cost for Cheddar with Rev A-20080327" xfId="12361"/>
    <cellStyle name="差_F3   SMT設備明細_效益分析_Dallas flow chart&amp;設備&amp;治工具清單(12-8 A0)_~5631336_Jackson 效益分析 (2-1 B0 上系統)" xfId="12362"/>
    <cellStyle name="_Foxlink Xenon Forecast 7-18-2005_ME and packaging parts &amp; tools cost for Javelin with Rev A-20080327" xfId="12363"/>
    <cellStyle name="_Foxlink Xenon Forecast 7-18-2005_ME parts &amp; tools cost for Cheddar with Rev A-20080331" xfId="12364"/>
    <cellStyle name="_Foxlink Xenon Forecast 7-18-2005_RFQ_River_BAFO_2008 0606_M1" xfId="12365"/>
    <cellStyle name="差_F3   SMT設備明細_jupite r設備&amp;治工具LIST (總)_flow chart 2009.12.12_Flow chart and Fixture(1-4)_Jackson 效益分析 (2-1 B0 上系統)" xfId="12366"/>
    <cellStyle name="好_Creek Assembly Fixture  Test Equipment RFQ_20090427_Bolt_Cliff 2 2 2" xfId="12367"/>
    <cellStyle name="Enter Currency (0) 4" xfId="12368"/>
    <cellStyle name="_Foxlink Xenon Forecast 7-18-2005_RFQ_River_BAFO_2008 0606_M1_Stream Quotebook (Submittal)_POC2_20081117-1" xfId="12369"/>
    <cellStyle name="_Volume Fcst Jul 06-update HP _Copy of Tom OS ( Oct) new for LOG_Forecast Template v4" xfId="12370"/>
    <cellStyle name="_Foxlink Xenon Forecast 7-18-2005_RFQ_River_BAFO_2008 0606_M1_Stream Quotebook(Submittal)_POC1_20080903" xfId="12371"/>
    <cellStyle name="好_River EE BOM_Xl0000002_Bolt RFQ Proposal_Foxlink_ (Pricing Summary) 2 25 2011 3 3" xfId="12372"/>
    <cellStyle name="_Foxlink Xenon Forecast 7-18-2005_RFQ_River_BAFO_2008 0606_M1_Stream Quotebook(Submittal)_POC1_20080903 2" xfId="12373"/>
    <cellStyle name="_Foxlink Xenon Forecast 7-18-2005_RIM Meteor charging pod" xfId="12374"/>
    <cellStyle name="_Foxlink Xenon Forecast 7-18-2005_RIM Meteor charging pod 2" xfId="12375"/>
    <cellStyle name="Good 6" xfId="12376"/>
    <cellStyle name="_Foxlink Xenon Forecast 7-18-2005_RIM Meteor charging pod_Internal RFQ River Standalone  Bundle Unibom_v1 2_20080603_EJ 2" xfId="12377"/>
    <cellStyle name="好_River EE BOM_Creak Pearl Reliability Fixture RFQ_2009 04 24_Leopard RFQ ME BOM Costs-0618-2_Bolt RFQ_Foxlink_03.1 2011_nego meeting@MACH 2 2" xfId="12378"/>
    <cellStyle name="好_Creek EE BOM cost_20090425_Creek RFQ feedback 04_28_2009_FD Update_Leopard UniBom_true cost_6.23.2010" xfId="12379"/>
    <cellStyle name="_Foxlink Xenon Forecast 7-18-2005_RIM Meteor charging pod_Internal RFQ River Standalone  Bundle Unibom_v1 2_20080603_EJ_Stream Quotebook (Submittal)_POC2_20081117-1" xfId="12380"/>
    <cellStyle name="好_River EE BOM_Creak Pearl Reliability Fixture RFQ_2009 04 24_Creek RFQ feedback 04_28_2009_FD Update_Leopard RFQ ME BOM Costs-0618_Bolt RFQ Proposal_Foxlink_ (Pricing Summary) 2 25 2011 2 2" xfId="12381"/>
    <cellStyle name="_Foxlink Xenon Forecast 7-18-2005_RIM Meteor charging pod_Internal RFQ River Standalone  Bundle Unibom_v1 2_20080603_EJ_Stream Quotebook(Submittal)_POC1_20080903" xfId="12382"/>
    <cellStyle name="好_River EE BOM_Creak Pearl Reliability Fixture RFQ_2009 04 24_Creek RFQ feedback 04_28_2009_FD Update_Leopard RFQ ME BOM Costs-0618_Bolt RFQ Proposal_Foxlink_ (Pricing Summary) 2 25 2011 2 2 2" xfId="12383"/>
    <cellStyle name="好_Creek Assembly Fixture  Test Equipment RFQ_20090427_Squirrel RFQ ME BOM Costs-0623_Bolt RFQ_Foxlink_03.1 2011" xfId="12384"/>
    <cellStyle name="_Foxlink Xenon Forecast 7-18-2005_RIM Meteor charging pod_Internal RFQ River Standalone  Bundle Unibom_v1 2_20080603_EJ_Stream Quotebook(Submittal)_POC1_20080903 2" xfId="12385"/>
    <cellStyle name="差_F3   SMT設備明細_M1 SuedeFixtureEquipment Cost_A0_2010_10_15_Bolt RFQ_Foxlink_03.1 2011_nego meeting@MACH 2 2" xfId="12386"/>
    <cellStyle name="_Foxlink Xenon Forecast 7-18-2005_RIM Meteor charging pod_ME and packaging parts &amp; tools cost for river with Rev A-20080521" xfId="12387"/>
    <cellStyle name="_Foxlink Xenon Forecast 7-18-2005_RIM Meteor charging pod_ME and packaging parts &amp; tools cost for river with Rev A-20080521 2" xfId="12388"/>
    <cellStyle name="_Mechanical Contribution Margins forecast 0506 FP_Volume Fcst 1006 updated_Tom OS ( Oct)_Budget GC Other Form" xfId="12389"/>
    <cellStyle name="_Foxlink Xenon Forecast 7-18-2005_RIM Meteor charging pod_ME and packaging parts &amp; tools cost for river with Rev A-20080521_Internal RFQ River Standalone  Bundle Unibom_v1 2_20080603_EJ" xfId="12390"/>
    <cellStyle name="好_River EE BOM_Creak Pearl Reliability Fixture RFQ_2009 04 24_Pearl RFQ(Submittal)ver2_05_12_2009 _Squirrel RFQ ME BOM Costs-0623 2 2 3" xfId="12391"/>
    <cellStyle name="_Foxlink Xenon Forecast 7-18-2005_RIM Meteor charging pod_ME and packaging parts &amp; tools cost for river with Rev A-20080521_Internal RFQ River Standalone  Bundle Unibom_v1 2_20080603_EJ 2" xfId="12392"/>
    <cellStyle name="_Foxlink Xenon Forecast 7-18-2005_RIM Meteor charging pod_ME and packaging parts &amp; tools cost for river with Rev A-20080521_Internal RFQ River Standalone  Bundle Unibom_v1 2_20080603_EJ_Stream Quotebook (Submittal)_POC2_20081117-1" xfId="12393"/>
    <cellStyle name="好_Creek EE BOM cost_20090425_Foxlink_Shadow RFQ NREUni BOM_12032009 2 2 2" xfId="12394"/>
    <cellStyle name="_Foxlink Xenon Forecast 7-18-2005_RIM Meteor charging pod_ME and packaging parts &amp; tools cost for river with Rev A-20080521_Internal RFQ River Standalone  Bundle Unibom_v1 2_20080603_EJ_Stream Quotebook(Submittal)_POC1_20080903" xfId="12395"/>
    <cellStyle name="差_Creek RFQ feedback 04_28_2009_FD Update_Leopard_UniBOM_ME_0602-1_Bolt RFQ Proposal_Foxlink_ (Pricing Summary) 2 25 2011 5 3" xfId="12396"/>
    <cellStyle name="好_River EE BOM_Creak Pearl Reliability Fixture RFQ_2009 04 24_Xl0000002_Leopard_UniBOM_ME_0602_Bolt RFQ_Foxlink_03.1 2011" xfId="12397"/>
    <cellStyle name="_Foxlink Xenon Forecast 7-18-2005_RIM Meteor charging pod_ME and packaging parts &amp; tools cost for river with Rev A-20080521_Internal RFQ River Standalone  Bundle Unibom_v1 2_20080603_EJ_Stream Quotebook(Submittal)_POC1_20080903 2" xfId="12398"/>
    <cellStyle name="差_Xl0000002_Leopard UniBom_Foxlink_6 21 2010-ME_nego_Bolt RFQ Proposal_Foxlink_ (Pricing Summary) 2 25 2011 5 2" xfId="12399"/>
    <cellStyle name="_Foxlink Xenon Forecast 7-18-2005_RIM Meteor charging pod_ME and packaging parts &amp; tools cost for river with Rev A-20080521_RFQ_River_BAFO_2008 0606_M1 2" xfId="12400"/>
    <cellStyle name="差 2 2 2" xfId="12401"/>
    <cellStyle name="_Foxlink Xenon Forecast 7-18-2005_RIM Meteor charging pod_ME and packaging parts &amp; tools cost for river with Rev A-20080521_RFQ_River_BAFO_2008 0606_M1_Stream Package Quotation_20090311" xfId="12402"/>
    <cellStyle name="_Foxlink Xenon Forecast 7-18-2005_RIM Meteor charging pod_ME and packaging parts &amp; tools cost for river with Rev A-20080521_RFQ_River_BAFO_2008 0606_M1_Stream Quotebook (Submittal)_POC2_20081117-1" xfId="12403"/>
    <cellStyle name="_Foxlink Xenon Forecast 7-18-2005_RIM Meteor charging pod_ME and packaging parts &amp; tools cost for river with Rev A-20080521_RFQ_River_BAFO_2008 0606_M1_Stream Quotebook(Submittal)_POC1_20080903" xfId="12404"/>
    <cellStyle name="_Foxlink Xenon Forecast 7-18-2005_RIM Meteor charging pod_ME and packaging parts &amp; tools cost for river with Rev A-20080521_RFQ_River_BAFO_2008 0606_M1_Stream Quotebook(Submittal)_POC1_20080903 2" xfId="12405"/>
    <cellStyle name="_Foxlink Xenon Forecast 7-18-2005_RIM Meteor charging pod_ME and packaging parts &amp; tools cost for river with Rev A-20080521_Stream RFQ Unibom--0626-1756" xfId="12406"/>
    <cellStyle name="差_Creek RFQ feedback 04_28_2009_FD Update_Squirrel RFQ ME BOM Costs-0623_Bolt RFQ_Foxlink_03.1 2011 3 2" xfId="12407"/>
    <cellStyle name="_Sales Forecast (plastic XX)0703_Volume Fcst Jul 06-update HP _Copy of Tom OS ( Oct) new for LOG_Copy of X-BOX for line setup budget" xfId="12408"/>
    <cellStyle name="_Sales Forecast (plastic XX)1203_Volume Fcst Jul 06-update HP _Copy of Tom OS ( Oct) new for LOG_Copy of X-BOX for line setup budget" xfId="12409"/>
    <cellStyle name="_Mechanical Contribution Margins (Q2'06) 0705_Mechanical Contribution Margins forecast 0506 FP_PL Fcst Jul 06-updated G&amp;A Value_Tom OS ( Oct)_2009 xBOX ramp up budget code applicaiton" xfId="12410"/>
    <cellStyle name="好_River EE BOM_Xl0000002_Leopard Lemur Squirrel UniBom-06.22.2010_EE cost _update_internal_Bolt RFQ_Foxlink_03.1 2011 3" xfId="12411"/>
    <cellStyle name="差_Creak Pearl Reliability Fixture RFQ_2009 04 24_Creek  Pearl RFQ_May 12_Leopard Lemur Squirrel UniBom-06.22.2010_EE cost _update_internal_Bolt RFQ_Foxlink_03.1 2011 4" xfId="12412"/>
    <cellStyle name="Currency 2 5" xfId="12413"/>
    <cellStyle name="_Foxlink Xenon Forecast 7-18-2005_RIM Meteor charging pod_ME and packaging parts &amp; tools cost for river with Rev A-20080521_Stream RFQ Unibom--0626-1756 2" xfId="12414"/>
    <cellStyle name="_Foxlink Xenon Forecast 7-18-2005_RIM Meteor charging pod_ME and packaging parts &amp; tools cost for river with Rev A-20080521_Stream RFQ Unibom--0626-1756_Stream Package Quotation_20090311" xfId="12415"/>
    <cellStyle name="Normal 18 3 2 3" xfId="12416"/>
    <cellStyle name="Normal 23 3 2 3" xfId="12417"/>
    <cellStyle name="_Mechanical Contribution Margins (Q2'06) 0705_PL Forecast by segment-most final 0806_Tom OS ( Oct)_Copy of X-BOX for line setup budget" xfId="12418"/>
    <cellStyle name="_Foxlink Xenon Forecast 7-18-2005_RIM Meteor charging pod_ME and packaging parts &amp; tools cost for river with Rev A-20080521_Stream RFQ Unibom--0626-1756_Stream Quotebook (Submittal)_POC2_20081117-1" xfId="12419"/>
    <cellStyle name="差_F3   SMT設備明細_M1 Bolt wireless mouse FixtureEquipment Cost_A2_2010_12_07_Bolt RFQ Proposal_Foxlink_ (Pricing Summary) 2 25 2011 2" xfId="12420"/>
    <cellStyle name="_Foxlink Xenon Forecast 7-18-2005_RIM Meteor charging pod_ME and packaging parts &amp; tools cost for river with Rev A-20080521_Stream RFQ Unibom--0626-1756_Stream Quotebook(Submittal)_POC1_20080903 2" xfId="12421"/>
    <cellStyle name="壞_Creek Assembly Fixture  Test Equipment RFQ_20090427_Leopard_UniBOM_ME_0531_Bolt RFQ Proposal_Foxlink_ (Pricing Summary) 2 25 2011 5 2" xfId="12422"/>
    <cellStyle name="好_Creek EE BOM cost_20090425_Squirrel RFQ ME BOM Costs-0623_Bolt RFQ Proposal_Foxlink_ (Pricing Summary) 2 25 2011 6" xfId="12423"/>
    <cellStyle name="_Foxlink Xenon Forecast 7-18-2005_RIM Meteor charging pod_RFQ_River_BAFO_2008 0606_M1" xfId="12424"/>
    <cellStyle name="好_River EE BOM_Creak Pearl Reliability Fixture RFQ_2009 04 24_Xl0000002_Leopard_UniBOM_ME_0531_Bolt RFQ_Foxlink_03.1 2011 5" xfId="12425"/>
    <cellStyle name="_Foxlink Xenon Forecast 7-18-2005_RIM Meteor charging pod_RFQ_River_BAFO_2008 0606_M1 2" xfId="12426"/>
    <cellStyle name="_Microsoft Xenon Zero Cost_111405" xfId="12427"/>
    <cellStyle name="_Foxlink Xenon Forecast 7-18-2005_RIM Meteor charging pod_RFQ_River_BAFO_2008 0606_M1_Stream Package Quotation_20090311" xfId="12428"/>
    <cellStyle name="Normal 5 2 3 3 3" xfId="12429"/>
    <cellStyle name="_Foxlink Xenon Forecast 7-18-2005_RIM Meteor charging pod_RFQ_River_BAFO_2008 0606_M1_Stream Quotebook (Submittal)_POC2_20081117-1" xfId="12430"/>
    <cellStyle name="_Foxlink Xenon Forecast 7-18-2005_RIM Meteor charging pod_RFQ_River_BAFO_2008 0606_M1_Stream Quotebook(Submittal)_POC1_20080903" xfId="12431"/>
    <cellStyle name="_Plutto Uni_BOM 06042006" xfId="12432"/>
    <cellStyle name="_Foxlink Xenon Forecast 7-18-2005_RIM Meteor charging pod_RFQ_River_BAFO_2008 0606_M1_Stream Quotebook(Submittal)_POC1_20080903 2" xfId="12433"/>
    <cellStyle name="好_River EE BOM_Creak Pearl Reliability Fixture RFQ_2009 04 24_Creek RFQ feedback 04_28_2009_FD Update_Leopard_UniBOM_ME_0531_Bolt RFQ Proposal_Foxlink_ (Pricing Summary) 2 25 2011 2" xfId="12434"/>
    <cellStyle name="_Foxlink Xenon Forecast 7-18-2005_RIM Meteor charging pod_Stream RFQ Unibom--0626-1756" xfId="12435"/>
    <cellStyle name="好_River EE BOM_Creak Pearl Reliability Fixture RFQ_2009 04 24_Creek RFQ feedback 04_28_2009_FD Update_Leopard_UniBOM_ME_0531_Bolt RFQ Proposal_Foxlink_ (Pricing Summary) 2 25 2011 2 2" xfId="12436"/>
    <cellStyle name="_Foxlink Xenon Forecast 7-18-2005_RIM Meteor charging pod_Stream RFQ Unibom--0626-1756 2" xfId="12437"/>
    <cellStyle name="好_River EE BOM_Creak Pearl Reliability Fixture RFQ_2009 04 24_Leopard Lemur Squirrel UniBom-06.22.2010_EE cost _update_internal_Bolt RFQ_Foxlink_03.1 2011_nego meeting@MACH 2 2" xfId="12438"/>
    <cellStyle name="_Foxlink Xenon Forecast 7-18-2005_RIM Meteor charging pod_Stream RFQ Unibom--0626-1756_Stream Package Quotation_20090311" xfId="12439"/>
    <cellStyle name="差_Dolce build QA daily report_ 2011.2.22" xfId="12440"/>
    <cellStyle name="好_River EE BOM_Xl0000002 2 3" xfId="12441"/>
    <cellStyle name="好_River EE BOM_Creak Pearl Reliability Fixture RFQ_2009 04 24_Creek  Pearl RFQ_May 12_Leopard UniBom_Foxlink_6 21 2010-ME_nego_Bolt RFQ Proposal_Foxlink_ (Pricing Summary) 2 25 2011 4 2" xfId="12442"/>
    <cellStyle name="_Foxlink Xenon Forecast 7-18-2005_RIM Meteor charging pod_Stream RFQ Unibom--0626-1756_Stream Quotebook(Submittal)_POC1_20080903" xfId="12443"/>
    <cellStyle name="_Foxlink Xenon Forecast 7-18-2005_RIM Meteor charging pod_Stream RFQ Unibom--0626-1756_Stream Quotebook(Submittal)_POC1_20080903 2" xfId="12444"/>
    <cellStyle name="好_Creek Assembly Fixture  Test Equipment RFQ_20090427_Foxlink_Shadow RFQ NREUni BOM_12032009_Bolt RFQ Proposal_Foxlink_ (Pricing Summary) 2 25 2011 4 2" xfId="12445"/>
    <cellStyle name="_Foxlink Xenon Forecast 7-18-2005_Stream RFQ Unibom--0626-1756" xfId="12446"/>
    <cellStyle name="好_0842周 顯卡報廢超標8D 3 4" xfId="12447"/>
    <cellStyle name="_Foxlink Xenon Forecast 7-18-2005_Stream RFQ Unibom--0626-1756 2" xfId="12448"/>
    <cellStyle name="Percent 2 3 2 2" xfId="12449"/>
    <cellStyle name="_Foxlink Xenon Forecast 7-18-2005_Stream RFQ Unibom--0626-1756_Stream Package Quotation_20090311" xfId="12450"/>
    <cellStyle name="Normal 5 3 3 3 3" xfId="12451"/>
    <cellStyle name="_Foxlink Xenon Forecast 7-18-2005_Stream RFQ Unibom--0626-1756_Stream Quotebook (Submittal)_POC2_20081117-1" xfId="12452"/>
    <cellStyle name="好_River EE BOM_Creak Pearl Reliability Fixture RFQ_2009 04 24_Creek RFQ feedback 04_28_2009_FD Update_Bolt RFQ Proposal_Foxlink_ (Pricing Summary) 2 25 2011 4 2" xfId="12453"/>
    <cellStyle name="_Foxlink Xenon Forecast 7-18-2005_Stream RFQ Unibom--0626-1756_Stream Quotebook(Submittal)_POC1_20080903" xfId="12454"/>
    <cellStyle name="差_Creek RFQ feedback 04_28_2009_FD Update_Leopard_UniBOM_ME_0602_Bolt RFQ_Foxlink_03.1 2011 4" xfId="12455"/>
    <cellStyle name="_Foxlink Xenon Forecast 7-18-2005_Stream RFQ Unibom--0626-1756_Stream Quotebook(Submittal)_POC1_20080903 2" xfId="12456"/>
    <cellStyle name="_FP Q1 FY08 Fcst" xfId="12457"/>
    <cellStyle name="_FP Q1 FY08 Fcst_Internal Hourly Rate Q1 FY08 Version (2)" xfId="12458"/>
    <cellStyle name="_FP Q1 FY08 Fcst_Internal Hourly Rate Q1 FY08 Version 06052007 Draft" xfId="12459"/>
    <cellStyle name="好_Creek Assembly Fixture  Test Equipment RFQ_20090427_Leopard_UniBOM_ME_0602-1_Bolt RFQ_Foxlink_03.1 2011_Bolt_Cliff 2 2 2" xfId="12460"/>
    <cellStyle name="_FP Q1 FY08 Fcst_Internal Hourly Rate Q1 FY08 Version 06142007 excl. Corporate Allocation" xfId="12461"/>
    <cellStyle name="_FP Q1 FY08 Fcst_Internal Hourly Rate Q1 FY08 Version 06142007 excl. Corporate Allocation_Internal Hourly Rate Q1 FY08 Version (2)" xfId="12462"/>
    <cellStyle name="_freight  hub cost-7-281_Lenovo PACK  Packing Proposal" xfId="12463"/>
    <cellStyle name="好_Creek EE BOM cost_20090425_Leopard UniBom_Foxlink_6 21 2010-ME_nego_Bolt RFQ Proposal_Foxlink_ (Pricing Summary) 2 25 2011 2 2 2" xfId="12464"/>
    <cellStyle name="_freight  hub cost-7-281_Lenovo Park Format_July 07 05" xfId="12465"/>
    <cellStyle name="_freight  hub cost-7-281_Lenovo Park Format_July 07 05V2" xfId="12466"/>
    <cellStyle name="_freight cost-7-12" xfId="12467"/>
    <cellStyle name="_freight cost-7-12_Lenovo PACK  Packing Proposal" xfId="12468"/>
    <cellStyle name="差_Creek RFQ feedback 04_28_2009_FD Update_Squirrel UniBom-06.23.2010_update_internal_Bolt RFQ Proposal_Foxlink_ (Pricing Summary) 2 25 2011 2 2 2" xfId="12469"/>
    <cellStyle name="_OP1 DPO Forecast Final_PL Forecast by segment-most final 0806_Tom OS ( Oct)_2009 xBOX ramp up budget code applicaiton" xfId="12470"/>
    <cellStyle name="_freight cost-7-12_Lenovo Park Format_July 07 05" xfId="12471"/>
    <cellStyle name="好_MB9月管審換線超時8d_2009MB KPI_MBO3F製造部hp0209-01 2" xfId="12472"/>
    <cellStyle name="_freight cost-7-12_Lenovo Park Format_July 07 05V2" xfId="12473"/>
    <cellStyle name="_FS30AF-17_Cost breakdown昆山回傳" xfId="12474"/>
    <cellStyle name="_FT Time Study(RR Rework &amp; Argon Cleaning) " xfId="12475"/>
    <cellStyle name="好_River EE BOM_Creak Pearl Reliability Fixture RFQ_2009 04 24_Xl0000002_Leopard Lemur Squirrel UniBom-06.22.2010_EE cost _update_internal_Bolt RFQ Proposal_Foxlink_ (Pricing Summary) 2 25 2011 5 3" xfId="12476"/>
    <cellStyle name="_X802678-001 Xenon Commodity Costed BOM (3)_4 27_to MS_FMTQCI-MIS3H064-P027(01)Nazca Copy Exact Flow chart" xfId="12477"/>
    <cellStyle name="_Fusion Uni_BOM-Update 09062005-NRE" xfId="12478"/>
    <cellStyle name="好_River EE BOM_Creak Pearl Reliability Fixture RFQ_2009 04 24_Xl0000002_Leopard_UniBOM_ME_0602_Bolt RFQ Proposal_Foxlink_ (Pricing Summary) 2 25 2011 4" xfId="12479"/>
    <cellStyle name="_FY02 Budget Summary Select Version 25th No CDR FINAL ver2" xfId="12480"/>
    <cellStyle name="_FY02 Budget Summary Select Version 25th No CDR FINAL ver2_accessories spc 1 0 slide" xfId="12481"/>
    <cellStyle name="_FY02 Budget Summary Select Version 25th No CDR FINAL ver2_Book5" xfId="12482"/>
    <cellStyle name="好_River EE BOM_Creak Pearl Reliability Fixture RFQ_2009 04 24_Pearl RFQ(Submittal)ver2_05_12_2009 _Foxlink_Shadow RFQ NREUni BOM_12032009_Bolt RFQ Proposal_Foxlink_ (Pricing Summary) 2 25 2011" xfId="12483"/>
    <cellStyle name="_FY02 Budget Summary Select Version 25th No CDR FINAL ver2_CopyOfP6 Waynea review" xfId="12484"/>
    <cellStyle name="_FY02 Budget Summary Select Version 25th No CDR FINAL ver2_FY06 P06 360Periphs SPC" xfId="12485"/>
    <cellStyle name="差_MB9月管審誤判超標 8D_2009MB KPI_MBO3F製造部hp0209-01 2 2 2 2" xfId="12486"/>
    <cellStyle name="_FY02 Budget Summary Select Version 25th No CDR FINAL ver2_FY06 P4 CM Consigned RM" xfId="12487"/>
    <cellStyle name="差_Xl0000002_Leopard RFQ ME BOM Costs-0618-2_Bolt RFQ Proposal_Foxlink_ (Pricing Summary) 2 25 2011 2" xfId="12488"/>
    <cellStyle name="_FY02 Budget Summary Select Version 25th No CDR FINAL ver2_FY06 P5 XBox 360 Mfg Var - Close Pack" xfId="12489"/>
    <cellStyle name="差_HP Mouse 產能評估(上系統)_MS Bolt wireless mouse FixtureEquipment Cost_A5_2010_02_21_Bolt RFQ_Foxlink_03.1 2011_nego meeting@MACH 3 2" xfId="12490"/>
    <cellStyle name="差_dallas產能評估_Flow Chart&amp;設備治工具清單 _Jackson 效益分析 (2-1 B0 上系統)_squirrel效益分析08-17" xfId="12491"/>
    <cellStyle name="9_Revised AP DPO Oct 04 v2_X-BOX BB" xfId="12492"/>
    <cellStyle name="_FY02 Budget Summary Select Version 25th No CDR FINAL ver2_FY06 P7 CM Consigned RM" xfId="12493"/>
    <cellStyle name="_hiring plan DL" xfId="12494"/>
    <cellStyle name="差_Xl0000000_Foxlink_Shadow RFQ NREUni BOM_12032009 2 2 3" xfId="12495"/>
    <cellStyle name="Normal 10 3 2" xfId="12496"/>
    <cellStyle name="_FY02 Budget Summary Select Version 25th No CDR FINAL ver2_FY06 P7 XBox 360 Mfg Var - Close Pack" xfId="12497"/>
    <cellStyle name="_FY02 Budget Summary Select Version 25th No CDR FINAL ver2_FY06 P7 XBox Mfg Var - Close Pack" xfId="12498"/>
    <cellStyle name="差_Foxlink_Shadow RFQ NREUni BOM_12032009_Bolt RFQ_Foxlink_03.1 2011 2 3" xfId="12499"/>
    <cellStyle name="_FY02 Budget Summary Select Version 25th No CDR FINAL ver2_FY06 P8 CM Consigned RM" xfId="12500"/>
    <cellStyle name="_FY02 Budget Summary Select Version 25th No CDR FINAL ver2_P2 Waynea review" xfId="12501"/>
    <cellStyle name="_Gray" xfId="12502"/>
    <cellStyle name="_FY02 Budget Summary Select Version 25th No CDR FINAL ver2_P6 Si Ops review" xfId="12503"/>
    <cellStyle name="_FY02 Budget Summary Select Version 25th No CDR FINAL ver2_P6 Waynea review" xfId="12504"/>
    <cellStyle name="_FY02 Budget Summary Select Version 25th No CDR FINAL ver2_Sheet1" xfId="12505"/>
    <cellStyle name="_FY02_BusinessStream_ScrubTemplate_YOY_EMEA" xfId="12506"/>
    <cellStyle name="好_River EE BOM_Creak Pearl Reliability Fixture RFQ_2009 04 24_Leopard RFQ ME BOM Costs-0618-2 2 2 2" xfId="12507"/>
    <cellStyle name="好_River EE BOM_Creak Pearl Reliability Fixture RFQ_2009 04 24_Creek  Pearl RFQ_May 12_Leopard Lemur Squirrel UniBom-06.22.2010_EE cost _update_internal_Bolt RFQ Proposal_Foxlink_ (Pricing Summary) 2 25 2011 5" xfId="12508"/>
    <cellStyle name="_FY02_BusinessStream_ScrubTemplate_YOY_EMEA_accessories spc 1 0 slide" xfId="12509"/>
    <cellStyle name="_Mechanical Contribution Margins (Q1'06, applied to Apr'04 Fcst)_PL Forecast by segment-most final 0806_X-BOX Console line setup budget and Buyer list" xfId="12510"/>
    <cellStyle name="_FY02_BusinessStream_ScrubTemplate_YOY_EMEA_Book1" xfId="12511"/>
    <cellStyle name="标题 4 2 2 2 2" xfId="12512"/>
    <cellStyle name="_FY02_BusinessStream_ScrubTemplate_YOY_EMEA_Book5" xfId="12513"/>
    <cellStyle name="_Volume Fcst Jul 06-update HP _Tom OS ( Oct)" xfId="12514"/>
    <cellStyle name="_FY02_BusinessStream_ScrubTemplate_YOY_EMEA_CopyOfP6 Waynea review" xfId="12515"/>
    <cellStyle name="_FY02_BusinessStream_ScrubTemplate_YOY_EMEA_FY06 P06 360Periphs SPC" xfId="12516"/>
    <cellStyle name="_FY02_BusinessStream_ScrubTemplate_YOY_EMEA_FY06 P4 CM Consigned RM" xfId="12517"/>
    <cellStyle name="_FY02_BusinessStream_ScrubTemplate_YOY_EMEA_FY06 P5 XBox 360 Mfg Var - Close Pack" xfId="12518"/>
    <cellStyle name="_FY02_BusinessStream_ScrubTemplate_YOY_EMEA_FY06 P7 CM Consigned RM" xfId="12519"/>
    <cellStyle name="计算 3 2 2 3" xfId="12520"/>
    <cellStyle name="_FY02_BusinessStream_ScrubTemplate_YOY_EMEA_FY06 P7 XBox 360 Mfg Var - Close Pack" xfId="12521"/>
    <cellStyle name="好_River EE BOM_Creak Pearl Reliability Fixture RFQ_2009 04 24_Xl0000002_Leopard UniBom_Foxlink_6 21 2010-ME_nego_Bolt RFQ_Foxlink_03.1 2011 2 3" xfId="12522"/>
    <cellStyle name="_FY02_BusinessStream_ScrubTemplate_YOY_EMEA_FY06 P7 XBox Mfg Var - Close Pack" xfId="12523"/>
    <cellStyle name="_FY02_BusinessStream_ScrubTemplate_YOY_EMEA_P6 Si Ops review (2)" xfId="12524"/>
    <cellStyle name="好_MB9月管審換線超時8d_HP 2 2 2 2" xfId="12525"/>
    <cellStyle name="_Monaco PCBA time record_Tester Demand Plan 062807_Tester Demand Plan 062707" xfId="12526"/>
    <cellStyle name="_FY02_BusinessStream_ScrubTemplate_YOY_EMEA_Sheet1" xfId="12527"/>
    <cellStyle name="_FY03 Solectron Japan &amp; Australia summary-amend" xfId="12528"/>
    <cellStyle name="_FY03 Solectron Japan &amp; Australia summary-amend_FY06 P4 CM Consigned RM" xfId="12529"/>
    <cellStyle name="_FY03 Solectron Japan &amp; Australia summary-amend_FY06 P6 CM Consigned RM" xfId="12530"/>
    <cellStyle name="_FY03 Solectron Japan &amp; Australia summary-amend_FY06 P6 XBox 360 Mfg Var - Close Pack" xfId="12531"/>
    <cellStyle name="_FY03 Solectron Japan &amp; Australia summary-amend_FY06 P7 CM Consigned RM" xfId="12532"/>
    <cellStyle name="好_Creek Assembly Fixture  Test Equipment RFQ_20090427_Xl0000002_Leopard_UniBOM_ME_0531 3 3" xfId="12533"/>
    <cellStyle name="_Monaco manpower comparison 8-30_Line transition plan to B17 rev 5" xfId="12534"/>
    <cellStyle name="_FY03 Solectron Japan &amp; Australia summary-amend_FY06 Xenon Console Other Mfg Costs Forecast - january v1" xfId="12535"/>
    <cellStyle name="_FY0304_XBOX  CHANNEL RESERVE_accessories spc 1 0 slide" xfId="12536"/>
    <cellStyle name="_FY0304_XBOX  CHANNEL RESERVE_Book5" xfId="12537"/>
    <cellStyle name="_FY0304_XBOX  CHANNEL RESERVE_CopyOfP6 Waynea review" xfId="12538"/>
    <cellStyle name="差_Creak Pearl Reliability Fixture RFQ_2009 04 24_Xl0000002_Squirrel RFQ ME BOM Costs-0623_Bolt RFQ Proposal_Foxlink_ (Pricing Summary) 2 25 2011 4" xfId="12539"/>
    <cellStyle name="_FY0304_XBOX  CHANNEL RESERVE_FY06 P4 CM Consigned RM" xfId="12540"/>
    <cellStyle name="差_Creak Pearl Reliability Fixture RFQ_2009 04 24_Xl0000002_Leopard RFQ ME BOM Costs-0618_Bolt RFQ_Foxlink_03.1 2011 3 2" xfId="12541"/>
    <cellStyle name="_FY0304_XBOX  CHANNEL RESERVE_FY06 P5 XBox 360 Mfg Var - Close Pack" xfId="12542"/>
    <cellStyle name="_FY0304_XBOX  CHANNEL RESERVE_FY06 P7 CM Consigned RM" xfId="12543"/>
    <cellStyle name="Total 14 2 3" xfId="12544"/>
    <cellStyle name="_PL Fcst_akl(Friday)_PL Forecast by segment-most final 0806_X-BOX Console line setup budget and Buyer list" xfId="12545"/>
    <cellStyle name="_FY0304_XBOX  CHANNEL RESERVE_FY06 P7 XBox 360 Mfg Var - Close Pack" xfId="12546"/>
    <cellStyle name="_FY0304_XBOX  CHANNEL RESERVE_FY06 P7 XBox Mfg Var - Close Pack" xfId="12547"/>
    <cellStyle name="好_River EE BOM_Creak Pearl Reliability Fixture RFQ_2009 04 24_Xl0000002_Leopard RFQ ME BOM Costs-0618_Bolt RFQ Proposal_Foxlink_ (Pricing Summary) 2 25 2011 2 4" xfId="12548"/>
    <cellStyle name="好_效益分析&amp;產能評估_M1 Bolt wireless mouse FixtureEquipment Cost_A2_2010_12_07" xfId="12549"/>
    <cellStyle name="_FY0304_XBOX  CHANNEL RESERVE_FY06 P8 CM Consigned RM" xfId="12550"/>
    <cellStyle name="_FY0304_XBOX  CHANNEL RESERVE_P2 Waynea review" xfId="12551"/>
    <cellStyle name="壞_Creek EE BOM cost_20090425_Creek RFQ feedback 04_28_2009_FD Update_Squirrel RFQ ME BOM Costs-0623_Bolt RFQ_Foxlink_03.1 2011 4" xfId="12552"/>
    <cellStyle name="Accent3 9" xfId="12553"/>
    <cellStyle name="_FY0304_XBOX  CHANNEL RESERVE_P6 Si Ops review (2)" xfId="12554"/>
    <cellStyle name="Normál_RESULTS" xfId="12555"/>
    <cellStyle name="_FY0304_XBOX  CHANNEL RESERVE_P6 Waynea review" xfId="12556"/>
    <cellStyle name="_FY0304_XBOX  CHANNEL RESERVE_Sheet1" xfId="12557"/>
    <cellStyle name="差_Creak Pearl Reliability Fixture RFQ_2009 04 24_Creek  Pearl RFQ_May 12_Squirrel UniBom-06.23.2010_update_internal_Bolt RFQ_Foxlink_03.1 2011_nego meeting@MACH 4" xfId="12558"/>
    <cellStyle name="_FY04 Q2 FDM Costed BOM Final" xfId="12559"/>
    <cellStyle name="_FY05 Console Other Mfg Costs - 2nd Pass rev1 050504" xfId="12560"/>
    <cellStyle name="_FY05 Console Other Mfg Costs - 2nd Pass rev1 050504_Book5" xfId="12561"/>
    <cellStyle name="_FY05 Console Other Mfg Costs - 2nd Pass rev1 050504_CopyOfP6 Waynea review" xfId="12562"/>
    <cellStyle name="_FY05 Console Other Mfg Costs - 2nd Pass rev1 050504_FY06 P4 CM Consigned RM" xfId="12563"/>
    <cellStyle name="差_Creak Pearl Reliability Fixture RFQ_2009 04 24_Creek  Pearl RFQ_May 12_Leopard_UniBOM_ME_0531 2 2 2" xfId="12564"/>
    <cellStyle name="_FY05 Console Other Mfg Costs - 2nd Pass rev1 050504_FY06 P5 XBox 360 Mfg Var - Close Pack" xfId="12565"/>
    <cellStyle name="PERCENTAGE 4" xfId="12566"/>
    <cellStyle name="_FY05 Console Other Mfg Costs - 2nd Pass rev1 050504_FY06 P7 CM Consigned RM" xfId="12567"/>
    <cellStyle name="_FY05 Console Other Mfg Costs - 2nd Pass rev1 050504_FY06 P7 XBox 360 Mfg Var - Close Pack" xfId="12568"/>
    <cellStyle name="差_MB9月管審誤判超標 8D_2009MB KPI_MBO3F製造部hp0209-01 2 3" xfId="12569"/>
    <cellStyle name="差_Bristol ME parts tooling cost 20101022 updated_Bristol TC Estimate Update 08042011_MS" xfId="12570"/>
    <cellStyle name="_FY05 Console Other Mfg Costs - 2nd Pass rev1 050504_FY06 P8 CM Consigned RM" xfId="12571"/>
    <cellStyle name="_FY05 Console Other Mfg Costs - 2nd Pass rev1 050504_P2 Waynea review" xfId="12572"/>
    <cellStyle name="差_Creak Pearl Reliability Fixture RFQ_2009 04 24_Xl0000002_Leopard_UniBOM_ME_0603-2 3 2" xfId="12573"/>
    <cellStyle name="差_效益分析&amp;產能評估_M1 Bolt wireless mouse FixtureEquipment Cost_A2_2010_12_07_Bolt RFQ Proposal_Foxlink_ (Pricing Summary) 2 25 2011 2 3" xfId="12574"/>
    <cellStyle name="_FY05 Console Other Mfg Costs - 2nd Pass rev1 050504_P6 Si Ops review" xfId="12575"/>
    <cellStyle name="差_Creak Pearl Reliability Fixture RFQ_2009 04 24_Pearl RFQ(Submittal)ver2_05_12_2009 _Leopard_UniBOM_ME_0602 2 3" xfId="12576"/>
    <cellStyle name="_FY05 Console Other Mfg Costs - 2nd Pass rev1 050504_P6 Waynea review" xfId="12577"/>
    <cellStyle name="差_Erie mouse 效益分析( 11-19 A1)_squirrel效益分析08-17" xfId="12578"/>
    <cellStyle name="_FY05 MRB Accruals" xfId="12579"/>
    <cellStyle name="_FY05 MRB Accruals_FY06 P4 CM Consigned RM" xfId="12580"/>
    <cellStyle name="差_Creak Pearl Reliability Fixture RFQ_2009 04 24_Creek  Pearl RFQ_May 12_Bolt RFQ Proposal_Foxlink_ (Pricing Summary) 2 25 2011 3 2" xfId="12581"/>
    <cellStyle name="_FY05 MRB Accruals_FY06 P6 CM Consigned RM" xfId="12582"/>
    <cellStyle name="好_0842周 顯卡報廢超標8D_HP 2 3" xfId="12583"/>
    <cellStyle name="_FY05 MRB Accruals_FY06 P6 XBox 360 Mfg Var - Close Pack" xfId="12584"/>
    <cellStyle name="_FY05 MRB Accruals_FY06 P7 CM Consigned RM" xfId="12585"/>
    <cellStyle name="千位分隔 2 2" xfId="12586"/>
    <cellStyle name="_FY05 MRB Accruals_FY06 Xenon Console Other Mfg Costs Forecast - january v1" xfId="12587"/>
    <cellStyle name="_FY05 MRB Accruals_P2 Waynea review" xfId="12588"/>
    <cellStyle name="_FY05 Q1 FDM Costed BOM (ADDITIONAL) Final rev 1" xfId="12589"/>
    <cellStyle name="_FY05 Q2 FDM Costed BOM Final rev 2" xfId="12590"/>
    <cellStyle name="好_MB9月管審換線超時8d_2009MB KPI_MBO3F製造部hp0209-01 2 3 2" xfId="12591"/>
    <cellStyle name="_FY05 Q2 Tuscany Console BOM v2" xfId="12592"/>
    <cellStyle name="Comma 16 3 3" xfId="12593"/>
    <cellStyle name="_FY05 Q3 FDM Costed BOM Final rev 1" xfId="12594"/>
    <cellStyle name="_PL Fcst Jul 06-updated G&amp;A Value_Copy of Tom OS ( Oct) new for LOG_Copy of X-BOX for line setup budget" xfId="12595"/>
    <cellStyle name="_FY05 Q3 WZS Costed BOM Final F23-00170 rev1" xfId="12596"/>
    <cellStyle name="20% - Accent5 5" xfId="12597"/>
    <cellStyle name="_FY05 Q4 WZS Costed BOM Final rev1" xfId="12598"/>
    <cellStyle name="_FY06 Budget - Peripherals FINAL(use only at home)" xfId="12599"/>
    <cellStyle name="9_Revised AP DPO Oct 04 v2_PL Fcst Jul 06-updated G&amp;A Value_Tom OS ( Oct)_X-BOX Console line setup budget and Buyer list" xfId="12600"/>
    <cellStyle name="_FY06 Budget - Peripherals v.6" xfId="12601"/>
    <cellStyle name="_FY06 Budget - Peripherals v.6_FY06 P4 CM Consigned RM" xfId="12602"/>
    <cellStyle name="好_River EE BOM_Creak Pearl Reliability Fixture RFQ_2009 04 24_Xl0000002_Leopard_UniBOM_ME_0602_Bolt RFQ_Foxlink_03.1 2011 3 2" xfId="12603"/>
    <cellStyle name="好_River EE BOM_Creak Pearl Reliability Fixture RFQ_2009 04 24_Creek  Pearl RFQ_May 12_Squirrel UniBom-06.23.2010_update_internal_Bolt RFQ_Foxlink_03.1 2011 2 3" xfId="12604"/>
    <cellStyle name="_FY06 Budget - Peripherals v.6_FY06 P6 CM Consigned RM" xfId="12605"/>
    <cellStyle name="_FY06 Budget - Peripherals v.6_FY06 P6 XBox 360 Mfg Var - Close Pack" xfId="12606"/>
    <cellStyle name="好_River EE BOM_Creak Pearl Reliability Fixture RFQ_2009 04 24_Xl0000002_Leopard_UniBOM_ME_0603-2 2 2 2" xfId="12607"/>
    <cellStyle name="Normal 5 3 2 2" xfId="12608"/>
    <cellStyle name="Normal 29 2 3" xfId="12609"/>
    <cellStyle name="Normal 34 2 3" xfId="12610"/>
    <cellStyle name="_FY06 Budget - Peripherals v.6_P2 Waynea review" xfId="12611"/>
    <cellStyle name="_FY06 P06 360Periphs SPC" xfId="12612"/>
    <cellStyle name="好_River EE BOM_Creak Pearl Reliability Fixture RFQ_2009 04 24_Xl0000002_Leopard RFQ ME BOM Costs-0618-2_Bolt RFQ Proposal_Foxlink_ (Pricing Summary) 2 25 2011 5" xfId="12613"/>
    <cellStyle name="_FY06 P4 CM Consigned RM" xfId="12614"/>
    <cellStyle name="_FY06 P5 XBox 360 Mfg Var - Close Pack" xfId="12615"/>
    <cellStyle name="好_Creek EE BOM cost_20090425_Creek RFQ feedback 04_28_2009_FD Update_Leopard_UniBOM_ME_0603-2_Bolt RFQ_Foxlink_03.1 2011 3" xfId="12616"/>
    <cellStyle name="Prozent_Currency" xfId="12617"/>
    <cellStyle name="_OP1 DPO Forecast Final_Volume Fcst 1006 updated_Tom OS ( Oct)_Copy of X-BOX for line setup budget" xfId="12618"/>
    <cellStyle name="_FY06 P7 CM Consigned RM" xfId="12619"/>
    <cellStyle name="好_River EE BOM_Xl0000002_Foxlink_Shadow RFQ NREUni BOM_12032009_Bolt RFQ Proposal_Foxlink_ (Pricing Summary) 2 25 2011" xfId="12620"/>
    <cellStyle name="_FY06 P7 XBox 360 Mfg Var - Close Pack" xfId="12621"/>
    <cellStyle name="好_Creek Assembly Fixture  Test Equipment RFQ_20090427_Xl0000002_Foxlink_Shadow RFQ NREUni BOM_12032009_Bolt RFQ Proposal_Foxlink_ (Pricing Summary) 2 25 2011 2 4" xfId="12622"/>
    <cellStyle name="Percent [0] 4" xfId="12623"/>
    <cellStyle name="_FY06 P7 XBox Mfg Var - Close Pack" xfId="12624"/>
    <cellStyle name="好_River EE BOM_Creek RFQ feedback 04_28_2009_FD Update_Leopard_UniBOM_ME_0602-1 2" xfId="12625"/>
    <cellStyle name="_FY06 P8 CM Consigned RM" xfId="12626"/>
    <cellStyle name="差_pq_Flow Chart&amp;設備治工具清單 " xfId="12627"/>
    <cellStyle name="_FY06 Q1 FDM Costed BOM Final rev1" xfId="12628"/>
    <cellStyle name="好_River EE BOM_Creak Pearl Reliability Fixture RFQ_2009 04 24_Creek RFQ feedback 04_28_2009_FD Update_Foxlink_Shadow RFQ NREUni BOM_12032009_Bolt RFQ Proposal_Foxlink_ (Pricing Summary) 2 25 2011 2 2 3" xfId="12629"/>
    <cellStyle name="40% - 强调文字颜色 4 3 3" xfId="12630"/>
    <cellStyle name="_FY06 Q1_Business Award - Dell Designed EM File - LED-Xtal-Diode" xfId="12631"/>
    <cellStyle name="_FY06 Q1_Business Award - Dell Designed EM File - Power FETs &amp; Small Signal" xfId="12632"/>
    <cellStyle name="好_River EE BOM_Xl0000000_Leopard RFQ ME BOM Costs-0618-2_Bolt RFQ_Foxlink_03.1 2011 3 2" xfId="12633"/>
    <cellStyle name="_FY06 Sept Forecast Build Plan" xfId="12634"/>
    <cellStyle name="好_Creek EE BOM cost_20090425_Creek RFQ feedback 04_28_2009_FD Update_Leopard_UniBOM_ME_0603-2_Bolt RFQ Proposal_Foxlink_ (Pricing Summary) 2 25 2011 3 2" xfId="12635"/>
    <cellStyle name="_FY06_P01_combined bom data" xfId="12636"/>
    <cellStyle name="Accent2 8" xfId="12637"/>
    <cellStyle name="_GC fixture &amp; tooling purchase list_mass production_FMTQCI-MIS3H064-P027(01)Nazca Copy Exact Flow chart" xfId="12638"/>
    <cellStyle name="好_River EE BOM_Xl0000002_Squirrel RFQ ME BOM Costs-0623_Bolt RFQ_Foxlink_03.1 2011_nego meeting@MACH 2 3" xfId="12639"/>
    <cellStyle name="_GC fixture &amp; tooling purchase list_mass production_Nazca copy exact flow chart 20120409" xfId="12640"/>
    <cellStyle name="20% - Accent3 13" xfId="12641"/>
    <cellStyle name="_GC fixture &amp; tooling purchase list_mass production_Nazca copy exact flow chart 2012313" xfId="12642"/>
    <cellStyle name="_Sales Breakdown Analysis 3_PL Forecast by segment-most final 0806_Copy of Tom OS ( Oct) new for LOG_2009 xBOX ramp up budget code applicaiton 300K --New May26 (3)" xfId="12643"/>
    <cellStyle name="_GC mass product tooling  fixture list Rev 03_Dec 01" xfId="12644"/>
    <cellStyle name="好_River EE BOM_Creak Pearl Reliability Fixture RFQ_2009 04 24_Creek  Pearl RFQ_May 12_Leopard Lemur Squirrel UniBom-06.22.2010_EE cost _update_internal_Bolt RFQ_Foxlink_03.1 2011 2" xfId="12645"/>
    <cellStyle name="_Production Investment CS1 AP PA1_AA_1" xfId="12646"/>
    <cellStyle name="_GC mass product tooling  fixture list Rev 03_Dec 01_FMTQCI-MIS3H064-P027(01)Nazca Copy Exact Flow chart" xfId="12647"/>
    <cellStyle name="_PL Forecast Comparison_Mech Doumen2006_1(preliminary)_PL Fcst Jul 06-updated G&amp;A Value_Internal Hourly Rate Q1 FY08 Version 06142007 excl. Corporate Allocation" xfId="12648"/>
    <cellStyle name="好_Creek EE BOM cost_20090425_Leopard Lemur Squirrel UniBom-06.22.2010_EE cost _update_internal_Bolt RFQ_Foxlink_03.1 2011_nego meeting@MACH 5" xfId="12649"/>
    <cellStyle name="4_139 NPI Gantt" xfId="12650"/>
    <cellStyle name="_GC mass product tooling  fixture list Rev 03_Dec 01_Nazca copy exact flow chart 20120409" xfId="12651"/>
    <cellStyle name="好_效益分析&amp;產能評估_MS Bolt wireless mouse FixtureEquipment Cost_A5_2010_02_21_Bolt RFQ Proposal_Foxlink_ (Pricing Summary) 2 25 2011 2" xfId="12652"/>
    <cellStyle name="_GC mass product tooling  fixture list Rev 03_Dec 01_Nazca copy exact flow chart 2012313" xfId="12653"/>
    <cellStyle name="_GCBB namelist above training support" xfId="12654"/>
    <cellStyle name="Warning Text 13" xfId="12655"/>
    <cellStyle name="_Generic Indus Budget_Rev001" xfId="12656"/>
    <cellStyle name="_Gerber file ECN-2H240_A" xfId="12657"/>
    <cellStyle name="好_效益分析&amp;產能評估_M1 SuedeFixtureEquipment Cost_A0_2010_10_15" xfId="12658"/>
    <cellStyle name="_Glacier EE BOM 20070720" xfId="12659"/>
    <cellStyle name="_Mechanical Contribution Margins (Q2'06) 0705_Copy of Tom OS ( Oct) new for LOG_X-BOX Console line setup budget 20080414" xfId="12660"/>
    <cellStyle name="Normal 5 16 2" xfId="12661"/>
    <cellStyle name="_Good Unit_Correlation_512 (2)" xfId="12662"/>
    <cellStyle name="_Gray 2" xfId="12663"/>
    <cellStyle name="_Gray 2 2" xfId="12664"/>
    <cellStyle name="_Gray 2 3" xfId="12665"/>
    <cellStyle name="_GrayDark" xfId="12666"/>
    <cellStyle name="好_River EE BOM_Xl0000002 3" xfId="12667"/>
    <cellStyle name="好_Creek Assembly Fixture  Test Equipment RFQ_20090427_Xl0000002_Foxlink_Shadow RFQ NREUni BOM_12032009_Bolt RFQ Proposal_Foxlink_ (Pricing Summary) 2 25 2011 2 2 3" xfId="12668"/>
    <cellStyle name="_GrayLight" xfId="12669"/>
    <cellStyle name="40% - 强调文字颜色 6 3 4" xfId="12670"/>
    <cellStyle name="_Green" xfId="12671"/>
    <cellStyle name="差_Creak Pearl Reliability Fixture RFQ_2009 04 24_Creek  Pearl RFQ_May 12_Leopard RFQ ME BOM Costs-0618_Bolt RFQ_Foxlink_03.1 2011_nego meeting@MACH 3 3" xfId="12672"/>
    <cellStyle name="_gregfu slides" xfId="12673"/>
    <cellStyle name="_Sales Breakdown Analysis 3_Copy of Tom OS ( Oct) new for LOG_Budget GC Other Form" xfId="12674"/>
    <cellStyle name="_gregfu slides_FY06 P4 CM Consigned RM" xfId="12675"/>
    <cellStyle name="_gregfu slides_FY06 P6 CM Consigned RM" xfId="12676"/>
    <cellStyle name="_gregfu slides_FY06 P6 XBox 360 Mfg Var - Close Pack" xfId="12677"/>
    <cellStyle name="好_K TEST 2 2 2 2" xfId="12678"/>
    <cellStyle name="_OnLine Forecast Template PCBA_Computing Nov 2006 V2_Budget GC Other Form" xfId="12679"/>
    <cellStyle name="壞_Creek EE BOM cost_20090425_Squirrel UniBom-06.23.2010_update_internal_Bolt RFQ Proposal_Foxlink_ (Pricing Summary) 2 25 2011 2 2 3" xfId="12680"/>
    <cellStyle name="_gregfu slides_FY06 Xenon Console Other Mfg Costs Forecast - january v1" xfId="12681"/>
    <cellStyle name="_gregfu slides_P2 Waynea review" xfId="12682"/>
    <cellStyle name="好_River EE BOM_Creak Pearl Reliability Fixture RFQ_2009 04 24_Leopard Lemur Squirrel UniBom-06.22.2010_EE cost _update_internal_Bolt RFQ Proposal_Foxlink_ (Pricing Summary) 2 25 2011 2 2 3" xfId="12683"/>
    <cellStyle name="Total 10 2 3" xfId="12684"/>
    <cellStyle name="_H&amp;E Reporting Summary" xfId="12685"/>
    <cellStyle name="_H&amp;E Reporting Summary_Eileen_FY06 P4 CM Consigned RM" xfId="12686"/>
    <cellStyle name="_H&amp;E Reporting Summary_Eileen_FY06 P6 CM Consigned RM" xfId="12687"/>
    <cellStyle name="差_Creak Pearl Reliability Fixture RFQ_2009 04 24_Creek RFQ feedback 04_28_2009_FD Update_Leopard Lemur Squirrel UniBom-06.22.2010_EE cost _update_internal_Bolt RFQ Proposal_Foxlink_ (Pricing Summary) 2 25 2011 7" xfId="12688"/>
    <cellStyle name="好_Creek Assembly Fixture  Test Equipment RFQ_20090427_Xl0000002_Leopard_UniBOM_ME_0602_Bolt RFQ_Foxlink_03.1 2011_nego meeting@MACH 3 2" xfId="12689"/>
    <cellStyle name="差_Creek RFQ feedback 04_28_2009_FD Update_Bolt RFQ Proposal_Foxlink_ (Pricing Summary) 2 25 2011 6" xfId="12690"/>
    <cellStyle name="_H&amp;E Reporting Summary_Eileen_FY06 P6 XBox 360 Mfg Var - Close Pack" xfId="12691"/>
    <cellStyle name="_H&amp;E Reporting Summary_Eileen_FY06 P7 CM Consigned RM" xfId="12692"/>
    <cellStyle name="_supplier contact way (2)_Copy of MOST Std - S1300 F2lines_Nazca copy exact flow chart 20120409" xfId="12693"/>
    <cellStyle name="_H&amp;E Reporting Summary_Eileen_FY06 Xenon Console Other Mfg Costs Forecast - january v1" xfId="12694"/>
    <cellStyle name="_H&amp;E Reporting Summary_FY06 P6 CM Consigned RM" xfId="12695"/>
    <cellStyle name="_H&amp;E Reporting Summary_FY06 P6 XBox 360 Mfg Var - Close Pack" xfId="12696"/>
    <cellStyle name="_H&amp;E Reporting Summary_FY06 Xenon Console Other Mfg Costs Forecast - january v1" xfId="12697"/>
    <cellStyle name="_H&amp;E Reporting Summary_P2 Waynea review" xfId="12698"/>
    <cellStyle name="_H&amp;W產品人力需求-2012.01.16" xfId="12699"/>
    <cellStyle name="差_Creak Pearl Reliability Fixture RFQ_2009 04 24_Leopard UniBom_Foxlink_6 21 2010-ME_nego_Bolt RFQ_Foxlink_03.1 2011_nego meeting@MACH 3 3" xfId="12700"/>
    <cellStyle name="好_Creek Assembly Fixture  Test Equipment RFQ_20090427_Xl0000002_Leopard_UniBOM_ME_0531 2 2 3" xfId="12701"/>
    <cellStyle name="_HC Planning 0705" xfId="12702"/>
    <cellStyle name="差_MAUI Quotation For Plastics Tooling RFQ Worksheets-2010-11-08" xfId="12703"/>
    <cellStyle name="壞_Creek EE BOM cost_20090425_Squirrel UniBom-06.23.2010_update_internal_Bolt RFQ Proposal_Foxlink_ (Pricing Summary) 2 25 2011 5 2" xfId="12704"/>
    <cellStyle name="_Z9i_Quotebook_(Worksheet)_V4_Internal RFQ River Standalone  Bundle Unibom_v1 2_20080603_EJ_Stream Quotebook(Submittal)_POC1_20080903" xfId="12705"/>
    <cellStyle name="_HC Planning 0705_2009 xBOX ramp up budget code applicaiton" xfId="12706"/>
    <cellStyle name="_HC Planning 0705_2009 xBOX ramp up budget code applicaiton 300K --New May26 (3)" xfId="12707"/>
    <cellStyle name="好_River EE BOM_Xl0000000_Leopard RFQ ME BOM Costs-0618-2 2 2 3" xfId="12708"/>
    <cellStyle name="_HC Planning 0705_2009 xBOX ramp up budget code applicaiton 300K --New May27" xfId="12709"/>
    <cellStyle name="_HC Planning 0705_Budget GC Other Form" xfId="12710"/>
    <cellStyle name="20% - 强调文字颜色 3 5" xfId="12711"/>
    <cellStyle name="_HC Planning 0705_Copy of X-BOX for line setup budget" xfId="12712"/>
    <cellStyle name="20% - Accent3 4" xfId="12713"/>
    <cellStyle name="差_F3   SMT設備明細_jupite r設備&amp;治工具LIST (總)_Dallas flow chart&amp;設備&amp;治工具清單(12-8 A0)_Flow chart and Fixture(1-4)" xfId="12714"/>
    <cellStyle name="好_Bristol  cost 20100914Rev.A 2_foxlink Bristol for 10063D-2010-10-11_Bristol ME parts tooling cost 20101022 updated_Bristol TC Estimate Update 08042011_MS" xfId="12715"/>
    <cellStyle name="_HC Planning 0705_Forecast Template v2" xfId="12716"/>
    <cellStyle name="差_jupite r設備&amp;治工具LIST (總)_~5631336_Jackson 效益分析 (2-1 B0 上系統)_squirrel效益分析08-17" xfId="12717"/>
    <cellStyle name="_HC Planning 0705_Forecast Template v2_2009 xBOX ramp up budget code applicaiton" xfId="12718"/>
    <cellStyle name="_HC Planning 0705_Forecast Template v2_2009 xBOX ramp up budget code applicaiton 300K --New May26 (3)" xfId="12719"/>
    <cellStyle name="_SMT配置" xfId="12720"/>
    <cellStyle name="_HC Planning 0705_Forecast Template v2_2009 xBOX ramp up budget code applicaiton 300K --New May27" xfId="12721"/>
    <cellStyle name="好_0842周 顯卡報廢超標8D 5 2 3" xfId="12722"/>
    <cellStyle name="_HC Planning 0705_Forecast Template v2_Budget GC Other Form" xfId="12723"/>
    <cellStyle name="_HC Planning 0705_Forecast Template v2_Copy of X-BOX for line setup budget" xfId="12724"/>
    <cellStyle name="好_River EE BOM_Creak Pearl Reliability Fixture RFQ_2009 04 24_Squirrel UniBom-06.23.2010_update_internal_Bolt RFQ_Foxlink_03.1 2011 4" xfId="12725"/>
    <cellStyle name="_HC Planning 0705_Forecast Template v2_X-BOX BB" xfId="12726"/>
    <cellStyle name="_HC Planning 0705_Forecast Template v2_X-BOX Console line setup budget 20080414" xfId="12727"/>
    <cellStyle name="_HC Planning 0705_Forecast Template v2_X-BOX Console line setup budget and Buyer list" xfId="12728"/>
    <cellStyle name="_HC Planning 0705_plforecastsample" xfId="12729"/>
    <cellStyle name="_HC Planning 0705_plforecastsample_2009 xBOX ramp up budget code applicaiton" xfId="12730"/>
    <cellStyle name="_HC Planning 0705_plforecastsample_2009 xBOX ramp up budget code applicaiton 300K --New May26 (3)" xfId="12731"/>
    <cellStyle name="_HC Planning 0705_plforecastsample_Budget GC Other Form" xfId="12732"/>
    <cellStyle name="_Mechanical Contribution Margins (Q2'06) 0705_PL Fcst Jul 06-updated G&amp;A Value_Tom OS ( Oct)_2009 xBOX ramp up budget code applicaiton" xfId="12733"/>
    <cellStyle name="好_Creek Assembly Fixture  Test Equipment RFQ_20090427_Bolt RFQ_Foxlink_03.1 2011_nego meeting@MACH_Bolt_Cliff 5 2" xfId="12734"/>
    <cellStyle name="_HC Planning 0705_plforecastsample_Copy of X-BOX for line setup budget" xfId="12735"/>
    <cellStyle name="_HC Planning 0705_plforecastsample_Forecast Template v4" xfId="12736"/>
    <cellStyle name="_HC Planning 0705_plforecastsample_X-BOX Console line setup budget 20080414" xfId="12737"/>
    <cellStyle name="好_River EE BOM_Creek RFQ feedback 04_28_2009_FD Update_Foxlink_Shadow RFQ NREUni BOM_12032009_Bolt RFQ_Foxlink_03.1 2011_nego meeting@MACH 2 2" xfId="12738"/>
    <cellStyle name="_HC Planning 0705_plforecastsample_X-BOX Console line setup budget and Buyer list" xfId="12739"/>
    <cellStyle name="_HC Planning 0705_X-BOX BB" xfId="12740"/>
    <cellStyle name="_HC Planning 0705_X-BOX Console line setup budget 20080414" xfId="12741"/>
    <cellStyle name="好_River EE BOM_Xl0000000_Squirrel UniBom_Foxlink_6 28 2010" xfId="12742"/>
    <cellStyle name="_HC Planning 0705_X-BOX Console line setup budget and Buyer list" xfId="12743"/>
    <cellStyle name="_HC0528" xfId="12744"/>
    <cellStyle name="好_River EE BOM_Creak Pearl Reliability Fixture RFQ_2009 04 24_Leopard RFQ ME BOM Costs-0618-2_Bolt RFQ Proposal_Foxlink_ (Pricing Summary) 2 25 2011 2 4" xfId="12745"/>
    <cellStyle name="_HDDM quotation summary 8-24" xfId="12746"/>
    <cellStyle name="_Summary" xfId="12747"/>
    <cellStyle name="_headcount (2)" xfId="12748"/>
    <cellStyle name="_headcount Xenoncontroller" xfId="12749"/>
    <cellStyle name="_HID Capacity Demand Planning 7-04" xfId="12750"/>
    <cellStyle name="_HID Capacity Demand Planning 7-07" xfId="12751"/>
    <cellStyle name="好_River EE BOM_Creak Pearl Reliability Fixture RFQ_2009 04 24_Xl0000002_Bolt RFQ_Foxlink_03.1 2011 3" xfId="12752"/>
    <cellStyle name="_HID Capacity Demand Planning 7-07 2" xfId="12753"/>
    <cellStyle name="_HID Capacity Demand Planning 7-14" xfId="12754"/>
    <cellStyle name="差_MB9月管審換線超時8d_HP 5 2 2" xfId="12755"/>
    <cellStyle name="差_F3   SMT設備明細_Erie 效益分析 (Update)_~1159284" xfId="12756"/>
    <cellStyle name="好_River EE BOM_Creak Pearl Reliability Fixture RFQ_2009 04 24_Pearl RFQ(Submittal)ver2_05_12_2009 _Leopard_UniBOM_ME_0603-2_Bolt RFQ_Foxlink_03.1 2011_nego meeting@MACH 4" xfId="12757"/>
    <cellStyle name="_HID Capacity Demand Planning 7-14 2" xfId="12758"/>
    <cellStyle name="_HID Capacity Demand Planning7-28" xfId="12759"/>
    <cellStyle name="_HID Capacity Demand Planning7-28 2" xfId="12760"/>
    <cellStyle name="_HID Capacity Demand Planning8-04" xfId="12761"/>
    <cellStyle name="_HID Capacity Demand Planning8-04 2" xfId="12762"/>
    <cellStyle name="_Hourly Rate for Q1'FY07" xfId="12763"/>
    <cellStyle name="一般 3 2 3" xfId="12764"/>
    <cellStyle name="_W522 4 Mulan Edge EP0 CTB_Copy of MOST Std - S1300 F2lines_FMTQCI-MIS3H064-P027(01)Nazca Copy Exact Flow chart" xfId="12765"/>
    <cellStyle name="_HP all model 標準工時(W1130)" xfId="12766"/>
    <cellStyle name="_HP Golf revenue forecast" xfId="12767"/>
    <cellStyle name="_HP MP EE-Bug(R2 2) 10 05-10 6" xfId="12768"/>
    <cellStyle name="_HP MP EE-Bug(R2 2) 10 6-10 7" xfId="12769"/>
    <cellStyle name="差_HP Mouse 產能評估(Forecast更改後)_Erie 效益分析 (Update)_Jackson 效益分析 testing update_16th Jan111_Jackson 效益分析 (2-1 B0 上系統)_Leopard Flowchart &amp; 產能評估" xfId="12770"/>
    <cellStyle name="_HP P R機種 估工  附件二" xfId="12771"/>
    <cellStyle name="_hp staff" xfId="12772"/>
    <cellStyle name="差_Creek RFQ feedback 04_28_2009_FD Update_Leopard RFQ ME BOM Costs-0618_Bolt RFQ Proposal_Foxlink_ (Pricing Summary) 2 25 2011 4" xfId="12773"/>
    <cellStyle name="好_效益分析&amp;產能評估_MS Bolt wireless mouse FixtureEquipment Cost_A5_2010_02_21 2" xfId="12774"/>
    <cellStyle name="_HP代工ASUS機種 SMT  標准工時(2008-9-1) " xfId="12775"/>
    <cellStyle name="_HR HC VS Production actual VS IE HC 2008" xfId="12776"/>
    <cellStyle name="好_Creek Assembly Fixture  Test Equipment RFQ_20090427_Leopard Lemur Squirrel UniBom-06.22.2010_EE cost _update_internal_Bolt RFQ_Foxlink_03.1 2011 3" xfId="12777"/>
    <cellStyle name="_Sheet1_Tester Demand Plan 062807_Tester Demand Plan 062707" xfId="12778"/>
    <cellStyle name="6_Dell ASUS NV28GL NPI 11-19-02" xfId="12779"/>
    <cellStyle name="_HS-11W_ME_BOM_v0.21 (1)" xfId="12780"/>
    <cellStyle name="_Hub Cost Summary_091905" xfId="12781"/>
    <cellStyle name="_Hub Cost Summary-CH8.30" xfId="12782"/>
    <cellStyle name="_IBM 3rd Schedule" xfId="12783"/>
    <cellStyle name="差_MB9月管審誤判超標 8D 2 2" xfId="12784"/>
    <cellStyle name="差_HP  專案(設備&amp;治工具需夠買)update_MS Bolt wireless mouse FixtureEquipment Cost_A5_2010_02_21_Bolt RFQ_Foxlink_03.1 2011 2 3" xfId="12785"/>
    <cellStyle name="_IBM ex DM (ORF_TFR)040719" xfId="12786"/>
    <cellStyle name="_IBM ex DM (ORF_TFR)040719_Lenovo PACK  Packing Proposal" xfId="12787"/>
    <cellStyle name="好_River EE BOM_Xl0000002_Squirrel RFQ ME BOM Costs-0623 3 2" xfId="12788"/>
    <cellStyle name="好_River EE BOM_Xl0000002_Leopard_UniBOM_ME_0602_Bolt RFQ_Foxlink_03.1 2011 3 2" xfId="12789"/>
    <cellStyle name="好_River EE BOM_Creak Pearl Reliability Fixture RFQ_2009 04 24_Creek  Pearl RFQ_May 12_Leopard_UniBOM_ME_0602_Bolt RFQ Proposal_Foxlink_ (Pricing Summary) 2 25 2011 4 2" xfId="12790"/>
    <cellStyle name="_IBM ex DM (ORF_TFR)040719_Lenovo Park Format_July 07 05" xfId="12791"/>
    <cellStyle name="好_Creek Assembly Fixture  Test Equipment RFQ_20090427_Xl0000002_Leopard RFQ ME BOM Costs-0618" xfId="12792"/>
    <cellStyle name="好_Creek Assembly Fixture  Test Equipment RFQ_20090427_Xl0000002_Leopard RFQ ME BOM Costs-0623" xfId="12793"/>
    <cellStyle name="_IBM ex DM (ORF_TFR)040719_Lenovo Park Format_July 07 05V2" xfId="12794"/>
    <cellStyle name="差_HP  專案(設備&amp;治工具需夠買)update_MS Bolt wireless mouse FixtureEquipment Cost_A5_2010_02_21_Bolt RFQ_Foxlink_03.1 2011 3 2" xfId="12795"/>
    <cellStyle name="_IBM ex DM (ORF_TFR)040818" xfId="12796"/>
    <cellStyle name="_IBM ex DM (ORF_TFR)040818_Lenovo PACK  Packing Proposal" xfId="12797"/>
    <cellStyle name="_IBM ex DM (ORF_TFR)040818_Lenovo Park Format_July 07 05" xfId="12798"/>
    <cellStyle name="_Mechanical Contribution Margins (Q2'06) 0705_Mechanical Contribution Margins forecast 0506 FP_PL Fcst Jul 06-updated G&amp;A Value_Tom OS ( Oct)_X-BOX Console line setup budget 20080414" xfId="12799"/>
    <cellStyle name="_IBM ex DM (ORF_TFR)040818_Lenovo Park Format_July 07 05V2" xfId="12800"/>
    <cellStyle name="_IBM Forecast - Jul'06" xfId="12801"/>
    <cellStyle name="20% - Accent4 8" xfId="12802"/>
    <cellStyle name="_IBM Line Utilization 1011" xfId="12803"/>
    <cellStyle name="_IBM Ocean Freight quoting - 20040714_Lenovo PACK  Packing Proposal" xfId="12804"/>
    <cellStyle name="好_Creek Assembly Fixture  Test Equipment RFQ_20090427_Bolt RFQ_Foxlink_03.1 2011_nego meeting@MACH_Bolt_Cliff 6" xfId="12805"/>
    <cellStyle name="_IBM Ocean Freight quoting - 20040714_Lenovo Park Format_July 07 05" xfId="12806"/>
    <cellStyle name="_IBM Ocean Freight quoting - 20040714_Lenovo Park Format_July 07 05V2" xfId="12807"/>
    <cellStyle name="好_MB9月管審誤判超標 8D_HP 2 4" xfId="12808"/>
    <cellStyle name="_IBM Ocean Freight quoting - 20040719" xfId="12809"/>
    <cellStyle name="_IBM Ocean Freight quoting - 20040719_Lenovo PACK  Packing Proposal" xfId="12810"/>
    <cellStyle name="好_River EE BOM_Creak Pearl Reliability Fixture RFQ_2009 04 24_Pearl RFQ(Submittal)ver2_05_12_2009 _Leopard_UniBOM_ME_0603-2_Bolt RFQ_Foxlink_03.1 2011_nego meeting@MACH 3 3" xfId="12811"/>
    <cellStyle name="好_Erie Assembly Fixture  Test Equip Cost_20090716_Bolt RFQ Proposal_Foxlink_ (Pricing Summary) 2 25 2011 2 4" xfId="12812"/>
    <cellStyle name="_IBM Ocean Freight quoting - 20040719_Lenovo Park Format_July 07 05" xfId="12813"/>
    <cellStyle name="_IBM Ocean Freight quoting - 20040719_Lenovo Park Format_July 07 05V2" xfId="12814"/>
    <cellStyle name="差_F3   SMT設備明細_MS Bolt wireless mouse FixtureEquipment Cost_A5_2010_02_21_Bolt RFQ_Foxlink_03.1 2011_nego meeting@MACH 4" xfId="12815"/>
    <cellStyle name="_IBM Ocean Freight quoting - 20040728-40'HC" xfId="12816"/>
    <cellStyle name="差_Xl0000002_Leopard_UniBOM_ME_0603-2 3 3" xfId="12817"/>
    <cellStyle name="好_River EE BOM_Xl0000002_Squirrel RFQ ME BOM Costs-0623_Bolt RFQ_Foxlink_03.1 2011" xfId="12818"/>
    <cellStyle name="_IBM Ocean Freight quoting - 20040728-40'HC_Lenovo Park Format_July 07 05" xfId="12819"/>
    <cellStyle name="_Monaco PCBA time record_Scenario 1 of recovery until 1102" xfId="12820"/>
    <cellStyle name="壞_Creek Assembly Fixture  Test Equipment RFQ_20090427_Leopard UniBom_Foxlink_6 21 2010-ME_nego_Bolt RFQ Proposal_Foxlink_ (Pricing Summary) 2 25 2011 5 3" xfId="12821"/>
    <cellStyle name="_IBM Ocean Freight quoting - 20040728-40'HC_Lenovo Park Format_July 07 05V2" xfId="12822"/>
    <cellStyle name="_IBM SC Zero Cost_010405" xfId="12823"/>
    <cellStyle name="好_Creek EE BOM cost_20090425_Creek RFQ feedback 04_28_2009_FD Update_Squirrel RFQ ME BOM Costs-0623_Bolt RFQ_Foxlink_03.1 2011_nego meeting@MACH 3 3" xfId="12824"/>
    <cellStyle name="20% - 强调文字颜色 1 3" xfId="12825"/>
    <cellStyle name="20% - Accent1 2" xfId="12826"/>
    <cellStyle name="_ICEBERG PV uni-BOM 080804" xfId="12827"/>
    <cellStyle name="20% - 强调文字颜色 1 3 2" xfId="12828"/>
    <cellStyle name="20% - Accent1 2 2" xfId="12829"/>
    <cellStyle name="_ICEBERG PV uni-BOM 080804 2" xfId="12830"/>
    <cellStyle name="差_Xl0000002_Foxlink_Shadow RFQ NREUni BOM_12032009 2 2" xfId="12831"/>
    <cellStyle name="_IE 0702 Report" xfId="12832"/>
    <cellStyle name="_Quo-Serengeti ME-05121501 (2)" xfId="12833"/>
    <cellStyle name="_IE Model --for Cisco 4170" xfId="12834"/>
    <cellStyle name="_IE Model --for Cisco 4170_Line transition plan to B17 rev 5" xfId="12835"/>
    <cellStyle name="_IE Model --for Cisco 4170_Line transition plan to B17 rev 5_Tester Demand Plan 062707" xfId="12836"/>
    <cellStyle name="好_Creek Assembly Fixture  Test Equipment RFQ_20090427_Leopard RFQ ME BOM Costs-0618-2_Bolt_Cliff 2 4" xfId="12837"/>
    <cellStyle name="active" xfId="12838"/>
    <cellStyle name="_IE Model --for Cisco 4170_Scenario 1 of recovery until 1102" xfId="12839"/>
    <cellStyle name="_IE Model --for Cisco 4170_Scenario 1 of recovery until 1102_Tester Demand Plan 062707" xfId="12840"/>
    <cellStyle name="好_River EE BOM_Creak Pearl Reliability Fixture RFQ_2009 04 24_Pearl RFQ(Submittal)ver2_05_12_2009 _Leopard RFQ ME BOM Costs-0618_Bolt RFQ Proposal_Foxlink_ (Pricing Summary) 2 25 2011 5" xfId="12841"/>
    <cellStyle name="_IE Model --for Cisco 4170_Scenario 2 of recovery until 1116" xfId="12842"/>
    <cellStyle name="差_Creak Pearl Reliability Fixture RFQ_2009 04 24_Leopard_UniBOM_ME_0603-2_Bolt RFQ_Foxlink_03.1 2011 3 3" xfId="12843"/>
    <cellStyle name="_IE Model --for Cisco 4170_Scenario 2 of recovery until 1116_Tester Demand Plan 062707" xfId="12844"/>
    <cellStyle name="壞_Creek Assembly Fixture  Test Equipment RFQ_20090427_Xl0000002_Leopard_UniBOM_ME_0602_Bolt RFQ Proposal_Foxlink_ (Pricing Summary) 2 25 2011 2" xfId="12845"/>
    <cellStyle name="_IE Model --for Cisco 4170_Tester Demand Plan" xfId="12846"/>
    <cellStyle name="_IE Model --for Cisco 4170_Tester Demand Plan 062807" xfId="12847"/>
    <cellStyle name="_Template for DV PV MP Yield Reports_Updated_Yield report for Dev01975 (3)" xfId="12848"/>
    <cellStyle name="_ME BOM &amp; Quotation_060109a" xfId="12849"/>
    <cellStyle name="_IE Model --for Cisco 4170_Tester Demand Plan 062807_Tester Demand Plan 062707" xfId="12850"/>
    <cellStyle name="_IE Model --for Cisco 4170_Tester Demand Plan_Tester Demand Plan 062707" xfId="12851"/>
    <cellStyle name="好_Creek EE BOM cost_20090425_Creek RFQ feedback 04_28_2009_FD Update_Squirrel RFQ ME BOM Costs-0623 3 2" xfId="12852"/>
    <cellStyle name="_IE廠級目標方針展開(20040218)" xfId="12853"/>
    <cellStyle name="_Ind' Mar Summary report for Auguest 2006 (2)" xfId="12854"/>
    <cellStyle name="好_Bristol  cost 20100914Rev.A_foxlink Bristol for 10063D-2010-10-11_Bristol ME parts tooling cost 20101022 updated_Bristol TC Estimate Update 08042011_MS" xfId="12855"/>
    <cellStyle name="_Ind' Mar Summary report for Auguest 2006 (2)_2009 xBOX ramp up budget code applicaiton" xfId="12856"/>
    <cellStyle name="差_Xl0000002_Leopard_UniBOM_ME_0603-2_Bolt RFQ Proposal_Foxlink_ (Pricing Summary) 2 25 2011 6" xfId="12857"/>
    <cellStyle name="_Ind' Mar Summary report for Auguest 2006 (2)_2009 xBOX ramp up budget code applicaiton 300K --New May26 (3)" xfId="12858"/>
    <cellStyle name="_W528 5 CTB_Mulan-EDGE_ROA1281693 FXC_Nazca copy exact flow chart 2012313" xfId="12859"/>
    <cellStyle name="_Mechanical Contribution Margins (Q1'06, applied to Apr'04 Fcst)_Internal Hourly Rate Q1 FY08 Version 06142007 excl. Corporate Allocation_Internal Hourly Rate Q1 FY08 Version (2)" xfId="12860"/>
    <cellStyle name="_Ind' Mar Summary report for Auguest 2006 (2)_2009 xBOX ramp up budget code applicaiton 300K --New May27" xfId="12861"/>
    <cellStyle name="_Ind' Mar Summary report for Auguest 2006 (2)_Copy of X-BOX for line setup budget" xfId="12862"/>
    <cellStyle name="_Ind' Mar Summary report for Auguest 2006 (2)_Forecast Template v4" xfId="12863"/>
    <cellStyle name="_Ind' Mar Summary report for Auguest 2006 (2)_X-BOX BB" xfId="12864"/>
    <cellStyle name="_PL Forecast Comparison_Mech Doumen2006_1(preliminary)_PL Fcst Jul 06-updated G&amp;A Value_Internal Hourly Rate Q1 FY08 Version 06052007 Draft" xfId="12865"/>
    <cellStyle name="_Ind' Mar Summary report for Auguest 2006 (2)_X-BOX Console line setup budget 20080414" xfId="12866"/>
    <cellStyle name="_Ind' Mar Summary report for Auguest 2006 (2)_X-BOX Console line setup budget and Buyer list" xfId="12867"/>
    <cellStyle name="差_Creak Pearl Reliability Fixture RFQ_2009 04 24_Xl0000002_Leopard_UniBOM_ME_0603-2_Bolt RFQ_Foxlink_03.1 2011" xfId="12868"/>
    <cellStyle name="_Ind' Mar Summary report for Sept  2006 (4)_2009 xBOX ramp up budget code applicaiton" xfId="12869"/>
    <cellStyle name="_Z9 blueAnt ME BOM 0910_BlueAnt_Quotebook_V3_07SEP11_Stream RFQ Unibom--0626-1756 2" xfId="12870"/>
    <cellStyle name="差_HP Mouse 產能評估(Forecast更改後)_MS Bolt wireless mouse FixtureEquipment Cost_A5_2010_02_21_Bolt RFQ_Foxlink_03.1 2011 3 3" xfId="12871"/>
    <cellStyle name="好_效益分析&amp;產能評估_MS Bolt wireless mouse FixtureEquipment Cost_A5_2010_02_21_Bolt RFQ Proposal_Foxlink_ (Pricing Summary) 2 25 2011 3 2" xfId="12872"/>
    <cellStyle name="_Ind' Mar Summary report for Sept  2006 (4)_2009 xBOX ramp up budget code applicaiton 300K --New May26 (3)" xfId="12873"/>
    <cellStyle name="好_Erie Assembly Fixture  Test Equip Cost_20090716_Foxlink_Shadow RFQ NREUni BOM_12032009_Bolt RFQ_Foxlink_03.1 2011_nego meeting@MACH 3 2" xfId="12874"/>
    <cellStyle name="_Z9 blueAnt ME BOM 0910 final 2" xfId="12875"/>
    <cellStyle name="_Ind' Mar Summary report for Sept  2006 (4)_2009 xBOX ramp up budget code applicaiton 300K --New May27" xfId="12876"/>
    <cellStyle name="_Ind' Mar Summary report for Sept  2006 (4)_Budget GC Other Form" xfId="12877"/>
    <cellStyle name="_Ind' Mar Summary report for Sept  2006 (4)_Copy of X-BOX for line setup budget" xfId="12878"/>
    <cellStyle name="壞_Erie Assembly Fixture  Test Equip Cost_20090716_Foxlink_Shadow RFQ NREUni BOM_12032009_Bolt RFQ Proposal_Foxlink_ (Pricing Summary) 2 25 2011 6 2" xfId="12879"/>
    <cellStyle name="差_Xl0000002_Foxlink_Shadow RFQ NREUni BOM_12032009_Bolt RFQ Proposal_Foxlink_ (Pricing Summary) 2 25 2011 3" xfId="12880"/>
    <cellStyle name="_Ind' Mar Summary report for Sept  2006 (4)_Forecast Template v4" xfId="12881"/>
    <cellStyle name="20% - 强调文字颜色 6 5" xfId="12882"/>
    <cellStyle name="20% - Accent6 4" xfId="12883"/>
    <cellStyle name="_Ind' Mar Summary report for Sept  2006 (4)_X-BOX BB" xfId="12884"/>
    <cellStyle name="_PL Forecast Comparison_Mech Doumen2006_1(preliminary)_PL Fcst Jul 06-updated G&amp;A Value_Copy of Tom OS ( Oct) new for LOG_X-BOX Console line setup budget and Buyer list" xfId="12885"/>
    <cellStyle name="_Ind' Mar Summary report for Sept  2006 (4)_X-BOX Console line setup budget 20080414" xfId="12886"/>
    <cellStyle name="_KYE Sample True-Up File_Zune v2  Manufacturing Pricing" xfId="12887"/>
    <cellStyle name="_Ind' Mar Summary report for Sept  2006 (4)_X-BOX Console line setup budget and Buyer list" xfId="12888"/>
    <cellStyle name="_Ind' Mar Summary report of July 06" xfId="12889"/>
    <cellStyle name="_Ind' Mar Summary report of July 06_2009 xBOX ramp up budget code applicaiton" xfId="12890"/>
    <cellStyle name="差_jupite r設備&amp;治工具LIST (總)_Dallas flow chart&amp;設備&amp;治工具清單(12-8 A0)_Jackson 效益分析 testing update_16th Jan111_Jackson 效益分析 (2-1 B0 上系統)_squirrel效益分析08-17" xfId="12891"/>
    <cellStyle name="好_MB9月管審誤判超標 8D 3 2 3" xfId="12892"/>
    <cellStyle name="_Ind' Mar Summary report of July 06_Budget GC Other Form" xfId="12893"/>
    <cellStyle name="差_Creak Pearl Reliability Fixture RFQ_2009 04 24_Creek  Pearl RFQ_May 12_Leopard_UniBOM_ME_0603-2 2 2 3" xfId="12894"/>
    <cellStyle name="好_River EE BOM_Creak Pearl Reliability Fixture RFQ_2009 04 24_Bolt RFQ_Foxlink_03.1 2011 3" xfId="12895"/>
    <cellStyle name="_Ind' Mar Summary report of July 06_Copy of X-BOX for line setup budget" xfId="12896"/>
    <cellStyle name="好_Creek Assembly Fixture  Test Equipment RFQ_20090427_Leopard_UniBOM_ME_0531_Bolt RFQ_Foxlink_03.1 2011 5" xfId="12897"/>
    <cellStyle name="_Ind' Mar Summary report of July 06_Forecast Template v4" xfId="12898"/>
    <cellStyle name="差_Creak Pearl Reliability Fixture RFQ_2009 04 24_Xl0000002_Leopard_UniBOM_ME_0603-2_Bolt RFQ_Foxlink_03.1 2011_nego meeting@MACH 4" xfId="12899"/>
    <cellStyle name="_Ind' Mar Summary report of July 06_X-BOX BB" xfId="12900"/>
    <cellStyle name="差_Xl0000000_Bolt RFQ Proposal_Foxlink_ (Pricing Summary) 2 25 2011 2" xfId="12901"/>
    <cellStyle name="_Ind' Mar Summary report of July 06_X-BOX Console line setup budget 20080414" xfId="12902"/>
    <cellStyle name="好_River EE BOM_Xl0000002_Leopard RFQ ME BOM Costs-0618-2 3 2" xfId="12903"/>
    <cellStyle name="Normal 14 3 3" xfId="12904"/>
    <cellStyle name="_Ind' Mar Summary report of July 06_X-BOX Console line setup budget and Buyer list" xfId="12905"/>
    <cellStyle name="好_Creek EE BOM cost_20090425_Creek RFQ feedback 04_28_2009_FD Update_Leopard_UniBOM_ME_0602-1 2 2" xfId="12906"/>
    <cellStyle name="_Infrastructure in sep" xfId="12907"/>
    <cellStyle name="Normal 5 6 2 3 2 2" xfId="12908"/>
    <cellStyle name="_Infrastructure in sep_2009 xBOX ramp up budget code applicaiton" xfId="12909"/>
    <cellStyle name="_Infrastructure in sep_2009 xBOX ramp up budget code applicaiton 300K --New May26 (3)" xfId="12910"/>
    <cellStyle name="差_Xl0000002_Leopard_UniBOM_ME_0603-2_Bolt RFQ Proposal_Foxlink_ (Pricing Summary) 2 25 2011 2" xfId="12911"/>
    <cellStyle name="好_River EE BOM_Creak Pearl Reliability Fixture RFQ_2009 04 24_Leopard Lemur Squirrel UniBom-06.22.2010_EE cost _update_internal_Bolt RFQ Proposal_Foxlink_ (Pricing Summary) 2 25 2011" xfId="12912"/>
    <cellStyle name="_Infrastructure in sep_2009 xBOX ramp up budget code applicaiton 300K --New May27" xfId="12913"/>
    <cellStyle name="好_River EE BOM_Creak Pearl Reliability Fixture RFQ_2009 04 24_Pearl RFQ(Submittal)ver2_05_12_2009 _Leopard UniBom_Foxlink_6 21 2010-ME_nego_Bolt RFQ Proposal_Foxlink_ (Pricing Summary) 2 25 2011 7" xfId="12914"/>
    <cellStyle name="_Infrastructure in sep_Budget GC Other Form" xfId="12915"/>
    <cellStyle name="差_Xl0000002_Leopard_UniBOM_ME_0531_Bolt RFQ_Foxlink_03.1 2011" xfId="12916"/>
    <cellStyle name="_Infrastructure in sep_Copy of X-BOX for line setup budget" xfId="12917"/>
    <cellStyle name="60% - 强调文字颜色 4 2 4" xfId="12918"/>
    <cellStyle name="_Xbox Capacity ramp plan  for 2008 Rev4" xfId="12919"/>
    <cellStyle name="_Infrastructure in sep_Forecast Template v4" xfId="12920"/>
    <cellStyle name="_Infrastructure in sep_X-BOX BB" xfId="12921"/>
    <cellStyle name="_PL Forecast Comparison_Mech Doumen2006_1(preliminary)_PL Fcst Jul 06-updated G&amp;A Value_Copy of Tom OS ( Oct) new for LOG_2009 xBOX ramp up budget code applicaiton 300K --New May27" xfId="12922"/>
    <cellStyle name="好_Creek EE BOM cost_20090425_Creek RFQ feedback 04_28_2009_FD Update_Leopard_UniBOM_ME_0603-2_Bolt RFQ Proposal_Foxlink_ (Pricing Summary) 2 25 2011 2 2 3" xfId="12923"/>
    <cellStyle name="_Infrastructure in sep_X-BOX Console line setup budget 20080414" xfId="12924"/>
    <cellStyle name="Style 35" xfId="12925"/>
    <cellStyle name="_Infrastructure in sep_X-BOX Console line setup budget and Buyer list" xfId="12926"/>
    <cellStyle name="好_MB9月管審誤判超標 8D_HP 2 5" xfId="12927"/>
    <cellStyle name="_Injection cost comparsion" xfId="12928"/>
    <cellStyle name="_Input Essential" xfId="12929"/>
    <cellStyle name="Comma 13" xfId="12930"/>
    <cellStyle name="_Input Level 2" xfId="12931"/>
    <cellStyle name="_Intel MB NPI Build Schedule" xfId="12932"/>
    <cellStyle name="_INTEL OP" xfId="12933"/>
    <cellStyle name="差_HP Mouse 產能評估(Forecast更改後)_Erie 效益分析 (Update)_Flow Chart&amp;設備治工具清單 _Jackson 效益分析 (2-1 B0 上系統)" xfId="12934"/>
    <cellStyle name="Pricelist" xfId="12935"/>
    <cellStyle name="_intel staff" xfId="12936"/>
    <cellStyle name="_Intel Working Week" xfId="12937"/>
    <cellStyle name="_---intel 標準工時2443 2007-10-17" xfId="12938"/>
    <cellStyle name="壞_Creek Assembly Fixture  Test Equipment RFQ_20090427_Xl0000002_Bolt RFQ_Foxlink_03.1 2011_nego meeting@MACH 2 2" xfId="12939"/>
    <cellStyle name="差_Bolt RFQ Proposal_Foxlink_ (Pricing Summary) 2 25 2011 5" xfId="12940"/>
    <cellStyle name="差_HP Mouse 產能評估(上系統)_Bolt RFQ Proposal_Foxlink_ (Pricing Summary) 2 25 2011 3 3" xfId="12941"/>
    <cellStyle name="_Internal Hourly Rate Q1 FY08 Version (2)" xfId="12942"/>
    <cellStyle name="_internal- uPad-D Quotebook_20080521_v1.2" xfId="12943"/>
    <cellStyle name="好_River EE BOM_Creak Pearl Reliability Fixture RFQ_2009 04 24_Xl0000002 3 3" xfId="12944"/>
    <cellStyle name="_Mechanical Contribution Margins (Q2'06) 0705_Mechanical Contribution Margins forecast 0506 FP_Copy of Tom OS ( Oct) new for LOG" xfId="12945"/>
    <cellStyle name="_internal- uPad-D Quotebook_20080521_v1.2 2" xfId="12946"/>
    <cellStyle name="_internal- uPad-D Quotebook_20080521_v1.2_Internal RFQ River Standalone  Bundle Unibom_v1 2_20080603_EJ" xfId="12947"/>
    <cellStyle name="_internal- uPad-D Quotebook_20080521_v1.2_Internal RFQ River Standalone  Bundle Unibom_v1 2_20080603_EJ_Stream Quotebook (Submittal)_POC2_20081117-1" xfId="12948"/>
    <cellStyle name="_internal- uPad-D Quotebook_20080521_v1.2_Internal RFQ River Standalone  Bundle Unibom_v1 2_20080603_EJ_Stream Quotebook(Submittal)_POC1_20080903" xfId="12949"/>
    <cellStyle name="_internal- uPad-D Quotebook_20080521_v1.2_Internal RFQ River Standalone  Bundle Unibom_v1 2_20080603_EJ_Stream Quotebook(Submittal)_POC1_20080903 2" xfId="12950"/>
    <cellStyle name="_internal- uPad-D Quotebook_20080521_v1.2_RFQ_River_BAFO_2008 0606_M1" xfId="12951"/>
    <cellStyle name="_internal- uPad-D Quotebook_20080521_v1.2_RFQ_River_BAFO_2008 0606_M1 2" xfId="12952"/>
    <cellStyle name="_internal- uPad-D Quotebook_20080521_v1.2_RFQ_River_BAFO_2008 0606_M1_Stream Quotebook (Submittal)_POC2_20081117-1" xfId="12953"/>
    <cellStyle name="_internal- uPad-D Quotebook_20080521_v1.2_RFQ_River_BAFO_2008 0606_M1_Stream Quotebook(Submittal)_POC1_20080903 2" xfId="12954"/>
    <cellStyle name="差_Xl0000002_Leopard_UniBOM_ME_0602_Bolt RFQ Proposal_Foxlink_ (Pricing Summary) 2 25 2011" xfId="12955"/>
    <cellStyle name="_internal- uPad-D Quotebook_20080521_v1.2_Stream RFQ Unibom--0626-1756 2" xfId="12956"/>
    <cellStyle name="_internal- uPad-D Quotebook_20080521_v1.2_Stream RFQ Unibom--0626-1756_Stream Package Quotation_20090311" xfId="12957"/>
    <cellStyle name="_internal- uPad-D Quotebook_20080521_v1.2_Stream RFQ Unibom--0626-1756_Stream Quotebook(Submittal)_POC1_20080903 2" xfId="12958"/>
    <cellStyle name="_Internal-uPad-D EE BOM_V5_0424" xfId="12959"/>
    <cellStyle name="_In-Transit MS Consigned Inventory-Not in BaaN (02-25-05)" xfId="12960"/>
    <cellStyle name="好_River EE BOM_Creak Pearl Reliability Fixture RFQ_2009 04 24_Creek RFQ feedback 04_28_2009_FD Update_Leopard RFQ ME BOM Costs-0618-2 2 3" xfId="12961"/>
    <cellStyle name="好_Creek EE BOM cost_20090425_Creek RFQ feedback 04_28_2009_FD Update_Squirrel UniBom-06.23.2010_update_internal 2 4" xfId="12962"/>
    <cellStyle name="_In-Transit MS Consigned Inventory-Not in BaaN (02-25-05)_FY06 P4 CM Consigned RM" xfId="12963"/>
    <cellStyle name="好_River EE BOM_Xl0000000_Leopard Lemur Squirrel UniBom-06.22.2010_EE cost _update_internal_Bolt RFQ_Foxlink_03.1 2011_nego meeting@MACH 2 2" xfId="12964"/>
    <cellStyle name="_In-Transit MS Consigned Inventory-Not in BaaN (02-25-05)_FY06 P6 CM Consigned RM" xfId="12965"/>
    <cellStyle name="_In-Transit MS Consigned Inventory-Not in BaaN (02-25-05)_FY06 P7 CM Consigned RM" xfId="12966"/>
    <cellStyle name="_In-Transit MS Consigned Inventory-Not in BaaN (02-25-05)_P2 Waynea review" xfId="12967"/>
    <cellStyle name="好_River EE BOM_Creak Pearl Reliability Fixture RFQ_2009 04 24_Pearl RFQ(Submittal)ver2_05_12_2009 _Foxlink_Shadow RFQ NREUni BOM_12032009_Bolt RFQ_Foxlink_03.1 2011 5" xfId="12968"/>
    <cellStyle name="好_River EE BOM_Creak Pearl Reliability Fixture RFQ_2009 04 24_Leopard_UniBOM_ME_0602_Bolt RFQ_Foxlink_03.1 2011 3 2" xfId="12969"/>
    <cellStyle name="_Inventory Flash" xfId="12970"/>
    <cellStyle name="_Inventory Schedule JIT" xfId="12971"/>
    <cellStyle name="差_Flow Chart&amp;PQ分析(12-1)_Flow Chart&amp;設備治工具清單 _Jackson 效益分析 (2-1 B0 上系統)_Leopard效益分析08-17" xfId="12972"/>
    <cellStyle name="差_Creek RFQ feedback 04_28_2009_FD Update_Jackson EE BOM " xfId="12973"/>
    <cellStyle name="Input 2 2" xfId="12974"/>
    <cellStyle name="_Inventory Schedule JIT_Book5" xfId="12975"/>
    <cellStyle name="_Inventory Schedule JIT_FY06 P4 CM Consigned RM" xfId="12976"/>
    <cellStyle name="_Inventory Schedule JIT_FY06 P7 CM Consigned RM" xfId="12977"/>
    <cellStyle name="好_Dolce   QA Report 2010_0902" xfId="12978"/>
    <cellStyle name="_Inventory Schedule JIT_FY06 P8 CM Consigned RM" xfId="12979"/>
    <cellStyle name="_Inventory Schedule JIT_P2 Waynea review" xfId="12980"/>
    <cellStyle name="_Inventory Schedule JIT_P6 Si Ops review" xfId="12981"/>
    <cellStyle name="_Inventory Schedule JIT_P6 Si Ops review (2)" xfId="12982"/>
    <cellStyle name="_Sheet1_FY06 P7 CM Consigned RM" xfId="12983"/>
    <cellStyle name="_Inventory Schedule JIT_P6 Waynea review" xfId="12984"/>
    <cellStyle name="_Inventory Summ  Obso" xfId="12985"/>
    <cellStyle name="_PL Fcst_akl(Friday)_PL Fcst Jul 06-updated G&amp;A Value_Copy of Tom OS ( Oct) new for LOG_X-BOX Console line setup budget 20080414" xfId="12986"/>
    <cellStyle name="_Inventory Summ  Obso_FY06 P4 CM Consigned RM" xfId="12987"/>
    <cellStyle name="差_Creek RFQ feedback 04_28_2009_FD Update_Leopard UniBom_Foxlink_6 21 2010-ME_nego_Bolt RFQ Proposal_Foxlink_ (Pricing Summary) 2 25 2011 2 3" xfId="12988"/>
    <cellStyle name="_Inventory Summ  Obso_FY06 P6 XBox 360 Mfg Var - Close Pack" xfId="12989"/>
    <cellStyle name="_Inventory Summ  Obso_P2 Waynea review" xfId="12990"/>
    <cellStyle name="_MS Alvin Plastics RFQ Worksheets - Nypro 030307_Internal RFQ River Standalone  Bundle Unibom_v1 2_20080603_EJ 2" xfId="12991"/>
    <cellStyle name="好_River EE BOM_Creak Pearl Reliability Fixture RFQ_2009 04 24_Creek  Pearl RFQ_May 12_Leopard_UniBOM_ME_0531_Bolt RFQ Proposal_Foxlink_ (Pricing Summary) 2 25 2011 4 3" xfId="12992"/>
    <cellStyle name="_IO Work around" xfId="12993"/>
    <cellStyle name="差_Creak Pearl Reliability Fixture RFQ_2009 04 24_Leopard Lemur Squirrel UniBom-06.22.2010_EE cost _update_internal_Bolt RFQ Proposal_Foxlink_ (Pricing Summary) 2 25 2011 5 3" xfId="12994"/>
    <cellStyle name="_ITIK BB Flowchart (2)" xfId="12995"/>
    <cellStyle name="_Jan Freight analysis value" xfId="12996"/>
    <cellStyle name="_Jan Freight analysis value_FY06 P4 CM Consigned RM" xfId="12997"/>
    <cellStyle name="好_River EE BOM_Foxlink_Shadow RFQ NREUni BOM_12032009_Wedge_ME_BOM-v00-11v0630 2 2" xfId="12998"/>
    <cellStyle name="_Mechanical Contribution Margins (Q2'06) 0705_Mechanical Contribution Margins forecast 0506 FP_PL Forecast by segment-most final 0806_Budget GC Other Form" xfId="12999"/>
    <cellStyle name="_Jan Freight analysis value_FY06 P6 CM Consigned RM" xfId="13000"/>
    <cellStyle name="_Katana Freight count_Lenovo Park Format_July 07 05" xfId="13001"/>
    <cellStyle name="好_River EE BOM_Creak Pearl Reliability Fixture RFQ_2009 04 24_Bolt RFQ_Foxlink_03.1 2011 2 2" xfId="13002"/>
    <cellStyle name="_Jan Freight analysis value_FY06 P6 XBox 360 Mfg Var - Close Pack" xfId="13003"/>
    <cellStyle name="_Jan Freight analysis value_FY06 P7 CM Consigned RM" xfId="13004"/>
    <cellStyle name="_Jan Freight analysis value_FY06 Xenon Console Other Mfg Costs Forecast - january v1" xfId="13005"/>
    <cellStyle name="_Jan Freight analysis value_P2 Waynea review" xfId="13006"/>
    <cellStyle name="_Jan05 Business Awards - EMS" xfId="13007"/>
    <cellStyle name="好_Creek Assembly Fixture  Test Equipment RFQ_20090427_Leopard_UniBOM_ME_0602-1_Bolt RFQ_Foxlink_03.1 2011_Bolt_Cliff 2 2" xfId="13008"/>
    <cellStyle name="_Volume Fcst 1006 updated_Tom OS ( Oct)" xfId="13009"/>
    <cellStyle name="_Jing and Mulan Edge Cost Down July 21_Copy of MOST Std - S1300 F2lines" xfId="13010"/>
    <cellStyle name="好_Creek Assembly Fixture  Test Equipment RFQ_20090427_Leopard RFQ ME BOM Costs-0618_Bolt RFQ Proposal_Foxlink_ (Pricing Summary) 2 25 2011 3 3" xfId="13011"/>
    <cellStyle name="_Jing and Mulan Edge Cost Down July 21_Copy of MOST Std - S1300 F2lines_FMTQCI-MIS3H064-P027(01)Nazca Copy Exact Flow chart" xfId="13012"/>
    <cellStyle name="Normal 14 2 2 2" xfId="13013"/>
    <cellStyle name="_Jing and Mulan Edge Cost Down July 21_Copy of MOST Std - S1300 F2lines_Nazca copy exact flow chart 20120409" xfId="13014"/>
    <cellStyle name="_Jing and Mulan Edge Cost Down July 21_Copy of MOST Std - S1300 F2lines_Nazca copy exact flow chart 2012313" xfId="13015"/>
    <cellStyle name="_Jing and Mulan Edge Cost Down July 21_FMTQCI-MIS3H064-P027(01)Nazca Copy Exact Flow chart" xfId="13016"/>
    <cellStyle name="差_Creak Pearl Reliability Fixture RFQ_2009 04 24_Pearl RFQ(Submittal)ver2_05_12_2009 _Squirrel UniBom-06.23.2010_update_internal 2" xfId="13017"/>
    <cellStyle name="好_治具工程課2009年KPI 2 4" xfId="13018"/>
    <cellStyle name="好_River EE BOM_Xl0000000_Bolt RFQ_Foxlink_03.1 2011_nego meeting@MACH 4" xfId="13019"/>
    <cellStyle name="好_Creek EE BOM cost_20090425_Creek RFQ feedback 04_28_2009_FD Update_Leopard_UniBOM_ME_0531_Bolt RFQ_Foxlink_03.1 2011 3" xfId="13020"/>
    <cellStyle name="_PL Forecast Comparison_Mech Doumen2006_1(preliminary)_Volume Fcst 1006 updated_Copy of Tom OS ( Oct) new for LOG_Copy of X-BOX for line setup budget" xfId="13021"/>
    <cellStyle name="好_River EE BOM_Creak Pearl Reliability Fixture RFQ_2009 04 24_Creek  Pearl RFQ_May 12_Leopard_UniBOM_ME_0603-2 3 2" xfId="13022"/>
    <cellStyle name="_Jing and Mulan Edge Cost Down July 21_MOST Std - Project A BB Line" xfId="13023"/>
    <cellStyle name="_ME  Monaco BOM GA060529_Tester Demand Plan 062807_Tester Demand Plan 062707" xfId="13024"/>
    <cellStyle name="_Jing and Mulan Edge Cost Down July 21_MOST Std - Project A BB Line_FMTQCI-MIS3H064-P027(01)Nazca Copy Exact Flow chart" xfId="13025"/>
    <cellStyle name="差_F3   SMT設備明細_效益分析_Dallas效益分析&amp;投資回收期 (12-2 A1)_Flow chart and Fixture(1-4)_Jackson 效益分析 (2-1 B0 上系統)_Leopard Flowchart &amp; 產能評估" xfId="13026"/>
    <cellStyle name="_Jing and Mulan Edge Cost Down July 21_MOST Std - Project A BB Line_Nazca copy exact flow chart 2012313" xfId="13027"/>
    <cellStyle name="好_River EE BOM_Creak Pearl Reliability Fixture RFQ_2009 04 24_Creek RFQ feedback 04_28_2009_FD Update_Squirrel RFQ ME BOM Costs-0623 2 2" xfId="13028"/>
    <cellStyle name="_Jing and Mulan Edge Cost Down July 21_MOST Std - S1300 F2lines" xfId="13029"/>
    <cellStyle name="_Jing and Mulan Edge Cost Down July 21_MOST Std - S1300 F2lines_FMTQCI-MIS3H064-P027(01)Nazca Copy Exact Flow chart" xfId="13030"/>
    <cellStyle name="_Jing and Mulan Edge Cost Down July 21_MOST Std - S1300 F2lines_Nazca copy exact flow chart 20120409" xfId="13031"/>
    <cellStyle name="_Mechanical Contribution Margins forecast 0506 FP_PL Forecast by segment-most final 0806_Tom OS ( Oct)_X-BOX BB" xfId="13032"/>
    <cellStyle name="_Jing and Mulan Edge Cost Down July 21_MOST Std - S1300 F2lines_Nazca copy exact flow chart 2012313" xfId="13033"/>
    <cellStyle name="好_River EE BOM_Creak Pearl Reliability Fixture RFQ_2009 04 24_Creek  Pearl RFQ_May 12_Squirrel UniBom-06.23.2010_update_internal_Bolt RFQ Proposal_Foxlink_ (Pricing Summary) 2 25 2011 7" xfId="13034"/>
    <cellStyle name="_Jing and Mulan Edge Cost Down July 21_Nazca copy exact flow chart 20120409" xfId="13035"/>
    <cellStyle name="差_dallas產能評估_~3106354_Jackson 效益分析 (2-1 B0 上系統)" xfId="13036"/>
    <cellStyle name="好_River EE BOM_Xl0000000_Leopard UniBom_Foxlink_6 21 2010-ME_nego 3" xfId="13037"/>
    <cellStyle name="MS Sans Serif" xfId="13038"/>
    <cellStyle name="_Jing and Mulan Edge Cost Down July 21_Nazca copy exact flow chart 2012313" xfId="13039"/>
    <cellStyle name="_Jul04_WZS" xfId="13040"/>
    <cellStyle name="Normal 5 6 3" xfId="13041"/>
    <cellStyle name="_Jul04_WZS_Development" xfId="13042"/>
    <cellStyle name="_Jul04_WZS_Development_FY06 P6 CM Consigned RM" xfId="13043"/>
    <cellStyle name="好_River EE BOM_Creak Pearl Reliability Fixture RFQ_2009 04 24_Leopard_UniBOM_ME_0603-2_Bolt RFQ_Foxlink_03.1 2011 4" xfId="13044"/>
    <cellStyle name="好_Creek Assembly Fixture  Test Equipment RFQ_20090427_Xl0000002_Leopard RFQ ME BOM Costs-0618-2_Bolt RFQ Proposal_Foxlink_ (Pricing Summary) 2 25 2011 5 3" xfId="13045"/>
    <cellStyle name="20% - 强调文字颜色 5 3 2" xfId="13046"/>
    <cellStyle name="20% - Accent5 2 2" xfId="13047"/>
    <cellStyle name="_Jul04_WZS_Development_FY06 P7 CM Consigned RM" xfId="13048"/>
    <cellStyle name="Linked Cell" xfId="13049"/>
    <cellStyle name="_Jul04_WZS_Development_P2 Waynea review" xfId="13050"/>
    <cellStyle name="_Jul04_WZS_FY06 P4 CM Consigned RM" xfId="13051"/>
    <cellStyle name="_Jul04_WZS_FY06 P6 CM Consigned RM" xfId="13052"/>
    <cellStyle name="_Jul04_WZS_FY06 P6 XBox 360 Mfg Var - Close Pack" xfId="13053"/>
    <cellStyle name="好_River EE BOM_Xl0000000_Leopard UniBom_Foxlink_6 21 2010-ME_nego_Bolt RFQ Proposal_Foxlink_ (Pricing Summary) 2 25 2011 4" xfId="13054"/>
    <cellStyle name="_Jul04_WZS_FY06 P7 CM Consigned RM" xfId="13055"/>
    <cellStyle name="好_River EE BOM_Creak Pearl Reliability Fixture RFQ_2009 04 24_Leopard Lemur Squirrel UniBom-06.22.2010_EE cost _update_internal_Bolt RFQ_Foxlink_03.1 2011" xfId="13056"/>
    <cellStyle name="_Jul04_WZS_P2 Waynea review" xfId="13057"/>
    <cellStyle name="好_River EE BOM_Creak Pearl Reliability Fixture RFQ_2009 04 24_Creek  Pearl RFQ_May 12_Leopard_UniBOM_ME_0602-1_Bolt RFQ_Foxlink_03.1 2011 3 2" xfId="13058"/>
    <cellStyle name="_July Freight analysis_FPA1_FY06 P4 CM Consigned RM" xfId="13059"/>
    <cellStyle name="好_River EE BOM_Creak Pearl Reliability Fixture RFQ_2009 04 24_Xl0000002_Squirrel RFQ ME BOM Costs-0623_Bolt RFQ_Foxlink_03.1 2011 5" xfId="13060"/>
    <cellStyle name="_July Freight analysis_FPA1_FY06 P6 XBox 360 Mfg Var - Close Pack" xfId="13061"/>
    <cellStyle name="_July Freight analysis_FPA1_FY06 P7 CM Consigned RM" xfId="13062"/>
    <cellStyle name="_July Freight analysis_FPA1_FY06 Xenon Console Other Mfg Costs Forecast - january v1" xfId="13063"/>
    <cellStyle name="_July Freight analysis_FPA1_P2 Waynea review" xfId="13064"/>
    <cellStyle name="_July Master Price List" xfId="13065"/>
    <cellStyle name="差_Creak Pearl Reliability Fixture RFQ_2009 04 24_Leopard_UniBOM_ME_0602-1_Bolt RFQ Proposal_Foxlink_ (Pricing Summary) 2 25 2011 2 2 2" xfId="13066"/>
    <cellStyle name="_June Freight analysis v_Final_FY06 P4 CM Consigned RM" xfId="13067"/>
    <cellStyle name="_June Freight analysis v_Final_FY06 P6 CM Consigned RM" xfId="13068"/>
    <cellStyle name="_June Freight analysis v_Final_FY06 P6 XBox 360 Mfg Var - Close Pack" xfId="13069"/>
    <cellStyle name="好_效益分析&amp;產能評估_MS Bolt wireless mouse FixtureEquipment Cost_A5_2010_02_21_Bolt RFQ_Foxlink_03.1 2011 3" xfId="13070"/>
    <cellStyle name="好_River EE BOM_Creak Pearl Reliability Fixture RFQ_2009 04 24_Pearl RFQ(Submittal)ver2_05_12_2009 _Leopard_UniBOM_ME_0531_Bolt RFQ_Foxlink_03.1 2011 2" xfId="13071"/>
    <cellStyle name="¤@¯ë_laroux" xfId="13072"/>
    <cellStyle name="Normal 8 12" xfId="13073"/>
    <cellStyle name="_Mulan Edge EP0 KRH CTB wk28_2_MOST Std - Project A BB Line_FMTQCI-MIS3H064-P027(01)Nazca Copy Exact Flow chart" xfId="13074"/>
    <cellStyle name="_June Freight analysis v_Prelim" xfId="13075"/>
    <cellStyle name="差_HP Mouse 產能評估(上系統)_MS Bolt wireless mouse FixtureEquipment Cost_A5_2010_02_21_Bolt RFQ Proposal_Foxlink_ (Pricing Summary) 2 25 2011 2 2 3" xfId="13076"/>
    <cellStyle name="_June Freight analysis v_Prelim_FY06 P6 CM Consigned RM" xfId="13077"/>
    <cellStyle name="好_River EE BOM_Foxlink_Shadow RFQ NREUni BOM_12032009_Bolt RFQ_Foxlink_03.1 2011_nego meeting@MACH 2 2" xfId="13078"/>
    <cellStyle name="_June Freight analysis v_Prelim_FY06 P6 XBox 360 Mfg Var - Close Pack" xfId="13079"/>
    <cellStyle name="_June Freight analysis v_Prelim_FY06 P7 CM Consigned RM" xfId="13080"/>
    <cellStyle name="_Seagate FLAGSHIP DESKTOP ME bom cost_Rev.A1 2" xfId="13081"/>
    <cellStyle name="_June Freight analysis v_Prelim_FY06 Xenon Console Other Mfg Costs Forecast - january v1" xfId="13082"/>
    <cellStyle name="_June Freight analysis v_Prelim_P2 Waynea review" xfId="13083"/>
    <cellStyle name="_PPV ALLOCATION-Nov04_Gutenberg Development Pricing 2" xfId="13084"/>
    <cellStyle name="_June Monthly Review Preliminary" xfId="13085"/>
    <cellStyle name="_June Monthly Review Preliminary_FY06 P6 CM Consigned RM" xfId="13086"/>
    <cellStyle name="_June Monthly Review Preliminary_FY06 P6 XBox 360 Mfg Var - Close Pack" xfId="13087"/>
    <cellStyle name="_June Monthly Review Preliminary_FY06 P7 CM Consigned RM" xfId="13088"/>
    <cellStyle name="_June Monthly Review Preliminary_FY06 Xenon Console Other Mfg Costs Forecast - january v1" xfId="13089"/>
    <cellStyle name="_June Monthly Review Preliminary_P2 Waynea review" xfId="13090"/>
    <cellStyle name="好_River EE BOM_Xl0000000_Bolt RFQ Proposal_Foxlink_ (Pricing Summary) 2 25 2011 3 2" xfId="13091"/>
    <cellStyle name="壞_Creek Assembly Fixture  Test Equipment RFQ_20090427_Xl0000002_Leopard_UniBOM_ME_0602_Bolt RFQ_Foxlink_03.1 2011_nego meeting@MACH 3 3" xfId="13092"/>
    <cellStyle name="_K TEST" xfId="13093"/>
    <cellStyle name="_Kanban store&amp;Material Group &amp;Normal debug Manpower" xfId="13094"/>
    <cellStyle name="_Katana Freight count" xfId="13095"/>
    <cellStyle name="Normal 2 4 2 2 2" xfId="13096"/>
    <cellStyle name="_Katana Freight count_Lenovo Park Format_July 07 05V2" xfId="13097"/>
    <cellStyle name="b_P139 CCM 11073" xfId="13098"/>
    <cellStyle name="好_River EE BOM_Creak Pearl Reliability Fixture RFQ_2009 04 24_Creek RFQ feedback 04_28_2009_FD Update_Leopard_UniBOM_ME_0531_Bolt RFQ Proposal_Foxlink_ (Pricing Summary) 2 25 2011 6" xfId="13099"/>
    <cellStyle name="_Kemit Material BOM Cost-01172007-2" xfId="13100"/>
    <cellStyle name="好_River EE BOM_Xl0000002_Leopard UniBom_Foxlink_6 21 2010-ME_nego_Bolt RFQ Proposal_Foxlink_ (Pricing Summary) 2 25 2011 5 3" xfId="13101"/>
    <cellStyle name="_Kermit COGS 061211a" xfId="13102"/>
    <cellStyle name="40% - Accent3 4" xfId="13103"/>
    <cellStyle name="_Kermit COGS 070104a" xfId="13104"/>
    <cellStyle name="差_Creek RFQ feedback 04_28_2009_FD Update_Bolt RFQ Proposal_Foxlink_ (Pricing Summary) 2 25 2011 5 2" xfId="13105"/>
    <cellStyle name="_K-MB工時" xfId="13106"/>
    <cellStyle name="_KPI(ASUS)-AG030815 (2)" xfId="13107"/>
    <cellStyle name="_KPI指標" xfId="13108"/>
    <cellStyle name="Normal 4 5 2 3 3" xfId="13109"/>
    <cellStyle name="_Krosa ME BOM 20071009" xfId="13110"/>
    <cellStyle name="_TC Model_FY06 P7 CM Consigned RM" xfId="13111"/>
    <cellStyle name="_Krosa uni_cost 20071016-J" xfId="13112"/>
    <cellStyle name="差_Xl0000000_Bolt RFQ Proposal_Foxlink_ (Pricing Summary) 2 25 2011 3 3" xfId="13113"/>
    <cellStyle name="差_0842周 顯卡報廢超標8D_2009MB KPI_MBO3F製造部hp0209-01 3 2 3" xfId="13114"/>
    <cellStyle name="_Krosa uni_cost 20071016-J 2" xfId="13115"/>
    <cellStyle name="好_foxlink Bristol for 10063D-2010-10-11_Bristol ME parts tooling cost 20101022 updated_Bristol MP quote update_08182011_MS" xfId="13116"/>
    <cellStyle name="好_River EE BOM_Creek RFQ feedback 04_28_2009_FD Update_Leopard RFQ ME BOM Costs-0618-2 2 3" xfId="13117"/>
    <cellStyle name="_Krosa 工時資料 20071009" xfId="13118"/>
    <cellStyle name="好_River EE BOM_Xl0000002_Leopard_UniBOM_ME_0531 3" xfId="13119"/>
    <cellStyle name="好_Creek EE BOM cost_20090425_Creek RFQ feedback 04_28_2009_FD Update_Leopard_UniBOM_ME_0531_Bolt RFQ_Foxlink_03.1 2011_nego meeting@MACH" xfId="13120"/>
    <cellStyle name="_KYE Glacier Plastic Worksheet-07202007 Arthur" xfId="13121"/>
    <cellStyle name="_KYE Krosa Uni_BOM-20071017 2" xfId="13122"/>
    <cellStyle name="_KYE Ocean Uni_BOM-20071031 (5)" xfId="13123"/>
    <cellStyle name="_KYE Ocean Uni_BOM-20071031 (5) 2" xfId="13124"/>
    <cellStyle name="_KYE RFQ Alviin &amp; Gusano-11192006 的 工作表" xfId="13125"/>
    <cellStyle name="20% - Accent6 2 5" xfId="13126"/>
    <cellStyle name="_PL Forecast Comparison_Mech Doumen2006_1(preliminary)_Volume Fcst Jul 06-update HP _Tom OS ( Oct)_X-BOX BB" xfId="13127"/>
    <cellStyle name="_KYE RFQ Alviin &amp; Gusano-11192006 的 工作表 2" xfId="13128"/>
    <cellStyle name="_KYE RFQ Alviin &amp; Gusano-11192006 的 工作表_Internal RFQ River Standalone  Bundle Unibom_v1 2_20080603_EJ" xfId="13129"/>
    <cellStyle name="壞_Creek Assembly Fixture  Test Equipment RFQ_20090427_Xl0000002_Leopard_UniBOM_ME_0603-2_Bolt RFQ Proposal_Foxlink_ (Pricing Summary) 2 25 2011 6 3" xfId="13130"/>
    <cellStyle name="好_效益分析&amp;產能評估_Bolt RFQ Proposal_Foxlink_ (Pricing Summary) 2 25 2011 5" xfId="13131"/>
    <cellStyle name="_KYE RFQ Alviin &amp; Gusano-11192006 的 工作表_Internal RFQ River Standalone  Bundle Unibom_v1 2_20080603_EJ 2" xfId="13132"/>
    <cellStyle name="差_Creek RFQ feedback 04_28_2009_FD Update_Leopard RFQ ME BOM Costs-0618 2" xfId="13133"/>
    <cellStyle name="6_Vesuvius-CR NPI tracker0606-US" xfId="13134"/>
    <cellStyle name="_Sales Forecast (plastic XX)0703_PL Fcst Jul 06-updated G&amp;A Value_Copy of Tom OS ( Oct) new for LOG_2009 xBOX ramp up budget code applicaiton" xfId="13135"/>
    <cellStyle name="_Sales Forecast (plastic XX)1203_PL Fcst Jul 06-updated G&amp;A Value_Copy of Tom OS ( Oct) new for LOG_2009 xBOX ramp up budget code applicaiton" xfId="13136"/>
    <cellStyle name="_KYE RFQ Alviin &amp; Gusano-11192006 的 工作表_Internal RFQ River Standalone  Bundle Unibom_v1 2_20080603_EJ_Stream Package Quotation_20090311" xfId="13137"/>
    <cellStyle name="_KYE RFQ Alviin &amp; Gusano-11192006 的 工作表_Internal RFQ River Standalone  Bundle Unibom_v1 2_20080603_EJ_Stream Quotebook (Submittal)_POC2_20081117-1" xfId="13138"/>
    <cellStyle name="_KYE RFQ Alviin &amp; Gusano-11192006 的 工作表_Internal RFQ River Standalone  Bundle Unibom_v1 2_20080603_EJ_Stream Quotebook(Submittal)_POC1_20080903" xfId="13139"/>
    <cellStyle name="_Mechanical Contribution Margins (Q1'06, applied to Apr'04 Fcst)_Mechanical Contribution Margins forecast 0506 FP_PL Fcst Jul 06-updated G&amp;A Value_X-BOX BB" xfId="13140"/>
    <cellStyle name="_KYE RFQ Alviin &amp; Gusano-11192006 的 工作表_Internal RFQ River Standalone  Bundle Unibom_v1 2_20080603_EJ_Stream Quotebook(Submittal)_POC1_20080903 2" xfId="13141"/>
    <cellStyle name="_KYE RFQ Alviin &amp; Gusano-11192006 的 工作表_RFQ_River_BAFO_2008 0606_M1 2" xfId="13142"/>
    <cellStyle name="_KYE RFQ Alviin &amp; Gusano-11192006 的 工作表_RFQ_River_BAFO_2008 0606_M1_Stream Package Quotation_20090311" xfId="13143"/>
    <cellStyle name="好_River EE BOM_Creek RFQ feedback 04_28_2009_FD Update_Leopard_UniBOM_ME_0602_Bolt RFQ Proposal_Foxlink_ (Pricing Summary) 2 25 2011 5 3" xfId="13144"/>
    <cellStyle name="_KYE RFQ Alviin &amp; Gusano-11192006 的 工作表_RFQ_River_BAFO_2008 0606_M1_Stream Quotebook (Submittal)_POC2_20081117-1" xfId="13145"/>
    <cellStyle name="_KYE RFQ Alviin &amp; Gusano-11192006 的 工作表_RFQ_River_BAFO_2008 0606_M1_Stream Quotebook(Submittal)_POC1_20080903" xfId="13146"/>
    <cellStyle name="_KYE RFQ Alviin &amp; Gusano-11192006 的 工作表_RFQ_River_BAFO_2008 0606_M1_Stream Quotebook(Submittal)_POC1_20080903 2" xfId="13147"/>
    <cellStyle name="_KYE RFQ Alviin &amp; Gusano-11192006 的 工作表_Stream RFQ Unibom--0626-1756" xfId="13148"/>
    <cellStyle name="差_Creak Pearl Reliability Fixture RFQ_2009 04 24_Pearl RFQ(Submittal)ver2_05_12_2009 _Leopard RFQ ME BOM Costs-0618_Bolt RFQ_Foxlink_03.1 2011 2" xfId="13149"/>
    <cellStyle name="_KYE RFQ Alviin &amp; Gusano-11192006 的 工作表_Stream RFQ Unibom--0626-1756 2" xfId="13150"/>
    <cellStyle name="差_Creak Pearl Reliability Fixture RFQ_2009 04 24_Pearl RFQ(Submittal)ver2_05_12_2009 _Leopard RFQ ME BOM Costs-0618_Bolt RFQ_Foxlink_03.1 2011 2 2" xfId="13151"/>
    <cellStyle name="标题 6" xfId="13152"/>
    <cellStyle name="差_Creak Pearl Reliability Fixture RFQ_2009 04 24_Creek  Pearl RFQ_May 12_Leopard RFQ ME BOM Costs-0618_Bolt RFQ Proposal_Foxlink_ (Pricing Summary) 2 25 2011 2 2" xfId="13153"/>
    <cellStyle name="_KYE RFQ Alviin &amp; Gusano-11192006 的 工作表_Stream RFQ Unibom--0626-1756_Stream Package Quotation_20090311" xfId="13154"/>
    <cellStyle name="_KYE RFQ Alviin &amp; Gusano-11192006 的 工作表_Stream RFQ Unibom--0626-1756_Stream Quotebook(Submittal)_POC1_20080903" xfId="13155"/>
    <cellStyle name="差_F3   SMT設備明細_jupite r設備&amp;治工具LIST (總)_pq_Jackson 效益分析 testing update_16th Jan1_Jackson 效益分析 (2-1 B0 上系統)_squirrel效益分析08-17" xfId="13156"/>
    <cellStyle name="差_HP Mouse 產能評估(上系統)_Bolt RFQ Proposal_Foxlink_ (Pricing Summary) 2 25 2011 2 2 3" xfId="13157"/>
    <cellStyle name="_KYE RFQ Alviin &amp; Gusano-11192006 的 工作表_Stream RFQ Unibom--0626-1756_Stream Quotebook(Submittal)_POC1_20080903 2" xfId="13158"/>
    <cellStyle name="好_MB9月管審換線超時8d 5 2" xfId="13159"/>
    <cellStyle name="_KYE Sample True-Up File_Dawson_Dev Pricing" xfId="13160"/>
    <cellStyle name="_KYE Sample True-Up File_Dawson_RFP_Foxlink_Response_Proposal 的 工作表" xfId="13161"/>
    <cellStyle name="_KYE Sample True-Up File_FM Transmitter_Dev Labor NRE_Mar26-07" xfId="13162"/>
    <cellStyle name="标题 6 2 2" xfId="13163"/>
    <cellStyle name="_KYE Sample True-Up File_Gutenberg Development Pricing" xfId="13164"/>
    <cellStyle name="差_Creak Pearl Reliability Fixture RFQ_2009 04 24_Creek RFQ feedback 04_28_2009_FD Update_Squirrel RFQ ME BOM Costs-0623_Bolt RFQ Proposal_Foxlink_ (Pricing Summary) 2 25 2011 6" xfId="13165"/>
    <cellStyle name="好_River EE BOM_Xl0000002_Leopard UniBom_Foxlink_6 21 2010-ME_nego 2 3" xfId="13166"/>
    <cellStyle name="_KYE Sample True-Up File_Gutenberg Manufacturing Pricing" xfId="13167"/>
    <cellStyle name="好_River EE BOM_Creak Pearl Reliability Fixture RFQ_2009 04 24_Creek RFQ feedback 04_28_2009_FD Update_Bolt RFQ Proposal_Foxlink_ (Pricing Summary) 2 25 2011 2 2 3" xfId="13168"/>
    <cellStyle name="_KYE Sample True-Up File_Zune V2 FM Transmitter_Schedule A" xfId="13169"/>
    <cellStyle name="20% - Accent4 15 3" xfId="13170"/>
    <cellStyle name="_OP1 DPO Forecast Final_PL Fcst Jul 06-updated G&amp;A Value_Internal Hourly Rate Q1 FY08 Version 06142007 excl. Corporate Allocation" xfId="13171"/>
    <cellStyle name="_KYE-based Analysis 070119a" xfId="13172"/>
    <cellStyle name="好_River EE BOM_Creak Pearl Reliability Fixture RFQ_2009 04 24_Creek  Pearl RFQ_May 12_Bolt RFQ Proposal_Foxlink_ (Pricing Summary) 2 25 2011 6" xfId="13173"/>
    <cellStyle name="_laroux" xfId="13174"/>
    <cellStyle name="_Laser Driver BOM" xfId="13175"/>
    <cellStyle name="_LCM 2009 費用分析彙總表0507" xfId="13176"/>
    <cellStyle name="Normal 5 4 3 3 3" xfId="13177"/>
    <cellStyle name="_LCM 2009 費用目標彙總表0630" xfId="13178"/>
    <cellStyle name="差_Creak Pearl Reliability Fixture RFQ_2009 04 24_Pearl RFQ(Submittal)ver2_05_12_2009 _Squirrel UniBom-06.23.2010_update_internal 3 2" xfId="13179"/>
    <cellStyle name="_LCM3月份兩期費用分析" xfId="13180"/>
    <cellStyle name="好_River EE BOM_Creak Pearl Reliability Fixture RFQ_2009 04 24_Bolt RFQ Proposal_Foxlink_ (Pricing Summary) 2 25 2011 6" xfId="13181"/>
    <cellStyle name="_LCM4月份費用分析-麗雪姐" xfId="13182"/>
    <cellStyle name="好_River EE BOM_Creak Pearl Reliability Fixture RFQ_2009 04 24_Pearl RFQ(Submittal)ver2_05_12_2009 _Leopard_UniBOM_ME_0602_Bolt RFQ_Foxlink_03.1 2011_nego meeting@MACH 2 3" xfId="13183"/>
    <cellStyle name="好_Creek Assembly Fixture  Test Equipment RFQ_20090427_Leopard Lemur Squirrel UniBom-06.22.2010_EE cost _update_internal_Bolt RFQ_Foxlink_03.1 2011_nego meeting@MACH_Bolt_Cliff 2 4" xfId="13184"/>
    <cellStyle name="_LCM8月費用分別-麗雪提供" xfId="13185"/>
    <cellStyle name="_PPV ALLOCATION-Nov04_Dawson_RFP_Foxlink_Response_Proposal 的 工作表 2" xfId="13186"/>
    <cellStyle name="_Lean 系統資料" xfId="13187"/>
    <cellStyle name="_Lenovo PACK  Packing Proposal" xfId="13188"/>
    <cellStyle name="_Lenovo Park Format_July 07 05" xfId="13189"/>
    <cellStyle name="好_River EE BOM_Xl0000000_Leopard_UniBOM_ME_0602-1_Bolt RFQ Proposal_Foxlink_ (Pricing Summary) 2 25 2011 2" xfId="13190"/>
    <cellStyle name="Normal 49 6" xfId="13191"/>
    <cellStyle name="Normal 54 6" xfId="13192"/>
    <cellStyle name="差_Xl0000000_Leopard_UniBOM_ME_0602-1 3 3" xfId="13193"/>
    <cellStyle name="_Lenovo Park Format_July 07 05V2" xfId="13194"/>
    <cellStyle name="_Lexar MU_Quotation_20060213_temp" xfId="13195"/>
    <cellStyle name="差_Creak Pearl Reliability Fixture RFQ_2009 04 24_Leopard_UniBOM_ME_0603-2_Bolt RFQ Proposal_Foxlink_ (Pricing Summary) 2 25 2011 3 3" xfId="13196"/>
    <cellStyle name="_Liberty Sunplus NRE-05072006 2" xfId="13197"/>
    <cellStyle name="差_F3   SMT設備明細_jupite r設備&amp;治工具LIST (總)_效益分析 (12-9 A1)_Leopard Flowchart &amp; 產能評估" xfId="13198"/>
    <cellStyle name="_Line transition plan and manpower arrangement 3-27" xfId="13199"/>
    <cellStyle name="差_F3   SMT設備明細_M1 Bolt wireless mouse FixtureEquipment Cost_A2_2010_12_07 3" xfId="13200"/>
    <cellStyle name="_Line transition plan to B17" xfId="13201"/>
    <cellStyle name="Boder-A" xfId="13202"/>
    <cellStyle name="_Line transition plan to B17 new 1" xfId="13203"/>
    <cellStyle name="_OP1 DPO Forecast Final_Volume Fcst 1006 updated_Tom OS ( Oct)_Budget GC Other Form" xfId="13204"/>
    <cellStyle name="_Line transition plan to B17 rev 3" xfId="13205"/>
    <cellStyle name="_Line transition plan to B17 rev 4 (3)" xfId="13206"/>
    <cellStyle name="_Line transition plan to B17 rev.4" xfId="13207"/>
    <cellStyle name="差_Creak Pearl Reliability Fixture RFQ_2009 04 24_Pearl RFQ(Submittal)ver2_05_12_2009 _Leopard RFQ ME BOM Costs-0618_Bolt RFQ Proposal_Foxlink_ (Pricing Summary) 2 25 2011 7" xfId="13208"/>
    <cellStyle name="好_River EE BOM_Creak Pearl Reliability Fixture RFQ_2009 04 24_Creek RFQ feedback 04_28_2009_FD Update_Leopard RFQ ME BOM Costs-0618-2 2 2 3" xfId="13209"/>
    <cellStyle name="_Line transition plan to B17 revised 2 " xfId="13210"/>
    <cellStyle name="差_Dolce IE 產能評估表_(12-1 Update)_Jackson 效益分析 (2-1 B0 上系統)_squirrel效益分析08-17" xfId="13211"/>
    <cellStyle name="_LIPs - Tooling Tracker - July 1" xfId="13212"/>
    <cellStyle name="_LIPs - Tooling Tracker - June 16" xfId="13213"/>
    <cellStyle name="差_Creek RFQ feedback 04_28_2009_FD Update_Jackson and Shadow BOM cost_mainfile_2010 0324 rev.1_Bristol UniBom_Foxlink_02082011 RevA" xfId="13214"/>
    <cellStyle name="_LSS專案參與統計表" xfId="13215"/>
    <cellStyle name="_M5 + Whitney line demand new style 0626karen" xfId="13216"/>
    <cellStyle name="Output 2 2 2" xfId="13217"/>
    <cellStyle name="_M5whitney 人力 (3)" xfId="13218"/>
    <cellStyle name="差_dallas產能評估_Dallas效益分析&amp;投資回收期 (12-2 A1)_~5631336_Jackson 效益分析 (2-1 B0 上系統)_Leopard效益分析08-17" xfId="13219"/>
    <cellStyle name="_mail list1018" xfId="13220"/>
    <cellStyle name="好_Creek Assembly Fixture  Test Equipment RFQ_20090427_Xl0000002_Squirrel UniBom-06.23.2010_update_internal 5" xfId="13221"/>
    <cellStyle name="TimStyle" xfId="13222"/>
    <cellStyle name="_mannpower cost" xfId="13223"/>
    <cellStyle name="差_Creak Pearl Reliability Fixture RFQ_2009 04 24_Creek  Pearl RFQ_May 12_Bolt RFQ Proposal_Foxlink_ (Pricing Summary) 2 25 2011 2 2" xfId="13224"/>
    <cellStyle name="_manpower calculate" xfId="13225"/>
    <cellStyle name="_manpower demand -Updated" xfId="13226"/>
    <cellStyle name="_Manpower of X-BOX Rev3" xfId="13227"/>
    <cellStyle name="_manpower release (2)" xfId="13228"/>
    <cellStyle name="差_Xl0000000_Leopard Lemur Squirrel UniBom-06.22.2010_EE cost _update_internal 2 3" xfId="13229"/>
    <cellStyle name="9_Revised AP DPO Oct 04 v2_PL Fcst Jul 06-updated G&amp;A Value_X-BOX BB" xfId="13230"/>
    <cellStyle name="_Manpower request plan  name list (2)" xfId="13231"/>
    <cellStyle name="_Mulan Edge Procurement Plan May 24 P1A_MOST Std - Project A BB Line" xfId="13232"/>
    <cellStyle name="_Manpower review 6-26" xfId="13233"/>
    <cellStyle name="好_River EE BOM_Xl0000000_Leopard_UniBOM_ME_0602_Bolt RFQ_Foxlink_03.1 2011_nego meeting@MACH 5" xfId="13234"/>
    <cellStyle name="_Manpower review summary 120208" xfId="13235"/>
    <cellStyle name="_Mar Freight analysis value" xfId="13236"/>
    <cellStyle name="_Mar Freight analysis value_FY06 P4 CM Consigned RM" xfId="13237"/>
    <cellStyle name="_Mar Freight analysis value_FY06 P6 CM Consigned RM" xfId="13238"/>
    <cellStyle name="_Mar Freight analysis value_FY06 P7 CM Consigned RM" xfId="13239"/>
    <cellStyle name="_PPV ALLOCATION-Nov04_Zune V2 FM Transmitter_Schedule A_Internal RFQ River Standalone  Bundle Unibom_v1 2_20080603_EJ_Stream Package Quotation_20090311" xfId="13240"/>
    <cellStyle name="_Mar Freight analysis value_FY06 Xenon Console Other Mfg Costs Forecast - january v1" xfId="13241"/>
    <cellStyle name="好_Creek EE BOM cost_20090425_Leopard Lemur Squirrel UniBom-06.22.2010_EE cost _update_internal_Bolt RFQ Proposal_Foxlink_ (Pricing Summary) 2 25 2011 2 2 2" xfId="13242"/>
    <cellStyle name="_Mar05_FDM" xfId="13243"/>
    <cellStyle name="_Maxtor_ Tornado Assembly Quotation Cost_A0_060810" xfId="13244"/>
    <cellStyle name="_Maxtor_ Tornado Assembly Quotation Cost_A0_060810 2" xfId="13245"/>
    <cellStyle name="_May Freight analysis value" xfId="13246"/>
    <cellStyle name="差_Creak Pearl Reliability Fixture RFQ_2009 04 24_Creek  Pearl RFQ_May 12_Leopard_UniBOM_ME_0602-1_Bolt RFQ Proposal_Foxlink_ (Pricing Summary) 2 25 2011 2 2 2" xfId="13247"/>
    <cellStyle name="_May Freight analysis value_FY06 P4 CM Consigned RM" xfId="13248"/>
    <cellStyle name="_May Freight analysis value_FY06 P6 CM Consigned RM" xfId="13249"/>
    <cellStyle name="差_HP Mouse 產能評估(上系統)_費用統計_Jackson 效益分析 (2-1 B0 上系統)" xfId="13250"/>
    <cellStyle name="差_Creak Pearl Reliability Fixture RFQ_2009 04 24_Creek  Pearl RFQ_May 12_Bolt RFQ_Foxlink_03.1 2011 3 2" xfId="13251"/>
    <cellStyle name="_May Freight analysis value_FY06 P6 XBox 360 Mfg Var - Close Pack" xfId="13252"/>
    <cellStyle name="差_Xl0000000_Foxlink_Shadow RFQ NREUni BOM_12032009" xfId="13253"/>
    <cellStyle name="_May Freight analysis value_FY06 Xenon Console Other Mfg Costs Forecast - january v1" xfId="13254"/>
    <cellStyle name="_May Freight analysis value_P2 Waynea review" xfId="13255"/>
    <cellStyle name="差_Squirrel UniBom-06.23.2010_update_internal 5" xfId="13256"/>
    <cellStyle name="好_Bristol  cost 20100914Rev.A_Bristol RFQ response _20101102_internal (4)_Bristol MP quote update_08182011_MS" xfId="13257"/>
    <cellStyle name="_May05_FDM" xfId="13258"/>
    <cellStyle name="差_Creek RFQ feedback 04_28_2009_FD Update_Leopard Lemur Squirrel UniBom-06.22.2010_EE cost _update_internal_Bolt RFQ_Foxlink_03.1 2011 4" xfId="13259"/>
    <cellStyle name="_May05_WZS" xfId="13260"/>
    <cellStyle name="好_River EE BOM_Creak Pearl Reliability Fixture RFQ_2009 04 24_Pearl RFQ(Submittal)ver2_05_12_2009 _Leopard_UniBOM_ME_0531_Bolt RFQ_Foxlink_03.1 2011_nego meeting@MACH 2 3" xfId="13261"/>
    <cellStyle name="_MAY呆滯料明細1" xfId="13262"/>
    <cellStyle name="好_River EE BOM_Creek RFQ feedback 04_28_2009_FD Update_Leopard RFQ ME BOM Costs-0618-2_Bolt RFQ_Foxlink_03.1 2011" xfId="13263"/>
    <cellStyle name="_MB OEM INTEL FBU組織圖-051001 Rev 1" xfId="13264"/>
    <cellStyle name="好_River EE BOM_Creak Pearl Reliability Fixture RFQ_2009 04 24_Creek  Pearl RFQ_May 12_Leopard_UniBOM_ME_0602_Bolt RFQ_Foxlink_03.1 2011 5" xfId="13265"/>
    <cellStyle name="_MB OEM Weekly Manpower Report(3.19~3.25)xin" xfId="13266"/>
    <cellStyle name="_MB9月管審換線超時8d" xfId="13267"/>
    <cellStyle name="_MB9月管審誤判超標 8D" xfId="13268"/>
    <cellStyle name="_MBO Manpower---新代碼統計Form 0412" xfId="13269"/>
    <cellStyle name="_Q-Iceberg Plastic RFQ-2007-0611 2" xfId="13270"/>
    <cellStyle name="_MBT-9123 25k-Month設備明細表070605" xfId="13271"/>
    <cellStyle name="差_Erie mouse 效益分析( 11-19 A1)_效益分析(總 12-28 Update)_Jackson 效益分析 (2-1 B0 上系統)_Leopard效益分析08-17" xfId="13272"/>
    <cellStyle name="_MBT-9137 200K測試設備更新3-5" xfId="13273"/>
    <cellStyle name="_MBT-9137 200K測試設備更新3-5 2" xfId="13274"/>
    <cellStyle name="_MBT-9137每月200K所需設備清冊明細" xfId="13275"/>
    <cellStyle name="差_F3   SMT設備明細_Flow Chart&amp;設備治工具清單 _Jackson 效益分析 (2-1 B0 上系統)" xfId="13276"/>
    <cellStyle name="_MBT-9137客戶付費" xfId="13277"/>
    <cellStyle name="_MBT-9137客戶付費 2" xfId="13278"/>
    <cellStyle name="_MBU Position Vacancy" xfId="13279"/>
    <cellStyle name="差_F3   SMT設備明細_效益分析_flow chart 2009.12.12_Flow chart and Fixture(Jackson)_A1_Jackson 效益分析 (2-1 B0 上系統)_Leopard Flowchart &amp; 產能評估" xfId="13280"/>
    <cellStyle name="_MB新組織圖及部門代碼-MBO-v1" xfId="13281"/>
    <cellStyle name="_MCT Error Description (3.18)" xfId="13282"/>
    <cellStyle name="_MCT Error Description (3.18)_AllErrorCodes" xfId="13283"/>
    <cellStyle name="好_River EE BOM_Xl0000000_Foxlink_Shadow RFQ NREUni BOM_12032009_Bolt RFQ Proposal_Foxlink_ (Pricing Summary) 2 25 2011 4 2" xfId="13284"/>
    <cellStyle name="差_Xl0000000_Leopard_UniBOM_ME_0602-1_Bolt RFQ Proposal_Foxlink_ (Pricing Summary) 2 25 2011 6" xfId="13285"/>
    <cellStyle name="_MCT Error Description (3.18)_Test Time" xfId="13286"/>
    <cellStyle name="_Mechanical Contribution Margins (Q1'06, applied to Apr'04 Fcst)_PL Fcst Jul 06-updated G&amp;A Value_Copy of Tom OS ( Oct) new for LOG_Forecast Template v4" xfId="13287"/>
    <cellStyle name="_MCT Error Description (3.18)_TestMedia" xfId="13288"/>
    <cellStyle name="差_F3   SMT設備明細_Erie 效益分析 (Update)_Jackson 效益分析 (2-1 B0 上系統)" xfId="13289"/>
    <cellStyle name="_MCT Error Description (3.18)_TS3 80 6 Yield Tracking 0502 update" xfId="13290"/>
    <cellStyle name="差_Xl0000002_Squirrel RFQ ME BOM Costs-0623_Bolt RFQ Proposal_Foxlink_ (Pricing Summary) 2 25 2011 2" xfId="13291"/>
    <cellStyle name="_MCT Error Description (3.18)_Update yield report for DEV02342(7.6) " xfId="13292"/>
    <cellStyle name="5_P139 CCM 11011" xfId="13293"/>
    <cellStyle name="³f¹ô[0]_laroux" xfId="13294"/>
    <cellStyle name="_MCT Error Description (3.18)_yield report for DEV0xxxx " xfId="13295"/>
    <cellStyle name="_MCT Error Description (3.18)_Yield report for Jasper DV 0610" xfId="13296"/>
    <cellStyle name="_NGSC Budget May 3rd_FY06 P7 CM Consigned RM" xfId="13297"/>
    <cellStyle name="_MC編制" xfId="13298"/>
    <cellStyle name="_ME  Monaco BOM GA060529" xfId="13299"/>
    <cellStyle name="好_River EE BOM_Creak Pearl Reliability Fixture RFQ_2009 04 24_Leopard RFQ ME BOM Costs-0618-2_Bolt RFQ Proposal_Foxlink_ (Pricing Summary) 2 25 2011" xfId="13300"/>
    <cellStyle name="_ME  Monaco BOM GA060529_FMTQCI-MIS3H064-P027(01)Nazca Copy Exact Flow chart" xfId="13301"/>
    <cellStyle name="_ME  Monaco BOM GA060529_Line transition plan to B17 rev 5" xfId="13302"/>
    <cellStyle name="_ME  Monaco BOM GA060529_Line transition plan to B17 rev 5_Tester Demand Plan 062707" xfId="13303"/>
    <cellStyle name="差_Creak Pearl Reliability Fixture RFQ_2009 04 24_Pearl RFQ(Submittal)ver2_05_12_2009 _Squirrel RFQ ME BOM Costs-0623 2 3" xfId="13304"/>
    <cellStyle name="_ME  Monaco BOM GA060529_Nazca copy exact flow chart 20120409" xfId="13305"/>
    <cellStyle name="Normal 37 5" xfId="13306"/>
    <cellStyle name="Normal 42 5" xfId="13307"/>
    <cellStyle name="Check Cell 11" xfId="13308"/>
    <cellStyle name="_ME  Monaco BOM GA060529_Nazca copy exact flow chart 2012313" xfId="13309"/>
    <cellStyle name="_ME  Monaco BOM GA060529_Scenario 1 of recovery until 1102" xfId="13310"/>
    <cellStyle name="_ME  Monaco BOM GA060529_Scenario 1 of recovery until 1102_Tester Demand Plan 062707" xfId="13311"/>
    <cellStyle name="好_0842周 顯卡報廢超標8D_2009MB KPI_MBO3F製造部hp0209-01 6" xfId="13312"/>
    <cellStyle name="好_Creek Assembly Fixture  Test Equipment RFQ_20090427_Leopard Lemur Squirrel UniBom-06.22.2010_EE cost _update_internal_Bolt RFQ_Foxlink_03.1 2011_Bolt_Cliff 6" xfId="13313"/>
    <cellStyle name="壞_Creek Assembly Fixture  Test Equipment RFQ_20090427_Xl0000002_Leopard_UniBOM_ME_0531_Bolt RFQ_Foxlink_03.1 2011_nego meeting@MACH 3" xfId="13314"/>
    <cellStyle name="_ME  Monaco BOM GA060529_Scenario 2 of recovery until 1116" xfId="13315"/>
    <cellStyle name="好_River EE BOM_Creak Pearl Reliability Fixture RFQ_2009 04 24_Xl0000002_Squirrel UniBom-06.23.2010_update_internal_Bolt RFQ_Foxlink_03.1 2011_nego meeting@MACH 2 3" xfId="13316"/>
    <cellStyle name="_ME  Monaco BOM GA060529_Scenario 2 of recovery until 1116_Tester Demand Plan 062707" xfId="13317"/>
    <cellStyle name="差_Creak Pearl Reliability Fixture RFQ_2009 04 24_Xl0000002_Leopard_UniBOM_ME_0602_Bolt RFQ Proposal_Foxlink_ (Pricing Summary) 2 25 2011" xfId="13318"/>
    <cellStyle name="_ME  Monaco BOM GA060529_Tester Demand Plan 062807" xfId="13319"/>
    <cellStyle name="差_HP  專案(設備&amp;治工具需夠買)update_Erie 效益分析 (Update)_Jackson 效益分析 testing update_16th Jan1_Jackson 效益分析 (2-1 B0 上系統)_squirrel效益分析08-17" xfId="13320"/>
    <cellStyle name="好_River EE BOM_Creak Pearl Reliability Fixture RFQ_2009 04 24_Xl0000002_Leopard UniBom_Foxlink_6 21 2010-ME_nego_Bolt RFQ_Foxlink_03.1 2011 2 2" xfId="13321"/>
    <cellStyle name="_Quotebook_07SEP10_RFQ_River_BAFO_2008 0606_M1_Stream Quotebook(Submittal)_POC1_20080903" xfId="13322"/>
    <cellStyle name="_ME  Monaco BOM GA060529_Tester Demand Plan_Tester Demand Plan 062707" xfId="13323"/>
    <cellStyle name="差_F3   SMT設備明細_Flow chart and Fixture(Jackson)_A1_Jackson 效益分析 (2-1 B0 上系統)_Leopard效益分析08-17" xfId="13324"/>
    <cellStyle name="_ME RR-設備組" xfId="13325"/>
    <cellStyle name="Linked Cell 8" xfId="13326"/>
    <cellStyle name="_Mechanical Contribution Margins (Q1'06, applied to Apr'04 Fcst)_2009 xBOX ramp up budget code applicaiton" xfId="13327"/>
    <cellStyle name="_Mechanical Contribution Margins (Q1'06, applied to Apr'04 Fcst)_2009 xBOX ramp up budget code applicaiton 300K --New May26 (3)" xfId="13328"/>
    <cellStyle name="60% - 强调文字颜色 2 2" xfId="13329"/>
    <cellStyle name="40% - Accent5 15 2" xfId="13330"/>
    <cellStyle name="_Mechanical Contribution Margins (Q1'06, applied to Apr'04 Fcst)_2009 xBOX ramp up budget code applicaiton 300K --New May27" xfId="13331"/>
    <cellStyle name="好_River EE BOM_Creak Pearl Reliability Fixture RFQ_2009 04 24_Pearl RFQ(Submittal)ver2_05_12_2009 _Leopard RFQ ME BOM Costs-0618-2_Bolt RFQ Proposal_Foxlink_ (Pricing Summary) 2 25 2011 2 2 3" xfId="13332"/>
    <cellStyle name="_Motherboard manpower" xfId="13333"/>
    <cellStyle name="_Mechanical Contribution Margins (Q1'06, applied to Apr'04 Fcst)_Budget GC Other Form" xfId="13334"/>
    <cellStyle name="好_Creek EE BOM cost_20090425_Leopard_UniBOM_ME_0603-2_Bolt RFQ_Foxlink_03.1 2011 5" xfId="13335"/>
    <cellStyle name="_Mechanical Contribution Margins (Q1'06, applied to Apr'04 Fcst)_Copy of Tom OS ( Oct) new for LOG" xfId="13336"/>
    <cellStyle name="_Mechanical Contribution Margins (Q1'06, applied to Apr'04 Fcst)_Copy of Tom OS ( Oct) new for LOG_2009 xBOX ramp up budget code applicaiton" xfId="13337"/>
    <cellStyle name="好_Creek Assembly Fixture  Test Equipment RFQ_20090427_Xl0000002_Leopard_UniBOM_ME_0531_Bolt RFQ Proposal_Foxlink_ (Pricing Summary) 2 25 2011 6" xfId="13338"/>
    <cellStyle name="_Mechanical Contribution Margins (Q1'06, applied to Apr'04 Fcst)_Copy of Tom OS ( Oct) new for LOG_2009 xBOX ramp up budget code applicaiton 300K --New May26 (3)" xfId="13339"/>
    <cellStyle name="差_Xl0000002_Leopard RFQ ME BOM Costs-0618-2_Bolt RFQ_Foxlink_03.1 2011_nego meeting@MACH 4" xfId="13340"/>
    <cellStyle name="差_F3   SMT設備明細_jupite r設備&amp;治工具LIST (總)_Dallas flow chart&amp;設備&amp;治工具清單(12-8 A0)_~5631336_Jackson 效益分析 (2-1 B0 上系統)_Leopard Flowchart &amp; 產能評估" xfId="13341"/>
    <cellStyle name="壞_Creek Assembly Fixture  Test Equipment RFQ_20090427_Bolt RFQ Proposal_Foxlink_ (Pricing Summary) 2 25 2011 5 3" xfId="13342"/>
    <cellStyle name="Normal 5 2 2 2" xfId="13343"/>
    <cellStyle name="_Mechanical Contribution Margins (Q1'06, applied to Apr'04 Fcst)_Copy of Tom OS ( Oct) new for LOG_2009 xBOX ramp up budget code applicaiton 300K --New May27" xfId="13344"/>
    <cellStyle name="Normal 28 2 3" xfId="13345"/>
    <cellStyle name="Normal 33 2 3" xfId="13346"/>
    <cellStyle name="差_Creek RFQ feedback 04_28_2009_FD Update_Leopard RFQ ME BOM Costs-0618-2_Bolt RFQ_Foxlink_03.1 2011 2 2" xfId="13347"/>
    <cellStyle name="_Mechanical Contribution Margins (Q1'06, applied to Apr'04 Fcst)_Copy of Tom OS ( Oct) new for LOG_Budget GC Other Form" xfId="13348"/>
    <cellStyle name="好_River EE BOM_Creak Pearl Reliability Fixture RFQ_2009 04 24_Creek  Pearl RFQ_May 12_Leopard_UniBOM_ME_0531 2 4" xfId="13349"/>
    <cellStyle name="好_Creek Assembly Fixture  Test Equipment RFQ_20090427_Leopard Lemur Squirrel UniBom-06.22.2010_EE cost _update_internal_Bolt RFQ_Foxlink_03.1 2011 2 3" xfId="13350"/>
    <cellStyle name="_Mechanical Contribution Margins (Q1'06, applied to Apr'04 Fcst)_Copy of Tom OS ( Oct) new for LOG_Copy of X-BOX for line setup budget" xfId="13351"/>
    <cellStyle name="差_Creak Pearl Reliability Fixture RFQ_2009 04 24_Creek RFQ feedback 04_28_2009_FD Update_Squirrel UniBom-06.23.2010_update_internal_Bolt RFQ_Foxlink_03.1 2011" xfId="13352"/>
    <cellStyle name="_Mechanical Contribution Margins (Q1'06, applied to Apr'04 Fcst)_Copy of Tom OS ( Oct) new for LOG_Forecast Template v4" xfId="13353"/>
    <cellStyle name="好_River EE BOM_Squirrel UniBom-06.23.2010_update_internal_Bolt RFQ_Foxlink_03.1 2011_nego meeting@MACH 2 3" xfId="13354"/>
    <cellStyle name="差_jupite r設備&amp;治工具LIST (總)_Flow Chart&amp;PQ分析(12-1)_Jackson 效益分析 testing update_16th Jan111_Jackson 效益分析 (2-1 B0 上系統)" xfId="13355"/>
    <cellStyle name="_Mechanical Contribution Margins (Q1'06, applied to Apr'04 Fcst)_Copy of Tom OS ( Oct) new for LOG_X-BOX BB" xfId="13356"/>
    <cellStyle name="差_HP Mouse 產能評估(上系統)_M1 SuedeFixtureEquipment Cost_A0_2010_10_15_Bolt RFQ Proposal_Foxlink_ (Pricing Summary) 2 25 2011 4" xfId="13357"/>
    <cellStyle name="好_Creek EE BOM cost_20090425_Squirrel RFQ ME BOM Costs-0623_Bolt RFQ_Foxlink_03.1 2011_nego meeting@MACH 2 2" xfId="13358"/>
    <cellStyle name="壞_Creek EE BOM cost_20090425_Leopard_UniBOM_ME_0602_Bolt RFQ Proposal_Foxlink_ (Pricing Summary) 2 25 2011 6 3" xfId="13359"/>
    <cellStyle name="差_Xl0000002_Leopard UniBom_Foxlink_6 21 2010-ME_nego 2 2" xfId="13360"/>
    <cellStyle name="_Mechanical Contribution Margins (Q1'06, applied to Apr'04 Fcst)_Copy of Tom OS ( Oct) new for LOG_X-BOX Console line setup budget 20080414" xfId="13361"/>
    <cellStyle name="_Mechanical Contribution Margins (Q1'06, applied to Apr'04 Fcst)_Copy of Tom OS ( Oct) new for LOG_X-BOX Console line setup budget and Buyer list" xfId="13362"/>
    <cellStyle name="差_Creak Pearl Reliability Fixture RFQ_2009 04 24_Creek  Pearl RFQ_May 12_Jackson and Shadow BOM cost_mainfile_2010 0324 rev.1_Leopard UniBom_Foxlink_12272010 RevF_shirley" xfId="13363"/>
    <cellStyle name="_Mechanical Contribution Margins (Q1'06, applied to Apr'04 Fcst)_Forecast Template v4" xfId="13364"/>
    <cellStyle name="壞_Creek Assembly Fixture  Test Equipment RFQ_20090427_Xl0000002_Leopard UniBom_Foxlink_6 21 2010-ME_nego 3" xfId="13365"/>
    <cellStyle name="汇总 5 3" xfId="13366"/>
    <cellStyle name="_Mechanical Contribution Margins (Q1'06, applied to Apr'04 Fcst)_Internal Hourly Rate Q1 FY08 Version (2)" xfId="13367"/>
    <cellStyle name="_Mechanical Contribution Margins (Q1'06, applied to Apr'04 Fcst)_Internal Hourly Rate Q1 FY08 Version 06052007 Draft" xfId="13368"/>
    <cellStyle name="好_Creek Assembly Fixture  Test Equipment RFQ_20090427_Xl0000002_Leopard_UniBOM_ME_0602_Bolt RFQ_Foxlink_03.1 2011_nego meeting@MACH 3 3" xfId="13369"/>
    <cellStyle name="差_Creek RFQ feedback 04_28_2009_FD Update_Bolt RFQ Proposal_Foxlink_ (Pricing Summary) 2 25 2011 7" xfId="13370"/>
    <cellStyle name="_Mechanical Contribution Margins (Q1'06, applied to Apr'04 Fcst)_Internal Hourly Rate Q1 FY08 Version 06052007 Draft_Internal Hourly Rate Q1 FY08 Version (2)" xfId="13371"/>
    <cellStyle name="好_River EE BOM_Xl0000002_Leopard RFQ ME BOM Costs-0618_Bolt RFQ_Foxlink_03.1 2011_nego meeting@MACH" xfId="13372"/>
    <cellStyle name="_Mechanical Contribution Margins (Q1'06, applied to Apr'04 Fcst)_Internal Hourly Rate Q1 FY08 Version 06142007 excl. Corporate Allocation" xfId="13373"/>
    <cellStyle name="_Mechanical Contribution Margins (Q1'06, applied to Apr'04 Fcst)_Mechanical Contribution Margins forecast 0506 FP" xfId="13374"/>
    <cellStyle name="_Sales Forecast (plastic XX)0703_Volume Fcst Jul 06-update HP _Copy of Tom OS ( Oct) new for LOG_Forecast Template v4" xfId="13375"/>
    <cellStyle name="_Sales Forecast (plastic XX)1203_Volume Fcst Jul 06-update HP _Copy of Tom OS ( Oct) new for LOG_Forecast Template v4" xfId="13376"/>
    <cellStyle name="_Mechanical Contribution Margins (Q1'06, applied to Apr'04 Fcst)_Mechanical Contribution Margins forecast 0506 FP_2009 xBOX ramp up budget code applicaiton" xfId="13377"/>
    <cellStyle name="_Mechanical Contribution Margins (Q1'06, applied to Apr'04 Fcst)_Mechanical Contribution Margins forecast 0506 FP_2009 xBOX ramp up budget code applicaiton 300K --New May26 (3)" xfId="13378"/>
    <cellStyle name="差_F3   SMT設備明細_jupite r設備&amp;治工具LIST (總)_Flow Chart&amp;PQ分析(12-1)" xfId="13379"/>
    <cellStyle name="好_River EE BOM_Xl0000000_Leopard_UniBOM_ME_0531_Bolt RFQ_Foxlink_03.1 2011_nego meeting@MACH 2 2" xfId="13380"/>
    <cellStyle name="_Mechanical Contribution Margins (Q1'06, applied to Apr'04 Fcst)_Mechanical Contribution Margins forecast 0506 FP_2009 xBOX ramp up budget code applicaiton 300K --New May27" xfId="13381"/>
    <cellStyle name="_Mechanical Contribution Margins (Q1'06, applied to Apr'04 Fcst)_Mechanical Contribution Margins forecast 0506 FP_Budget GC Other Form" xfId="13382"/>
    <cellStyle name="壞_Erie Assembly Fixture  Test Equip Cost_20090716_Bolt RFQ Proposal_Foxlink_ (Pricing Summary) 2 25 2011 7" xfId="13383"/>
    <cellStyle name="_Mechanical Contribution Margins (Q1'06, applied to Apr'04 Fcst)_Mechanical Contribution Margins forecast 0506 FP_Copy of Tom OS ( Oct) new for LOG_2009 xBOX ramp up budget code applicaiton" xfId="13384"/>
    <cellStyle name="_Mechanical Contribution Margins (Q1'06, applied to Apr'04 Fcst)_Mechanical Contribution Margins forecast 0506 FP_Copy of Tom OS ( Oct) new for LOG_2009 xBOX ramp up budget code applicaiton 300K --New May26 (3)" xfId="13385"/>
    <cellStyle name="_Mechanical Contribution Margins (Q1'06, applied to Apr'04 Fcst)_Mechanical Contribution Margins forecast 0506 FP_Copy of Tom OS ( Oct) new for LOG_Budget GC Other Form" xfId="13386"/>
    <cellStyle name="_Mechanical Contribution Margins (Q1'06, applied to Apr'04 Fcst)_Mechanical Contribution Margins forecast 0506 FP_Copy of Tom OS ( Oct) new for LOG_Copy of X-BOX for line setup budget" xfId="13387"/>
    <cellStyle name="_XLSTestErrorCodes_yield report for DEV0xxxx " xfId="13388"/>
    <cellStyle name="_Mechanical Contribution Margins (Q1'06, applied to Apr'04 Fcst)_Mechanical Contribution Margins forecast 0506 FP_Copy of Tom OS ( Oct) new for LOG_X-BOX BB" xfId="13389"/>
    <cellStyle name="差_Creak Pearl Reliability Fixture RFQ_2009 04 24_Creek  Pearl RFQ_May 12_Foxlink_Shadow RFQ NREUni BOM_12032009_Bolt RFQ Proposal_Foxlink_ (Pricing Summary) 2 25 2011 3 3" xfId="13390"/>
    <cellStyle name="差_0842周 顯卡報廢超標8D_HP 2 2 4" xfId="13391"/>
    <cellStyle name="_防盜Close meeting資料0708" xfId="13392"/>
    <cellStyle name="_Mechanical Contribution Margins (Q1'06, applied to Apr'04 Fcst)_Mechanical Contribution Margins forecast 0506 FP_Copy of Tom OS ( Oct) new for LOG_X-BOX Console line setup budget and Buyer list" xfId="13393"/>
    <cellStyle name="_PL Forecast Comparison_Mech Doumen2006_1(preliminary)_Volume Fcst Jul 06-update HP _Forecast Template v4" xfId="13394"/>
    <cellStyle name="_Mechanical Contribution Margins (Q1'06, applied to Apr'04 Fcst)_Mechanical Contribution Margins forecast 0506 FP_Copy of X-BOX for line setup budget" xfId="13395"/>
    <cellStyle name="差_Creak Pearl Reliability Fixture RFQ_2009 04 24_Pearl RFQ(Submittal)ver2_05_12_2009 _Leopard_UniBOM_ME_0602 3 2" xfId="13396"/>
    <cellStyle name="好_River EE BOM_Creak Pearl Reliability Fixture RFQ_2009 04 24_Creek RFQ feedback 04_28_2009_FD Update_Squirrel UniBom-06.23.2010_update_internal_Bolt RFQ_Foxlink_03.1 2011" xfId="13397"/>
    <cellStyle name="好_Creek Assembly Fixture  Test Equipment RFQ_20090427_Leopard UniBom_Foxlink_6 21 2010-ME_nego_Bolt RFQ_Foxlink_03.1 2011 2 3" xfId="13398"/>
    <cellStyle name="_Mechanical Contribution Margins (Q1'06, applied to Apr'04 Fcst)_Mechanical Contribution Margins forecast 0506 FP_Forecast Template v4" xfId="13399"/>
    <cellStyle name="好_Creek Assembly Fixture  Test Equipment RFQ_20090427_Xl0000002_Leopard Lemur Squirrel UniBom-06.22.2010_EE cost _update_internal_Bolt RFQ_Foxlink_03.1 2011 2 3" xfId="13400"/>
    <cellStyle name="_Mechanical Contribution Margins (Q1'06, applied to Apr'04 Fcst)_Mechanical Contribution Margins forecast 0506 FP_Internal Hourly Rate Q1 FY08 Version 06052007 Draft" xfId="13401"/>
    <cellStyle name="_Mechanical Contribution Margins (Q1'06, applied to Apr'04 Fcst)_Mechanical Contribution Margins forecast 0506 FP_Internal Hourly Rate Q1 FY08 Version 06052007 Draft_Internal Hourly Rate Q1 FY08 Version (2)" xfId="13402"/>
    <cellStyle name="差_Creak Pearl Reliability Fixture RFQ_2009 04 24_Xl0000002_Leopard UniBom_Foxlink_6 21 2010-ME_nego 3 2" xfId="13403"/>
    <cellStyle name="_Mechanical Contribution Margins (Q1'06, applied to Apr'04 Fcst)_Mechanical Contribution Margins forecast 0506 FP_Internal Hourly Rate Q1 FY08 Version 06142007 excl. Corporate Allocation" xfId="13404"/>
    <cellStyle name="_Mechanical Contribution Margins (Q1'06, applied to Apr'04 Fcst)_Mechanical Contribution Margins forecast 0506 FP_Internal Hourly Rate Q1 FY08 Version 06142007 excl. Corporate Allocation_Internal Hourly Rate Q1 FY08 Version (2)" xfId="13405"/>
    <cellStyle name="_Mechanical Contribution Margins (Q1'06, applied to Apr'04 Fcst)_Mechanical Contribution Margins forecast 0506 FP_PL Fcst Jul 06-updated G&amp;A Value" xfId="13406"/>
    <cellStyle name="_Mechanical Contribution Margins (Q1'06, applied to Apr'04 Fcst)_Mechanical Contribution Margins forecast 0506 FP_PL Fcst Jul 06-updated G&amp;A Value_2009 xBOX ramp up budget code applicaiton 300K --New May26 (3)" xfId="13407"/>
    <cellStyle name="_P&amp;L Forecast Comparison_Mech Doumen2006_Apr" xfId="13408"/>
    <cellStyle name="_Mechanical Contribution Margins (Q1'06, applied to Apr'04 Fcst)_Mechanical Contribution Margins forecast 0506 FP_PL Fcst Jul 06-updated G&amp;A Value_2009 xBOX ramp up budget code applicaiton 300K --New May27" xfId="13409"/>
    <cellStyle name="Normal 4 16" xfId="13410"/>
    <cellStyle name="Normal 4 21" xfId="13411"/>
    <cellStyle name="_Mechanical Contribution Margins (Q1'06, applied to Apr'04 Fcst)_Mechanical Contribution Margins forecast 0506 FP_PL Fcst Jul 06-updated G&amp;A Value_Copy of Tom OS ( Oct) new for LOG" xfId="13412"/>
    <cellStyle name="好_Creek Assembly Fixture  Test Equipment RFQ_20090427_Leopard RFQ ME BOM Costs-0618-2_Bolt RFQ_Foxlink_03.1 2011_nego meeting@MACH 2 3" xfId="13413"/>
    <cellStyle name="_Mechanical Contribution Margins (Q1'06, applied to Apr'04 Fcst)_Mechanical Contribution Margins forecast 0506 FP_PL Fcst Jul 06-updated G&amp;A Value_Copy of Tom OS ( Oct) new for LOG_2009 xBOX ramp up budget code applicaiton" xfId="13414"/>
    <cellStyle name="_Mechanical Contribution Margins (Q1'06, applied to Apr'04 Fcst)_Mechanical Contribution Margins forecast 0506 FP_PL Fcst Jul 06-updated G&amp;A Value_Copy of Tom OS ( Oct) new for LOG_2009 xBOX ramp up budget code applicaiton 300K --New May26 (3)" xfId="13415"/>
    <cellStyle name="_Mechanical Contribution Margins (Q1'06, applied to Apr'04 Fcst)_Mechanical Contribution Margins forecast 0506 FP_PL Fcst Jul 06-updated G&amp;A Value_Copy of Tom OS ( Oct) new for LOG_2009 xBOX ramp up budget code applicaiton 300K --New May27" xfId="13416"/>
    <cellStyle name="_Mechanical Contribution Margins (Q1'06, applied to Apr'04 Fcst)_Mechanical Contribution Margins forecast 0506 FP_PL Fcst Jul 06-updated G&amp;A Value_Copy of Tom OS ( Oct) new for LOG_Forecast Template v4" xfId="13417"/>
    <cellStyle name="_Mechanical Contribution Margins (Q1'06, applied to Apr'04 Fcst)_Mechanical Contribution Margins forecast 0506 FP_PL Fcst Jul 06-updated G&amp;A Value_Copy of Tom OS ( Oct) new for LOG_X-BOX Console line setup budget 20080414" xfId="13418"/>
    <cellStyle name="好_River EE BOM_Xl0000000_Leopard RFQ ME BOM Costs-0618-2_Bolt RFQ_Foxlink_03.1 2011_nego meeting@MACH 2 2" xfId="13419"/>
    <cellStyle name="_PL FORECAST OF SEP,06_X-BOX Console line setup budget and Buyer list" xfId="13420"/>
    <cellStyle name="好_Creek EE BOM cost_20090425_Leopard RFQ ME BOM Costs-0618-2_Bolt RFQ_Foxlink_03.1 2011" xfId="13421"/>
    <cellStyle name="_Mechanical Contribution Margins (Q1'06, applied to Apr'04 Fcst)_Mechanical Contribution Margins forecast 0506 FP_PL Fcst Jul 06-updated G&amp;A Value_Copy of Tom OS ( Oct) new for LOG_X-BOX Console line setup budget and Buyer list" xfId="13422"/>
    <cellStyle name="差_Creak Pearl Reliability Fixture RFQ_2009 04 24_Pearl RFQ(Submittal)ver2_05_12_2009 _Squirrel UniBom-06.23.2010_update_internal_Bolt RFQ_Foxlink_03.1 2011_nego meeting@MACH 2 2" xfId="13423"/>
    <cellStyle name="好_River EE BOM_Creak Pearl Reliability Fixture RFQ_2009 04 24_Xl0000002_Leopard_UniBOM_ME_0531_Bolt RFQ_Foxlink_03.1 2011 2 3" xfId="13424"/>
    <cellStyle name="_Mechanical Contribution Margins (Q1'06, applied to Apr'04 Fcst)_Mechanical Contribution Margins forecast 0506 FP_PL Fcst Jul 06-updated G&amp;A Value_Copy of X-BOX for line setup budget" xfId="13425"/>
    <cellStyle name="_Mechanical Contribution Margins (Q1'06, applied to Apr'04 Fcst)_Mechanical Contribution Margins forecast 0506 FP_PL Fcst Jul 06-updated G&amp;A Value_Internal Hourly Rate Q1 FY08 Version (2)" xfId="13426"/>
    <cellStyle name="差_Creak Pearl Reliability Fixture RFQ_2009 04 24_Xl0000002 2" xfId="13427"/>
    <cellStyle name="好_River EE BOM_Creak Pearl Reliability Fixture RFQ_2009 04 24_Pearl RFQ(Submittal)ver2_05_12_2009 _Leopard_UniBOM_ME_0602 2 3" xfId="13428"/>
    <cellStyle name="9_Revised AP DPO Oct 04 v2_PL Forecast by segment-most final 0806_Copy of Tom OS ( Oct) new for LOG_X-BOX BB" xfId="13429"/>
    <cellStyle name="_Mechanical Contribution Margins (Q1'06, applied to Apr'04 Fcst)_Mechanical Contribution Margins forecast 0506 FP_PL Fcst Jul 06-updated G&amp;A Value_Internal Hourly Rate Q1 FY08 Version 06052007 Draft" xfId="13430"/>
    <cellStyle name="comma (0) 3" xfId="13431"/>
    <cellStyle name="_Mechanical Contribution Margins (Q1'06, applied to Apr'04 Fcst)_Mechanical Contribution Margins forecast 0506 FP_PL Fcst Jul 06-updated G&amp;A Value_Internal Hourly Rate Q1 FY08 Version 06052007 Draft_Internal Hourly Rate Q1 FY08 Version (2)" xfId="13432"/>
    <cellStyle name="_Mechanical Contribution Margins (Q1'06, applied to Apr'04 Fcst)_Mechanical Contribution Margins forecast 0506 FP_PL Fcst Jul 06-updated G&amp;A Value_Internal Hourly Rate Q1 FY08 Version 06142007 excl. Corporate Allocation" xfId="13433"/>
    <cellStyle name="好_River EE BOM_Creak Pearl Reliability Fixture RFQ_2009 04 24_Leopard RFQ ME BOM Costs-0618_Bolt RFQ_Foxlink_03.1 2011_nego meeting@MACH 3 3" xfId="13434"/>
    <cellStyle name="_Mechanical Contribution Margins (Q1'06, applied to Apr'04 Fcst)_Mechanical Contribution Margins forecast 0506 FP_PL Fcst Jul 06-updated G&amp;A Value_Tom OS ( Oct)" xfId="13435"/>
    <cellStyle name="差_HP Mouse 產能評估(上系統)_MS Bolt wireless mouse FixtureEquipment Cost_A5_2010_02_21 5" xfId="13436"/>
    <cellStyle name="_Mechanical Contribution Margins (Q1'06, applied to Apr'04 Fcst)_Mechanical Contribution Margins forecast 0506 FP_PL Fcst Jul 06-updated G&amp;A Value_Tom OS ( Oct)_2009 xBOX ramp up budget code applicaiton" xfId="13437"/>
    <cellStyle name="差_MB9月管審誤判超標 8D_HP 3 2 3" xfId="13438"/>
    <cellStyle name="_Mechanical Contribution Margins (Q1'06, applied to Apr'04 Fcst)_Mechanical Contribution Margins forecast 0506 FP_PL Fcst Jul 06-updated G&amp;A Value_Tom OS ( Oct)_2009 xBOX ramp up budget code applicaiton 300K --New May26 (3)" xfId="13439"/>
    <cellStyle name="_Mechanical Contribution Margins (Q1'06, applied to Apr'04 Fcst)_Mechanical Contribution Margins forecast 0506 FP_PL Fcst Jul 06-updated G&amp;A Value_Tom OS ( Oct)_2009 xBOX ramp up budget code applicaiton 300K --New May27" xfId="13440"/>
    <cellStyle name="好_River EE BOM_Xl0000002_Foxlink_Shadow RFQ NREUni BOM_12032009_Bolt RFQ_Foxlink_03.1 2011_nego meeting@MACH 3" xfId="13441"/>
    <cellStyle name="好_River EE BOM_Xl0000002_Leopard RFQ ME BOM Costs-0618_Bolt RFQ Proposal_Foxlink_ (Pricing Summary) 2 25 2011 5" xfId="13442"/>
    <cellStyle name="_Mechanical Contribution Margins (Q1'06, applied to Apr'04 Fcst)_Mechanical Contribution Margins forecast 0506 FP_Volume Fcst 1006 updated_Tom OS ( Oct)_Copy of X-BOX for line setup budget" xfId="13443"/>
    <cellStyle name="_Mechanical Contribution Margins (Q1'06, applied to Apr'04 Fcst)_Mechanical Contribution Margins forecast 0506 FP_PL Fcst Jul 06-updated G&amp;A Value_Tom OS ( Oct)_Budget GC Other Form" xfId="13444"/>
    <cellStyle name="_Mechanical Contribution Margins (Q1'06, applied to Apr'04 Fcst)_Mechanical Contribution Margins forecast 0506 FP_PL Fcst Jul 06-updated G&amp;A Value_Tom OS ( Oct)_Copy of X-BOX for line setup budget" xfId="13445"/>
    <cellStyle name="好_River EE BOM_Creak Pearl Reliability Fixture RFQ_2009 04 24_Creek RFQ feedback 04_28_2009_FD Update_Leopard_UniBOM_ME_0531_Bolt RFQ_Foxlink_03.1 2011_nego meeting@MACH 3 3" xfId="13446"/>
    <cellStyle name="_Mechanical Contribution Margins (Q1'06, applied to Apr'04 Fcst)_Mechanical Contribution Margins forecast 0506 FP_PL Fcst Jul 06-updated G&amp;A Value_Tom OS ( Oct)_X-BOX BB" xfId="13447"/>
    <cellStyle name="_Mechanical Contribution Margins (Q1'06, applied to Apr'04 Fcst)_Mechanical Contribution Margins forecast 0506 FP_PL Fcst Jul 06-updated G&amp;A Value_X-BOX Console line setup budget 20080414" xfId="13448"/>
    <cellStyle name="好_Creek EE BOM cost_20090425_Leopard Lemur Squirrel UniBom-06.22.2010_EE cost _update_internal 2 3" xfId="13449"/>
    <cellStyle name="_Mechanical Contribution Margins (Q1'06, applied to Apr'04 Fcst)_Mechanical Contribution Margins forecast 0506 FP_PL Fcst Jul 06-updated G&amp;A Value_X-BOX Console line setup budget and Buyer list" xfId="13450"/>
    <cellStyle name="9_FA for Production Line in 11.2006_Budget GC Other Form" xfId="13451"/>
    <cellStyle name="_Mechanical Contribution Margins (Q1'06, applied to Apr'04 Fcst)_Mechanical Contribution Margins forecast 0506 FP_PL Forecast by segment-most final 0806" xfId="13452"/>
    <cellStyle name="_Mechanical Contribution Margins (Q1'06, applied to Apr'04 Fcst)_Mechanical Contribution Margins forecast 0506 FP_PL Forecast by segment-most final 0806_2009 xBOX ramp up budget code applicaiton" xfId="13453"/>
    <cellStyle name="_Mechanical Contribution Margins (Q1'06, applied to Apr'04 Fcst)_Mechanical Contribution Margins forecast 0506 FP_PL Forecast by segment-most final 0806_2009 xBOX ramp up budget code applicaiton 300K --New May26 (3)" xfId="13454"/>
    <cellStyle name="_Mechanical Contribution Margins (Q1'06, applied to Apr'04 Fcst)_Mechanical Contribution Margins forecast 0506 FP_PL Forecast by segment-most final 0806_2009 xBOX ramp up budget code applicaiton 300K --New May27" xfId="13455"/>
    <cellStyle name="差_dallas產能評估_flow chart 2009.12.12_Flow chart and Fixture(1-4)_Jackson 效益分析 (2-1 B0 上系統)_Leopard效益分析08-17" xfId="13456"/>
    <cellStyle name="差_Creak Pearl Reliability Fixture RFQ_2009 04 24_Creek  Pearl RFQ_May 12_Leopard_UniBOM_ME_0531_Bolt RFQ_Foxlink_03.1 2011_nego meeting@MACH 2" xfId="13457"/>
    <cellStyle name="_Mechanical Contribution Margins (Q1'06, applied to Apr'04 Fcst)_Mechanical Contribution Margins forecast 0506 FP_PL Forecast by segment-most final 0806_Budget GC Other Form" xfId="13458"/>
    <cellStyle name="_Mechanical Contribution Margins (Q1'06, applied to Apr'04 Fcst)_Mechanical Contribution Margins forecast 0506 FP_PL Forecast by segment-most final 0806_Copy of Tom OS ( Oct) new for LOG" xfId="13459"/>
    <cellStyle name="好_Creek EE BOM cost_20090425_Creek RFQ feedback 04_28_2009_FD Update_Leopard RFQ ME BOM Costs-0618-2_Bolt RFQ_Foxlink_03.1 2011_nego meeting@MACH 2 3" xfId="13460"/>
    <cellStyle name="好_效益分析&amp;產能評估_M1 Bolt wireless mouse FixtureEquipment Cost_A2_2010_12_07 4" xfId="13461"/>
    <cellStyle name="_Mechanical Contribution Margins (Q1'06, applied to Apr'04 Fcst)_Mechanical Contribution Margins forecast 0506 FP_PL Forecast by segment-most final 0806_Copy of Tom OS ( Oct) new for LOG_2009 xBOX ramp up budget code applicaiton" xfId="13462"/>
    <cellStyle name="_Mechanical Contribution Margins (Q1'06, applied to Apr'04 Fcst)_Mechanical Contribution Margins forecast 0506 FP_PL Forecast by segment-most final 0806_Copy of Tom OS ( Oct) new for LOG_2009 xBOX ramp up budget code applicaiton 300K --New May26 (3)" xfId="13463"/>
    <cellStyle name="_Mechanical Contribution Margins (Q1'06, applied to Apr'04 Fcst)_Mechanical Contribution Margins forecast 0506 FP_PL Forecast by segment-most final 0806_Copy of Tom OS ( Oct) new for LOG_2009 xBOX ramp up budget code applicaiton 300K --New May27" xfId="13464"/>
    <cellStyle name="差_Creak Pearl Reliability Fixture RFQ_2009 04 24_Creek RFQ feedback 04_28_2009_FD Update_Squirrel RFQ ME BOM Costs-0623 3" xfId="13465"/>
    <cellStyle name="_Mechanical Contribution Margins (Q1'06, applied to Apr'04 Fcst)_Mechanical Contribution Margins forecast 0506 FP_PL Forecast by segment-most final 0806_Copy of Tom OS ( Oct) new for LOG_Copy of X-BOX for line setup budget" xfId="13466"/>
    <cellStyle name="_Mechanical Contribution Margins (Q1'06, applied to Apr'04 Fcst)_Mechanical Contribution Margins forecast 0506 FP_PL Forecast by segment-most final 0806_Copy of Tom OS ( Oct) new for LOG_X-BOX Console line setup budget 20080414" xfId="13467"/>
    <cellStyle name="_Mechanical Contribution Margins (Q1'06, applied to Apr'04 Fcst)_Mechanical Contribution Margins forecast 0506 FP_PL Forecast by segment-most final 0806_Copy of Tom OS ( Oct) new for LOG_X-BOX Console line setup budget and Buyer list" xfId="13468"/>
    <cellStyle name="好_Erie 效益分析 (Update)_Jackson 效益分析 (2-1 B0 上系統)" xfId="13469"/>
    <cellStyle name="_Mechanical Contribution Margins (Q1'06, applied to Apr'04 Fcst)_Mechanical Contribution Margins forecast 0506 FP_PL Forecast by segment-most final 0806_Copy of X-BOX for line setup budget" xfId="13470"/>
    <cellStyle name="_Mechanical Contribution Margins (Q1'06, applied to Apr'04 Fcst)_Mechanical Contribution Margins forecast 0506 FP_PL Forecast by segment-most final 0806_Forecast Template v4" xfId="13471"/>
    <cellStyle name="_Mechanical Contribution Margins (Q1'06, applied to Apr'04 Fcst)_Mechanical Contribution Margins forecast 0506 FP_PL Forecast by segment-most final 0806_Tom OS ( Oct)" xfId="13472"/>
    <cellStyle name="好_River EE BOM_Xl0000000_Leopard_UniBOM_ME_0602 2 2 2" xfId="13473"/>
    <cellStyle name="_Mechanical Contribution Margins (Q1'06, applied to Apr'04 Fcst)_Mechanical Contribution Margins forecast 0506 FP_PL Forecast by segment-most final 0806_Tom OS ( Oct)_2009 xBOX ramp up budget code applicaiton" xfId="13474"/>
    <cellStyle name="_Mechanical Contribution Margins (Q1'06, applied to Apr'04 Fcst)_Mechanical Contribution Margins forecast 0506 FP_PL Forecast by segment-most final 0806_Tom OS ( Oct)_2009 xBOX ramp up budget code applicaiton 300K --New May26 (3)" xfId="13475"/>
    <cellStyle name="_Mechanical Contribution Margins (Q1'06, applied to Apr'04 Fcst)_Mechanical Contribution Margins forecast 0506 FP_Volume Fcst 1006 updated_Copy of Tom OS ( Oct) new for LOG" xfId="13476"/>
    <cellStyle name="_Mechanical Contribution Margins (Q1'06, applied to Apr'04 Fcst)_Mechanical Contribution Margins forecast 0506 FP_PL Forecast by segment-most final 0806_Tom OS ( Oct)_2009 xBOX ramp up budget code applicaiton 300K --New May27" xfId="13477"/>
    <cellStyle name="Normal 5 28" xfId="13478"/>
    <cellStyle name="Normal 5 33" xfId="13479"/>
    <cellStyle name="_Mechanical Contribution Margins (Q1'06, applied to Apr'04 Fcst)_Mechanical Contribution Margins forecast 0506 FP_PL Forecast by segment-most final 0806_Tom OS ( Oct)_Budget GC Other Form" xfId="13480"/>
    <cellStyle name="9_Revised AP DPO Oct 04 v2_Volume Fcst 1006 updated_Copy of Tom OS ( Oct) new for LOG_Forecast Template v4" xfId="13481"/>
    <cellStyle name="_Mechanical Contribution Margins (Q1'06, applied to Apr'04 Fcst)_Mechanical Contribution Margins forecast 0506 FP_PL Forecast by segment-most final 0806_Tom OS ( Oct)_Copy of X-BOX for line setup budget" xfId="13482"/>
    <cellStyle name="差_Creak Pearl Reliability Fixture RFQ_2009 04 24_Xl0000002 4" xfId="13483"/>
    <cellStyle name="_Mechanical Contribution Margins (Q1'06, applied to Apr'04 Fcst)_Mechanical Contribution Margins forecast 0506 FP_PL Forecast by segment-most final 0806_Tom OS ( Oct)_Forecast Template v4" xfId="13484"/>
    <cellStyle name="好_River EE BOM_Creek RFQ feedback 04_28_2009_FD Update_Leopard_UniBOM_ME_0603-2_Bolt RFQ_Foxlink_03.1 2011_nego meeting@MACH 3" xfId="13485"/>
    <cellStyle name="_Mechanical Contribution Margins (Q1'06, applied to Apr'04 Fcst)_Mechanical Contribution Margins forecast 0506 FP_PL Forecast by segment-most final 0806_Tom OS ( Oct)_X-BOX BB" xfId="13486"/>
    <cellStyle name="_Mechanical Contribution Margins (Q1'06, applied to Apr'04 Fcst)_Mechanical Contribution Margins forecast 0506 FP_PL Forecast by segment-most final 0806_X-BOX BB" xfId="13487"/>
    <cellStyle name="好_River EE BOM_Xl0000002_Leopard RFQ ME BOM Costs-0618 3 2" xfId="13488"/>
    <cellStyle name="好_River EE BOM_Creak Pearl Reliability Fixture RFQ_2009 04 24_Leopard RFQ ME BOM Costs-0618-2_Bolt RFQ_Foxlink_03.1 2011 2 2" xfId="13489"/>
    <cellStyle name="Normal 2 4 2" xfId="13490"/>
    <cellStyle name="_Mechanical Contribution Margins (Q1'06, applied to Apr'04 Fcst)_Mechanical Contribution Margins forecast 0506 FP_PL Forecast by segment-most final 0806_X-BOX Console line setup budget 20080414" xfId="13491"/>
    <cellStyle name="_Nov Freight analysis value_FY06 Xenon Console Other Mfg Costs Forecast - january v1" xfId="13492"/>
    <cellStyle name="_Mechanical Contribution Margins (Q1'06, applied to Apr'04 Fcst)_Mechanical Contribution Margins forecast 0506 FP_PL Forecast by segment-most final 0806_X-BOX Console line setup budget and Buyer list" xfId="13493"/>
    <cellStyle name="Note 8 2 2" xfId="13494"/>
    <cellStyle name="好_Creek EE BOM cost_20090425_Creek RFQ feedback 04_28_2009_FD Update_Leopard_UniBOM_ME_0531_Bolt RFQ Proposal_Foxlink_ (Pricing Summary) 2 25 2011 4 2" xfId="13495"/>
    <cellStyle name="_Mechanical Contribution Margins (Q1'06, applied to Apr'04 Fcst)_Mechanical Contribution Margins forecast 0506 FP_Tom OS ( Oct)" xfId="13496"/>
    <cellStyle name="_Mechanical Contribution Margins (Q1'06, applied to Apr'04 Fcst)_Mechanical Contribution Margins forecast 0506 FP_Tom OS ( Oct)_2009 xBOX ramp up budget code applicaiton 300K --New May26 (3)" xfId="13497"/>
    <cellStyle name="_Mulan Edge Procurement Plan July 12 P1A_Mulan Edge EP0 KRH CTB wk28_2_Nazca copy exact flow chart 2012313" xfId="13498"/>
    <cellStyle name="_Mechanical Contribution Margins (Q1'06, applied to Apr'04 Fcst)_Mechanical Contribution Margins forecast 0506 FP_Tom OS ( Oct)_Budget GC Other Form" xfId="13499"/>
    <cellStyle name="_Mechanical Contribution Margins (Q2'06) 0705_PL Fcst Jul 06-updated G&amp;A Value_Copy of Tom OS ( Oct) new for LOG_Copy of X-BOX for line setup budget" xfId="13500"/>
    <cellStyle name="_Mechanical Contribution Margins (Q1'06, applied to Apr'04 Fcst)_Mechanical Contribution Margins forecast 0506 FP_Tom OS ( Oct)_Copy of X-BOX for line setup budget" xfId="13501"/>
    <cellStyle name="差_jupite r設備&amp;治工具LIST (總)_pq_~5631336_Jackson 效益分析 (2-1 B0 上系統)" xfId="13502"/>
    <cellStyle name="差_F3   SMT設備明細_效益分析_flow chart 2009.12.12_Flow chart and Fixture(1-4)_Jackson 效益分析 (2-1 B0 上系統)" xfId="13503"/>
    <cellStyle name="Title 4" xfId="13504"/>
    <cellStyle name="_Mechanical Contribution Margins (Q1'06, applied to Apr'04 Fcst)_Mechanical Contribution Margins forecast 0506 FP_Tom OS ( Oct)_Forecast Template v4" xfId="13505"/>
    <cellStyle name="_Mechanical Contribution Margins (Q1'06, applied to Apr'04 Fcst)_Mechanical Contribution Margins forecast 0506 FP_Tom OS ( Oct)_X-BOX BB" xfId="13506"/>
    <cellStyle name="20% - Accent1 3 3 2" xfId="13507"/>
    <cellStyle name="_Mechanical Contribution Margins (Q1'06, applied to Apr'04 Fcst)_Mechanical Contribution Margins forecast 0506 FP_Tom OS ( Oct)_X-BOX Console line setup budget 20080414" xfId="13508"/>
    <cellStyle name="好_River EE BOM_Creak Pearl Reliability Fixture RFQ_2009 04 24_Foxlink_Shadow RFQ NREUni BOM_12032009_Bolt RFQ_Foxlink_03.1 2011_nego meeting@MACH 2 2" xfId="13509"/>
    <cellStyle name="Normal 4 4 2 5" xfId="13510"/>
    <cellStyle name="_Mechanical Contribution Margins (Q1'06, applied to Apr'04 Fcst)_Mechanical Contribution Margins forecast 0506 FP_Tom OS ( Oct)_X-BOX Console line setup budget and Buyer list" xfId="13511"/>
    <cellStyle name="_Mechanical Contribution Margins (Q1'06, applied to Apr'04 Fcst)_Mechanical Contribution Margins forecast 0506 FP_Volume Fcst 1006 updated_2009 xBOX ramp up budget code applicaiton" xfId="13512"/>
    <cellStyle name="_Mechanical Contribution Margins (Q1'06, applied to Apr'04 Fcst)_Mechanical Contribution Margins forecast 0506 FP_Volume Fcst 1006 updated_2009 xBOX ramp up budget code applicaiton 300K --New May26 (3)" xfId="13513"/>
    <cellStyle name="好_River EE BOM_Creak Pearl Reliability Fixture RFQ_2009 04 24_Xl0000002 3" xfId="13514"/>
    <cellStyle name="Linked Cell 4" xfId="13515"/>
    <cellStyle name="_Mechanical Contribution Margins (Q1'06, applied to Apr'04 Fcst)_Mechanical Contribution Margins forecast 0506 FP_Volume Fcst 1006 updated_2009 xBOX ramp up budget code applicaiton 300K --New May27" xfId="13516"/>
    <cellStyle name="_Mechanical Contribution Margins (Q1'06, applied to Apr'04 Fcst)_Mechanical Contribution Margins forecast 0506 FP_Volume Fcst 1006 updated_Budget GC Other Form" xfId="13517"/>
    <cellStyle name="_Mechanical Contribution Margins (Q1'06, applied to Apr'04 Fcst)_Mechanical Contribution Margins forecast 0506 FP_Volume Fcst 1006 updated_Copy of Tom OS ( Oct) new for LOG_2009 xBOX ramp up budget code applicaiton" xfId="13518"/>
    <cellStyle name="差_Creek RFQ feedback 04_28_2009_FD Update_Leopard_UniBOM_ME_0603-2_Bolt RFQ_Foxlink_03.1 2011_nego meeting@MACH 4" xfId="13519"/>
    <cellStyle name="差_Creak Pearl Reliability Fixture RFQ_2009 04 24_Creek  Pearl RFQ_May 12_Foxlink_Shadow RFQ NREUni BOM_12032009_Bolt RFQ Proposal_Foxlink_ (Pricing Summary) 2 25 2011 5 3" xfId="13520"/>
    <cellStyle name="_Mechanical Contribution Margins (Q1'06, applied to Apr'04 Fcst)_Mechanical Contribution Margins forecast 0506 FP_Volume Fcst 1006 updated_Copy of Tom OS ( Oct) new for LOG_2009 xBOX ramp up budget code applicaiton 300K --New May26 (3)" xfId="13521"/>
    <cellStyle name="_PL Forecast Comparison_Mech Doumen2006_1(preliminary)_Volume Fcst Jul 06-update HP _Copy of Tom OS ( Oct) new for LOG_X-BOX Console line setup budget 20080414" xfId="13522"/>
    <cellStyle name="_Mechanical Contribution Margins (Q1'06, applied to Apr'04 Fcst)_Mechanical Contribution Margins forecast 0506 FP_Volume Fcst 1006 updated_Copy of Tom OS ( Oct) new for LOG_Budget GC Other Form" xfId="13523"/>
    <cellStyle name="_Mechanical Contribution Margins (Q1'06, applied to Apr'04 Fcst)_Mechanical Contribution Margins forecast 0506 FP_Volume Fcst 1006 updated_Copy of Tom OS ( Oct) new for LOG_Forecast Template v4" xfId="13524"/>
    <cellStyle name="_Mechanical Contribution Margins (Q1'06, applied to Apr'04 Fcst)_Mechanical Contribution Margins forecast 0506 FP_Volume Fcst 1006 updated_Copy of Tom OS ( Oct) new for LOG_X-BOX BB" xfId="13525"/>
    <cellStyle name="_Second Source成效1" xfId="13526"/>
    <cellStyle name="_Mechanical Contribution Margins (Q1'06, applied to Apr'04 Fcst)_Mechanical Contribution Margins forecast 0506 FP_Volume Fcst 1006 updated_Copy of Tom OS ( Oct) new for LOG_X-BOX Console line setup budget 20080414" xfId="13527"/>
    <cellStyle name="一般 17" xfId="13528"/>
    <cellStyle name="_Mechanical Contribution Margins (Q1'06, applied to Apr'04 Fcst)_Mechanical Contribution Margins forecast 0506 FP_Volume Fcst 1006 updated_Copy of Tom OS ( Oct) new for LOG_X-BOX Console line setup budget and Buyer list" xfId="13529"/>
    <cellStyle name="_Mechanical Contribution Margins (Q1'06, applied to Apr'04 Fcst)_Mechanical Contribution Margins forecast 0506 FP_Volume Fcst 1006 updated_Copy of X-BOX for line setup budget" xfId="13530"/>
    <cellStyle name="好_River EE BOM_Xl0000000_Leopard UniBom_Foxlink_6 21 2010-ME_nego_Bolt RFQ Proposal_Foxlink_ (Pricing Summary) 2 25 2011 2 2 2" xfId="13531"/>
    <cellStyle name="_Mechanical Contribution Margins (Q1'06, applied to Apr'04 Fcst)_Mechanical Contribution Margins forecast 0506 FP_Volume Fcst 1006 updated_Forecast Template v4" xfId="13532"/>
    <cellStyle name="_Mechanical Contribution Margins (Q1'06, applied to Apr'04 Fcst)_Mechanical Contribution Margins forecast 0506 FP_Volume Fcst 1006 updated_Tom OS ( Oct)" xfId="13533"/>
    <cellStyle name="_Mechanical Contribution Margins (Q1'06, applied to Apr'04 Fcst)_Mechanical Contribution Margins forecast 0506 FP_Volume Fcst 1006 updated_Tom OS ( Oct)_2009 xBOX ramp up budget code applicaiton" xfId="13534"/>
    <cellStyle name="_Mechanical Contribution Margins (Q1'06, applied to Apr'04 Fcst)_Mechanical Contribution Margins forecast 0506 FP_Volume Fcst 1006 updated_Tom OS ( Oct)_2009 xBOX ramp up budget code applicaiton 300K --New May26 (3)" xfId="13535"/>
    <cellStyle name="_Mechanical Contribution Margins (Q1'06, applied to Apr'04 Fcst)_Mechanical Contribution Margins forecast 0506 FP_Volume Fcst 1006 updated_Tom OS ( Oct)_2009 xBOX ramp up budget code applicaiton 300K --New May27" xfId="13536"/>
    <cellStyle name="_Mechanical Contribution Margins (Q1'06, applied to Apr'04 Fcst)_Mechanical Contribution Margins forecast 0506 FP_Volume Fcst 1006 updated_Tom OS ( Oct)_Budget GC Other Form" xfId="13537"/>
    <cellStyle name="差_治具工程課2009年KPI 3 2" xfId="13538"/>
    <cellStyle name="_Mechanical Contribution Margins (Q1'06, applied to Apr'04 Fcst)_Mechanical Contribution Margins forecast 0506 FP_Volume Fcst 1006 updated_Tom OS ( Oct)_Forecast Template v4" xfId="13539"/>
    <cellStyle name="_Mechanical Contribution Margins (Q1'06, applied to Apr'04 Fcst)_Mechanical Contribution Margins forecast 0506 FP_Volume Fcst 1006 updated_Tom OS ( Oct)_X-BOX BB" xfId="13540"/>
    <cellStyle name="_Monaco manpower comparison 8-30_Line transition plan to B17 rev 5_Tester Demand Plan 062707" xfId="13541"/>
    <cellStyle name="_Mechanical Contribution Margins (Q1'06, applied to Apr'04 Fcst)_Mechanical Contribution Margins forecast 0506 FP_Volume Fcst 1006 updated_X-BOX BB" xfId="13542"/>
    <cellStyle name="差_Xl0000002_Leopard_UniBOM_ME_0602 3" xfId="13543"/>
    <cellStyle name="_Mechanical Contribution Margins (Q1'06, applied to Apr'04 Fcst)_Mechanical Contribution Margins forecast 0506 FP_Volume Fcst 1006 updated_X-BOX Console line setup budget and Buyer list" xfId="13544"/>
    <cellStyle name="_Mechanical Contribution Margins (Q1'06, applied to Apr'04 Fcst)_Mechanical Contribution Margins forecast 0506 FP_X-BOX BB" xfId="13545"/>
    <cellStyle name="_Mechanical Contribution Margins (Q1'06, applied to Apr'04 Fcst)_PL Fcst Jul 06-updated G&amp;A Value_2009 xBOX ramp up budget code applicaiton" xfId="13546"/>
    <cellStyle name="_Mechanical Contribution Margins (Q1'06, applied to Apr'04 Fcst)_PL Fcst Jul 06-updated G&amp;A Value_2009 xBOX ramp up budget code applicaiton 300K --New May27" xfId="13547"/>
    <cellStyle name="好_River EE BOM_Creak Pearl Reliability Fixture RFQ_2009 04 24_Xl0000002_Leopard UniBom_Foxlink_6 21 2010-ME_nego_Bolt RFQ Proposal_Foxlink_ (Pricing Summary) 2 25 2011 3 3" xfId="13548"/>
    <cellStyle name="好_River EE BOM_Creak Pearl Reliability Fixture RFQ_2009 04 24_Pearl RFQ(Submittal)ver2_05_12_2009 _Leopard_UniBOM_ME_0602-1 3" xfId="13549"/>
    <cellStyle name="40% - Accent2 2 4" xfId="13550"/>
    <cellStyle name="_Mechanical Contribution Margins (Q1'06, applied to Apr'04 Fcst)_PL Fcst Jul 06-updated G&amp;A Value_Budget GC Other Form" xfId="13551"/>
    <cellStyle name="_Mechanical Contribution Margins (Q1'06, applied to Apr'04 Fcst)_PL Fcst Jul 06-updated G&amp;A Value_Copy of Tom OS ( Oct) new for LOG" xfId="13552"/>
    <cellStyle name="差_Creek RFQ feedback 04_28_2009_FD Update_Leopard_UniBOM_ME_0531 3 2" xfId="13553"/>
    <cellStyle name="好_River EE BOM_Creak Pearl Reliability Fixture RFQ_2009 04 24_Xl0000002_Squirrel UniBom-06.23.2010_update_internal" xfId="13554"/>
    <cellStyle name="_Mechanical Contribution Margins (Q1'06, applied to Apr'04 Fcst)_PL Fcst Jul 06-updated G&amp;A Value_Copy of Tom OS ( Oct) new for LOG_2009 xBOX ramp up budget code applicaiton" xfId="13555"/>
    <cellStyle name="_Mechanical Contribution Margins (Q1'06, applied to Apr'04 Fcst)_PL Fcst Jul 06-updated G&amp;A Value_Copy of Tom OS ( Oct) new for LOG_2009 xBOX ramp up budget code applicaiton 300K --New May26 (3)" xfId="13556"/>
    <cellStyle name="_Mechanical Contribution Margins (Q1'06, applied to Apr'04 Fcst)_PL Fcst Jul 06-updated G&amp;A Value_Copy of Tom OS ( Oct) new for LOG_Budget GC Other Form" xfId="13557"/>
    <cellStyle name="标题 8" xfId="13558"/>
    <cellStyle name="好_River EE BOM_Creek RFQ feedback 04_28_2009_FD Update_Leopard UniBom_Foxlink_6 21 2010-ME_nego_Bolt RFQ_Foxlink_03.1 2011_nego meeting@MACH 3" xfId="13559"/>
    <cellStyle name="好_River EE BOM_Creek RFQ feedback 04_28_2009_FD Update_Leopard RFQ ME BOM Costs-0618 2" xfId="13560"/>
    <cellStyle name="好_Creek Assembly Fixture  Test Equipment RFQ_20090427_Leopard_UniBOM_ME_0602-1_Bolt_Cliff 2 2 2" xfId="13561"/>
    <cellStyle name="_Mechanical Contribution Margins (Q1'06, applied to Apr'04 Fcst)_PL Fcst Jul 06-updated G&amp;A Value_Copy of Tom OS ( Oct) new for LOG_Copy of X-BOX for line setup budget" xfId="13562"/>
    <cellStyle name="好_治具工程課2009年KPI_HP 5 2 3" xfId="13563"/>
    <cellStyle name="_Mechanical Contribution Margins (Q1'06, applied to Apr'04 Fcst)_PL Fcst Jul 06-updated G&amp;A Value_Copy of Tom OS ( Oct) new for LOG_X-BOX BB" xfId="13564"/>
    <cellStyle name="_Mechanical Contribution Margins (Q1'06, applied to Apr'04 Fcst)_PL Fcst Jul 06-updated G&amp;A Value_Copy of Tom OS ( Oct) new for LOG_X-BOX Console line setup budget 20080414" xfId="13565"/>
    <cellStyle name="見出し 4" xfId="13566"/>
    <cellStyle name="_Mechanical Contribution Margins (Q1'06, applied to Apr'04 Fcst)_PL Fcst Jul 06-updated G&amp;A Value_Copy of X-BOX for line setup budget" xfId="13567"/>
    <cellStyle name="差_Xl0000000_Leopard RFQ ME BOM Costs-0618-2_Bolt RFQ_Foxlink_03.1 2011_nego meeting@MACH 2" xfId="13568"/>
    <cellStyle name="_Mechanical Contribution Margins (Q1'06, applied to Apr'04 Fcst)_PL Fcst Jul 06-updated G&amp;A Value_Internal Hourly Rate Q1 FY08 Version 06052007 Draft" xfId="13569"/>
    <cellStyle name="_Zune RF Transmitter_RET Plan  Cost_Draft_20070327" xfId="13570"/>
    <cellStyle name="_Mechanical Contribution Margins (Q1'06, applied to Apr'04 Fcst)_PL Fcst Jul 06-updated G&amp;A Value_Tom OS ( Oct)" xfId="13571"/>
    <cellStyle name="_Mechanical Contribution Margins (Q1'06, applied to Apr'04 Fcst)_PL Fcst Jul 06-updated G&amp;A Value_Tom OS ( Oct)_2009 xBOX ramp up budget code applicaiton" xfId="13572"/>
    <cellStyle name="好_River EE BOM_Xl0000000_Leopard_UniBOM_ME_0603-2_Bolt RFQ Proposal_Foxlink_ (Pricing Summary) 2 25 2011 2 4" xfId="13573"/>
    <cellStyle name="_Mechanical Contribution Margins forecast 0506 FP_Internal Hourly Rate Q1 FY08 Version 06142007 excl. Corporate Allocation" xfId="13574"/>
    <cellStyle name="_Mechanical Contribution Margins (Q1'06, applied to Apr'04 Fcst)_PL Fcst Jul 06-updated G&amp;A Value_Tom OS ( Oct)_2009 xBOX ramp up budget code applicaiton 300K --New May26 (3)" xfId="13575"/>
    <cellStyle name="_Monaco PCBA time record" xfId="13576"/>
    <cellStyle name="_Mechanical Contribution Margins (Q1'06, applied to Apr'04 Fcst)_PL Fcst Jul 06-updated G&amp;A Value_Tom OS ( Oct)_2009 xBOX ramp up budget code applicaiton 300K --New May27" xfId="13577"/>
    <cellStyle name="好_Creek EE BOM cost_20090425_Foxlink_Shadow RFQ NREUni BOM_12032009_Bolt RFQ Proposal_Foxlink_ (Pricing Summary) 2 25 2011 2 2 3" xfId="13578"/>
    <cellStyle name="_Mechanical Contribution Margins (Q1'06, applied to Apr'04 Fcst)_PL Fcst Jul 06-updated G&amp;A Value_Tom OS ( Oct)_Copy of X-BOX for line setup budget" xfId="13579"/>
    <cellStyle name="_Mechanical Contribution Margins (Q1'06, applied to Apr'04 Fcst)_PL Fcst Jul 06-updated G&amp;A Value_Tom OS ( Oct)_Forecast Template v4" xfId="13580"/>
    <cellStyle name="差_dallas產能評估_flow chart 2009.12.12_~5631336_Jackson 效益分析 (2-1 B0 上系統)" xfId="13581"/>
    <cellStyle name="_Mechanical Contribution Margins (Q1'06, applied to Apr'04 Fcst)_PL Fcst Jul 06-updated G&amp;A Value_Tom OS ( Oct)_X-BOX BB" xfId="13582"/>
    <cellStyle name="_Mechanical Contribution Margins (Q1'06, applied to Apr'04 Fcst)_PL Fcst Jul 06-updated G&amp;A Value_Tom OS ( Oct)_X-BOX Console line setup budget 20080414" xfId="13583"/>
    <cellStyle name="_Mechanical Contribution Margins (Q1'06, applied to Apr'04 Fcst)_PL Fcst Jul 06-updated G&amp;A Value_Tom OS ( Oct)_X-BOX Console line setup budget and Buyer list" xfId="13584"/>
    <cellStyle name="_Mechanical Contribution Margins (Q1'06, applied to Apr'04 Fcst)_PL Fcst Jul 06-updated G&amp;A Value_X-BOX BB" xfId="13585"/>
    <cellStyle name="_Mechanical Contribution Margins (Q1'06, applied to Apr'04 Fcst)_PL Fcst Jul 06-updated G&amp;A Value_X-BOX Console line setup budget 20080414" xfId="13586"/>
    <cellStyle name="_Mechanical Contribution Margins (Q1'06, applied to Apr'04 Fcst)_PL Forecast by segment-most final 0806" xfId="13587"/>
    <cellStyle name="差_Creek RFQ feedback 04_28_2009_FD Update_Leopard UniBom_Foxlink_6 21 2010-ME_nego_Bolt RFQ_Foxlink_03.1 2011_nego meeting@MACH 2 3" xfId="13588"/>
    <cellStyle name="_Mechanical Contribution Margins (Q1'06, applied to Apr'04 Fcst)_PL Forecast by segment-most final 0806_2009 xBOX ramp up budget code applicaiton" xfId="13589"/>
    <cellStyle name="好_Creek Assembly Fixture  Test Equipment RFQ_20090427_Xl0000002_Squirrel RFQ ME BOM Costs-0623_Bolt RFQ_Foxlink_03.1 2011_nego meeting@MACH 2 3" xfId="13590"/>
    <cellStyle name="_Mechanical Contribution Margins (Q1'06, applied to Apr'04 Fcst)_PL Forecast by segment-most final 0806_2009 xBOX ramp up budget code applicaiton 300K --New May26 (3)" xfId="13591"/>
    <cellStyle name="_Sales Breakdown Analysis 3_PL Fcst Jul 06-updated G&amp;A Value_X-BOX Console line setup budget and Buyer list" xfId="13592"/>
    <cellStyle name="好_River EE BOM_Creak Pearl Reliability Fixture RFQ_2009 04 24_Creek  Pearl RFQ_May 12_Squirrel RFQ ME BOM Costs-0623_Bolt RFQ_Foxlink_03.1 2011 2 2" xfId="13593"/>
    <cellStyle name="_Mechanical Contribution Margins (Q1'06, applied to Apr'04 Fcst)_PL Forecast by segment-most final 0806_2009 xBOX ramp up budget code applicaiton 300K --New May27" xfId="13594"/>
    <cellStyle name="好_River EE BOM_Creak Pearl Reliability Fixture RFQ_2009 04 24_Pearl RFQ(Submittal)ver2_05_12_2009 _Squirrel UniBom-06.23.2010_update_internal_Bolt RFQ Proposal_Foxlink_ (Pricing Summary) 2 25 2011 2 2" xfId="13595"/>
    <cellStyle name="_Mechanical Contribution Margins (Q1'06, applied to Apr'04 Fcst)_PL Forecast by segment-most final 0806_Budget GC Other Form" xfId="13596"/>
    <cellStyle name="_Mechanical Contribution Margins (Q1'06, applied to Apr'04 Fcst)_PL Forecast by segment-most final 0806_Copy of Tom OS ( Oct) new for LOG" xfId="13597"/>
    <cellStyle name="差_Xl0000000_Leopard UniBom_Foxlink_6 21 2010-ME_nego_Bolt RFQ_Foxlink_03.1 2011_nego meeting@MACH 2 3" xfId="13598"/>
    <cellStyle name="_PL Forecast Comparison_Mech Doumen2006_1(preliminary)_2009 xBOX ramp up budget code applicaiton" xfId="13599"/>
    <cellStyle name="_Mechanical Contribution Margins (Q1'06, applied to Apr'04 Fcst)_PL Forecast by segment-most final 0806_Copy of Tom OS ( Oct) new for LOG_2009 xBOX ramp up budget code applicaiton 300K --New May27" xfId="13600"/>
    <cellStyle name="差_F3   SMT設備明細_~5631336" xfId="13601"/>
    <cellStyle name="差_Creek RFQ feedback 04_28_2009_FD Update_Bolt RFQ Proposal_Foxlink_ (Pricing Summary) 2 25 2011 2 2" xfId="13602"/>
    <cellStyle name="_Mechanical Contribution Margins (Q1'06, applied to Apr'04 Fcst)_PL Forecast by segment-most final 0806_Copy of Tom OS ( Oct) new for LOG_Budget GC Other Form" xfId="13603"/>
    <cellStyle name="_Mechanical Contribution Margins (Q1'06, applied to Apr'04 Fcst)_PL Forecast by segment-most final 0806_Copy of Tom OS ( Oct) new for LOG_Copy of X-BOX for line setup budget" xfId="13604"/>
    <cellStyle name="_Mechanical Contribution Margins (Q1'06, applied to Apr'04 Fcst)_PL Forecast by segment-most final 0806_Copy of Tom OS ( Oct) new for LOG_Forecast Template v4" xfId="13605"/>
    <cellStyle name="好_Creek EE BOM cost_20090425_Leopard RFQ ME BOM Costs-0618-2_Bolt RFQ_Foxlink_03.1 2011 3 3" xfId="13606"/>
    <cellStyle name="_各線來出率" xfId="13607"/>
    <cellStyle name="差_jupite r設備&amp;治工具LIST (總)_Dallas效益分析&amp;投資回收期 (12-2 A1)_Flow Chart&amp;設備治工具清單 _Jackson 效益分析 (2-1 B0 上系統)_Leopard Flowchart &amp; 產能評估" xfId="13608"/>
    <cellStyle name="_Mechanical Contribution Margins (Q1'06, applied to Apr'04 Fcst)_PL Forecast by segment-most final 0806_Copy of Tom OS ( Oct) new for LOG_X-BOX BB" xfId="13609"/>
    <cellStyle name="差_F3   SMT設備明細_Jackson 效益分析 testing update_16th Jan1_Jackson 效益分析 (2-1 B0 上系統)_Leopard效益分析08-17" xfId="13610"/>
    <cellStyle name="_Mechanical Contribution Margins (Q1'06, applied to Apr'04 Fcst)_PL Forecast by segment-most final 0806_Copy of Tom OS ( Oct) new for LOG_X-BOX Console line setup budget 20080414" xfId="13611"/>
    <cellStyle name="_Mechanical Contribution Margins (Q1'06, applied to Apr'04 Fcst)_PL Forecast by segment-most final 0806_Copy of Tom OS ( Oct) new for LOG_X-BOX Console line setup budget and Buyer list" xfId="13612"/>
    <cellStyle name="差_Xl0000002_Leopard Lemur Squirrel UniBom-06.22.2010_EE cost _update_internal_Bolt RFQ_Foxlink_03.1 2011" xfId="13613"/>
    <cellStyle name="_Mechanical Contribution Margins (Q1'06, applied to Apr'04 Fcst)_PL Forecast by segment-most final 0806_Copy of X-BOX for line setup budget" xfId="13614"/>
    <cellStyle name="Normal 4 4 2 2" xfId="13615"/>
    <cellStyle name="_Quote Format - sample Rev 7" xfId="13616"/>
    <cellStyle name="_Mechanical Contribution Margins (Q1'06, applied to Apr'04 Fcst)_PL Forecast by segment-most final 0806_Forecast Template v4" xfId="13617"/>
    <cellStyle name="_Mechanical Contribution Margins (Q1'06, applied to Apr'04 Fcst)_PL Forecast by segment-most final 0806_Tom OS ( Oct)" xfId="13618"/>
    <cellStyle name="_Mechanical Contribution Margins (Q1'06, applied to Apr'04 Fcst)_PL Forecast by segment-most final 0806_Tom OS ( Oct)_2009 xBOX ramp up budget code applicaiton" xfId="13619"/>
    <cellStyle name="_Mechanical Contribution Margins (Q1'06, applied to Apr'04 Fcst)_PL Forecast by segment-most final 0806_Tom OS ( Oct)_2009 xBOX ramp up budget code applicaiton 300K --New May26 (3)" xfId="13620"/>
    <cellStyle name="好_River EE BOM_Xl0000000_Jackson EE BOM " xfId="13621"/>
    <cellStyle name="_Mechanical Contribution Margins (Q1'06, applied to Apr'04 Fcst)_PL Forecast by segment-most final 0806_Tom OS ( Oct)_Budget GC Other Form" xfId="13622"/>
    <cellStyle name="_Mechanical Contribution Margins (Q1'06, applied to Apr'04 Fcst)_PL Forecast by segment-most final 0806_Tom OS ( Oct)_Forecast Template v4" xfId="13623"/>
    <cellStyle name="_Mechanical Contribution Margins (Q1'06, applied to Apr'04 Fcst)_PL Forecast by segment-most final 0806_Tom OS ( Oct)_X-BOX BB" xfId="13624"/>
    <cellStyle name="_Mechanical Contribution Margins (Q1'06, applied to Apr'04 Fcst)_PL Forecast by segment-most final 0806_Tom OS ( Oct)_X-BOX Console line setup budget 20080414" xfId="13625"/>
    <cellStyle name="_Mechanical Contribution Margins (Q1'06, applied to Apr'04 Fcst)_PL Forecast by segment-most final 0806_Tom OS ( Oct)_X-BOX Console line setup budget and Buyer list" xfId="13626"/>
    <cellStyle name="_Mechanical Contribution Margins (Q1'06, applied to Apr'04 Fcst)_PL Forecast by segment-most final 0806_X-BOX BB" xfId="13627"/>
    <cellStyle name="好_Creek Assembly Fixture  Test Equipment RFQ_20090427_Leopard RFQ ME BOM Costs-0618-2_Bolt RFQ_Foxlink_03.1 2011_Bolt_Cliff 5 2" xfId="13628"/>
    <cellStyle name="_Xbox 360 Consoles 101705" xfId="13629"/>
    <cellStyle name="_Mechanical Contribution Margins (Q1'06, applied to Apr'04 Fcst)_Tom OS ( Oct)" xfId="13630"/>
    <cellStyle name="_Mechanical Contribution Margins (Q1'06, applied to Apr'04 Fcst)_Tom OS ( Oct)_2009 xBOX ramp up budget code applicaiton" xfId="13631"/>
    <cellStyle name="_Mechanical Contribution Margins (Q1'06, applied to Apr'04 Fcst)_Tom OS ( Oct)_2009 xBOX ramp up budget code applicaiton 300K --New May26 (3)" xfId="13632"/>
    <cellStyle name="好_Creek EE BOM cost_20090425_Creek RFQ feedback 04_28_2009_FD Update_Leopard_UniBOM_ME_0531 2 2 3" xfId="13633"/>
    <cellStyle name="差_Creak Pearl Reliability Fixture RFQ_2009 04 24_Creek RFQ feedback 04_28_2009_FD Update_Leopard_UniBOM_ME_0602_Bolt RFQ Proposal_Foxlink_ (Pricing Summary) 2 25 2011 2 3" xfId="13634"/>
    <cellStyle name="_Mechanical Contribution Margins (Q1'06, applied to Apr'04 Fcst)_Tom OS ( Oct)_2009 xBOX ramp up budget code applicaiton 300K --New May27" xfId="13635"/>
    <cellStyle name="_Mechanical Contribution Margins (Q1'06, applied to Apr'04 Fcst)_Tom OS ( Oct)_Budget GC Other Form" xfId="13636"/>
    <cellStyle name="_Mechanical Contribution Margins (Q1'06, applied to Apr'04 Fcst)_Tom OS ( Oct)_Copy of X-BOX for line setup budget" xfId="13637"/>
    <cellStyle name="差_Creak Pearl Reliability Fixture RFQ_2009 04 24_Squirrel UniBom-06.23.2010_update_internal_Bolt RFQ_Foxlink_03.1 2011_nego meeting@MACH 2 3" xfId="13638"/>
    <cellStyle name="_Mechanical Contribution Margins (Q1'06, applied to Apr'04 Fcst)_Tom OS ( Oct)_Forecast Template v4" xfId="13639"/>
    <cellStyle name="差_Jackson 效益分析 (2-1 B0 上系統)_Leopard效益分析08-17" xfId="13640"/>
    <cellStyle name="_Mechanical Contribution Margins (Q1'06, applied to Apr'04 Fcst)_Tom OS ( Oct)_X-BOX BB" xfId="13641"/>
    <cellStyle name="好_Creek Assembly Fixture  Test Equipment RFQ_20090427_Bolt RFQ_Foxlink_03.1 2011_Bolt_Cliff 3 3" xfId="13642"/>
    <cellStyle name="_Z9i_Quotebook_(Worksheet)_V4 2" xfId="13643"/>
    <cellStyle name="_Mechanical Contribution Margins (Q1'06, applied to Apr'04 Fcst)_Volume Fcst 1006 updated" xfId="13644"/>
    <cellStyle name="_Mechanical Contribution Margins (Q1'06, applied to Apr'04 Fcst)_Volume Fcst 1006 updated_2009 xBOX ramp up budget code applicaiton" xfId="13645"/>
    <cellStyle name="汇总 2 2 2 5" xfId="13646"/>
    <cellStyle name="_tester demand summary" xfId="13647"/>
    <cellStyle name="_Mechanical Contribution Margins (Q1'06, applied to Apr'04 Fcst)_Volume Fcst 1006 updated_2009 xBOX ramp up budget code applicaiton 300K --New May26 (3)" xfId="13648"/>
    <cellStyle name="_Mechanical Contribution Margins (Q2'06) 0705_Mechanical Contribution Margins forecast 0506 FP_Copy of Tom OS ( Oct) new for LOG_Forecast Template v4" xfId="13649"/>
    <cellStyle name="_Mechanical Contribution Margins (Q1'06, applied to Apr'04 Fcst)_Volume Fcst 1006 updated_2009 xBOX ramp up budget code applicaiton 300K --New May27" xfId="13650"/>
    <cellStyle name="好_River EE BOM_Xl0000000_Squirrel UniBom-06.23.2010_update_internal_Bolt RFQ_Foxlink_03.1 2011_nego meeting@MACH 3 3" xfId="13651"/>
    <cellStyle name="好_Creek EE BOM cost_20090425_Creek RFQ feedback 04_28_2009_FD Update_Leopard_UniBOM_ME_0602-1_Bolt RFQ_Foxlink_03.1 2011 3 2" xfId="13652"/>
    <cellStyle name="_Mechanical Contribution Margins (Q1'06, applied to Apr'04 Fcst)_Volume Fcst 1006 updated_Budget GC Other Form" xfId="13653"/>
    <cellStyle name="_Mechanical Contribution Margins (Q1'06, applied to Apr'04 Fcst)_Volume Fcst 1006 updated_Copy of Tom OS ( Oct) new for LOG" xfId="13654"/>
    <cellStyle name="_Mechanical Contribution Margins (Q1'06, applied to Apr'04 Fcst)_Volume Fcst 1006 updated_Copy of Tom OS ( Oct) new for LOG_2009 xBOX ramp up budget code applicaiton" xfId="13655"/>
    <cellStyle name="_Mechanical Contribution Margins (Q1'06, applied to Apr'04 Fcst)_Volume Fcst 1006 updated_Copy of Tom OS ( Oct) new for LOG_2009 xBOX ramp up budget code applicaiton 300K --New May26 (3)" xfId="13656"/>
    <cellStyle name="_Mechanical Contribution Margins (Q1'06, applied to Apr'04 Fcst)_Volume Fcst 1006 updated_Copy of Tom OS ( Oct) new for LOG_2009 xBOX ramp up budget code applicaiton 300K --New May27" xfId="13657"/>
    <cellStyle name="差_dallas產能評估_Dallas效益分析&amp;投資回收期 (12-2 A1)_Flow Chart&amp;設備治工具清單 _Jackson 效益分析 (2-1 B0 上系統)_squirrel效益分析08-17" xfId="13658"/>
    <cellStyle name="_Mechanical Contribution Margins (Q1'06, applied to Apr'04 Fcst)_Volume Fcst 1006 updated_Copy of Tom OS ( Oct) new for LOG_Budget GC Other Form" xfId="13659"/>
    <cellStyle name="差_F3   SMT設備明細_效益分析_Flow Chart&amp;設備治工具清單 _Jackson 效益分析 (2-1 B0 上系統)" xfId="13660"/>
    <cellStyle name="_Mechanical Contribution Margins (Q1'06, applied to Apr'04 Fcst)_Volume Fcst 1006 updated_Copy of Tom OS ( Oct) new for LOG_Forecast Template v4" xfId="13661"/>
    <cellStyle name="好_Creek Assembly Fixture  Test Equipment RFQ_20090427_Leopard_UniBOM_ME_0602_Bolt RFQ_Foxlink_03.1 2011_Bolt_Cliff 2 3" xfId="13662"/>
    <cellStyle name="计算 4" xfId="13663"/>
    <cellStyle name="_Mechanical Contribution Margins (Q1'06, applied to Apr'04 Fcst)_Volume Fcst 1006 updated_Copy of Tom OS ( Oct) new for LOG_X-BOX Console line setup budget 20080414" xfId="13664"/>
    <cellStyle name="_Mechanical Contribution Margins (Q1'06, applied to Apr'04 Fcst)_Volume Fcst 1006 updated_Copy of Tom OS ( Oct) new for LOG_X-BOX Console line setup budget and Buyer list" xfId="13665"/>
    <cellStyle name="_Mechanical Contribution Margins (Q1'06, applied to Apr'04 Fcst)_Volume Fcst 1006 updated_Copy of X-BOX for line setup budget" xfId="13666"/>
    <cellStyle name="_Mechanical Contribution Margins (Q1'06, applied to Apr'04 Fcst)_Volume Fcst 1006 updated_Forecast Template v4" xfId="13667"/>
    <cellStyle name="_Mechanical Contribution Margins (Q1'06, applied to Apr'04 Fcst)_Volume Fcst 1006 updated_Tom OS ( Oct)" xfId="13668"/>
    <cellStyle name="_Mechanical Contribution Margins (Q1'06, applied to Apr'04 Fcst)_Volume Fcst 1006 updated_Tom OS ( Oct)_2009 xBOX ramp up budget code applicaiton 300K --New May26 (3)" xfId="13669"/>
    <cellStyle name="_Mechanical Contribution Margins (Q1'06, applied to Apr'04 Fcst)_Volume Fcst 1006 updated_Tom OS ( Oct)_2009 xBOX ramp up budget code applicaiton 300K --New May27" xfId="13670"/>
    <cellStyle name="_Mechanical Contribution Margins (Q1'06, applied to Apr'04 Fcst)_Volume Fcst 1006 updated_Tom OS ( Oct)_Budget GC Other Form" xfId="13671"/>
    <cellStyle name="差_HP  專案(設備&amp;治工具需夠買)update_MS Bolt wireless mouse FixtureEquipment Cost_A5_2010_02_21_Bolt RFQ Proposal_Foxlink_ (Pricing Summary) 2 25 2011 4" xfId="13672"/>
    <cellStyle name="_Mechanical Contribution Margins (Q1'06, applied to Apr'04 Fcst)_Volume Fcst 1006 updated_Tom OS ( Oct)_Forecast Template v4" xfId="13673"/>
    <cellStyle name="_Mechanical Contribution Margins (Q1'06, applied to Apr'04 Fcst)_Volume Fcst 1006 updated_Tom OS ( Oct)_X-BOX Console line setup budget 20080414" xfId="13674"/>
    <cellStyle name="好_River EE BOM_Creak Pearl Reliability Fixture RFQ_2009 04 24_Creek  Pearl RFQ_May 12 2 4" xfId="13675"/>
    <cellStyle name="Normal 19 5" xfId="13676"/>
    <cellStyle name="Normal 24 5" xfId="13677"/>
    <cellStyle name="_Mechanical Contribution Margins (Q1'06, applied to Apr'04 Fcst)_Volume Fcst 1006 updated_Tom OS ( Oct)_X-BOX Console line setup budget and Buyer list" xfId="13678"/>
    <cellStyle name="_Mechanical Contribution Margins (Q1'06, applied to Apr'04 Fcst)_Volume Fcst 1006 updated_X-BOX BB" xfId="13679"/>
    <cellStyle name="_Mechanical Contribution Margins (Q1'06, applied to Apr'04 Fcst)_Volume Fcst 1006 updated_X-BOX Console line setup budget and Buyer list" xfId="13680"/>
    <cellStyle name="差_效益分析&amp;產能評估_M1 SuedeFixtureEquipment Cost_A0_2010_10_15_Bolt RFQ_Foxlink_03.1 2011_nego meeting@MACH 5" xfId="13681"/>
    <cellStyle name="_Mechanical Contribution Margins (Q1'06, applied to Apr'04 Fcst)_X-BOX BB" xfId="13682"/>
    <cellStyle name="好_River EE BOM_Creak Pearl Reliability Fixture RFQ_2009 04 24_Squirrel RFQ ME BOM Costs-0623_Bolt RFQ_Foxlink_03.1 2011 3 3" xfId="13683"/>
    <cellStyle name="_Mechanical Contribution Margins (Q1'06, applied to Apr'04 Fcst)_X-BOX Console line setup budget 20080414" xfId="13684"/>
    <cellStyle name="_updated on Sept. 28, 2005." xfId="13685"/>
    <cellStyle name="_Mechanical Contribution Margins (Q2'06) 0705" xfId="13686"/>
    <cellStyle name="_Mechanical Contribution Margins (Q2'06) 0705_2009 xBOX ramp up budget code applicaiton" xfId="13687"/>
    <cellStyle name="差_Creak Pearl Reliability Fixture RFQ_2009 04 24_Creek  Pearl RFQ_May 12_Leopard_UniBOM_ME_0531 2" xfId="13688"/>
    <cellStyle name="_Mechanical Contribution Margins (Q2'06) 0705_2009 xBOX ramp up budget code applicaiton 300K --New May27" xfId="13689"/>
    <cellStyle name="好_River EE BOM_Creak Pearl Reliability Fixture RFQ_2009 04 24_Leopard UniBom_Foxlink_6 21 2010-ME_nego_Bolt RFQ Proposal_Foxlink_ (Pricing Summary) 2 25 2011 4 3" xfId="13690"/>
    <cellStyle name="Normal 16 2 2 2 2" xfId="13691"/>
    <cellStyle name="Normal 21 2 2 2 2" xfId="13692"/>
    <cellStyle name="_Mechanical Contribution Margins (Q2'06) 0705_Budget GC Other Form" xfId="13693"/>
    <cellStyle name="差_F3   SMT設備明細_Jackson 效益分析 testing update_16th Jan1" xfId="13694"/>
    <cellStyle name="_Mechanical Contribution Margins (Q2'06) 0705_Copy of Tom OS ( Oct) new for LOG_2009 xBOX ramp up budget code applicaiton" xfId="13695"/>
    <cellStyle name="_Mechanical Contribution Margins (Q2'06) 0705_Copy of Tom OS ( Oct) new for LOG_2009 xBOX ramp up budget code applicaiton 300K --New May27" xfId="13696"/>
    <cellStyle name="_Sales Breakdown Analysis 3_2009 xBOX ramp up budget code applicaiton 300K --New May27" xfId="13697"/>
    <cellStyle name="差_Creak Pearl Reliability Fixture RFQ_2009 04 24_Xl0000002_Squirrel RFQ ME BOM Costs-0623 2 2 2" xfId="13698"/>
    <cellStyle name="_Mechanical Contribution Margins (Q2'06) 0705_Copy of Tom OS ( Oct) new for LOG_Budget GC Other Form" xfId="13699"/>
    <cellStyle name="差_Creek RFQ feedback 04_28_2009_FD Update_Squirrel UniBom-06.23.2010_update_internal_Bolt RFQ Proposal_Foxlink_ (Pricing Summary) 2 25 2011 6" xfId="13700"/>
    <cellStyle name="40% - 强调文字颜色 3 3 4" xfId="13701"/>
    <cellStyle name="_PPV ALLOCATION-Nov04_Dawson_RFP_Foxlink_Response_Proposal 的 工作表_Internal RFQ River Standalone  Bundle Unibom_v1 2_20080603_EJ_Stream Quotebook (Submittal)_POC2_20081117-1" xfId="13702"/>
    <cellStyle name="_Mechanical Contribution Margins (Q2'06) 0705_Copy of Tom OS ( Oct) new for LOG_Copy of X-BOX for line setup budget" xfId="13703"/>
    <cellStyle name="_Mechanical Contribution Margins (Q2'06) 0705_Copy of Tom OS ( Oct) new for LOG_Forecast Template v4" xfId="13704"/>
    <cellStyle name="_Mechanical Contribution Margins (Q2'06) 0705_Copy of Tom OS ( Oct) new for LOG_X-BOX Console line setup budget and Buyer list" xfId="13705"/>
    <cellStyle name="好_River EE BOM_Creak Pearl Reliability Fixture RFQ_2009 04 24_Xl0000002_Squirrel RFQ ME BOM Costs-0623_Bolt RFQ Proposal_Foxlink_ (Pricing Summary) 2 25 2011 3 2" xfId="13706"/>
    <cellStyle name="_Mechanical Contribution Margins (Q2'06) 0705_Copy of X-BOX for line setup budget" xfId="13707"/>
    <cellStyle name="_Mechanical Contribution Margins (Q2'06) 0705_Forecast Template v4" xfId="13708"/>
    <cellStyle name="_Mechanical Contribution Margins (Q2'06) 0705_Internal Hourly Rate Q1 FY08 Version 06052007 Draft" xfId="13709"/>
    <cellStyle name="好_Creek EE BOM cost_20090425_Creek RFQ feedback 04_28_2009_FD Update_Squirrel RFQ ME BOM Costs-0623_Bolt RFQ_Foxlink_03.1 2011_nego meeting@MACH 2 2" xfId="13710"/>
    <cellStyle name="_Mechanical Contribution Margins (Q2'06) 0705_Internal Hourly Rate Q1 FY08 Version 06142007 excl. Corporate Allocation" xfId="13711"/>
    <cellStyle name="_Mechanical Contribution Margins (Q2'06) 0705_Mechanical Contribution Margins forecast 0506 FP_2009 xBOX ramp up budget code applicaiton" xfId="13712"/>
    <cellStyle name="Accent1 3 3" xfId="13713"/>
    <cellStyle name="_Mechanical Contribution Margins (Q2'06) 0705_Mechanical Contribution Margins forecast 0506 FP_2009 xBOX ramp up budget code applicaiton 300K --New May26 (3)" xfId="13714"/>
    <cellStyle name="差_Creak Pearl Reliability Fixture RFQ_2009 04 24_Leopard_UniBOM_ME_0602_Bolt RFQ_Foxlink_03.1 2011_nego meeting@MACH 5" xfId="13715"/>
    <cellStyle name="_Mechanical Contribution Margins (Q2'06) 0705_Mechanical Contribution Margins forecast 0506 FP_2009 xBOX ramp up budget code applicaiton 300K --New May27" xfId="13716"/>
    <cellStyle name="一般 4 3 2 3" xfId="13717"/>
    <cellStyle name="_Mechanical Contribution Margins (Q2'06) 0705_Mechanical Contribution Margins forecast 0506 FP_Copy of Tom OS ( Oct) new for LOG_2009 xBOX ramp up budget code applicaiton" xfId="13718"/>
    <cellStyle name="_Mechanical Contribution Margins (Q2'06) 0705_Mechanical Contribution Margins forecast 0506 FP_Copy of Tom OS ( Oct) new for LOG_2009 xBOX ramp up budget code applicaiton 300K --New May26 (3)" xfId="13719"/>
    <cellStyle name="_Mechanical Contribution Margins (Q2'06) 0705_Mechanical Contribution Margins forecast 0506 FP_Copy of Tom OS ( Oct) new for LOG_2009 xBOX ramp up budget code applicaiton 300K --New May27" xfId="13720"/>
    <cellStyle name="好_River EE BOM_Creak Pearl Reliability Fixture RFQ_2009 04 24_Xl0000002_Leopard RFQ ME BOM Costs-0618_Bolt RFQ Proposal_Foxlink_ (Pricing Summary) 2 25 2011 5 2" xfId="13721"/>
    <cellStyle name="_Mechanical Contribution Margins (Q2'06) 0705_Mechanical Contribution Margins forecast 0506 FP_Copy of Tom OS ( Oct) new for LOG_Budget GC Other Form" xfId="13722"/>
    <cellStyle name="Normal 29 2 2 3" xfId="13723"/>
    <cellStyle name="Normal 34 2 2 3" xfId="13724"/>
    <cellStyle name="_Mechanical Contribution Margins (Q2'06) 0705_Mechanical Contribution Margins forecast 0506 FP_Copy of Tom OS ( Oct) new for LOG_X-BOX BB" xfId="13725"/>
    <cellStyle name="好_River EE BOM_Creak Pearl Reliability Fixture RFQ_2009 04 24_Creek RFQ feedback 04_28_2009_FD Update 2 2" xfId="13726"/>
    <cellStyle name="差_Xl0000000_Leopard Lemur Squirrel UniBom-06.22.2010_EE cost _update_internal_Bolt RFQ_Foxlink_03.1 2011_nego meeting@MACH 4" xfId="13727"/>
    <cellStyle name="差_Creek RFQ feedback 04_28_2009_FD Update_Leopard_UniBOM_ME_0531_Bolt RFQ Proposal_Foxlink_ (Pricing Summary) 2 25 2011 2 2 3" xfId="13728"/>
    <cellStyle name="_Mechanical Contribution Margins (Q2'06) 0705_Mechanical Contribution Margins forecast 0506 FP_Copy of Tom OS ( Oct) new for LOG_X-BOX Console line setup budget 20080414" xfId="13729"/>
    <cellStyle name="壞_Creek Assembly Fixture  Test Equipment RFQ_20090427_Leopard UniBom_Foxlink_6 21 2010-ME_nego_Bolt RFQ_Foxlink_03.1 2011 3 3" xfId="13730"/>
    <cellStyle name="差_Creek RFQ feedback 04_28_2009_FD Update_Leopard_UniBOM_ME_0603-2_Bolt RFQ Proposal_Foxlink_ (Pricing Summary) 2 25 2011 4 3" xfId="13731"/>
    <cellStyle name="_Mechanical Contribution Margins (Q2'06) 0705_Mechanical Contribution Margins forecast 0506 FP_Copy of Tom OS ( Oct) new for LOG_X-BOX Console line setup budget and Buyer list" xfId="13732"/>
    <cellStyle name="差_Creak Pearl Reliability Fixture RFQ_2009 04 24_Creek  Pearl RFQ_May 12_Squirrel RFQ ME BOM Costs-0623_Bolt RFQ Proposal_Foxlink_ (Pricing Summary) 2 25 2011 2 4" xfId="13733"/>
    <cellStyle name="_Mechanical Contribution Margins (Q2'06) 0705_Mechanical Contribution Margins forecast 0506 FP_Copy of X-BOX for line setup budget" xfId="13734"/>
    <cellStyle name="好_Creek EE BOM cost_20090425_Leopard_UniBOM_ME_0602_Bolt RFQ_Foxlink_03.1 2011_nego meeting@MACH 3 3" xfId="13735"/>
    <cellStyle name="壞_Creek Assembly Fixture  Test Equipment RFQ_20090427_Xl0000002_Squirrel UniBom-06.23.2010_update_internal_Bolt RFQ Proposal_Foxlink_ (Pricing Summary) 2 25 2011 5" xfId="13736"/>
    <cellStyle name="_Mechanical Contribution Margins (Q2'06) 0705_Mechanical Contribution Margins forecast 0506 FP_Forecast Template v4" xfId="13737"/>
    <cellStyle name="_Mechanical Contribution Margins (Q2'06) 0705_Mechanical Contribution Margins forecast 0506 FP_Internal Hourly Rate Q1 FY08 Version 06052007 Draft" xfId="13738"/>
    <cellStyle name="_Mechanical Contribution Margins (Q2'06) 0705_Mechanical Contribution Margins forecast 0506 FP_Internal Hourly Rate Q1 FY08 Version 06142007 excl. Corporate Allocation" xfId="13739"/>
    <cellStyle name="_Mechanical Contribution Margins (Q2'06) 0705_Mechanical Contribution Margins forecast 0506 FP_PL Fcst Jul 06-updated G&amp;A Value_2009 xBOX ramp up budget code applicaiton" xfId="13740"/>
    <cellStyle name="差_Creek RFQ feedback 04_28_2009_FD Update_Leopard_UniBOM_ME_0602-1_Bolt RFQ_Foxlink_03.1 2011 2 2" xfId="13741"/>
    <cellStyle name="SAPBEXtitle" xfId="13742"/>
    <cellStyle name="_Mechanical Contribution Margins (Q2'06) 0705_Mechanical Contribution Margins forecast 0506 FP_PL Fcst Jul 06-updated G&amp;A Value_2009 xBOX ramp up budget code applicaiton 300K --New May26 (3)" xfId="13743"/>
    <cellStyle name="_Mechanical Contribution Margins (Q2'06) 0705_Mechanical Contribution Margins forecast 0506 FP_PL Fcst Jul 06-updated G&amp;A Value_Copy of Tom OS ( Oct) new for LOG" xfId="13744"/>
    <cellStyle name="好_River EE BOM_Xl0000002_Leopard UniBom_Foxlink_6 21 2010-ME_nego_Bolt RFQ_Foxlink_03.1 2011_nego meeting@MACH 2" xfId="13745"/>
    <cellStyle name="_Mechanical Contribution Margins (Q2'06) 0705_Mechanical Contribution Margins forecast 0506 FP_PL Fcst Jul 06-updated G&amp;A Value_Copy of Tom OS ( Oct) new for LOG_2009 xBOX ramp up budget code applicaiton" xfId="13746"/>
    <cellStyle name="好_Creek Assembly Fixture  Test Equipment RFQ_20090427_Bolt RFQ_Foxlink_03.1 2011_Bolt_Cliff 5 3" xfId="13747"/>
    <cellStyle name="_Mechanical Contribution Margins (Q2'06) 0705_Mechanical Contribution Margins forecast 0506 FP_PL Fcst Jul 06-updated G&amp;A Value_Copy of Tom OS ( Oct) new for LOG_2009 xBOX ramp up budget code applicaiton 300K --New May26 (3)" xfId="13748"/>
    <cellStyle name="_Mechanical Contribution Margins (Q2'06) 0705_Mechanical Contribution Margins forecast 0506 FP_PL Fcst Jul 06-updated G&amp;A Value_Copy of Tom OS ( Oct) new for LOG_Budget GC Other Form" xfId="13749"/>
    <cellStyle name="差_Creak Pearl Reliability Fixture RFQ_2009 04 24_Pearl RFQ(Submittal)ver2_05_12_2009 _Leopard_UniBOM_ME_0602-1_Bolt RFQ Proposal_Foxlink_ (Pricing Summary) 2 25 2011 4 2" xfId="13750"/>
    <cellStyle name="_Mechanical Contribution Margins (Q2'06) 0705_PL Forecast by segment-most final 0806_Copy of Tom OS ( Oct) new for LOG" xfId="13751"/>
    <cellStyle name="_Mechanical Contribution Margins (Q2'06) 0705_Mechanical Contribution Margins forecast 0506 FP_PL Fcst Jul 06-updated G&amp;A Value_Copy of Tom OS ( Oct) new for LOG_Copy of X-BOX for line setup budget" xfId="13752"/>
    <cellStyle name="差_F3   SMT設備明細_jupite r設備&amp;治工具LIST (總)_Flow Chart&amp;PQ分析(12-1)_Jackson 效益分析 (2-1 B0 上系統)_squirrel效益分析08-17" xfId="13753"/>
    <cellStyle name="好_River EE BOM_Xl0000002_Leopard_UniBOM_ME_0531_Bolt RFQ Proposal_Foxlink_ (Pricing Summary) 2 25 2011 2" xfId="13754"/>
    <cellStyle name="好_Creek Assembly Fixture  Test Equipment RFQ_20090427_Leopard UniBom_Foxlink_6 21 2010-ME_nego_Bolt RFQ_Foxlink_03.1 2011_nego meeting@MACH 2" xfId="13755"/>
    <cellStyle name="_Mechanical Contribution Margins (Q2'06) 0705_Mechanical Contribution Margins forecast 0506 FP_PL Fcst Jul 06-updated G&amp;A Value_Copy of Tom OS ( Oct) new for LOG_Forecast Template v4" xfId="13756"/>
    <cellStyle name="_Mechanical Contribution Margins (Q2'06) 0705_Mechanical Contribution Margins forecast 0506 FP_PL Fcst Jul 06-updated G&amp;A Value_Copy of Tom OS ( Oct) new for LOG_X-BOX Console line setup budget 20080414" xfId="13757"/>
    <cellStyle name="好_River EE BOM_Creak Pearl Reliability Fixture RFQ_2009 04 24_Foxlink_Shadow RFQ NREUni BOM_12032009_Bolt RFQ_Foxlink_03.1 2011 5" xfId="13758"/>
    <cellStyle name="好_River EE BOM_Creak Pearl Reliability Fixture RFQ_2009 04 24_Creek RFQ feedback 04_28_2009_FD Update 2" xfId="13759"/>
    <cellStyle name="_Mechanical Contribution Margins (Q2'06) 0705_Mechanical Contribution Margins forecast 0506 FP_PL Fcst Jul 06-updated G&amp;A Value_Copy of Tom OS ( Oct) new for LOG_X-BOX Console line setup budget and Buyer list" xfId="13760"/>
    <cellStyle name="_Mechanical Contribution Margins (Q2'06) 0705_Mechanical Contribution Margins forecast 0506 FP_PL Fcst Jul 06-updated G&amp;A Value_Copy of X-BOX for line setup budget" xfId="13761"/>
    <cellStyle name="差_Creak Pearl Reliability Fixture RFQ_2009 04 24_Creek RFQ feedback 04_28_2009_FD Update_Bolt RFQ Proposal_Foxlink_ (Pricing Summary) 2 25 2011 3 2" xfId="13762"/>
    <cellStyle name="_Mechanical Contribution Margins (Q2'06) 0705_Mechanical Contribution Margins forecast 0506 FP_PL Fcst Jul 06-updated G&amp;A Value_Forecast Template v4" xfId="13763"/>
    <cellStyle name="_Mechanical Contribution Margins (Q2'06) 0705_Mechanical Contribution Margins forecast 0506 FP_PL Fcst Jul 06-updated G&amp;A Value_Internal Hourly Rate Q1 FY08 Version 06142007 excl. Corporate Allocation" xfId="13764"/>
    <cellStyle name="_Mechanical Contribution Margins (Q2'06) 0705_Mechanical Contribution Margins forecast 0506 FP_PL Fcst Jul 06-updated G&amp;A Value_Tom OS ( Oct)" xfId="13765"/>
    <cellStyle name="差_HP Mouse 產能評估(上系統) 3 2" xfId="13766"/>
    <cellStyle name="好_River EE BOM_Xl0000000_Leopard UniBom_Foxlink_6 21 2010-ME_nego_Bolt RFQ Proposal_Foxlink_ (Pricing Summary) 2 25 2011 2 3" xfId="13767"/>
    <cellStyle name="好_Creek Assembly Fixture  Test Equipment RFQ_20090427_Bolt_Cliff 2 4" xfId="13768"/>
    <cellStyle name="_Mechanical Contribution Margins (Q2'06) 0705_Mechanical Contribution Margins forecast 0506 FP_PL Fcst Jul 06-updated G&amp;A Value_Tom OS ( Oct)_2009 xBOX ramp up budget code applicaiton 300K --New May27" xfId="13769"/>
    <cellStyle name="_Mechanical Contribution Margins (Q2'06) 0705_Mechanical Contribution Margins forecast 0506 FP_PL Fcst Jul 06-updated G&amp;A Value_Tom OS ( Oct)_Budget GC Other Form" xfId="13770"/>
    <cellStyle name="好_River EE BOM_Creak Pearl Reliability Fixture RFQ_2009 04 24_Pearl RFQ(Submittal)ver2_05_12_2009 _Leopard_UniBOM_ME_0531_Bolt RFQ Proposal_Foxlink_ (Pricing Summary) 2 25 2011 3 3" xfId="13771"/>
    <cellStyle name="_Mechanical Contribution Margins (Q2'06) 0705_Mechanical Contribution Margins forecast 0506 FP_PL Fcst Jul 06-updated G&amp;A Value_Tom OS ( Oct)_Copy of X-BOX for line setup budget" xfId="13772"/>
    <cellStyle name="Comma  - Style4" xfId="13773"/>
    <cellStyle name="_Mechanical Contribution Margins (Q2'06) 0705_Mechanical Contribution Margins forecast 0506 FP_PL Fcst Jul 06-updated G&amp;A Value_Tom OS ( Oct)_X-BOX BB" xfId="13774"/>
    <cellStyle name="差_HP Mouse 產能評估(Forecast更改後)_M1 Bolt wireless mouse FixtureEquipment Cost_A2_2010_12_07_Bolt RFQ Proposal_Foxlink_ (Pricing Summary) 2 25 2011 4 2" xfId="13775"/>
    <cellStyle name="_Mechanical Contribution Margins (Q2'06) 0705_Mechanical Contribution Margins forecast 0506 FP_PL Fcst Jul 06-updated G&amp;A Value_Tom OS ( Oct)_X-BOX Console line setup budget and Buyer list" xfId="13776"/>
    <cellStyle name="_Mechanical Contribution Margins (Q2'06) 0705_Mechanical Contribution Margins forecast 0506 FP_PL Fcst Jul 06-updated G&amp;A Value_X-BOX BB" xfId="13777"/>
    <cellStyle name="壞_Creek Assembly Fixture  Test Equipment RFQ_20090427_Xl0000002_Leopard_UniBOM_ME_0602_Bolt RFQ Proposal_Foxlink_ (Pricing Summary) 2 25 2011 2 3" xfId="13778"/>
    <cellStyle name="好_Creek Assembly Fixture  Test Equipment RFQ_20090427_Leopard_UniBOM_ME_0603-2 3 2" xfId="13779"/>
    <cellStyle name="_Mfg Variances FY04 4_06_P2 Waynea review" xfId="13780"/>
    <cellStyle name="_Mechanical Contribution Margins (Q2'06) 0705_Mechanical Contribution Margins forecast 0506 FP_PL Fcst Jul 06-updated G&amp;A Value_X-BOX Console line setup budget 20080414" xfId="13781"/>
    <cellStyle name="_WWF FY02 Budget REV &amp; FE_Book1" xfId="13782"/>
    <cellStyle name="_Mechanical Contribution Margins (Q2'06) 0705_Mechanical Contribution Margins forecast 0506 FP_PL Fcst Jul 06-updated G&amp;A Value_X-BOX Console line setup budget and Buyer list" xfId="13783"/>
    <cellStyle name="_Mechanical Contribution Margins (Q2'06) 0705_Mechanical Contribution Margins forecast 0506 FP_PL Forecast by segment-most final 0806" xfId="13784"/>
    <cellStyle name="_Mechanical Contribution Margins (Q2'06) 0705_Mechanical Contribution Margins forecast 0506 FP_PL Forecast by segment-most final 0806_2009 xBOX ramp up budget code applicaiton" xfId="13785"/>
    <cellStyle name="_Mechanical Contribution Margins (Q2'06) 0705_Mechanical Contribution Margins forecast 0506 FP_PL Forecast by segment-most final 0806_2009 xBOX ramp up budget code applicaiton 300K --New May26 (3)" xfId="13786"/>
    <cellStyle name="差_Creak Pearl Reliability Fixture RFQ_2009 04 24_Creek RFQ feedback 04_28_2009_FD Update_Foxlink_Shadow RFQ NREUni BOM_12032009_Bolt RFQ_Foxlink_03.1 2011" xfId="13787"/>
    <cellStyle name="壞_Creek EE BOM cost_20090425_Leopard RFQ ME BOM Costs-0618 4 2" xfId="13788"/>
    <cellStyle name="_複製 -2009card報表" xfId="13789"/>
    <cellStyle name="差_Creak Pearl Reliability Fixture RFQ_2009 04 24_Creek  Pearl RFQ_May 12_Leopard_UniBOM_ME_0603-2_Bolt RFQ_Foxlink_03.1 2011_nego meeting@MACH 3 3" xfId="13790"/>
    <cellStyle name="Normal 48 4 2" xfId="13791"/>
    <cellStyle name="Normal 53 4 2" xfId="13792"/>
    <cellStyle name="_Mechanical Contribution Margins (Q2'06) 0705_Mechanical Contribution Margins forecast 0506 FP_PL Forecast by segment-most final 0806_2009 xBOX ramp up budget code applicaiton 300K --New May27" xfId="13793"/>
    <cellStyle name="_Mechanical Contribution Margins (Q2'06) 0705_Mechanical Contribution Margins forecast 0506 FP_PL Forecast by segment-most final 0806_Copy of Tom OS ( Oct) new for LOG" xfId="13794"/>
    <cellStyle name="_Mechanical Contribution Margins (Q2'06) 0705_Mechanical Contribution Margins forecast 0506 FP_PL Forecast by segment-most final 0806_Copy of Tom OS ( Oct) new for LOG_2009 xBOX ramp up budget code applicaiton" xfId="13795"/>
    <cellStyle name="Normal 9 2" xfId="13796"/>
    <cellStyle name="_XBOX MB repair &amp; refurbish freight cost" xfId="13797"/>
    <cellStyle name="好_River EE BOM_Creek RFQ feedback 04_28_2009_FD Update_Foxlink_Shadow RFQ NREUni BOM_12032009_Bolt RFQ Proposal_Foxlink_ (Pricing Summary) 2 25 2011 2 2 3" xfId="13798"/>
    <cellStyle name="_Mechanical Contribution Margins (Q2'06) 0705_Mechanical Contribution Margins forecast 0506 FP_PL Forecast by segment-most final 0806_Copy of Tom OS ( Oct) new for LOG_2009 xBOX ramp up budget code applicaiton 300K --New May27" xfId="13799"/>
    <cellStyle name="差_Flow chart and Fixture(1-4)_Jackson 效益分析 (2-1 B0 上系統)_Leopard效益分析08-17" xfId="13800"/>
    <cellStyle name="_Mechanical Contribution Margins (Q2'06) 0705_Mechanical Contribution Margins forecast 0506 FP_PL Forecast by segment-most final 0806_Copy of Tom OS ( Oct) new for LOG_Budget GC Other Form" xfId="13801"/>
    <cellStyle name="好_River EE BOM_Creak Pearl Reliability Fixture RFQ_2009 04 24_Xl0000002_Leopard_UniBOM_ME_0602_Bolt RFQ_Foxlink_03.1 2011_nego meeting@MACH 3 2" xfId="13802"/>
    <cellStyle name="_Mechanical Contribution Margins (Q2'06) 0705_Mechanical Contribution Margins forecast 0506 FP_PL Forecast by segment-most final 0806_Copy of Tom OS ( Oct) new for LOG_Copy of X-BOX for line setup budget" xfId="13803"/>
    <cellStyle name="_Mechanical Contribution Margins (Q2'06) 0705_Mechanical Contribution Margins forecast 0506 FP_PL Forecast by segment-most final 0806_Copy of Tom OS ( Oct) new for LOG_Forecast Template v4" xfId="13804"/>
    <cellStyle name="好_Creek Assembly Fixture  Test Equipment RFQ_20090427_Leopard UniBom_Foxlink_6 21 2010-ME_nego_Bolt RFQ Proposal_Foxlink_ (Pricing Summary) 2 25 2011 2 2" xfId="13805"/>
    <cellStyle name="_Mechanical Contribution Margins (Q2'06) 0705_Mechanical Contribution Margins forecast 0506 FP_PL Forecast by segment-most final 0806_Copy of Tom OS ( Oct) new for LOG_X-BOX BB" xfId="13806"/>
    <cellStyle name="Percent 8" xfId="13807"/>
    <cellStyle name="_Mechanical Contribution Margins (Q2'06) 0705_Mechanical Contribution Margins forecast 0506 FP_PL Forecast by segment-most final 0806_Copy of Tom OS ( Oct) new for LOG_X-BOX Console line setup budget 20080414" xfId="13808"/>
    <cellStyle name="差_Creak Pearl Reliability Fixture RFQ_2009 04 24_Creek RFQ feedback 04_28_2009_FD Update_Leopard RFQ ME BOM Costs-0618-2_Bolt RFQ_Foxlink_03.1 2011_nego meeting@MACH 2 3" xfId="13809"/>
    <cellStyle name="_Mechanical Contribution Margins (Q2'06) 0705_Mechanical Contribution Margins forecast 0506 FP_PL Forecast by segment-most final 0806_Copy of Tom OS ( Oct) new for LOG_X-BOX Console line setup budget and Buyer list" xfId="13810"/>
    <cellStyle name="Calculation 14 2 2" xfId="13811"/>
    <cellStyle name="差_Creek RFQ feedback 04_28_2009_FD Update_Leopard_UniBOM_ME_0602-1 2 4" xfId="13812"/>
    <cellStyle name="_Mechanical Contribution Margins (Q2'06) 0705_Mechanical Contribution Margins forecast 0506 FP_PL Forecast by segment-most final 0806_Copy of X-BOX for line setup budget" xfId="13813"/>
    <cellStyle name="_Mechanical Contribution Margins (Q2'06) 0705_Mechanical Contribution Margins forecast 0506 FP_PL Forecast by segment-most final 0806_Tom OS ( Oct)_2009 xBOX ramp up budget code applicaiton" xfId="13814"/>
    <cellStyle name="_Mechanical Contribution Margins (Q2'06) 0705_Mechanical Contribution Margins forecast 0506 FP_PL Forecast by segment-most final 0806_Tom OS ( Oct)_2009 xBOX ramp up budget code applicaiton 300K --New May26 (3)" xfId="13815"/>
    <cellStyle name="差_Creak Pearl Reliability Fixture RFQ_2009 04 24_Squirrel UniBom-06.23.2010_update_internal_Bolt RFQ_Foxlink_03.1 2011 4" xfId="13816"/>
    <cellStyle name="好_工作表 在 嫁動率7" xfId="13817"/>
    <cellStyle name="Normal 3 4 5" xfId="13818"/>
    <cellStyle name="好_Creek EE BOM cost_20090425_Leopard_UniBOM_ME_0602_Bolt RFQ_Foxlink_03.1 2011 2" xfId="13819"/>
    <cellStyle name="40% - 强调文字颜色 2 4" xfId="13820"/>
    <cellStyle name="_Mechanical Contribution Margins (Q2'06) 0705_Mechanical Contribution Margins forecast 0506 FP_PL Forecast by segment-most final 0806_Tom OS ( Oct)_Budget GC Other Form" xfId="13821"/>
    <cellStyle name="_Mechanical Contribution Margins (Q2'06) 0705_Mechanical Contribution Margins forecast 0506 FP_PL Forecast by segment-most final 0806_Tom OS ( Oct)_Copy of X-BOX for line setup budget" xfId="13822"/>
    <cellStyle name="_Mechanical Contribution Margins (Q2'06) 0705_Mechanical Contribution Margins forecast 0506 FP_PL Forecast by segment-most final 0806_Tom OS ( Oct)_Forecast Template v4" xfId="13823"/>
    <cellStyle name="差_Creek RFQ feedback 04_28_2009_FD Update_Leopard_UniBOM_ME_0603-2_Bolt RFQ_Foxlink_03.1 2011_nego meeting@MACH 3" xfId="13824"/>
    <cellStyle name="差_Creak Pearl Reliability Fixture RFQ_2009 04 24_Creek  Pearl RFQ_May 12_Foxlink_Shadow RFQ NREUni BOM_12032009_Bolt RFQ Proposal_Foxlink_ (Pricing Summary) 2 25 2011 5 2" xfId="13825"/>
    <cellStyle name="_Mechanical Contribution Margins (Q2'06) 0705_Mechanical Contribution Margins forecast 0506 FP_PL Forecast by segment-most final 0806_Tom OS ( Oct)_X-BOX BB" xfId="13826"/>
    <cellStyle name="_Mechanical Contribution Margins (Q2'06) 0705_Mechanical Contribution Margins forecast 0506 FP_PL Forecast by segment-most final 0806_Tom OS ( Oct)_X-BOX Console line setup budget 20080414" xfId="13827"/>
    <cellStyle name="_Quotebook_07SEP10_BlueAnt_Quotebook_V3_07SEP11_Internal RFQ River Standalone  Bundle Unibom_v1 2_20080603_EJ_Stream Quotebook(Submittal)_POC1_20080903 2" xfId="13828"/>
    <cellStyle name="_Sales Breakdown Analysis 3_Volume Fcst Jul 06-update HP _Copy of Tom OS ( Oct) new for LOG_2009 xBOX ramp up budget code applicaiton 300K --New May26 (3)" xfId="13829"/>
    <cellStyle name="_Mechanical Contribution Margins (Q2'06) 0705_Mechanical Contribution Margins forecast 0506 FP_PL Forecast by segment-most final 0806_Tom OS ( Oct)_X-BOX Console line setup budget and Buyer list" xfId="13830"/>
    <cellStyle name="_Mechanical Contribution Margins forecast 0506 FP_PL Forecast by segment-most final 0806_Tom OS ( Oct)_X-BOX Console line setup budget 20080414" xfId="13831"/>
    <cellStyle name="_Mechanical Contribution Margins (Q2'06) 0705_Mechanical Contribution Margins forecast 0506 FP_PL Forecast by segment-most final 0806_X-BOX BB" xfId="13832"/>
    <cellStyle name="_Zune RF Transmitter_RET Plan  Cost_Draft_20070327_RFQ_River_BAFO_2008 0606_M1_Stream Package Quotation_20090311" xfId="13833"/>
    <cellStyle name="_Mechanical Contribution Margins (Q2'06) 0705_Mechanical Contribution Margins forecast 0506 FP_PL Forecast by segment-most final 0806_X-BOX Console line setup budget 20080414" xfId="13834"/>
    <cellStyle name="差_F3   SMT設備明細_效益分析_flow chart 2009.12.12_Jackson 效益分析 testing update_16th Jan111_Jackson 效益分析 (2-1 B0 上系統)_Leopard Flowchart &amp; 產能評估" xfId="13835"/>
    <cellStyle name="差_Creak Pearl Reliability Fixture RFQ_2009 04 24_Pearl RFQ(Submittal)ver2_05_12_2009 _Leopard_UniBOM_ME_0603-2_Bolt RFQ Proposal_Foxlink_ (Pricing Summary) 2 25 2011 6" xfId="13836"/>
    <cellStyle name="_Mechanical Contribution Margins (Q2'06) 0705_Mechanical Contribution Margins forecast 0506 FP_PL Forecast by segment-most final 0806_X-BOX Console line setup budget and Buyer list" xfId="13837"/>
    <cellStyle name="_Mechanical Contribution Margins (Q2'06) 0705_Mechanical Contribution Margins forecast 0506 FP_Tom OS ( Oct)_2009 xBOX ramp up budget code applicaiton" xfId="13838"/>
    <cellStyle name="_Mechanical Contribution Margins (Q2'06) 0705_Mechanical Contribution Margins forecast 0506 FP_Tom OS ( Oct)_2009 xBOX ramp up budget code applicaiton 300K --New May26 (3)" xfId="13839"/>
    <cellStyle name="_Mechanical Contribution Margins (Q2'06) 0705_Mechanical Contribution Margins forecast 0506 FP_Tom OS ( Oct)_2009 xBOX ramp up budget code applicaiton 300K --New May27" xfId="13840"/>
    <cellStyle name="_Mechanical Contribution Margins (Q2'06) 0705_Mechanical Contribution Margins forecast 0506 FP_Tom OS ( Oct)_Budget GC Other Form" xfId="13841"/>
    <cellStyle name="好_River EE BOM_Xl0000000_Leopard UniBom_Foxlink_6 21 2010-ME_nego 2 4" xfId="13842"/>
    <cellStyle name="_後拉人力組織圖" xfId="13843"/>
    <cellStyle name="_Mechanical Contribution Margins (Q2'06) 0705_Mechanical Contribution Margins forecast 0506 FP_Tom OS ( Oct)_Copy of X-BOX for line setup budget" xfId="13844"/>
    <cellStyle name="_Mechanical Contribution Margins (Q2'06) 0705_Mechanical Contribution Margins forecast 0506 FP_Tom OS ( Oct)_Forecast Template v4" xfId="13845"/>
    <cellStyle name="_Mechanical Contribution Margins (Q2'06) 0705_Mechanical Contribution Margins forecast 0506 FP_Tom OS ( Oct)_X-BOX Console line setup budget 20080414" xfId="13846"/>
    <cellStyle name="好_River EE BOM_Creak Pearl Reliability Fixture RFQ_2009 04 24_Pearl RFQ(Submittal)ver2_05_12_2009 _Leopard_UniBOM_ME_0531_Bolt RFQ Proposal_Foxlink_ (Pricing Summary) 2 25 2011 7" xfId="13847"/>
    <cellStyle name="差_Flow Chart&amp;PQ分析(12-1)_效益分析(總 12-28 Update)_Jackson 效益分析 (2-1 B0 上系統)" xfId="13848"/>
    <cellStyle name="_Mechanical Contribution Margins (Q2'06) 0705_Mechanical Contribution Margins forecast 0506 FP_Tom OS ( Oct)_X-BOX Console line setup budget and Buyer list" xfId="13849"/>
    <cellStyle name="_Mechanical Contribution Margins (Q2'06) 0705_Mechanical Contribution Margins forecast 0506 FP_Volume Fcst 1006 updated" xfId="13850"/>
    <cellStyle name="好_River EE BOM_Creak Pearl Reliability Fixture RFQ_2009 04 24_Xl0000002_Leopard_UniBOM_ME_0531_Bolt RFQ Proposal_Foxlink_ (Pricing Summary) 2 25 2011 2 3" xfId="13851"/>
    <cellStyle name="_Mechanical Contribution Margins (Q2'06) 0705_Mechanical Contribution Margins forecast 0506 FP_Volume Fcst 1006 updated_2009 xBOX ramp up budget code applicaiton 300K --New May26 (3)" xfId="13852"/>
    <cellStyle name="_PL Forecast by segment-most final 0806_Tom OS ( Oct)_X-BOX Console line setup budget 20080414" xfId="13853"/>
    <cellStyle name="差_pq_Jackson 效益分析 (1-18 A7)" xfId="13854"/>
    <cellStyle name="好_River EE BOM_Creak Pearl Reliability Fixture RFQ_2009 04 24_Creek  Pearl RFQ_May 12_Leopard_UniBOM_ME_0602-1_Bolt RFQ_Foxlink_03.1 2011_nego meeting@MACH 5" xfId="13855"/>
    <cellStyle name="_Mechanical Contribution Margins (Q2'06) 0705_Mechanical Contribution Margins forecast 0506 FP_Volume Fcst 1006 updated_Budget GC Other Form" xfId="13856"/>
    <cellStyle name="差_MS Bolt wireless mouse FixtureEquipment Cost_A5_2010_02_21_Bolt RFQ Proposal_Foxlink_ (Pricing Summary) 2 25 2011 2" xfId="13857"/>
    <cellStyle name="_Mechanical Contribution Margins (Q2'06) 0705_Mechanical Contribution Margins forecast 0506 FP_Volume Fcst 1006 updated_Copy of Tom OS ( Oct) new for LOG" xfId="13858"/>
    <cellStyle name="差_Creak Pearl Reliability Fixture RFQ_2009 04 24_Pearl RFQ(Submittal)ver2_05_12_2009 _Squirrel UniBom-06.23.2010_update_internal_Bolt RFQ_Foxlink_03.1 2011" xfId="13859"/>
    <cellStyle name="_Mechanical Contribution Margins (Q2'06) 0705_Mechanical Contribution Margins forecast 0506 FP_Volume Fcst 1006 updated_Copy of Tom OS ( Oct) new for LOG_2009 xBOX ramp up budget code applicaiton" xfId="13860"/>
    <cellStyle name="差_Xl0000002_Leopard_UniBOM_ME_0602-1_Bolt RFQ_Foxlink_03.1 2011 5" xfId="13861"/>
    <cellStyle name="差_Creak Pearl Reliability Fixture RFQ_2009 04 24_Creek RFQ feedback 04_28_2009_FD Update_Leopard RFQ ME BOM Costs-0618-2 3 3" xfId="13862"/>
    <cellStyle name="_Mechanical Contribution Margins (Q2'06) 0705_Mechanical Contribution Margins forecast 0506 FP_Volume Fcst 1006 updated_Copy of Tom OS ( Oct) new for LOG_2009 xBOX ramp up budget code applicaiton 300K --New May27" xfId="13863"/>
    <cellStyle name="_Mechanical Contribution Margins (Q2'06) 0705_Mechanical Contribution Margins forecast 0506 FP_Volume Fcst 1006 updated_Copy of Tom OS ( Oct) new for LOG_Budget GC Other Form" xfId="13864"/>
    <cellStyle name="好_River EE BOM_Creak Pearl Reliability Fixture RFQ_2009 04 24_Xl0000002_Squirrel RFQ ME BOM Costs-0623_Bolt RFQ Proposal_Foxlink_ (Pricing Summary) 2 25 2011 2 4" xfId="13865"/>
    <cellStyle name="_Mechanical Contribution Margins (Q2'06) 0705_Mechanical Contribution Margins forecast 0506 FP_Volume Fcst 1006 updated_Copy of Tom OS ( Oct) new for LOG_Copy of X-BOX for line setup budget" xfId="13866"/>
    <cellStyle name="差_HP Mouse 產能評估(上系統)_Erie 效益分析 (Update)_~5631336_Jackson 效益分析 (2-1 B0 上系統)_Leopard Flowchart &amp; 產能評估" xfId="13867"/>
    <cellStyle name="_Mechanical Contribution Margins (Q2'06) 0705_Mechanical Contribution Margins forecast 0506 FP_Volume Fcst 1006 updated_Copy of Tom OS ( Oct) new for LOG_X-BOX BB" xfId="13868"/>
    <cellStyle name="一般 4 3 4 3" xfId="13869"/>
    <cellStyle name="_Mechanical Contribution Margins (Q2'06) 0705_Mechanical Contribution Margins forecast 0506 FP_Volume Fcst 1006 updated_Copy of Tom OS ( Oct) new for LOG_X-BOX Console line setup budget 20080414" xfId="13870"/>
    <cellStyle name="差_效益分析&amp;產能評估_MS Bolt wireless mouse FixtureEquipment Cost_A5_2010_02_21_Bolt RFQ Proposal_Foxlink_ (Pricing Summary) 2 25 2011 2 2 3" xfId="13871"/>
    <cellStyle name="_Mechanical Contribution Margins (Q2'06) 0705_Mechanical Contribution Margins forecast 0506 FP_Volume Fcst 1006 updated_Copy of Tom OS ( Oct) new for LOG_X-BOX Console line setup budget and Buyer list" xfId="13872"/>
    <cellStyle name="_Mechanical Contribution Margins (Q2'06) 0705_Mechanical Contribution Margins forecast 0506 FP_Volume Fcst 1006 updated_Copy of X-BOX for line setup budget" xfId="13873"/>
    <cellStyle name="_Mechanical Contribution Margins (Q2'06) 0705_Mechanical Contribution Margins forecast 0506 FP_Volume Fcst 1006 updated_Forecast Template v4" xfId="13874"/>
    <cellStyle name="_Mechanical Contribution Margins (Q2'06) 0705_Mechanical Contribution Margins forecast 0506 FP_Volume Fcst 1006 updated_Tom OS ( Oct)" xfId="13875"/>
    <cellStyle name="args.style" xfId="13876"/>
    <cellStyle name="好_River EE BOM_Squirrel UniBom-06.23.2010_update_internal_Bolt RFQ Proposal_Foxlink_ (Pricing Summary) 2 25 2011 3" xfId="13877"/>
    <cellStyle name="_Mechanical Contribution Margins (Q2'06) 0705_Mechanical Contribution Margins forecast 0506 FP_Volume Fcst 1006 updated_Tom OS ( Oct)_2009 xBOX ramp up budget code applicaiton" xfId="13878"/>
    <cellStyle name="_Mechanical Contribution Margins (Q2'06) 0705_Mechanical Contribution Margins forecast 0506 FP_Volume Fcst 1006 updated_Tom OS ( Oct)_2009 xBOX ramp up budget code applicaiton 300K --New May26 (3)" xfId="13879"/>
    <cellStyle name="_P5 Freight In Reporting" xfId="13880"/>
    <cellStyle name="_Mechanical Contribution Margins (Q2'06) 0705_Mechanical Contribution Margins forecast 0506 FP_Volume Fcst 1006 updated_Tom OS ( Oct)_Budget GC Other Form" xfId="13881"/>
    <cellStyle name="_Mechanical Contribution Margins (Q2'06) 0705_Mechanical Contribution Margins forecast 0506 FP_Volume Fcst 1006 updated_Tom OS ( Oct)_Forecast Template v4" xfId="13882"/>
    <cellStyle name="差_Creak Pearl Reliability Fixture RFQ_2009 04 24_Xl0000002_Leopard RFQ ME BOM Costs-0618-2_Bolt RFQ Proposal_Foxlink_ (Pricing Summary) 2 25 2011 4 2" xfId="13883"/>
    <cellStyle name="好_River EE BOM_Creak Pearl Reliability Fixture RFQ_2009 04 24_Xl0000002_Bolt RFQ_Foxlink_03.1 2011" xfId="13884"/>
    <cellStyle name="差_HP  專案(設備&amp;治工具需夠買)update_MS Bolt wireless mouse FixtureEquipment Cost_A5_2010_02_21_Bolt RFQ Proposal_Foxlink_ (Pricing Summary) 2 25 2011 5 2" xfId="13885"/>
    <cellStyle name="_Mechanical Contribution Margins (Q2'06) 0705_Mechanical Contribution Margins forecast 0506 FP_Volume Fcst 1006 updated_Tom OS ( Oct)_X-BOX BB" xfId="13886"/>
    <cellStyle name="_Mechanical Contribution Margins (Q2'06) 0705_Mechanical Contribution Margins forecast 0506 FP_Volume Fcst 1006 updated_Tom OS ( Oct)_X-BOX Console line setup budget 20080414" xfId="13887"/>
    <cellStyle name="差_Creak Pearl Reliability Fixture RFQ_2009 04 24_Creek  Pearl RFQ_May 12_Leopard Lemur Squirrel UniBom-06.22.2010_EE cost _update_internal_Bolt RFQ Proposal_Foxlink_ (Pricing Summary) 2 25 2011 2" xfId="13888"/>
    <cellStyle name="_Mechanical Contribution Margins (Q2'06) 0705_Mechanical Contribution Margins forecast 0506 FP_Volume Fcst 1006 updated_Tom OS ( Oct)_X-BOX Console line setup budget and Buyer list" xfId="13889"/>
    <cellStyle name="_Mechanical Contribution Margins (Q2'06) 0705_Mechanical Contribution Margins forecast 0506 FP_Volume Fcst 1006 updated_X-BOX BB" xfId="13890"/>
    <cellStyle name="_Mechanical Contribution Margins (Q2'06) 0705_Mechanical Contribution Margins forecast 0506 FP_Volume Fcst 1006 updated_X-BOX Console line setup budget and Buyer list" xfId="13891"/>
    <cellStyle name="_Mechanical Contribution Margins (Q2'06) 0705_Mechanical Contribution Margins forecast 0506 FP_X-BOX Console line setup budget 20080414" xfId="13892"/>
    <cellStyle name="_Mechanical Contribution Margins (Q2'06) 0705_Mechanical Contribution Margins forecast 0506 FP_X-BOX Console line setup budget and Buyer list" xfId="13893"/>
    <cellStyle name="_Mechanical Contribution Margins (Q2'06) 0705_PL Fcst Jul 06-updated G&amp;A Value" xfId="13894"/>
    <cellStyle name="好_Creek EE BOM cost_20090425_Creek RFQ feedback 04_28_2009_FD Update_Foxlink_Shadow RFQ NREUni BOM_12032009_Bolt RFQ Proposal_Foxlink_ (Pricing Summary) 2 25 2011 2 2" xfId="13895"/>
    <cellStyle name="_Mechanical Contribution Margins (Q2'06) 0705_PL Fcst Jul 06-updated G&amp;A Value_2009 xBOX ramp up budget code applicaiton" xfId="13896"/>
    <cellStyle name="_Mechanical Contribution Margins (Q2'06) 0705_PL Fcst Jul 06-updated G&amp;A Value_2009 xBOX ramp up budget code applicaiton 300K --New May26 (3)" xfId="13897"/>
    <cellStyle name="_Mechanical Contribution Margins (Q2'06) 0705_PL Fcst Jul 06-updated G&amp;A Value_Budget GC Other Form" xfId="13898"/>
    <cellStyle name="好_River EE BOM_Creak Pearl Reliability Fixture RFQ_2009 04 24_Creek  Pearl RFQ_May 12_Leopard_UniBOM_ME_0531 2 2 2" xfId="13899"/>
    <cellStyle name="好_K TEST 2 2 2 3" xfId="13900"/>
    <cellStyle name="_Mechanical Contribution Margins (Q2'06) 0705_PL Fcst Jul 06-updated G&amp;A Value_Copy of Tom OS ( Oct) new for LOG" xfId="13901"/>
    <cellStyle name="_Mechanical Contribution Margins (Q2'06) 0705_PL Fcst Jul 06-updated G&amp;A Value_Copy of Tom OS ( Oct) new for LOG_2009 xBOX ramp up budget code applicaiton" xfId="13902"/>
    <cellStyle name="_Opex Seasonality_P6 Si Ops review (2)" xfId="13903"/>
    <cellStyle name="好_Creek EE BOM cost_20090425_Leopard RFQ ME BOM Costs-0618-2_Bolt RFQ_Foxlink_03.1 2011_nego meeting@MACH 3" xfId="13904"/>
    <cellStyle name="_Mechanical Contribution Margins (Q2'06) 0705_PL Fcst Jul 06-updated G&amp;A Value_Copy of Tom OS ( Oct) new for LOG_2009 xBOX ramp up budget code applicaiton 300K --New May26 (3)" xfId="13905"/>
    <cellStyle name="_Mechanical Contribution Margins (Q2'06) 0705_PL Fcst Jul 06-updated G&amp;A Value_Copy of Tom OS ( Oct) new for LOG_2009 xBOX ramp up budget code applicaiton 300K --New May27" xfId="13906"/>
    <cellStyle name="_Mechanical Contribution Margins (Q2'06) 0705_PL Fcst Jul 06-updated G&amp;A Value_Copy of Tom OS ( Oct) new for LOG_Budget GC Other Form" xfId="13907"/>
    <cellStyle name="_Mechanical Contribution Margins (Q2'06) 0705_PL Fcst Jul 06-updated G&amp;A Value_Copy of Tom OS ( Oct) new for LOG_Forecast Template v4" xfId="13908"/>
    <cellStyle name="差_Creek RFQ feedback 04_28_2009_FD Update_Jackson and Shadow BOM cost_mainfile_2010 0324 rev.1_Leopard UniBom_Foxlink_12272010 RevF_shirley" xfId="13909"/>
    <cellStyle name="_Mechanical Contribution Margins (Q2'06) 0705_PL Fcst Jul 06-updated G&amp;A Value_Copy of Tom OS ( Oct) new for LOG_X-BOX BB" xfId="13910"/>
    <cellStyle name="_PL Fcst_akl(Friday)_Volume Fcst 1006 updated_Tom OS ( Oct)_Forecast Template v4" xfId="13911"/>
    <cellStyle name="_Mechanical Contribution Margins (Q2'06) 0705_PL Fcst Jul 06-updated G&amp;A Value_Copy of Tom OS ( Oct) new for LOG_X-BOX Console line setup budget 20080414" xfId="13912"/>
    <cellStyle name="_Mechanical Contribution Margins (Q2'06) 0705_PL Fcst Jul 06-updated G&amp;A Value_Copy of Tom OS ( Oct) new for LOG_X-BOX Console line setup budget and Buyer list" xfId="13913"/>
    <cellStyle name="好_Creek EE BOM cost_20090425_Leopard RFQ ME BOM Costs-0618_Bolt RFQ_Foxlink_03.1 2011 3" xfId="13914"/>
    <cellStyle name="差_F3   SMT設備明細_jupite r設備&amp;治工具LIST (總)_Flow Chart&amp;PQ分析(12-1)_~5631336_Jackson 效益分析 (2-1 B0 上系統)_Leopard效益分析08-17" xfId="13915"/>
    <cellStyle name="_Mechanical Contribution Margins (Q2'06) 0705_PL Fcst Jul 06-updated G&amp;A Value_Forecast Template v4" xfId="13916"/>
    <cellStyle name="_Mechanical Contribution Margins (Q2'06) 0705_PL Fcst Jul 06-updated G&amp;A Value_Internal Hourly Rate Q1 FY08 Version 06052007 Draft" xfId="13917"/>
    <cellStyle name="差_Xl0000002_Leopard_UniBOM_ME_0602-1_Bolt RFQ Proposal_Foxlink_ (Pricing Summary) 2 25 2011 2 2 3" xfId="13918"/>
    <cellStyle name="_Mechanical Contribution Margins (Q2'06) 0705_PL Fcst Jul 06-updated G&amp;A Value_Tom OS ( Oct)" xfId="13919"/>
    <cellStyle name="差_HP  專案(設備&amp;治工具需夠買)update_Bolt RFQ_Foxlink_03.1 2011_nego meeting@MACH" xfId="13920"/>
    <cellStyle name="_Mechanical Contribution Margins (Q2'06) 0705_PL Fcst Jul 06-updated G&amp;A Value_Tom OS ( Oct)_2009 xBOX ramp up budget code applicaiton 300K --New May26 (3)" xfId="13921"/>
    <cellStyle name="好_River EE BOM_Creak Pearl Reliability Fixture RFQ_2009 04 24_Pearl RFQ(Submittal)ver2_05_12_2009 _Squirrel UniBom-06.23.2010_update_internal_Bolt RFQ Proposal_Foxlink_ (Pricing Summary) 2 25 2011 2" xfId="13922"/>
    <cellStyle name="Percent 21 3 2" xfId="13923"/>
    <cellStyle name="_Mechanical Contribution Margins (Q2'06) 0705_PL Fcst Jul 06-updated G&amp;A Value_Tom OS ( Oct)_2009 xBOX ramp up budget code applicaiton 300K --New May27" xfId="13924"/>
    <cellStyle name="壞_Creek EE BOM cost_20090425_Creek RFQ feedback 04_28_2009_FD Update_Leopard_UniBOM_ME_0531" xfId="13925"/>
    <cellStyle name="_Mechanical Contribution Margins (Q2'06) 0705_PL Fcst Jul 06-updated G&amp;A Value_Tom OS ( Oct)_Budget GC Other Form" xfId="13926"/>
    <cellStyle name="_Mechanical Contribution Margins (Q2'06) 0705_PL Fcst Jul 06-updated G&amp;A Value_Tom OS ( Oct)_Forecast Template v4" xfId="13927"/>
    <cellStyle name="_Mechanical Contribution Margins (Q2'06) 0705_PL Fcst Jul 06-updated G&amp;A Value_Tom OS ( Oct)_X-BOX BB" xfId="13928"/>
    <cellStyle name="_Mechanical Contribution Margins (Q2'06) 0705_PL Fcst Jul 06-updated G&amp;A Value_Tom OS ( Oct)_X-BOX Console line setup budget 20080414" xfId="13929"/>
    <cellStyle name="_Mechanical Contribution Margins (Q2'06) 0705_PL Fcst Jul 06-updated G&amp;A Value_Tom OS ( Oct)_X-BOX Console line setup budget and Buyer list" xfId="13930"/>
    <cellStyle name="_Mechanical Contribution Margins (Q2'06) 0705_PL Fcst Jul 06-updated G&amp;A Value_X-BOX BB" xfId="13931"/>
    <cellStyle name="_Mechanical Contribution Margins (Q2'06) 0705_PL Fcst Jul 06-updated G&amp;A Value_X-BOX Console line setup budget 20080414" xfId="13932"/>
    <cellStyle name="好_0842周 顯卡報廢超標8D 6 3" xfId="13933"/>
    <cellStyle name="_Mechanical Contribution Margins (Q2'06) 0705_PL Forecast by segment-most final 0806_2009 xBOX ramp up budget code applicaiton" xfId="13934"/>
    <cellStyle name="_Mechanical Contribution Margins (Q2'06) 0705_PL Forecast by segment-most final 0806_2009 xBOX ramp up budget code applicaiton 300K --New May27" xfId="13935"/>
    <cellStyle name="好_River EE BOM_Xl0000000_Leopard UniBom_Foxlink_6 21 2010-ME_nego 2 2 3" xfId="13936"/>
    <cellStyle name="壞_Creek EE BOM cost_20090425_Creek RFQ feedback 04_28_2009_FD Update_Leopard_UniBOM_ME_0531_Bolt RFQ_Foxlink_03.1 2011_nego meeting@MACH 3 2" xfId="13937"/>
    <cellStyle name="_人力評估表小組驗證OK" xfId="13938"/>
    <cellStyle name="_Mechanical Contribution Margins (Q2'06) 0705_PL Forecast by segment-most final 0806_Budget GC Other Form" xfId="13939"/>
    <cellStyle name="差_Squirrel UniBom-06.23.2010_update_internal 4" xfId="13940"/>
    <cellStyle name="差_F3   SMT設備明細_jupite r設備&amp;治工具LIST (總)_flow chart 2009.12.12_~5631336" xfId="13941"/>
    <cellStyle name="_Mechanical Contribution Margins (Q2'06) 0705_PL Forecast by segment-most final 0806_Copy of Tom OS ( Oct) new for LOG_2009 xBOX ramp up budget code applicaiton" xfId="13942"/>
    <cellStyle name="_Mechanical Contribution Margins (Q2'06) 0705_PL Forecast by segment-most final 0806_Copy of Tom OS ( Oct) new for LOG_2009 xBOX ramp up budget code applicaiton 300K --New May26 (3)" xfId="13943"/>
    <cellStyle name="好_River EE BOM_Xl0000000_Leopard RFQ ME BOM Costs-0618-2_Bolt RFQ_Foxlink_03.1 2011_nego meeting@MACH 2 3" xfId="13944"/>
    <cellStyle name="好_Erie Assembly Fixture  Test Equip Cost_20090716_Foxlink_Shadow RFQ NREUni BOM_12032009_Bolt RFQ_Foxlink_03.1 2011_nego meeting@MACH 2" xfId="13945"/>
    <cellStyle name="_Mechanical Contribution Margins (Q2'06) 0705_PL Forecast by segment-most final 0806_Copy of Tom OS ( Oct) new for LOG_Budget GC Other Form" xfId="13946"/>
    <cellStyle name="_不良明細_教育訓練名單" xfId="13947"/>
    <cellStyle name="_Mechanical Contribution Margins (Q2'06) 0705_PL Forecast by segment-most final 0806_Copy of Tom OS ( Oct) new for LOG_Copy of X-BOX for line setup budget" xfId="13948"/>
    <cellStyle name="_Mechanical Contribution Margins (Q2'06) 0705_PL Forecast by segment-most final 0806_Copy of Tom OS ( Oct) new for LOG_Forecast Template v4" xfId="13949"/>
    <cellStyle name="_Mechanical Contribution Margins (Q2'06) 0705_PL Forecast by segment-most final 0806_Copy of Tom OS ( Oct) new for LOG_X-BOX BB" xfId="13950"/>
    <cellStyle name="好_Creek Assembly Fixture  Test Equipment RFQ_20090427_Leopard_UniBOM_ME_0603-2_Bolt_Cliff 3" xfId="13951"/>
    <cellStyle name="好_效益分析&amp;產能評估_MS Bolt wireless mouse FixtureEquipment Cost_A5_2010_02_21_Bolt RFQ Proposal_Foxlink_ (Pricing Summary) 2 25 2011 5" xfId="13952"/>
    <cellStyle name="_Mechanical Contribution Margins (Q2'06) 0705_PL Forecast by segment-most final 0806_Copy of Tom OS ( Oct) new for LOG_X-BOX Console line setup budget 20080414" xfId="13953"/>
    <cellStyle name="_Mechanical Contribution Margins (Q2'06) 0705_PL Forecast by segment-most final 0806_Copy of Tom OS ( Oct) new for LOG_X-BOX Console line setup budget and Buyer list" xfId="13954"/>
    <cellStyle name="差_治具工程課2009年KPI_HP 5 2" xfId="13955"/>
    <cellStyle name="差_HP  專案(設備&amp;治工具需夠買)update_Bolt RFQ_Foxlink_03.1 2011 3" xfId="13956"/>
    <cellStyle name="好_Erie 效益分析 (Update)_效益分析(總 12-28 Update)_~1159284" xfId="13957"/>
    <cellStyle name="_Mechanical Contribution Margins (Q2'06) 0705_PL Forecast by segment-most final 0806_Copy of X-BOX for line setup budget" xfId="13958"/>
    <cellStyle name="_Mechanical Contribution Margins (Q2'06) 0705_PL Forecast by segment-most final 0806_Forecast Template v4" xfId="13959"/>
    <cellStyle name="好_Creek Assembly Fixture  Test Equipment RFQ_20090427_Xl0000002_Leopard_UniBOM_ME_0602-1 2 2 3" xfId="13960"/>
    <cellStyle name="_Mechanical Contribution Margins (Q2'06) 0705_PL Forecast by segment-most final 0806_Tom OS ( Oct)" xfId="13961"/>
    <cellStyle name="_Mechanical Contribution Margins (Q2'06) 0705_PL Forecast by segment-most final 0806_Tom OS ( Oct)_2009 xBOX ramp up budget code applicaiton" xfId="13962"/>
    <cellStyle name="_Mechanical Contribution Margins (Q2'06) 0705_PL Forecast by segment-most final 0806_Tom OS ( Oct)_2009 xBOX ramp up budget code applicaiton 300K --New May26 (3)" xfId="13963"/>
    <cellStyle name="_PAVO DV Flowchart_Nazca copy exact flow chart 20120409" xfId="13964"/>
    <cellStyle name="_Mechanical Contribution Margins (Q2'06) 0705_PL Forecast by segment-most final 0806_Tom OS ( Oct)_2009 xBOX ramp up budget code applicaiton 300K --New May27" xfId="13965"/>
    <cellStyle name="Normal 9 15" xfId="13966"/>
    <cellStyle name="强调文字颜色 3 2 3 3" xfId="13967"/>
    <cellStyle name="_Mechanical Contribution Margins (Q2'06) 0705_PL Forecast by segment-most final 0806_Tom OS ( Oct)_Budget GC Other Form" xfId="13968"/>
    <cellStyle name="_Mechanical Contribution Margins (Q2'06) 0705_PL Forecast by segment-most final 0806_Tom OS ( Oct)_X-BOX Console line setup budget 20080414" xfId="13969"/>
    <cellStyle name="好_River EE BOM_Creak Pearl Reliability Fixture RFQ_2009 04 24_Leopard RFQ ME BOM Costs-0618_Bolt RFQ_Foxlink_03.1 2011_nego meeting@MACH 2 2" xfId="13970"/>
    <cellStyle name="_Mechanical Contribution Margins (Q2'06) 0705_PL Forecast by segment-most final 0806_Tom OS ( Oct)_X-BOX Console line setup budget and Buyer list" xfId="13971"/>
    <cellStyle name="差_Xl0000000_Leopard Lemur Squirrel UniBom-06.22.2010_EE cost _update_internal" xfId="13972"/>
    <cellStyle name="好_費用統計_Jackson 效益分析 (2-1 B0 上系統)_Leopard Flowchart &amp; 產能評估" xfId="13973"/>
    <cellStyle name="_Mechanical Contribution Margins (Q2'06) 0705_PL Forecast by segment-most final 0806_X-BOX BB" xfId="13974"/>
    <cellStyle name="Comma 2 2" xfId="13975"/>
    <cellStyle name="壞_Creek Assembly Fixture  Test Equipment RFQ_20090427_Xl0000002_Leopard Lemur Squirrel UniBom-06.22.2010_EE cost _update_internal_Bolt RFQ Proposal_Foxlink_ (Pricing Summary) 2 25 2011 3 3" xfId="13976"/>
    <cellStyle name="_Sales Forecast (plastic XX)0703_Tom OS ( Oct)" xfId="13977"/>
    <cellStyle name="_Sales Forecast (plastic XX)1203_Tom OS ( Oct)" xfId="13978"/>
    <cellStyle name="_Mechanical Contribution Margins (Q2'06) 0705_PL Forecast by segment-most final 0806_X-BOX Console line setup budget 20080414" xfId="13979"/>
    <cellStyle name="_Mechanical Contribution Margins (Q2'06) 0705_PL Forecast by segment-most final 0806_X-BOX Console line setup budget and Buyer list" xfId="13980"/>
    <cellStyle name="差_Xl0000002_Leopard RFQ ME BOM Costs-0618_Bolt RFQ_Foxlink_03.1 2011_nego meeting@MACH 2" xfId="13981"/>
    <cellStyle name="_每周檢出率推移圖" xfId="13982"/>
    <cellStyle name="_Mechanical Contribution Margins (Q2'06) 0705_Tom OS ( Oct)" xfId="13983"/>
    <cellStyle name="_Pre-Close Meeting Aug FY06" xfId="13984"/>
    <cellStyle name="_Mechanical Contribution Margins (Q2'06) 0705_Tom OS ( Oct)_2009 xBOX ramp up budget code applicaiton" xfId="13985"/>
    <cellStyle name="_Mechanical Contribution Margins (Q2'06) 0705_Tom OS ( Oct)_2009 xBOX ramp up budget code applicaiton 300K --New May26 (3)" xfId="13986"/>
    <cellStyle name="_Mechanical Contribution Margins (Q2'06) 0705_Tom OS ( Oct)_2009 xBOX ramp up budget code applicaiton 300K --New May27" xfId="13987"/>
    <cellStyle name="_quotation(IBM) to david new_Quote Format - sample Rev 7" xfId="13988"/>
    <cellStyle name="好_River EE BOM_Xl0000002_Leopard_UniBOM_ME_0531_Bolt RFQ_Foxlink_03.1 2011 5" xfId="13989"/>
    <cellStyle name="差_治具工程課2009年KPI_KPI 1006 2 2 4" xfId="13990"/>
    <cellStyle name="好_River EE BOM_Creek RFQ feedback 04_28_2009_FD Update_Leopard_UniBOM_ME_0531 2 2" xfId="13991"/>
    <cellStyle name="好_Creek Assembly Fixture  Test Equipment RFQ_20090427_Leopard_UniBOM_ME_0603-2_Bolt RFQ_Foxlink_03.1 2011_Bolt_Cliff 3" xfId="13992"/>
    <cellStyle name="_Mechanical Contribution Margins (Q2'06) 0705_Tom OS ( Oct)_Copy of X-BOX for line setup budget" xfId="13993"/>
    <cellStyle name="差_治具工程課2009年KPI_產線生產規劃KPI 4" xfId="13994"/>
    <cellStyle name="_Mechanical Contribution Margins (Q2'06) 0705_Tom OS ( Oct)_Forecast Template v4" xfId="13995"/>
    <cellStyle name="_Mechanical Contribution Margins (Q2'06) 0705_Tom OS ( Oct)_X-BOX BB" xfId="13996"/>
    <cellStyle name="_Mechanical Contribution Margins (Q2'06) 0705_Tom OS ( Oct)_X-BOX Console line setup budget and Buyer list" xfId="13997"/>
    <cellStyle name="Normal 4 5 2 5" xfId="13998"/>
    <cellStyle name="_Mechanical Contribution Margins (Q2'06) 0705_Volume Fcst 1006 updated_2009 xBOX ramp up budget code applicaiton" xfId="13999"/>
    <cellStyle name="_Mechanical Contribution Margins (Q2'06) 0705_Volume Fcst 1006 updated_2009 xBOX ramp up budget code applicaiton 300K --New May26 (3)" xfId="14000"/>
    <cellStyle name="60% - 强调文字颜色 6 2 2 4" xfId="14001"/>
    <cellStyle name="_Mechanical Contribution Margins (Q2'06) 0705_Volume Fcst 1006 updated_2009 xBOX ramp up budget code applicaiton 300K --New May27" xfId="14002"/>
    <cellStyle name="差_F3   SMT設備明細_M1 Squirrel Capacity planFixtureEquipment Cost_A2_06192010_Leopard UniBom_Foxlink_12272010 RevF_shirley" xfId="14003"/>
    <cellStyle name="_Mechanical Contribution Margins (Q2'06) 0705_Volume Fcst 1006 updated_Budget GC Other Form" xfId="14004"/>
    <cellStyle name="_Mechanical Contribution Margins (Q2'06) 0705_Volume Fcst 1006 updated_Copy of Tom OS ( Oct) new for LOG" xfId="14005"/>
    <cellStyle name="_Mechanical Contribution Margins (Q2'06) 0705_Volume Fcst 1006 updated_Copy of Tom OS ( Oct) new for LOG_2009 xBOX ramp up budget code applicaiton" xfId="14006"/>
    <cellStyle name="_Mechanical Contribution Margins (Q2'06) 0705_Volume Fcst 1006 updated_Copy of Tom OS ( Oct) new for LOG_2009 xBOX ramp up budget code applicaiton 300K --New May26 (3)" xfId="14007"/>
    <cellStyle name="好_River EE BOM_Creak Pearl Reliability Fixture RFQ_2009 04 24_Creek  Pearl RFQ_May 12_Leopard_UniBOM_ME_0531_Bolt RFQ_Foxlink_03.1 2011_nego meeting@MACH 2" xfId="14008"/>
    <cellStyle name="_Mechanical Contribution Margins (Q2'06) 0705_Volume Fcst 1006 updated_Copy of Tom OS ( Oct) new for LOG_Copy of X-BOX for line setup budget" xfId="14009"/>
    <cellStyle name="Border 2 2" xfId="14010"/>
    <cellStyle name="_Mechanical Contribution Margins (Q2'06) 0705_Volume Fcst 1006 updated_Copy of Tom OS ( Oct) new for LOG_Forecast Template v4" xfId="14011"/>
    <cellStyle name="差_F3   SMT設備明細_jupite r設備&amp;治工具LIST (總)_Flow Chart&amp;PQ分析(12-1)_Jackson 效益分析 (2-1 B0 上系統)" xfId="14012"/>
    <cellStyle name="差_效益分析&amp;產能評估_M1 Bolt wireless mouse FixtureEquipment Cost_A2_2010_12_07 3" xfId="14013"/>
    <cellStyle name="_Mechanical Contribution Margins (Q2'06) 0705_Volume Fcst 1006 updated_Copy of Tom OS ( Oct) new for LOG_X-BOX BB" xfId="14014"/>
    <cellStyle name="_Mechanical Contribution Margins (Q2'06) 0705_Volume Fcst 1006 updated_Copy of Tom OS ( Oct) new for LOG_X-BOX Console line setup budget 20080414" xfId="14015"/>
    <cellStyle name="_Mechanical Contribution Margins (Q2'06) 0705_Volume Fcst 1006 updated_Copy of Tom OS ( Oct) new for LOG_X-BOX Console line setup budget and Buyer list" xfId="14016"/>
    <cellStyle name="差_Creak Pearl Reliability Fixture RFQ_2009 04 24_Pearl RFQ(Submittal)ver2_05_12_2009 _Squirrel RFQ ME BOM Costs-0623 2 4" xfId="14017"/>
    <cellStyle name="_Mechanical Contribution Margins (Q2'06) 0705_Volume Fcst 1006 updated_Copy of X-BOX for line setup budget" xfId="14018"/>
    <cellStyle name="_Mechanical Contribution Margins (Q2'06) 0705_Volume Fcst 1006 updated_Tom OS ( Oct)_2009 xBOX ramp up budget code applicaiton 300K --New May26 (3)" xfId="14019"/>
    <cellStyle name="差_Jackson and Shadow test cost update _7th Feb 2010 (2)_Bristol TC Estimate Update 08112011_internal working file" xfId="14020"/>
    <cellStyle name="_Mechanical Contribution Margins (Q2'06) 0705_Volume Fcst 1006 updated_Tom OS ( Oct)_2009 xBOX ramp up budget code applicaiton 300K --New May27" xfId="14021"/>
    <cellStyle name="_Mechanical Contribution Margins (Q2'06) 0705_Volume Fcst 1006 updated_Tom OS ( Oct)_Budget GC Other Form" xfId="14022"/>
    <cellStyle name="差_F3   SMT設備明細_效益分析_flow chart 2009.12.12_Flow Chart&amp;設備治工具清單 _Jackson 效益分析 (2-1 B0 上系統)" xfId="14023"/>
    <cellStyle name="好_Creek EE BOM cost_20090425_Creek RFQ feedback 04_28_2009_FD Update_Squirrel UniBom-06.23.2010_update_internal_Bolt RFQ_Foxlink_03.1 2011 4" xfId="14024"/>
    <cellStyle name="_overall Mulan PTK w28_Nazca copy exact flow chart 2012313" xfId="14025"/>
    <cellStyle name="_Mechanical Contribution Margins (Q2'06) 0705_Volume Fcst 1006 updated_Tom OS ( Oct)_Copy of X-BOX for line setup budget" xfId="14026"/>
    <cellStyle name="_PL Fcst_akl(Friday)_PL Fcst Jul 06-updated G&amp;A Value_Copy of Tom OS ( Oct) new for LOG_2009 xBOX ramp up budget code applicaiton 300K --New May27" xfId="14027"/>
    <cellStyle name="_Mechanical Contribution Margins (Q2'06) 0705_Volume Fcst 1006 updated_Tom OS ( Oct)_X-BOX BB" xfId="14028"/>
    <cellStyle name="_Mechanical Contribution Margins (Q2'06) 0705_Volume Fcst 1006 updated_Tom OS ( Oct)_X-BOX Console line setup budget 20080414" xfId="14029"/>
    <cellStyle name="_Mechanical Contribution Margins (Q2'06) 0705_Volume Fcst 1006 updated_Tom OS ( Oct)_X-BOX Console line setup budget and Buyer list" xfId="14030"/>
    <cellStyle name="_Mechanical Contribution Margins (Q2'06) 0705_Volume Fcst 1006 updated_X-BOX BB" xfId="14031"/>
    <cellStyle name="差_0842周 顯卡報廢超標8D 3 3" xfId="14032"/>
    <cellStyle name="_Mechanical Contribution Margins (Q2'06) 0705_Volume Fcst 1006 updated_X-BOX Console line setup budget 20080414" xfId="14033"/>
    <cellStyle name="差_HP Mouse 產能評估(上系統)_M1 SuedeFixtureEquipment Cost_A0_2010_10_15_Bolt RFQ Proposal_Foxlink_ (Pricing Summary) 2 25 2011 5 3" xfId="14034"/>
    <cellStyle name="_Mechanical Contribution Margins (Q2'06) 0705_Volume Fcst 1006 updated_X-BOX Console line setup budget and Buyer list" xfId="14035"/>
    <cellStyle name="差_F3   SMT設備明細_Erie mouse 效益分析( 11-19 A1)_Jackson 效益分析 (2-1 B0 上系統)_squirrel效益分析08-17" xfId="14036"/>
    <cellStyle name="_Mechanical Contribution Margins (Q2'06) 0705_X-BOX BB" xfId="14037"/>
    <cellStyle name="差_Creak Pearl Reliability Fixture RFQ_2009 04 24_Creek  Pearl RFQ_May 12_Foxlink_Shadow RFQ NREUni BOM_12032009_Bolt RFQ_Foxlink_03.1 2011_nego meeting@MACH 2 2" xfId="14038"/>
    <cellStyle name="好_Creek EE BOM cost_20090425_Leopard_UniBOM_ME_0602 2" xfId="14039"/>
    <cellStyle name="_Mechanical Contribution Margins (Q2'06) 0705_X-BOX Console line setup budget 20080414" xfId="14040"/>
    <cellStyle name="好_Creek EE BOM cost_20090425_Leopard RFQ ME BOM Costs-0618 2 4" xfId="14041"/>
    <cellStyle name="好_Creek EE BOM cost_20090425_Bristol UniBom_Foxlink_02082011 RevA" xfId="14042"/>
    <cellStyle name="_PPV ALLOCATION-Nov04_Dawson_RFP_Foxlink_Response_Proposal 的 工作表_RFQ_River_BAFO_2008 0606_M1_Stream Quotebook(Submittal)_POC1_20080903 2" xfId="14043"/>
    <cellStyle name="_Mechanical Contribution Margins (Q2'06) 0705_X-BOX Console line setup budget and Buyer list" xfId="14044"/>
    <cellStyle name="_Mechanical Contribution Margins forecast 0506 FP_2009 xBOX ramp up budget code applicaiton" xfId="14045"/>
    <cellStyle name="_Mechanical Contribution Margins forecast 0506 FP_2009 xBOX ramp up budget code applicaiton 300K --New May26 (3)" xfId="14046"/>
    <cellStyle name="_Xe COGP_P2 Waynea review" xfId="14047"/>
    <cellStyle name="_Mechanical Contribution Margins forecast 0506 FP_2009 xBOX ramp up budget code applicaiton 300K --New May27" xfId="14048"/>
    <cellStyle name="_Mechanical Contribution Margins forecast 0506 FP_Budget GC Other Form" xfId="14049"/>
    <cellStyle name="_Mechanical Contribution Margins forecast 0506 FP_Copy of Tom OS ( Oct) new for LOG" xfId="14050"/>
    <cellStyle name="_Mechanical Contribution Margins forecast 0506 FP_Copy of Tom OS ( Oct) new for LOG_2009 xBOX ramp up budget code applicaiton" xfId="14051"/>
    <cellStyle name="差_F3   SMT設備明細 3 2" xfId="14052"/>
    <cellStyle name="9_Revised AP DPO Oct 04 v2_PL Forecast by segment-most final 0806_Copy of Tom OS ( Oct) new for LOG_2009 xBOX ramp up budget code applicaiton 300K --New May27" xfId="14053"/>
    <cellStyle name="_Mechanical Contribution Margins forecast 0506 FP_Copy of Tom OS ( Oct) new for LOG_2009 xBOX ramp up budget code applicaiton 300K --New May26 (3)" xfId="14054"/>
    <cellStyle name="_Mechanical Contribution Margins forecast 0506 FP_Copy of Tom OS ( Oct) new for LOG_Forecast Template v4" xfId="14055"/>
    <cellStyle name="7_P139 CCM 1129" xfId="14056"/>
    <cellStyle name="_Mechanical Contribution Margins forecast 0506 FP_Copy of Tom OS ( Oct) new for LOG_X-BOX Console line setup budget 20080414" xfId="14057"/>
    <cellStyle name="_Mechanical Contribution Margins forecast 0506 FP_Copy of Tom OS ( Oct) new for LOG_X-BOX Console line setup budget and Buyer list" xfId="14058"/>
    <cellStyle name="差_Creak Pearl Reliability Fixture RFQ_2009 04 24_Xl0000002 3 3" xfId="14059"/>
    <cellStyle name="好_River EE BOM_Creek RFQ feedback 04_28_2009_FD Update_Leopard_UniBOM_ME_0603-2_Bolt RFQ_Foxlink_03.1 2011_nego meeting@MACH 2 3" xfId="14060"/>
    <cellStyle name="_Mechanical Contribution Margins forecast 0506 FP_Internal Hourly Rate Q1 FY08 Version 06052007 Draft" xfId="14061"/>
    <cellStyle name="_Mechanical Contribution Margins forecast 0506 FP_PL Fcst Jul 06-updated G&amp;A Value" xfId="14062"/>
    <cellStyle name="_Mechanical Contribution Margins forecast 0506 FP_PL Fcst Jul 06-updated G&amp;A Value_2009 xBOX ramp up budget code applicaiton" xfId="14063"/>
    <cellStyle name="好_River EE BOM_Creak Pearl Reliability Fixture RFQ_2009 04 24_Xl0000002_Leopard_UniBOM_ME_0602_Bolt RFQ Proposal_Foxlink_ (Pricing Summary) 2 25 2011 2" xfId="14064"/>
    <cellStyle name="_Mechanical Contribution Margins forecast 0506 FP_PL Fcst Jul 06-updated G&amp;A Value_2009 xBOX ramp up budget code applicaiton 300K --New May26 (3)" xfId="14065"/>
    <cellStyle name="好_River EE BOM_Creak Pearl Reliability Fixture RFQ_2009 04 24_Creek  Pearl RFQ_May 12_Leopard RFQ ME BOM Costs-0618-2_Bolt RFQ Proposal_Foxlink_ (Pricing Summary) 2 25 2011 2 2 2" xfId="14066"/>
    <cellStyle name="_Mechanical Contribution Margins forecast 0506 FP_PL Fcst Jul 06-updated G&amp;A Value_2009 xBOX ramp up budget code applicaiton 300K --New May27" xfId="14067"/>
    <cellStyle name="Normal 4 5 3 5" xfId="14068"/>
    <cellStyle name="_Mechanical Contribution Margins forecast 0506 FP_PL Fcst Jul 06-updated G&amp;A Value_Budget GC Other Form" xfId="14069"/>
    <cellStyle name="差_dallas產能評估_Flow Chart(shadow)-b (1-4 Update)_Jackson 效益分析 (2-1 B0 上系統)_Leopard效益分析08-17" xfId="14070"/>
    <cellStyle name="Check Cell 2 3" xfId="14071"/>
    <cellStyle name="_Mechanical Contribution Margins forecast 0506 FP_PL Fcst Jul 06-updated G&amp;A Value_Copy of Tom OS ( Oct) new for LOG" xfId="14072"/>
    <cellStyle name="_Mechanical Contribution Margins forecast 0506 FP_PL Fcst Jul 06-updated G&amp;A Value_Copy of Tom OS ( Oct) new for LOG_2009 xBOX ramp up budget code applicaiton 300K --New May26 (3)" xfId="14073"/>
    <cellStyle name="好_Creek EE BOM cost_20090425_Squirrel UniBom-06.23.2010_update_internal_Bolt RFQ_Foxlink_03.1 2011_nego meeting@MACH 4" xfId="14074"/>
    <cellStyle name="_Mechanical Contribution Margins forecast 0506 FP_PL Fcst Jul 06-updated G&amp;A Value_Copy of Tom OS ( Oct) new for LOG_2009 xBOX ramp up budget code applicaiton 300K --New May27" xfId="14075"/>
    <cellStyle name="_Mechanical Contribution Margins forecast 0506 FP_PL Fcst Jul 06-updated G&amp;A Value_Copy of Tom OS ( Oct) new for LOG_Budget GC Other Form" xfId="14076"/>
    <cellStyle name="_Mechanical Contribution Margins forecast 0506 FP_PL Fcst Jul 06-updated G&amp;A Value_Copy of Tom OS ( Oct) new for LOG_Copy of X-BOX for line setup budget" xfId="14077"/>
    <cellStyle name="_Mechanical Contribution Margins forecast 0506 FP_PL Fcst Jul 06-updated G&amp;A Value_Copy of Tom OS ( Oct) new for LOG_X-BOX BB" xfId="14078"/>
    <cellStyle name="_P3 Waynea review_CopyOfP6 Waynea review" xfId="14079"/>
    <cellStyle name="_Mechanical Contribution Margins forecast 0506 FP_PL Fcst Jul 06-updated G&amp;A Value_Copy of Tom OS ( Oct) new for LOG_X-BOX Console line setup budget and Buyer list" xfId="14080"/>
    <cellStyle name="_Mechanical Contribution Margins forecast 0506 FP_PL Fcst Jul 06-updated G&amp;A Value_Forecast Template v4" xfId="14081"/>
    <cellStyle name="_Mechanical Contribution Margins forecast 0506 FP_PL Fcst Jul 06-updated G&amp;A Value_Internal Hourly Rate Q1 FY08 Version 06052007 Draft" xfId="14082"/>
    <cellStyle name="_Mechanical Contribution Margins forecast 0506 FP_PL Fcst Jul 06-updated G&amp;A Value_Internal Hourly Rate Q1 FY08 Version 06142007 excl. Corporate Allocation" xfId="14083"/>
    <cellStyle name="_Mechanical Contribution Margins forecast 0506 FP_PL Fcst Jul 06-updated G&amp;A Value_Tom OS ( Oct)_2009 xBOX ramp up budget code applicaiton" xfId="14084"/>
    <cellStyle name="差_Creak Pearl Reliability Fixture RFQ_2009 04 24_Xl0000002_Leopard UniBom_Foxlink_6 21 2010-ME_nego_Bolt RFQ_Foxlink_03.1 2011 5" xfId="14085"/>
    <cellStyle name="_Mechanical Contribution Margins forecast 0506 FP_PL Fcst Jul 06-updated G&amp;A Value_Tom OS ( Oct)_2009 xBOX ramp up budget code applicaiton 300K --New May26 (3)" xfId="14086"/>
    <cellStyle name="_Mechanical Contribution Margins forecast 0506 FP_PL Fcst Jul 06-updated G&amp;A Value_Tom OS ( Oct)_2009 xBOX ramp up budget code applicaiton 300K --New May27" xfId="14087"/>
    <cellStyle name="好_Creek Assembly Fixture  Test Equipment RFQ_20090427_Foxlink_Shadow RFQ NREUni BOM_12032009_Bolt RFQ Proposal_Foxlink_ (Pricing Summary) 2 25 2011" xfId="14088"/>
    <cellStyle name="差_F3   SMT設備明細_jupite r設備&amp;治工具LIST (總)_flow chart 2009.12.12_~1159284" xfId="14089"/>
    <cellStyle name="_Mechanical Contribution Margins forecast 0506 FP_PL Fcst Jul 06-updated G&amp;A Value_Tom OS ( Oct)_Budget GC Other Form" xfId="14090"/>
    <cellStyle name="差_Creak Pearl Reliability Fixture RFQ_2009 04 24_Xl0000002_Leopard_UniBOM_ME_0602-1_Bolt RFQ_Foxlink_03.1 2011_nego meeting@MACH 3" xfId="14091"/>
    <cellStyle name="_Mechanical Contribution Margins forecast 0506 FP_PL Fcst Jul 06-updated G&amp;A Value_Tom OS ( Oct)_Copy of X-BOX for line setup budget" xfId="14092"/>
    <cellStyle name="好_River EE BOM_Creak Pearl Reliability Fixture RFQ_2009 04 24_Creek  Pearl RFQ_May 12_Leopard_UniBOM_ME_0602-1_Bolt RFQ_Foxlink_03.1 2011_nego meeting@MACH 3" xfId="14093"/>
    <cellStyle name="_Mechanical Contribution Margins forecast 0506 FP_PL Fcst Jul 06-updated G&amp;A Value_Tom OS ( Oct)_Forecast Template v4" xfId="14094"/>
    <cellStyle name="_Mechanical Contribution Margins forecast 0506 FP_PL Fcst Jul 06-updated G&amp;A Value_Tom OS ( Oct)_X-BOX BB" xfId="14095"/>
    <cellStyle name="_Mechanical Contribution Margins forecast 0506 FP_PL Fcst Jul 06-updated G&amp;A Value_Tom OS ( Oct)_X-BOX Console line setup budget 20080414" xfId="14096"/>
    <cellStyle name="差_Creak Pearl Reliability Fixture RFQ_2009 04 24_Xl0000002_Leopard_UniBOM_ME_0602_Bolt RFQ_Foxlink_03.1 2011_nego meeting@MACH" xfId="14097"/>
    <cellStyle name="好_Creek EE BOM cost_20090425_Creek RFQ feedback 04_28_2009_FD Update_Leopard_UniBOM_ME_0531 2 3" xfId="14098"/>
    <cellStyle name="好_River EE BOM_Creak Pearl Reliability Fixture RFQ_2009 04 24_Leopard Lemur Squirrel UniBom-06.22.2010_EE cost _update_internal 2 2 2" xfId="14099"/>
    <cellStyle name="差_Creak Pearl Reliability Fixture RFQ_2009 04 24_Creek RFQ feedback 04_28_2009_FD Update_Leopard_UniBOM_ME_0602_Bolt RFQ Proposal_Foxlink_ (Pricing Summary) 2 25 2011 3" xfId="14100"/>
    <cellStyle name="_Mechanical Contribution Margins forecast 0506 FP_PL Fcst Jul 06-updated G&amp;A Value_Tom OS ( Oct)_X-BOX Console line setup budget and Buyer list" xfId="14101"/>
    <cellStyle name="_Mechanical Contribution Margins forecast 0506 FP_PL Fcst Jul 06-updated G&amp;A Value_X-BOX BB" xfId="14102"/>
    <cellStyle name="_Mechanical Contribution Margins forecast 0506 FP_PL Fcst Jul 06-updated G&amp;A Value_X-BOX Console line setup budget and Buyer list" xfId="14103"/>
    <cellStyle name="好_River EE BOM_Creak Pearl Reliability Fixture RFQ_2009 04 24_Creek RFQ feedback 04_28_2009_FD Update_Leopard RFQ ME BOM Costs-0618_Bolt RFQ_Foxlink_03.1 2011 2 3" xfId="14104"/>
    <cellStyle name="_Mechanical Contribution Margins forecast 0506 FP_PL Forecast by segment-most final 0806" xfId="14105"/>
    <cellStyle name="差_F3   SMT設備明細_jupite r設備&amp;治工具LIST (總)_Jackson 效益分析 testing update_16th Jan1_Jackson 效益分析 (2-1 B0 上系統)" xfId="14106"/>
    <cellStyle name="_Mechanical Contribution Margins forecast 0506 FP_PL Forecast by segment-most final 0806_2009 xBOX ramp up budget code applicaiton" xfId="14107"/>
    <cellStyle name="壞_Creek EE BOM cost_20090425_Creek RFQ feedback 04_28_2009_FD Update_Leopard UniBom_Foxlink_6 21 2010-ME_nego_Bolt RFQ Proposal_Foxlink_ (Pricing Summary) 2 25 2011 3" xfId="14108"/>
    <cellStyle name="_Mechanical Contribution Margins forecast 0506 FP_PL Forecast by segment-most final 0806_2009 xBOX ramp up budget code applicaiton 300K --New May26 (3)" xfId="14109"/>
    <cellStyle name="_PL Forecast Comparison_Mech Doumen2006_1(preliminary)_PL Fcst Jul 06-updated G&amp;A Value_X-BOX Console line setup budget and Buyer list" xfId="14110"/>
    <cellStyle name="_Mechanical Contribution Margins forecast 0506 FP_PL Forecast by segment-most final 0806_Budget GC Other Form" xfId="14111"/>
    <cellStyle name="_Mechanical Contribution Margins forecast 0506 FP_PL Forecast by segment-most final 0806_Copy of Tom OS ( Oct) new for LOG_2009 xBOX ramp up budget code applicaiton" xfId="14112"/>
    <cellStyle name="好_River EE BOM_Creak Pearl Reliability Fixture RFQ_2009 04 24_Pearl RFQ(Submittal)ver2_05_12_2009 _Leopard Lemur Squirrel UniBom-06.22.2010_EE cost _update_internal_Bolt RFQ_Foxlink_03.1 2011_nego meeting@MACH 2" xfId="14113"/>
    <cellStyle name="_Mechanical Contribution Margins forecast 0506 FP_PL Forecast by segment-most final 0806_Copy of Tom OS ( Oct) new for LOG_Budget GC Other Form" xfId="14114"/>
    <cellStyle name="好_River EE BOM_Xl0000002_Squirrel RFQ ME BOM Costs-0623_Bolt RFQ Proposal_Foxlink_ (Pricing Summary) 2 25 2011 3 3" xfId="14115"/>
    <cellStyle name="好_0842周 顯卡報廢超標8D_2009MB KPI_MBO3F製造部hp0209-01 3 2 3" xfId="14116"/>
    <cellStyle name="_Mechanical Contribution Margins forecast 0506 FP_PL Forecast by segment-most final 0806_Copy of Tom OS ( Oct) new for LOG_Copy of X-BOX for line setup budget" xfId="14117"/>
    <cellStyle name="好_Forecast格式-Erie" xfId="14118"/>
    <cellStyle name="_Mechanical Contribution Margins forecast 0506 FP_PL Forecast by segment-most final 0806_Copy of Tom OS ( Oct) new for LOG_Forecast Template v4" xfId="14119"/>
    <cellStyle name="_Mechanical Contribution Margins forecast 0506 FP_PL Forecast by segment-most final 0806_Copy of Tom OS ( Oct) new for LOG_X-BOX BB" xfId="14120"/>
    <cellStyle name="_Mechanical Contribution Margins forecast 0506 FP_PL Forecast by segment-most final 0806_Copy of Tom OS ( Oct) new for LOG_X-BOX Console line setup budget 20080414" xfId="14121"/>
    <cellStyle name="好_River EE BOM_Creak Pearl Reliability Fixture RFQ_2009 04 24_Pearl RFQ(Submittal)ver2_05_12_2009 _Bolt RFQ_Foxlink_03.1 2011_nego meeting@MACH 2 2" xfId="14122"/>
    <cellStyle name="_Mechanical Contribution Margins forecast 0506 FP_PL Forecast by segment-most final 0806_Copy of Tom OS ( Oct) new for LOG_X-BOX Console line setup budget and Buyer list" xfId="14123"/>
    <cellStyle name="_Mechanical Contribution Margins forecast 0506 FP_PL Forecast by segment-most final 0806_Copy of X-BOX for line setup budget" xfId="14124"/>
    <cellStyle name="壞_Creek EE BOM cost_20090425_Creek RFQ feedback 04_28_2009_FD Update_Leopard_UniBOM_ME_0603-2_Bolt RFQ Proposal_Foxlink_ (Pricing Summary) 2 25 2011 6 3" xfId="14125"/>
    <cellStyle name="_Mechanical Contribution Margins forecast 0506 FP_PL Forecast by segment-most final 0806_Forecast Template v4" xfId="14126"/>
    <cellStyle name="_Mechanical Contribution Margins forecast 0506 FP_PL Forecast by segment-most final 0806_Tom OS ( Oct)" xfId="14127"/>
    <cellStyle name="好_Creek EE BOM cost_20090425_Creek RFQ feedback 04_28_2009_FD Update_Squirrel UniBom-06.23.2010_update_internal 3 3" xfId="14128"/>
    <cellStyle name="_Mechanical Contribution Margins forecast 0506 FP_PL Forecast by segment-most final 0806_Tom OS ( Oct)_2009 xBOX ramp up budget code applicaiton" xfId="14129"/>
    <cellStyle name="Normal 37 3 2" xfId="14130"/>
    <cellStyle name="Normal 42 3 2" xfId="14131"/>
    <cellStyle name="_Mechanical Contribution Margins forecast 0506 FP_PL Forecast by segment-most final 0806_Tom OS ( Oct)_2009 xBOX ramp up budget code applicaiton 300K --New May26 (3)" xfId="14132"/>
    <cellStyle name="20% - Accent2 8" xfId="14133"/>
    <cellStyle name="差_Xl0000000_Leopard UniBom_Foxlink_6 21 2010-ME_nego_Bolt RFQ Proposal_Foxlink_ (Pricing Summary) 2 25 2011 2 2 2" xfId="14134"/>
    <cellStyle name="_Mechanical Contribution Margins forecast 0506 FP_PL Forecast by segment-most final 0806_Tom OS ( Oct)_2009 xBOX ramp up budget code applicaiton 300K --New May27" xfId="14135"/>
    <cellStyle name="好_River EE BOM_Xl0000002_Squirrel RFQ ME BOM Costs-0623_Bolt RFQ_Foxlink_03.1 2011_nego meeting@MACH 5" xfId="14136"/>
    <cellStyle name="_Mechanical Contribution Margins forecast 0506 FP_PL Forecast by segment-most final 0806_Tom OS ( Oct)_Budget GC Other Form" xfId="14137"/>
    <cellStyle name="差_Xl0000002_Leopard RFQ ME BOM Costs-0618-2_Bolt RFQ Proposal_Foxlink_ (Pricing Summary) 2 25 2011 2 4" xfId="14138"/>
    <cellStyle name="_報價明細 2" xfId="14139"/>
    <cellStyle name="_Mechanical Contribution Margins forecast 0506 FP_PL Forecast by segment-most final 0806_Tom OS ( Oct)_Forecast Template v4" xfId="14140"/>
    <cellStyle name="_Mechanical Contribution Margins forecast 0506 FP_PL Forecast by segment-most final 0806_Tom OS ( Oct)_X-BOX Console line setup budget and Buyer list" xfId="14141"/>
    <cellStyle name="_Mechanical Contribution Margins forecast 0506 FP_PL Forecast by segment-most final 0806_X-BOX BB" xfId="14142"/>
    <cellStyle name="_Mechanical Contribution Margins forecast 0506 FP_PL Forecast by segment-most final 0806_X-BOX Console line setup budget 20080414" xfId="14143"/>
    <cellStyle name="_Mechanical Contribution Margins forecast 0506 FP_PL Forecast by segment-most final 0806_X-BOX Console line setup budget and Buyer list" xfId="14144"/>
    <cellStyle name="差_MB9月管審換線超時8d_2009MB KPI_MBO3F製造部hp0209-01 2 3" xfId="14145"/>
    <cellStyle name="_Mechanical Contribution Margins forecast 0506 FP_Tom OS ( Oct)" xfId="14146"/>
    <cellStyle name="差_Xl0000002_Foxlink_Shadow RFQ NREUni BOM_12032009 2 4" xfId="14147"/>
    <cellStyle name="好_River EE BOM_Creak Pearl Reliability Fixture RFQ_2009 04 24_Pearl RFQ(Submittal)ver2_05_12_2009 _Leopard_UniBOM_ME_0602-1_Bolt RFQ Proposal_Foxlink_ (Pricing Summary) 2 25 2011 2 3" xfId="14148"/>
    <cellStyle name="40% - 强调文字颜色 1 5 3" xfId="14149"/>
    <cellStyle name="_Mechanical Contribution Margins forecast 0506 FP_Tom OS ( Oct)_2009 xBOX ramp up budget code applicaiton 300K --New May26 (3)" xfId="14150"/>
    <cellStyle name="_Mechanical Contribution Margins forecast 0506 FP_Tom OS ( Oct)_Budget GC Other Form" xfId="14151"/>
    <cellStyle name="_Mechanical Contribution Margins forecast 0506 FP_Tom OS ( Oct)_Copy of X-BOX for line setup budget" xfId="14152"/>
    <cellStyle name="壞_Creek Assembly Fixture  Test Equipment RFQ_20090427_Xl0000002_Leopard RFQ ME BOM Costs-0618_Bolt RFQ Proposal_Foxlink_ (Pricing Summary) 2 25 2011 6" xfId="14153"/>
    <cellStyle name="_Mechanical Contribution Margins forecast 0506 FP_Tom OS ( Oct)_X-BOX BB" xfId="14154"/>
    <cellStyle name="_Mechanical Contribution Margins forecast 0506 FP_Tom OS ( Oct)_X-BOX Console line setup budget 20080414" xfId="14155"/>
    <cellStyle name="差_Creak Pearl Reliability Fixture RFQ_2009 04 24_Pearl RFQ(Submittal)ver2_05_12_2009 _Squirrel UniBom-06.23.2010_update_internal_Bolt RFQ_Foxlink_03.1 2011 3 2" xfId="14156"/>
    <cellStyle name="_Sales Breakdown Analysis 3_PL Fcst Jul 06-updated G&amp;A Value_Copy of Tom OS ( Oct) new for LOG_2009 xBOX ramp up budget code applicaiton 300K --New May26 (3)" xfId="14157"/>
    <cellStyle name="差_Xl0000000_Leopard Lemur Squirrel UniBom-06.22.2010_EE cost _update_internal_Bolt RFQ_Foxlink_03.1 2011" xfId="14158"/>
    <cellStyle name="_Mechanical Contribution Margins forecast 0506 FP_Tom OS ( Oct)_X-BOX Console line setup budget and Buyer list" xfId="14159"/>
    <cellStyle name="_Mechanical Contribution Margins forecast 0506 FP_Volume Fcst 1006 updated" xfId="14160"/>
    <cellStyle name="_Mechanical Contribution Margins forecast 0506 FP_Volume Fcst 1006 updated_2009 xBOX ramp up budget code applicaiton" xfId="14161"/>
    <cellStyle name="_Mechanical Contribution Margins forecast 0506 FP_Volume Fcst 1006 updated_2009 xBOX ramp up budget code applicaiton 300K --New May26 (3)" xfId="14162"/>
    <cellStyle name="_Mechanical Contribution Margins forecast 0506 FP_Volume Fcst 1006 updated_2009 xBOX ramp up budget code applicaiton 300K --New May27" xfId="14163"/>
    <cellStyle name="差_Creak Pearl Reliability Fixture RFQ_2009 04 24_Creek  Pearl RFQ_May 12_Leopard_UniBOM_ME_0531_Bolt RFQ_Foxlink_03.1 2011_nego meeting@MACH 2 2" xfId="14164"/>
    <cellStyle name="_Mechanical Contribution Margins forecast 0506 FP_Volume Fcst 1006 updated_Budget GC Other Form" xfId="14165"/>
    <cellStyle name="Currency [00] 2" xfId="14166"/>
    <cellStyle name="_Mechanical Contribution Margins forecast 0506 FP_Volume Fcst 1006 updated_Copy of Tom OS ( Oct) new for LOG" xfId="14167"/>
    <cellStyle name="’Ê‰Ý [0.00]_16X" xfId="14168"/>
    <cellStyle name="_Mechanical Contribution Margins forecast 0506 FP_Volume Fcst 1006 updated_Copy of Tom OS ( Oct) new for LOG_2009 xBOX ramp up budget code applicaiton 300K --New May27" xfId="14169"/>
    <cellStyle name="Neutral 2" xfId="14170"/>
    <cellStyle name="_Mechanical Contribution Margins forecast 0506 FP_Volume Fcst 1006 updated_Copy of Tom OS ( Oct) new for LOG_Copy of X-BOX for line setup budget" xfId="14171"/>
    <cellStyle name="_Mechanical Contribution Margins forecast 0506 FP_Volume Fcst 1006 updated_Copy of Tom OS ( Oct) new for LOG_Forecast Template v4" xfId="14172"/>
    <cellStyle name="好_Creek Assembly Fixture  Test Equipment RFQ_20090427_Leopard_UniBOM_ME_0602-1" xfId="14173"/>
    <cellStyle name="_Mechanical Contribution Margins forecast 0506 FP_Volume Fcst 1006 updated_Copy of Tom OS ( Oct) new for LOG_X-BOX BB" xfId="14174"/>
    <cellStyle name="_Mechanical Contribution Margins forecast 0506 FP_Volume Fcst 1006 updated_Copy of Tom OS ( Oct) new for LOG_X-BOX Console line setup budget 20080414" xfId="14175"/>
    <cellStyle name="_Mechanical Contribution Margins forecast 0506 FP_Volume Fcst 1006 updated_Copy of Tom OS ( Oct) new for LOG_X-BOX Console line setup budget and Buyer list" xfId="14176"/>
    <cellStyle name="_Mechanical Contribution Margins forecast 0506 FP_Volume Fcst 1006 updated_Copy of X-BOX for line setup budget" xfId="14177"/>
    <cellStyle name="差_HP  專案(設備&amp;治工具需夠買)update_費用統計" xfId="14178"/>
    <cellStyle name="差_Creek RFQ feedback 04_28_2009_FD Update_Leopard Lemur Squirrel UniBom-06.22.2010_EE cost _update_internal_Bolt RFQ Proposal_Foxlink_ (Pricing Summary) 2 25 2011 6" xfId="14179"/>
    <cellStyle name="好_River EE BOM_Creak Pearl Reliability Fixture RFQ_2009 04 24_Leopard_UniBOM_ME_0531_Bolt RFQ_Foxlink_03.1 2011 3" xfId="14180"/>
    <cellStyle name="_Mechanical Contribution Margins forecast 0506 FP_Volume Fcst 1006 updated_Tom OS ( Oct)" xfId="14181"/>
    <cellStyle name="_Mechanical Contribution Margins forecast 0506 FP_Volume Fcst 1006 updated_Tom OS ( Oct)_2009 xBOX ramp up budget code applicaiton" xfId="14182"/>
    <cellStyle name="好_River EE BOM_Creak Pearl Reliability Fixture RFQ_2009 04 24_Squirrel RFQ ME BOM Costs-0623 2" xfId="14183"/>
    <cellStyle name="好_River EE BOM_Creak Pearl Reliability Fixture RFQ_2009 04 24_Pearl RFQ(Submittal)ver2_05_12_2009 _Leopard RFQ ME BOM Costs-0618_Bolt RFQ_Foxlink_03.1 2011 3 2" xfId="14184"/>
    <cellStyle name="Heading 4 5" xfId="14185"/>
    <cellStyle name="_Mechanical Contribution Margins forecast 0506 FP_Volume Fcst 1006 updated_Tom OS ( Oct)_2009 xBOX ramp up budget code applicaiton 300K --New May26 (3)" xfId="14186"/>
    <cellStyle name="_Mechanical Contribution Margins forecast 0506 FP_Volume Fcst 1006 updated_Tom OS ( Oct)_Copy of X-BOX for line setup budget" xfId="14187"/>
    <cellStyle name="_Mechanical Contribution Margins forecast 0506 FP_Volume Fcst 1006 updated_Tom OS ( Oct)_Forecast Template v4" xfId="14188"/>
    <cellStyle name="差_jupite r設備&amp;治工具LIST (總)_Flow chart and Fixture(Jackson)_A1_Jackson 效益分析 (2-1 B0 上系統)_squirrel效益分析08-17" xfId="14189"/>
    <cellStyle name="好_Creek Assembly Fixture  Test Equipment RFQ_20090427_Xl0000002_Leopard RFQ ME BOM Costs-0618 2" xfId="14190"/>
    <cellStyle name="_Mechanical Contribution Margins forecast 0506 FP_Volume Fcst 1006 updated_Tom OS ( Oct)_X-BOX BB" xfId="14191"/>
    <cellStyle name="_Mechanical Contribution Margins forecast 0506 FP_Volume Fcst 1006 updated_Tom OS ( Oct)_X-BOX Console line setup budget 20080414" xfId="14192"/>
    <cellStyle name="_Mechanical Contribution Margins forecast 0506 FP_Volume Fcst 1006 updated_Tom OS ( Oct)_X-BOX Console line setup budget and Buyer list" xfId="14193"/>
    <cellStyle name="_Mechanical Contribution Margins forecast 0506 FP_Volume Fcst 1006 updated_X-BOX Console line setup budget 20080414" xfId="14194"/>
    <cellStyle name="Normal 53_Sydney_Premium_Clean_Sheet_4-19-10 (3)" xfId="14195"/>
    <cellStyle name="_Mechanical Contribution Margins forecast 0506 FP_Volume Fcst 1006 updated_X-BOX Console line setup budget and Buyer list" xfId="14196"/>
    <cellStyle name="_Mechanical Contribution Margins forecast 0506 FP_X-BOX Console line setup budget 20080414" xfId="14197"/>
    <cellStyle name="好_River EE BOM_Xl0000002_Leopard_UniBOM_ME_0603-2 3" xfId="14198"/>
    <cellStyle name="差_Creak Pearl Reliability Fixture RFQ_2009 04 24_Creek RFQ feedback 04_28_2009_FD Update_Leopard RFQ ME BOM Costs-0618-2_Bolt RFQ Proposal_Foxlink_ (Pricing Summary) 2 25 2011 2 2" xfId="14199"/>
    <cellStyle name="好_River EE BOM_Creak Pearl Reliability Fixture RFQ_2009 04 24_Creek  Pearl RFQ_May 12_Leopard Lemur Squirrel UniBom-06.22.2010_EE cost _update_internal_Bolt RFQ_Foxlink_03.1 2011_nego meeting@MACH 2 3" xfId="14200"/>
    <cellStyle name="_Mechanical Contribution Margins forecast 0506 FP_X-BOX Console line setup budget and Buyer list" xfId="14201"/>
    <cellStyle name="_Mfg Variances FY04 12604_FY06 P4 CM Consigned RM" xfId="14202"/>
    <cellStyle name="差_Creak Pearl Reliability Fixture RFQ_2009 04 24_Creek  Pearl RFQ_May 12_Squirrel UniBom-06.23.2010_update_internal 4" xfId="14203"/>
    <cellStyle name="_Mfg Variances FY04 12604_FY06 P7 CM Consigned RM" xfId="14204"/>
    <cellStyle name="好_River EE BOM_Xl0000002_Leopard UniBom_Foxlink_6 21 2010-ME_nego_Bolt RFQ Proposal_Foxlink_ (Pricing Summary) 2 25 2011 6" xfId="14205"/>
    <cellStyle name="_x001e__Project A Riskbuy list 20100125 2_Project A Riskbuy list 20100504" xfId="14206"/>
    <cellStyle name="_Pluto NRE-03032006_RFQ_River_BAFO_2008 0606_M1 2" xfId="14207"/>
    <cellStyle name="_Mfg Variances FY04 12604_FY06 Xenon Console Other Mfg Costs Forecast - january v1" xfId="14208"/>
    <cellStyle name="_Mfg Variances FY04 12604_P2 Waynea review" xfId="14209"/>
    <cellStyle name="差_F3   SMT設備明細_jupite r設備&amp;治工具LIST (總)_Dallas flow chart&amp;設備&amp;治工具清單(12-8 A0)_效益分析(總 12-28 Update)_Leopard Flowchart &amp; 產能評估" xfId="14210"/>
    <cellStyle name="_Mfg Variances FY04 4_06" xfId="14211"/>
    <cellStyle name="_Mfg Variances FY04 4_06_FY06 P6 CM Consigned RM" xfId="14212"/>
    <cellStyle name="_Mfg Variances FY04 4_06_FY06 P6 XBox 360 Mfg Var - Close Pack" xfId="14213"/>
    <cellStyle name="好_Erie Assembly Fixture  Test Equip Cost_20090716_Bolt RFQ Proposal_Foxlink_ (Pricing Summary) 2 25 2011 7" xfId="14214"/>
    <cellStyle name="好_Creek EE BOM cost_20090425_Leopard_UniBOM_ME_0531_Bolt RFQ_Foxlink_03.1 2011 5" xfId="14215"/>
    <cellStyle name="_Mfg Variances FY04 4_06_FY06 P7 CM Consigned RM" xfId="14216"/>
    <cellStyle name="_Mfg Variances FY04 4_06_FY06 Xenon Console Other Mfg Costs Forecast - january v1" xfId="14217"/>
    <cellStyle name="差_Creak Pearl Reliability Fixture RFQ_2009 04 24_Xl0000002_Leopard RFQ ME BOM Costs-0618-2_Bolt RFQ Proposal_Foxlink_ (Pricing Summary) 2 25 2011" xfId="14218"/>
    <cellStyle name="_mfg yield loss bone pile accrual" xfId="14219"/>
    <cellStyle name="_Mice UPH" xfId="14220"/>
    <cellStyle name="_Mice UPH_Line transition plan to B17 rev 5" xfId="14221"/>
    <cellStyle name="_Mice UPH_Scenario 1 of recovery until 1102" xfId="14222"/>
    <cellStyle name="_Z9 blueAnt ME BOM 0910 final_BlueAnt_Quotebook_V3_07SEP11_RFQ_River_BAFO_2008 0606_M1_Stream Quotebook(Submittal)_POC1_20080903 2" xfId="14223"/>
    <cellStyle name="_Mice UPH_Scenario 1 of recovery until 1102_Tester Demand Plan 062707" xfId="14224"/>
    <cellStyle name="_PPV ALLOCATION-Nov04_Zune V2 FM Transmitter_Schedule A_Internal RFQ River Standalone  Bundle Unibom_v1 2_20080603_EJ_Stream Quotebook(Submittal)_POC1_20080903" xfId="14225"/>
    <cellStyle name="_Mice UPH_Scenario 2 of recovery until 1116" xfId="14226"/>
    <cellStyle name="壞_Creek EE BOM cost_20090425_Creek RFQ feedback 04_28_2009_FD Update_Leopard RFQ ME BOM Costs-0618-2_Bolt RFQ Proposal_Foxlink_ (Pricing Summary) 2 25 2011 6 3" xfId="14227"/>
    <cellStyle name="差_Xl0000002_Squirrel UniBom-06.23.2010_update_internal_Bolt RFQ Proposal_Foxlink_ (Pricing Summary) 2 25 2011 2" xfId="14228"/>
    <cellStyle name="_Mice UPH_Scenario 2 of recovery until 1116_Tester Demand Plan 062707" xfId="14229"/>
    <cellStyle name="差_F3   SMT設備明細_效益分析_Dallas flow chart&amp;設備&amp;治工具清單(12-8 A0)_Flow Chart&amp;設備治工具清單 _Jackson 效益分析 (2-1 B0 上系統)_squirrel效益分析08-17" xfId="14230"/>
    <cellStyle name="_Mice UPH_Tester Demand Plan" xfId="14231"/>
    <cellStyle name="好_Creek Assembly Fixture  Test Equipment RFQ_20090427_Xl0000002_Leopard_UniBOM_ME_0602-1_Bolt RFQ_Foxlink_03.1 2011_nego meeting@MACH 2" xfId="14232"/>
    <cellStyle name="_Mice UPH_Tester Demand Plan 062807" xfId="14233"/>
    <cellStyle name="_Mice UPH_Tester Demand Plan 062807_Tester Demand Plan 062707" xfId="14234"/>
    <cellStyle name="_Mice UPH_Tester Demand Plan_Tester Demand Plan 062707" xfId="14235"/>
    <cellStyle name="計算方式 2 2" xfId="14236"/>
    <cellStyle name="_Mickey BOM" xfId="14237"/>
    <cellStyle name="差_HP Mouse 產能評估(上系統)_M1 Bolt wireless mouse FixtureEquipment Cost_A2_2010_12_07 2 3" xfId="14238"/>
    <cellStyle name="_Mickey-UniBOM (2-layer)-0107-05-M-Modify" xfId="14239"/>
    <cellStyle name="_Mogul ME BOM rev 1 (5)" xfId="14240"/>
    <cellStyle name="_Monaco BOM" xfId="14241"/>
    <cellStyle name="_Monaco manpower comparison 8-30" xfId="14242"/>
    <cellStyle name="差_Creak Pearl Reliability Fixture RFQ_2009 04 24_Xl0000002_Bolt RFQ Proposal_Foxlink_ (Pricing Summary) 2 25 2011 5 3" xfId="14243"/>
    <cellStyle name="好_Creek Assembly Fixture  Test Equipment RFQ_20090427_Leopard_UniBOM_ME_0603-2_Bolt RFQ_Foxlink_03.1 2011 4" xfId="14244"/>
    <cellStyle name="_Monaco manpower comparison 8-30_Scenario 1 of recovery until 1102" xfId="14245"/>
    <cellStyle name="_Monaco manpower comparison 8-30_Scenario 1 of recovery until 1102_Tester Demand Plan 062707" xfId="14246"/>
    <cellStyle name="标题 2 3 2" xfId="14247"/>
    <cellStyle name="_Monaco manpower comparison 8-30_Scenario 2 of recovery until 1116" xfId="14248"/>
    <cellStyle name="_Monaco manpower comparison 8-30_Scenario 2 of recovery until 1116_Tester Demand Plan 062707" xfId="14249"/>
    <cellStyle name="_Monaco manpower comparison 8-30_Tester Demand Plan" xfId="14250"/>
    <cellStyle name="_Monaco manpower comparison 8-30_Tester Demand Plan 062807_Tester Demand Plan 062707" xfId="14251"/>
    <cellStyle name="_Sheet1_Line transition plan to B17 rev 5_Tester Demand Plan 062707" xfId="14252"/>
    <cellStyle name="_Sales Breakdown Analysis 3_PL Forecast by segment-most final 0806_Copy of Tom OS ( Oct) new for LOG_2009 xBOX ramp up budget code applicaiton 300K --New May27" xfId="14253"/>
    <cellStyle name="_Monaco manpower comparison 8-30_Tester Demand Plan_Tester Demand Plan 062707" xfId="14254"/>
    <cellStyle name="_Monaco manpower comparison 8-30_Tester Demand summary(2007-06-25) (2)" xfId="14255"/>
    <cellStyle name="壞_Creek Assembly Fixture  Test Equipment RFQ_20090427_Leopard RFQ ME BOM Costs-0618-2_Bolt RFQ_Foxlink_03.1 2011 3 2" xfId="14256"/>
    <cellStyle name="_Monaco ME BOM - GA060608" xfId="14257"/>
    <cellStyle name="_Monaco ME BOM - GA060608_FMTQCI-MIS3H064-P027(01)Nazca Copy Exact Flow chart" xfId="14258"/>
    <cellStyle name="_Monaco ME BOM - GA060608_Line transition plan to B17 rev 5" xfId="14259"/>
    <cellStyle name="好_River EE BOM_Xl0000000_Leopard_UniBOM_ME_0531_Bolt RFQ_Foxlink_03.1 2011_nego meeting@MACH" xfId="14260"/>
    <cellStyle name="_PPV ALLOCATION-Nov04_Dawson_RFP_Foxlink_Response_Proposal 的 工作表_Internal RFQ River Standalone  Bundle Unibom_v1 2_20080603_EJ_Stream Package Quotation_20090311" xfId="14261"/>
    <cellStyle name="_Monaco ME BOM - GA060608_Nazca copy exact flow chart 20120409" xfId="14262"/>
    <cellStyle name="_Monaco ME BOM - GA060608_Nazca copy exact flow chart 2012313" xfId="14263"/>
    <cellStyle name="好_River EE BOM_Xl0000000_Leopard_UniBOM_ME_0531 2 4" xfId="14264"/>
    <cellStyle name="_Monaco ME BOM - GA060608_Scenario 1 of recovery until 1102" xfId="14265"/>
    <cellStyle name="_Monaco ME BOM - GA060608_Scenario 1 of recovery until 1102_Tester Demand Plan 062707" xfId="14266"/>
    <cellStyle name="_PPV ALLOCATION-Nov04_Dawson_RFP_Foxlink_Response_Proposal 的 工作表_Stream RFQ Unibom--0626-1756" xfId="14267"/>
    <cellStyle name="_Monaco ME BOM - GA060608_Scenario 2 of recovery until 1116_Tester Demand Plan 062707" xfId="14268"/>
    <cellStyle name="_Monaco ME BOM - GA060608_Tester Demand Plan" xfId="14269"/>
    <cellStyle name="_Monaco ME BOM - GA060608_Tester Demand Plan 062807" xfId="14270"/>
    <cellStyle name="_Monaco ME BOM - GA060608_Tester Demand Plan_Tester Demand Plan 062707" xfId="14271"/>
    <cellStyle name="60% - 强调文字颜色 2 2 2 2 3" xfId="14272"/>
    <cellStyle name="_Monaco ME Flowchart EV3B" xfId="14273"/>
    <cellStyle name="Note 11 2 3" xfId="14274"/>
    <cellStyle name="_Monaco ME Flowchart for DV" xfId="14275"/>
    <cellStyle name="_Monaco PCBA time record_Line transition plan to B17 rev 5" xfId="14276"/>
    <cellStyle name="_Monaco PCBA time record_Scenario 1 of recovery until 1102_Tester Demand Plan 062707" xfId="14277"/>
    <cellStyle name="_Monaco PCBA time record_Scenario 2 of recovery until 1116" xfId="14278"/>
    <cellStyle name="好_Creek EE BOM cost_20090425_Creek RFQ feedback 04_28_2009_FD Update_Leopard UniBom_Foxlink_6 21 2010-ME_nego_Bolt RFQ_Foxlink_03.1 2011 2 2" xfId="14279"/>
    <cellStyle name="_Monaco PCBA time record_Scenario 2 of recovery until 1116_Tester Demand Plan 062707" xfId="14280"/>
    <cellStyle name="好_Creek EE BOM cost_20090425_Creek RFQ feedback 04_28_2009_FD Update_Foxlink_Shadow RFQ NREUni BOM_12032009_Bolt RFQ_Foxlink_03.1 2011_nego meeting@MACH 3 3" xfId="14281"/>
    <cellStyle name="_Monaco PCBA time record_Tester Demand summary(2007-06-25) (2)" xfId="14282"/>
    <cellStyle name="_Monaco PCBA time record_Tester Demand summary(2007-06-25) (2)_Tester Demand Plan 062707" xfId="14283"/>
    <cellStyle name="差_Creak Pearl Reliability Fixture RFQ_2009 04 24_Creek  Pearl RFQ_May 12_Leopard_UniBOM_ME_0602-1_Bolt RFQ_Foxlink_03.1 2011 2 2" xfId="14284"/>
    <cellStyle name="SPECIAL" xfId="14285"/>
    <cellStyle name="_Monaco test quote_Rev2 0(28-03-2006)" xfId="14286"/>
    <cellStyle name="差_Leopard Plastics RFQ Worksheets_0527" xfId="14287"/>
    <cellStyle name="20% - 强调文字颜色 4 2 3 2" xfId="14288"/>
    <cellStyle name="_Monaco test quote_Rev3 0(15-05-2006)" xfId="14289"/>
    <cellStyle name="_W521 5 Mulan Edge KRH _FSA comments _MOST Std - S1300 F2lines" xfId="14290"/>
    <cellStyle name="_Monthly costed BOM (2)" xfId="14291"/>
    <cellStyle name="Normal 5 19 2" xfId="14292"/>
    <cellStyle name="_Monthly True up Rpt Pack-DM-Jul05_v2" xfId="14293"/>
    <cellStyle name="_MOST Std - Project A BB Line_FMTQCI-MIS3H064-P027(01)Nazca Copy Exact Flow chart" xfId="14294"/>
    <cellStyle name="_MOST Std - Project A BB Line_Nazca copy exact flow chart 20120409" xfId="14295"/>
    <cellStyle name="_MOST Std - S1300 F2lines" xfId="14296"/>
    <cellStyle name="Accent1 6" xfId="14297"/>
    <cellStyle name="差_F3   SMT設備明細_效益分析_Dallas效益分析&amp;投資回收期 (12-2 A1)_效益分析(總 12-28 Update)" xfId="14298"/>
    <cellStyle name="_MOST Std - S1300 F2lines_FMTQCI-MIS3H064-P027(01)Nazca Copy Exact Flow chart" xfId="14299"/>
    <cellStyle name="_MOST Std - S1300 F2lines_Nazca copy exact flow chart 2012313" xfId="14300"/>
    <cellStyle name="_Sales Forecast (plastic XX)0703_Volume Fcst 1006 updated_Forecast Template v4" xfId="14301"/>
    <cellStyle name="_Sales Forecast (plastic XX)1203_Volume Fcst 1006 updated_Forecast Template v4" xfId="14302"/>
    <cellStyle name="_Motherboard personnel list" xfId="14303"/>
    <cellStyle name="_Motherboard Pricing 20030722" xfId="14304"/>
    <cellStyle name="_PL Forecast by segment-most final 0806_Tom OS ( Oct)_2009 xBOX ramp up budget code applicaiton" xfId="14305"/>
    <cellStyle name="_Motherboard Pricing 20030722_Lenovo PACK  Packing Proposal" xfId="14306"/>
    <cellStyle name="_Motherboard Pricing 20030722_Lenovo Park Format_July 07 05" xfId="14307"/>
    <cellStyle name="壞_Creek EE BOM cost_20090425_Leopard UniBom_Foxlink_6 21 2010-ME_nego_Bolt RFQ Proposal_Foxlink_ (Pricing Summary) 2 25 2011 2 2 3" xfId="14308"/>
    <cellStyle name="_Motherboard Pricing 20030722_Lenovo Park Format_July 07 05V2" xfId="14309"/>
    <cellStyle name="_OnLine Forecast Template PCBA_Computing Nov 2006 V2_X-BOX Console line setup budget and Buyer list" xfId="14310"/>
    <cellStyle name="_MOTO SLIC300MP FOB HK Transport Pricing Targe Vol (R2)_Lenovo PACK  Packing Proposal" xfId="14311"/>
    <cellStyle name="20% - Accent2 3 2" xfId="14312"/>
    <cellStyle name="_MOTO SLIC300MP FOB HK Transport Pricing Targe Vol (R2)_Lenovo Park Format_July 07 05V2" xfId="14313"/>
    <cellStyle name="差_HP Mouse 產能評估(上系統)_MS Bolt wireless mouse FixtureEquipment Cost_A5_2010_02_21_Bolt RFQ_Foxlink_03.1 2011 5" xfId="14314"/>
    <cellStyle name="_MOTO SLIC300MP FOB HK Transport Pricing Targe Vol (R2)_Salcomp FCA HK Transport Pricing Dec11" xfId="14315"/>
    <cellStyle name="_MOTO SLIC300MP FOB HK Transport Pricing Targe Vol (R2)_Salcomp FCA HK Transport Pricing Dec11_Lenovo PACK  Packing Proposal" xfId="14316"/>
    <cellStyle name="好_Creek Assembly Fixture  Test Equipment RFQ_20090427_Leopard RFQ ME BOM Costs-0618-2" xfId="14317"/>
    <cellStyle name="_MOTO SLIC300MP FOB HK Transport Pricing Targe Vol (R2)_Salcomp FCA HK Transport Pricing Dec11_Lenovo Park Format_July 07 05V2" xfId="14318"/>
    <cellStyle name="差_dallas產能評估_~3106354_Jackson 效益分析 (2-1 B0 上系統)_Leopard Flowchart &amp; 產能評估" xfId="14319"/>
    <cellStyle name="差_Creak Pearl Reliability Fixture RFQ_2009 04 24_Creek RFQ feedback 04_28_2009_FD Update_Leopard RFQ ME BOM Costs-0618-2_Bolt RFQ Proposal_Foxlink_ (Pricing Summary) 2 25 2011 2 3" xfId="14320"/>
    <cellStyle name="_MOTO SLIC300MP FOB HK Transport Pricing(Target Volume)" xfId="14321"/>
    <cellStyle name="_MOTO SLIC300MP FOB HK Transport Pricing(Target Volume)_Lenovo PACK  Packing Proposal" xfId="14322"/>
    <cellStyle name="_MOTO SLIC300MP FOB HK Transport Pricing(Target Volume)_Lenovo Park Format_July 07 05" xfId="14323"/>
    <cellStyle name="_MOTO SLIC300MP FOB HK Transport Pricing(Target Volume)_Lenovo Park Format_July 07 05V2" xfId="14324"/>
    <cellStyle name="_MOTO SLIC300MP FOB HK Transport Pricing(Target Volume)_Salcomp FCA HK Transport Pricing Dec11" xfId="14325"/>
    <cellStyle name="好_River EE BOM_Creak Pearl Reliability Fixture RFQ_2009 04 24_Foxlink_Shadow RFQ NREUni BOM_12032009_Bolt RFQ_Foxlink_03.1 2011_nego meeting@MACH 4" xfId="14326"/>
    <cellStyle name="_MOTO SLIC300MP FOB HK Transport Pricing(Target Volume)_Salcomp FCA HK Transport Pricing Dec11_Lenovo PACK  Packing Proposal" xfId="14327"/>
    <cellStyle name="差_Creak Pearl Reliability Fixture RFQ_2009 04 24_Creek  Pearl RFQ_May 12_Bolt RFQ Proposal_Foxlink_ (Pricing Summary) 2 25 2011 5 3" xfId="14328"/>
    <cellStyle name="_MOTO SLIC300MP FOB HK Transport Pricing(Target Volume)_Salcomp FCA HK Transport Pricing Dec11_Lenovo Park Format_July 07 05" xfId="14329"/>
    <cellStyle name="_Mozart BOM-Cost_06Apr05" xfId="14330"/>
    <cellStyle name="Accent2 17" xfId="14331"/>
    <cellStyle name="Normal 60 5" xfId="14332"/>
    <cellStyle name="_Mozart BOM-Cost_06Apr05_Lenovo PARK BOM Zero cost 705_05V2" xfId="14333"/>
    <cellStyle name="好_Creek Assembly Fixture  Test Equipment RFQ_20090427_Xl0000002_Squirrel UniBom-06.23.2010_update_internal_Bolt RFQ_Foxlink_03.1 2011 2 3" xfId="14334"/>
    <cellStyle name="_Mozart BOM-Cost_06Apr05_Lenovo PARK BOM Zero cost 705_05V2_Lenovo Park Format_July 07 05" xfId="14335"/>
    <cellStyle name="差_治具工程課2009年KPI_產線生產規劃KPI 2 2 2" xfId="14336"/>
    <cellStyle name="好_Creek Assembly Fixture  Test Equipment RFQ_20090427_Xl0000002_Leopard_UniBOM_ME_0531 2" xfId="14337"/>
    <cellStyle name="_Mozart BOM-Cost_06Apr05_Lenovo PARK BOM Zero cost 705_05V2_Lenovo Park Format_July 07 05V2" xfId="14338"/>
    <cellStyle name="Calculation 9 2 2" xfId="14339"/>
    <cellStyle name="差_Creak Pearl Reliability Fixture RFQ_2009 04 24_Pearl RFQ(Submittal)ver2_05_12_2009 _Leopard UniBom_Foxlink_6 21 2010-ME_nego_Bolt RFQ_Foxlink_03.1 2011_nego meeting@MACH 4" xfId="14340"/>
    <cellStyle name="_Mozart BOM-Cost_06Apr05_Lenovo Park Format (proposed Evans)" xfId="14341"/>
    <cellStyle name="好_River EE BOM_Foxlink_Shadow RFQ NREUni BOM_12032009_Bolt RFQ Proposal_Foxlink_ (Pricing Summary) 2 25 2011 4 3" xfId="14342"/>
    <cellStyle name="_Mozart BOM-Cost_06Apr05_Lenovo Park Format (proposed Evans)_Lenovo Park Format_July 07 05" xfId="14343"/>
    <cellStyle name="好_Creek EE BOM cost_20090425_Creek RFQ feedback 04_28_2009_FD Update_Leopard_UniBOM_ME_0602_Bolt RFQ Proposal_Foxlink_ (Pricing Summary) 2 25 2011 2 3" xfId="14344"/>
    <cellStyle name="_Mozart BOM-Cost_06Apr05_Lenovo Park Format (proposed Evans)_Lenovo Park Format_July 07 05V2" xfId="14345"/>
    <cellStyle name="_Mozart BOM-Cost_06Apr05_Lenovo Park Format_July 07 05" xfId="14346"/>
    <cellStyle name="差_jupite r設備&amp;治工具LIST (總)_Dallas效益分析&amp;投資回收期 (12-2 A1)_效益分析(總 12-28 Update)_Jackson 效益分析 (2-1 B0 上系統)_Leopard效益分析08-17" xfId="14347"/>
    <cellStyle name="_Mozart BOM-Cost_06Apr05_Lenovo Park Format_July 07 05V2" xfId="14348"/>
    <cellStyle name="_Mpos Forecast on Oct102005" xfId="14349"/>
    <cellStyle name="_Mpos Forecast on Oct102005_Line transition plan to B17 rev 5" xfId="14350"/>
    <cellStyle name="差_MS Bolt wireless mouse FixtureEquipment Cost_A5_2010_02_21 2 3" xfId="14351"/>
    <cellStyle name="差_Creek RFQ feedback 04_28_2009_FD Update_Leopard UniBom_Foxlink_6 21 2010-ME_nego_Bolt RFQ Proposal_Foxlink_ (Pricing Summary) 2 25 2011 2" xfId="14352"/>
    <cellStyle name="好_Creek Assembly Fixture  Test Equipment RFQ_20090427_Bolt RFQ_Foxlink_03.1 2011_nego meeting@MACH 5" xfId="14353"/>
    <cellStyle name="_Mpos Forecast on Oct102005_Line transition plan to B17 rev 5_Tester Demand Plan 062707" xfId="14354"/>
    <cellStyle name="_Mpos Forecast on Oct102005_Scenario 1 of recovery until 1102" xfId="14355"/>
    <cellStyle name="差_Creak Pearl Reliability Fixture RFQ_2009 04 24_Xl0000002_Leopard UniBom_Foxlink_6 21 2010-ME_nego_Bolt RFQ_Foxlink_03.1 2011_nego meeting@MACH" xfId="14356"/>
    <cellStyle name="_Mpos Forecast on Oct102005_Scenario 1 of recovery until 1102_Tester Demand Plan 062707" xfId="14357"/>
    <cellStyle name="差_Xl0000000_Leopard_UniBOM_ME_0603-2_Bolt RFQ Proposal_Foxlink_ (Pricing Summary) 2 25 2011 5 3" xfId="14358"/>
    <cellStyle name="好_River EE BOM_Creak Pearl Reliability Fixture RFQ_2009 04 24_Pearl RFQ(Submittal)ver2_05_12_2009 _Leopard UniBom_Foxlink_6 21 2010-ME_nego 2 2 2" xfId="14359"/>
    <cellStyle name="_Mpos Forecast on Oct102005_Scenario 2 of recovery until 1116" xfId="14360"/>
    <cellStyle name="_Mpos Forecast on Oct102005_Scenario 2 of recovery until 1116_Tester Demand Plan 062707" xfId="14361"/>
    <cellStyle name="差_效益分析&amp;產能評估_MS Bolt wireless mouse FixtureEquipment Cost_A5_2010_02_21_Bolt RFQ_Foxlink_03.1 2011 2" xfId="14362"/>
    <cellStyle name="好_Creek Assembly Fixture  Test Equipment RFQ_20090427_Leopard_UniBOM_ME_0603-2_Bolt RFQ_Foxlink_03.1 2011_Bolt_Cliff 2 2 3" xfId="14363"/>
    <cellStyle name="_Mpos Forecast on Oct102005_Tester Demand Plan" xfId="14364"/>
    <cellStyle name="好_治具工程課2009年KPI 5 2 3" xfId="14365"/>
    <cellStyle name="_Mpos Forecast on Oct102005_Tester Demand Plan 062807_Tester Demand Plan 062707" xfId="14366"/>
    <cellStyle name="Accent6 13" xfId="14367"/>
    <cellStyle name="_Mpos Forecast on Sep 292005_Line transition plan to B17 rev 5" xfId="14368"/>
    <cellStyle name="_Mpos Forecast on Sep 292005_Scenario 1 of recovery until 1102" xfId="14369"/>
    <cellStyle name="_Mpos Forecast on Sep 292005_Scenario 1 of recovery until 1102_Tester Demand Plan 062707" xfId="14370"/>
    <cellStyle name="_Mpos Forecast on Sep 292005_Scenario 2 of recovery until 1116" xfId="14371"/>
    <cellStyle name="好_River EE BOM_Creek RFQ feedback 04_28_2009_FD Update_Jackson and Shadow BOM cost_mainfile_2010 0324 rev.1_Bristol UniBom_Foxlink_02082011 RevA" xfId="14372"/>
    <cellStyle name="好_River EE BOM_Creak Pearl Reliability Fixture RFQ_2009 04 24_Xl0000002_Bolt RFQ_Foxlink_03.1 2011 2" xfId="14373"/>
    <cellStyle name="_Mpos Forecast on Sep 292005_Tester Demand Plan" xfId="14374"/>
    <cellStyle name="_Mpos Forecast on Sep 292005_Tester Demand Plan_Tester Demand Plan 062707" xfId="14375"/>
    <cellStyle name="好_River EE BOM_Squirrel UniBom-06.23.2010_update_internal_Bolt RFQ_Foxlink_03.1 2011 2" xfId="14376"/>
    <cellStyle name="_MPS071211" xfId="14377"/>
    <cellStyle name="好_River EE BOM_Creak Pearl Reliability Fixture RFQ_2009 04 24_Creek  Pearl RFQ_May 12_Leopard_UniBOM_ME_0602 2 4" xfId="14378"/>
    <cellStyle name="好_River EE BOM_Creek RFQ feedback 04_28_2009_FD Update_Leopard_UniBOM_ME_0602-1_Bolt RFQ_Foxlink_03.1 2011 2" xfId="14379"/>
    <cellStyle name="Normal 26 2 2" xfId="14380"/>
    <cellStyle name="Normal 31 2 2" xfId="14381"/>
    <cellStyle name="_MRB Details_Book5" xfId="14382"/>
    <cellStyle name="_MRB Details_FY06 P4 CM Consigned RM" xfId="14383"/>
    <cellStyle name="_MRB Details_FY06 P5 XBox 360 Mfg Var - Close Pack" xfId="14384"/>
    <cellStyle name="_MRB Details_FY06 P7 CM Consigned RM" xfId="14385"/>
    <cellStyle name="_MRB Details_FY06 P7 XBox 360 Mfg Var - Close Pack" xfId="14386"/>
    <cellStyle name="_MRB Details_FY06 P8 CM Consigned RM" xfId="14387"/>
    <cellStyle name="差_效益分析&amp;產能評估_Bolt RFQ_Foxlink_03.1 2011_nego meeting@MACH 2 3" xfId="14388"/>
    <cellStyle name="_MRB Details_P2 Waynea review" xfId="14389"/>
    <cellStyle name="•W€_laroux" xfId="14390"/>
    <cellStyle name="_MRB Details_P6 Si Ops review" xfId="14391"/>
    <cellStyle name="差_F3   SMT設備明細_jupite r設備&amp;治工具LIST (總)_Jackson 效益分析 testing update_16th Jan1_Jackson 效益分析 (2-1 B0 上系統)_Leopard效益分析08-17" xfId="14392"/>
    <cellStyle name="_MRB Details_P6 Waynea review" xfId="14393"/>
    <cellStyle name="_MS Alvin Plastics RFQ Worksheets - Nypro 030307" xfId="14394"/>
    <cellStyle name="_MS Alvin Plastics RFQ Worksheets - Nypro 030307 2" xfId="14395"/>
    <cellStyle name="_MS Alvin Plastics RFQ Worksheets - Nypro 030307_Internal RFQ River Standalone  Bundle Unibom_v1 2_20080603_EJ" xfId="14396"/>
    <cellStyle name="_MS Alvin Plastics RFQ Worksheets - Nypro 030307_Internal RFQ River Standalone  Bundle Unibom_v1 2_20080603_EJ_Stream Package Quotation_20090311" xfId="14397"/>
    <cellStyle name="好_River EE BOM_Creak Pearl Reliability Fixture RFQ_2009 04 24_Pearl RFQ(Submittal)ver2_05_12_2009 _Leopard RFQ ME BOM Costs-0618-2 2 2" xfId="14398"/>
    <cellStyle name="_MS Alvin Plastics RFQ Worksheets - Nypro 030307_Internal RFQ River Standalone  Bundle Unibom_v1 2_20080603_EJ_Stream Quotebook (Submittal)_POC2_20081117-1" xfId="14399"/>
    <cellStyle name="_MS Alvin Plastics RFQ Worksheets - Nypro 030307_Internal RFQ River Standalone  Bundle Unibom_v1 2_20080603_EJ_Stream Quotebook(Submittal)_POC1_20080903 2" xfId="14400"/>
    <cellStyle name="差_F3   SMT設備明細_Flow Chart&amp;設備治工具清單 _squirrel效益分析08-17" xfId="14401"/>
    <cellStyle name="20% - Accent3 7" xfId="14402"/>
    <cellStyle name="_MS Alvin Plastics RFQ Worksheets - Nypro 030307_RFQ_River_BAFO_2008 0606_M1 2" xfId="14403"/>
    <cellStyle name="_Sales Breakdown Analysis 3_Volume Fcst 1006 updated_Copy of X-BOX for line setup budget" xfId="14404"/>
    <cellStyle name="_MS Alvin Plastics RFQ Worksheets - Nypro 030307_RFQ_River_BAFO_2008 0606_M1_Stream Package Quotation_20090311" xfId="14405"/>
    <cellStyle name="_MS Alvin Plastics RFQ Worksheets - Nypro 030307_RFQ_River_BAFO_2008 0606_M1_Stream Quotebook (Submittal)_POC2_20081117-1" xfId="14406"/>
    <cellStyle name="好_效益分析&amp;產能評估_Bolt RFQ Proposal_Foxlink_ (Pricing Summary) 2 25 2011 4 3" xfId="14407"/>
    <cellStyle name="60% - Accent4 3 2" xfId="14408"/>
    <cellStyle name="_MS Alvin Plastics RFQ Worksheets - Nypro 030307_RFQ_River_BAFO_2008 0606_M1_Stream Quotebook(Submittal)_POC1_20080903" xfId="14409"/>
    <cellStyle name="差_Creak Pearl Reliability Fixture RFQ_2009 04 24_Creek RFQ feedback 04_28_2009_FD Update_Leopard_UniBOM_ME_0602-1_Bolt RFQ_Foxlink_03.1 2011 5" xfId="14410"/>
    <cellStyle name="_MS Alvin Plastics RFQ Worksheets - Nypro 030307_RFQ_River_BAFO_2008 0606_M1_Stream Quotebook(Submittal)_POC1_20080903 2" xfId="14411"/>
    <cellStyle name="_MS Alvin Plastics RFQ Worksheets - Nypro 030307_Stream RFQ Unibom--0626-1756 2" xfId="14412"/>
    <cellStyle name="_MS Alvin Plastics RFQ Worksheets - Nypro 030307_Stream RFQ Unibom--0626-1756_Stream Package Quotation_20090311" xfId="14413"/>
    <cellStyle name="差_Creak Pearl Reliability Fixture RFQ_2009 04 24_Leopard RFQ ME BOM Costs-0618 3 3" xfId="14414"/>
    <cellStyle name="Normal 38 4 2" xfId="14415"/>
    <cellStyle name="Normal 43 4 2" xfId="14416"/>
    <cellStyle name="_MS Alvin Plastics RFQ Worksheets - Nypro 030307_Stream RFQ Unibom--0626-1756_Stream Quotebook(Submittal)_POC1_20080903" xfId="14417"/>
    <cellStyle name="_MS Alvin Plastics RFQ Worksheets - Nypro 030307_Stream RFQ Unibom--0626-1756_Stream Quotebook(Submittal)_POC1_20080903 2" xfId="14418"/>
    <cellStyle name="好_Creek Assembly Fixture  Test Equipment RFQ_20090427_Leopard UniBom_Foxlink_6 21 2010-ME_nego_Bolt_Cliff 3 3" xfId="14419"/>
    <cellStyle name="_Sales Breakdown Analysis 3_Volume Fcst Jul 06-update HP _Copy of Tom OS ( Oct) new for LOG_Copy of X-BOX for line setup budget" xfId="14420"/>
    <cellStyle name="_MS ICEBERG_E-BOM_POC_20070612 rev.2" xfId="14421"/>
    <cellStyle name="好_治具工程課2009年KPI_KPI 1006 3" xfId="14422"/>
    <cellStyle name="_PBOM_Key_Largo_Copy of Corsica_PBOM_x00" xfId="14423"/>
    <cellStyle name="_MS Project BOM Cost-070102" xfId="14424"/>
    <cellStyle name="好_River EE BOM_Creak Pearl Reliability Fixture RFQ_2009 04 24_Creek  Pearl RFQ_May 12_Squirrel UniBom-06.23.2010_update_internal_Bolt RFQ Proposal_Foxlink_ (Pricing Summary) 2 25 2011 4 3" xfId="14425"/>
    <cellStyle name="好_Creek EE BOM cost_20090425_Creek RFQ feedback 04_28_2009_FD Update_Leopard_UniBOM_ME_0603-2_Bolt RFQ Proposal_Foxlink_ (Pricing Summary) 2 25 2011 5" xfId="14426"/>
    <cellStyle name="_MS Surface Budget Proposal_r004" xfId="14427"/>
    <cellStyle name="_Mulan Edge EP0 KRH CTB wk28_2" xfId="14428"/>
    <cellStyle name="差_Creek RFQ feedback 04_28_2009_FD Update_Leopard_UniBOM_ME_0603-2_Bolt RFQ_Foxlink_03.1 2011 2" xfId="14429"/>
    <cellStyle name="_Mulan Edge EP0 KRH CTB wk28_2_Copy of MOST Std - S1300 F2lines" xfId="14430"/>
    <cellStyle name="差_HP Mouse 產能評估(上系統)_M1 SuedeFixtureEquipment Cost_A0_2010_10_15_Wedge_ME_BOM-v00-11v0630 2" xfId="14431"/>
    <cellStyle name="_Mulan Edge EP0 KRH CTB wk28_2_Copy of MOST Std - S1300 F2lines_Nazca copy exact flow chart 2012313" xfId="14432"/>
    <cellStyle name="好_River EE BOM_Creak Pearl Reliability Fixture RFQ_2009 04 24_Leopard_UniBOM_ME_0603-2_Bolt RFQ_Foxlink_03.1 2011 2 2" xfId="14433"/>
    <cellStyle name="_PL Forecast Comparison_Mech Doumen2006_1(preliminary)_Forecast Template v4" xfId="14434"/>
    <cellStyle name="_Mulan Edge EP0 KRH CTB wk28_2_FMTQCI-MIS3H064-P027(01)Nazca Copy Exact Flow chart" xfId="14435"/>
    <cellStyle name="_Mulan Edge EP0 KRH CTB wk28_2_MOST Std - Project A BB Line" xfId="14436"/>
    <cellStyle name="差_HP Mouse 產能評估(上系統)_M1 Bolt wireless mouse FixtureEquipment Cost_A2_2010_12_07_Bolt RFQ Proposal_Foxlink_ (Pricing Summary) 2 25 2011 2 2 3" xfId="14437"/>
    <cellStyle name="好_River EE BOM_Creak Pearl Reliability Fixture RFQ_2009 04 24_Leopard RFQ ME BOM Costs-0618_Bolt RFQ Proposal_Foxlink_ (Pricing Summary) 2 25 2011 5 2" xfId="14438"/>
    <cellStyle name="好_River EE BOM_Creak Pearl Reliability Fixture RFQ_2009 04 24_Creek  Pearl RFQ_May 12_Squirrel UniBom-06.23.2010_update_internal_Bolt RFQ Proposal_Foxlink_ (Pricing Summary) 2 25 2011 3 3" xfId="14439"/>
    <cellStyle name="好_Creek Assembly Fixture  Test Equipment RFQ_20090427_Xl0000002_Leopard RFQ ME BOM Costs-0618 2 2 2" xfId="14440"/>
    <cellStyle name="_Mulan Edge EP0 KRH CTB wk28_2_MOST Std - Project A BB Line_Nazca copy exact flow chart 20120409" xfId="14441"/>
    <cellStyle name="_每日預換線統計9 24 (4)" xfId="14442"/>
    <cellStyle name="_Mulan Edge EP0 KRH CTB wk28_2_MOST Std - Project A BB Line_Nazca copy exact flow chart 2012313" xfId="14443"/>
    <cellStyle name="_Mulan Edge EP0 KRH CTB wk28_2_MOST Std - S1300 F2lines" xfId="14444"/>
    <cellStyle name="_Mulan Edge EP0 KRH CTB wk28_2_MOST Std - S1300 F2lines_Nazca copy exact flow chart 20120409" xfId="14445"/>
    <cellStyle name="_Mulan Edge EP0 KRH CTB wk28_2_MOST Std - S1300 F2lines_Nazca copy exact flow chart 2012313" xfId="14446"/>
    <cellStyle name="_Mulan Edge EP0 KRH CTB wk28_2_Nazca copy exact flow chart 20120409" xfId="14447"/>
    <cellStyle name="好_Creek EE BOM cost_20090425_Squirrel UniBom-06.23.2010_update_internal 4" xfId="14448"/>
    <cellStyle name="好_River EE BOM_Xl0000002_Leopard_UniBOM_ME_0602_Bolt RFQ_Foxlink_03.1 2011_nego meeting@MACH 2" xfId="14449"/>
    <cellStyle name="_Mulan Edge EP0 KRH CTB wk28_5" xfId="14450"/>
    <cellStyle name="_Mulan Edge EP0 KRH CTB wk28_5_Copy of MOST Std - S1300 F2lines" xfId="14451"/>
    <cellStyle name="_Mulan Edge EP0 KRH CTB wk28_5_Copy of MOST Std - S1300 F2lines_FMTQCI-MIS3H064-P027(01)Nazca Copy Exact Flow chart" xfId="14452"/>
    <cellStyle name="_Mulan Edge EP0 KRH CTB wk28_5_Copy of MOST Std - S1300 F2lines_Nazca copy exact flow chart 20120409" xfId="14453"/>
    <cellStyle name="_Mulan Edge EP0 KRH CTB wk28_5_Copy of MOST Std - S1300 F2lines_Nazca copy exact flow chart 2012313" xfId="14454"/>
    <cellStyle name="差_Xl0000002_Leopard_UniBOM_ME_0531_Bolt RFQ Proposal_Foxlink_ (Pricing Summary) 2 25 2011 6" xfId="14455"/>
    <cellStyle name="_Mulan Edge EP0 KRH CTB wk28_5_MOST Std - Project A BB Line_FMTQCI-MIS3H064-P027(01)Nazca Copy Exact Flow chart" xfId="14456"/>
    <cellStyle name="_Mulan Edge EP0 KRH CTB wk28_5_MOST Std - Project A BB Line_Nazca copy exact flow chart 20120409" xfId="14457"/>
    <cellStyle name="差_Creak Pearl Reliability Fixture RFQ_2009 04 24_Creek RFQ feedback 04_28_2009_FD Update_Leopard Lemur Squirrel UniBom-06.22.2010_EE cost _update_internal_Bolt RFQ_Foxlink_03.1 2011_nego meeting@MACH 5" xfId="14458"/>
    <cellStyle name="好_Creek EE BOM cost_20090425_Creek RFQ feedback 04_28_2009_FD Update_Leopard_UniBOM_ME_0531 3 3" xfId="14459"/>
    <cellStyle name="_Mulan Edge EP0 KRH CTB wk28_5_MOST Std - Project A BB Line_Nazca copy exact flow chart 2012313" xfId="14460"/>
    <cellStyle name="_Mulan Edge EP0 KRH CTB wk28_5_MOST Std - S1300 F2lines_FMTQCI-MIS3H064-P027(01)Nazca Copy Exact Flow chart" xfId="14461"/>
    <cellStyle name="差_Creak Pearl Reliability Fixture RFQ_2009 04 24_Creek RFQ feedback 04_28_2009_FD Update_Leopard_UniBOM_ME_0602-1_Bolt RFQ Proposal_Foxlink_ (Pricing Summary) 2 25 2011 7" xfId="14462"/>
    <cellStyle name="Good 13" xfId="14463"/>
    <cellStyle name="差_Creak Pearl Reliability Fixture RFQ_2009 04 24_Leopard_UniBOM_ME_0603-2_Bolt RFQ Proposal_Foxlink_ (Pricing Summary) 2 25 2011 6" xfId="14464"/>
    <cellStyle name="好_Creek EE BOM cost_20090425_Creek RFQ feedback 04_28_2009_FD Update_Foxlink_Shadow RFQ NREUni BOM_12032009_Bolt RFQ_Foxlink_03.1 2011 3" xfId="14465"/>
    <cellStyle name="active 4" xfId="14466"/>
    <cellStyle name="_Mulan Edge EP0 KRH CTB wk28_5_MOST Std - S1300 F2lines_Nazca copy exact flow chart 20120409" xfId="14467"/>
    <cellStyle name="_Mulan Edge EP0 KRH CTB wk28_5_MOST Std - S1300 F2lines_Nazca copy exact flow chart 2012313" xfId="14468"/>
    <cellStyle name="_Mulan Edge EP0 KRH CTB wk28_5_Nazca copy exact flow chart 20120409" xfId="14469"/>
    <cellStyle name="差_Creek RFQ feedback 04_28_2009_FD Update_Leopard UniBom_Foxlink_6 21 2010-ME_nego_Bolt RFQ_Foxlink_03.1 2011 3 3" xfId="14470"/>
    <cellStyle name="差_HP Mouse 產能評估(上系統)_M1 Lemur Capacity planFixtureEquipment Cost_A2_06192010_Leopard UniBom_Foxlink_12272010 RevF_shirley" xfId="14471"/>
    <cellStyle name="_Mulan Edge EP0 KRH CTB wk28_5_Nazca copy exact flow chart 2012313" xfId="14472"/>
    <cellStyle name="_Mulan Edge EP0 KRH material drive" xfId="14473"/>
    <cellStyle name="_Mulan Edge EP0 KRH material drive_Copy of MOST Std - S1300 F2lines" xfId="14474"/>
    <cellStyle name="_Mulan Edge EP0 KRH material drive_Copy of MOST Std - S1300 F2lines_FMTQCI-MIS3H064-P027(01)Nazca Copy Exact Flow chart" xfId="14475"/>
    <cellStyle name="差_Xl0000002_Bolt RFQ Proposal_Foxlink_ (Pricing Summary) 2 25 2011 2 2 3" xfId="14476"/>
    <cellStyle name="差_jupite r設備&amp;治工具LIST (總)_flow chart 2009.12.12_Flow Chart&amp;設備治工具清單 _Leopard Flowchart &amp; 產能評估" xfId="14477"/>
    <cellStyle name="好_River EE BOM_Xl0000000_Leopard UniBom_Foxlink_6 21 2010-ME_nego_Bolt RFQ Proposal_Foxlink_ (Pricing Summary) 2 25 2011 3" xfId="14478"/>
    <cellStyle name="_Mulan Edge EP0 KRH material drive_Copy of MOST Std - S1300 F2lines_Nazca copy exact flow chart 20120409" xfId="14479"/>
    <cellStyle name="_Mulan Edge EP0 KRH material drive_Copy of MOST Std - S1300 F2lines_Nazca copy exact flow chart 2012313" xfId="14480"/>
    <cellStyle name="_Mulan Edge EP0 KRH material drive_MOST Std - Project A BB Line" xfId="14481"/>
    <cellStyle name="_Mulan Edge EP0 KRH material drive_MOST Std - Project A BB Line_Nazca copy exact flow chart 20120409" xfId="14482"/>
    <cellStyle name="_Mulan Edge EP0 KRH material drive_MOST Std - S1300 F2lines" xfId="14483"/>
    <cellStyle name="_Mulan Edge EP0 KRH material drive_MOST Std - S1300 F2lines_Nazca copy exact flow chart 2012313" xfId="14484"/>
    <cellStyle name="好_Creek EE BOM cost_20090425_Squirrel RFQ ME BOM Costs-0623 3 2" xfId="14485"/>
    <cellStyle name="_Mulan Edge EP0 KRH material drive_Nazca copy exact flow chart 20120409" xfId="14486"/>
    <cellStyle name="好_River EE BOM_Creak Pearl Reliability Fixture RFQ_2009 04 24_Xl0000002_Leopard_UniBOM_ME_0602-1_Bolt RFQ_Foxlink_03.1 2011 5" xfId="14487"/>
    <cellStyle name="好_Creek Assembly Fixture  Test Equipment RFQ_20090427_Foxlink_Shadow RFQ NREUni BOM_12032009_Bolt RFQ Proposal_Foxlink_ (Pricing Summary) 2 25 2011 4" xfId="14488"/>
    <cellStyle name="_Mulan Edge EP0 KRH material drive_Nazca copy exact flow chart 2012313" xfId="14489"/>
    <cellStyle name="_Mulan Edge Procurement Plan July 12 P1A" xfId="14490"/>
    <cellStyle name="差_HP Mouse 產能評估(Forecast更改後)_MS Bolt wireless mouse FixtureEquipment Cost_A5_2010_02_21_Bolt RFQ_Foxlink_03.1 2011_nego meeting@MACH 3" xfId="14491"/>
    <cellStyle name="差_效益分析_flow chart 2009.12.12_Flow chart and Fixture(1-4)" xfId="14492"/>
    <cellStyle name="_Mulan Edge Procurement Plan July 12 P1A_Copy of MOST Std - S1300 F2lines" xfId="14493"/>
    <cellStyle name="_空焊明細_1" xfId="14494"/>
    <cellStyle name="好_River EE BOM_Creak Pearl Reliability Fixture RFQ_2009 04 24_Xl0000002_Leopard_UniBOM_ME_0531_Bolt RFQ Proposal_Foxlink_ (Pricing Summary) 2 25 2011 2 2" xfId="14495"/>
    <cellStyle name="_Mulan Edge Procurement Plan July 12 P1A_Copy of MOST Std - S1300 F2lines_FMTQCI-MIS3H064-P027(01)Nazca Copy Exact Flow chart" xfId="14496"/>
    <cellStyle name="好_River EE BOM_Xl0000002_Foxlink_Shadow RFQ NREUni BOM_12032009_Bolt RFQ_Foxlink_03.1 2011 3 2" xfId="14497"/>
    <cellStyle name="_Mulan Edge Procurement Plan July 12 P1A_Copy of MOST Std - S1300 F2lines_Nazca copy exact flow chart 20120409" xfId="14498"/>
    <cellStyle name="差_Xl0000000_Foxlink_Shadow RFQ NREUni BOM_12032009_Bolt RFQ_Foxlink_03.1 2011 3 3" xfId="14499"/>
    <cellStyle name="_Mulan Edge Procurement Plan July 12 P1A_FMTQCI-MIS3H064-P027(01)Nazca Copy Exact Flow chart" xfId="14500"/>
    <cellStyle name="_Mulan Edge Procurement Plan July 12 P1A_MOST Std - Project A BB Line_Nazca copy exact flow chart 20120409" xfId="14501"/>
    <cellStyle name="差_HP Mouse 產能評估(上系統)_MS Bolt wireless mouse FixtureEquipment Cost_A5_2010_02_21 3" xfId="14502"/>
    <cellStyle name="好_River EE BOM_Xl0000000_Leopard RFQ ME BOM Costs-0618_Bolt RFQ_Foxlink_03.1 2011_nego meeting@MACH 2 3" xfId="14503"/>
    <cellStyle name="_Mulan Edge Procurement Plan July 12 P1A_MOST Std - Project A BB Line_Nazca copy exact flow chart 2012313" xfId="14504"/>
    <cellStyle name="_Mulan Edge Procurement Plan July 12 P1A_MOST Std - S1300 F2lines" xfId="14505"/>
    <cellStyle name="_Mulan Edge Procurement Plan July 12 P1A_MOST Std - S1300 F2lines_FMTQCI-MIS3H064-P027(01)Nazca Copy Exact Flow chart" xfId="14506"/>
    <cellStyle name="_Mulan Edge Procurement Plan July 12 P1A_MOST Std - S1300 F2lines_Nazca copy exact flow chart 20120409" xfId="14507"/>
    <cellStyle name="_Mulan Edge Procurement Plan July 12 P1A_MOST Std - S1300 F2lines_Nazca copy exact flow chart 2012313" xfId="14508"/>
    <cellStyle name="_Mulan Edge Procurement Plan July 12 P1A_Mulan Edge EP0 KRH CTB wk28_2_Copy of MOST Std - S1300 F2lines" xfId="14509"/>
    <cellStyle name="差_HP Mouse 產能評估(上系統)_Erie 效益分析 (Update)_效益分析(總 12-28 Update)" xfId="14510"/>
    <cellStyle name="好_Creek EE BOM cost_20090425_Creek RFQ feedback 04_28_2009_FD Update_Bolt RFQ Proposal_Foxlink_ (Pricing Summary) 2 25 2011 5 2" xfId="14511"/>
    <cellStyle name="_Mulan Edge Procurement Plan July 12 P1A_Mulan Edge EP0 KRH CTB wk28_2_Copy of MOST Std - S1300 F2lines_FMTQCI-MIS3H064-P027(01)Nazca Copy Exact Flow chart" xfId="14512"/>
    <cellStyle name="差_Creak Pearl Reliability Fixture RFQ_2009 04 24_Pearl RFQ(Submittal)ver2_05_12_2009 _Foxlink_Shadow RFQ NREUni BOM_12032009_Bolt RFQ Proposal_Foxlink_ (Pricing Summary) 2 25 2011 7" xfId="14513"/>
    <cellStyle name="好_River EE BOM_Xl0000000_Leopard_UniBOM_ME_0602-1_Bolt RFQ_Foxlink_03.1 2011 2" xfId="14514"/>
    <cellStyle name="_Mulan Edge Procurement Plan July 12 P1A_Mulan Edge EP0 KRH CTB wk28_2_Copy of MOST Std - S1300 F2lines_Nazca copy exact flow chart 20120409" xfId="14515"/>
    <cellStyle name="40% - 强调文字颜色 1 2 3 3" xfId="14516"/>
    <cellStyle name="_Mulan Edge Procurement Plan July 12 P1A_Mulan Edge EP0 KRH CTB wk28_2_Copy of MOST Std - S1300 F2lines_Nazca copy exact flow chart 2012313" xfId="14517"/>
    <cellStyle name="好_River EE BOM_Creak Pearl Reliability Fixture RFQ_2009 04 24_Pearl RFQ(Submittal)ver2_05_12_2009 _Leopard_UniBOM_ME_0531_Bolt RFQ Proposal_Foxlink_ (Pricing Summary) 2 25 2011 4 2" xfId="14518"/>
    <cellStyle name="_Mulan Edge Procurement Plan July 12 P1A_Mulan Edge EP0 KRH CTB wk28_2_MOST Std - Project A BB Line" xfId="14519"/>
    <cellStyle name="差_F3   SMT設備明細_jupite r設備&amp;治工具LIST (總)_Dallas效益分析&amp;投資回收期 (12-2 A1)_Jackson 效益分析 testing update_16th Jan1_Jackson 效益分析 (2-1 B0 上系統)" xfId="14520"/>
    <cellStyle name="_Mulan Edge Procurement Plan July 12 P1A_Mulan Edge EP0 KRH CTB wk28_2_MOST Std - Project A BB Line_FMTQCI-MIS3H064-P027(01)Nazca Copy Exact Flow chart" xfId="14521"/>
    <cellStyle name="_Mulan Edge Procurement Plan July 12 P1A_Mulan Edge EP0 KRH CTB wk28_2_MOST Std - Project A BB Line_Nazca copy exact flow chart 20120409" xfId="14522"/>
    <cellStyle name="_Mulan Edge Procurement Plan July 12 P1A_Mulan Edge EP0 KRH CTB wk28_2_MOST Std - Project A BB Line_Nazca copy exact flow chart 2012313" xfId="14523"/>
    <cellStyle name="_Mulan Edge Procurement Plan July 12 P1A_Mulan Edge EP0 KRH CTB wk28_2_MOST Std - S1300 F2lines" xfId="14524"/>
    <cellStyle name="差_Creak Pearl Reliability Fixture RFQ_2009 04 24_Pearl RFQ(Submittal)ver2_05_12_2009 _Squirrel RFQ ME BOM Costs-0623_Bolt RFQ Proposal_Foxlink_ (Pricing Summary) 2 25 2011 4" xfId="14525"/>
    <cellStyle name="Comma 2 17" xfId="14526"/>
    <cellStyle name="Comma 2 22" xfId="14527"/>
    <cellStyle name="_Mulan Edge Procurement Plan July 12 P1A_Mulan Edge EP0 KRH CTB wk28_2_MOST Std - S1300 F2lines_FMTQCI-MIS3H064-P027(01)Nazca Copy Exact Flow chart" xfId="14528"/>
    <cellStyle name="_Mulan Edge Procurement Plan July 12 P1A_Mulan Edge EP0 KRH CTB wk28_2_MOST Std - S1300 F2lines_Nazca copy exact flow chart 20120409" xfId="14529"/>
    <cellStyle name="壞_Creek Assembly Fixture  Test Equipment RFQ_20090427_Xl0000002_Leopard RFQ ME BOM Costs-0618_Bolt RFQ_Foxlink_03.1 2011_nego meeting@MACH 4" xfId="14530"/>
    <cellStyle name="_Mulan Edge Procurement Plan July 12 P1A_Mulan Edge EP0 KRH CTB wk28_2_MOST Std - S1300 F2lines_Nazca copy exact flow chart 2012313" xfId="14531"/>
    <cellStyle name="_Mulan Edge Procurement Plan July 12 P1A_Mulan Edge EP0 KRH CTB wk28_2_Nazca copy exact flow chart 20120409" xfId="14532"/>
    <cellStyle name="20% - 强调文字颜色 6 2 2 3" xfId="14533"/>
    <cellStyle name="差_Creak Pearl Reliability Fixture RFQ_2009 04 24_Leopard_UniBOM_ME_0602-1 3" xfId="14534"/>
    <cellStyle name="_Mulan Edge Procurement Plan July 12 P1A_Nazca copy exact flow chart 20120409" xfId="14535"/>
    <cellStyle name="Percent 22 2 2" xfId="14536"/>
    <cellStyle name="_Mulan Edge Procurement Plan July 12 P1A_Nazca copy exact flow chart 2012313" xfId="14537"/>
    <cellStyle name="_Mulan Edge Procurement Plan May 24 P1A" xfId="14538"/>
    <cellStyle name="60% - 强调文字颜色 2 2 2 4" xfId="14539"/>
    <cellStyle name="_Mulan Edge Procurement Plan May 24 P1A_Copy of MOST Std - S1300 F2lines" xfId="14540"/>
    <cellStyle name="_Mulan Edge Procurement Plan May 24 P1A_Copy of MOST Std - S1300 F2lines_FMTQCI-MIS3H064-P027(01)Nazca Copy Exact Flow chart" xfId="14541"/>
    <cellStyle name="差_MB9月管審誤判超標 8D_HP 2 2 3" xfId="14542"/>
    <cellStyle name="_Mulan Edge Procurement Plan May 24 P1A_Copy of MOST Std - S1300 F2lines_Nazca copy exact flow chart 20120409" xfId="14543"/>
    <cellStyle name="差_F3   SMT設備明細_jupite r設備&amp;治工具LIST (總)_Jackson 效益分析 testing update_16th Jan1_Jackson 效益分析 (2-1 B0 上系統)_Leopard Flowchart &amp; 產能評估" xfId="14544"/>
    <cellStyle name="_Mulan Edge Procurement Plan May 24 P1A_Copy of MOST Std - S1300 F2lines_Nazca copy exact flow chart 2012313" xfId="14545"/>
    <cellStyle name="_Mulan Edge Procurement Plan May 24 P1A_FMTQCI-MIS3H064-P027(01)Nazca Copy Exact Flow chart" xfId="14546"/>
    <cellStyle name="好_River EE BOM_Xl0000002_Leopard_UniBOM_ME_0602-1_Bolt RFQ_Foxlink_03.1 2011 2" xfId="14547"/>
    <cellStyle name="差_HP  專案(設備&amp;治工具需夠買)update_Erie 效益分析(8-27)" xfId="14548"/>
    <cellStyle name="_Mulan Edge Procurement Plan May 24 P1A_MOST Std - Project A BB Line_FMTQCI-MIS3H064-P027(01)Nazca Copy Exact Flow chart" xfId="14549"/>
    <cellStyle name="_Mulan Edge Procurement Plan May 24 P1A_MOST Std - Project A BB Line_Nazca copy exact flow chart 20120409" xfId="14550"/>
    <cellStyle name="_Mulan Edge Procurement Plan May 24 P1A_MOST Std - Project A BB Line_Nazca copy exact flow chart 2012313" xfId="14551"/>
    <cellStyle name="_Mulan Edge Procurement Plan May 24 P1A_MOST Std - S1300 F2lines" xfId="14552"/>
    <cellStyle name="好_Creek EE BOM cost_20090425_Leopard_UniBOM_ME_0602_Bolt RFQ Proposal_Foxlink_ (Pricing Summary) 2 25 2011 7" xfId="14553"/>
    <cellStyle name="_Mulan Edge Procurement Plan May 24 P1A_MOST Std - S1300 F2lines_FMTQCI-MIS3H064-P027(01)Nazca Copy Exact Flow chart" xfId="14554"/>
    <cellStyle name="_Mulan Edge Procurement Plan May 24 P1A_MOST Std - S1300 F2lines_Nazca copy exact flow chart 20120409" xfId="14555"/>
    <cellStyle name="_空焊明細_八月月報2_Book1_複本 0541周周管審" xfId="14556"/>
    <cellStyle name="_Mulan Edge Procurement Plan May 24 P1A_Nazca copy exact flow chart 20120409" xfId="14557"/>
    <cellStyle name="差_Creak Pearl Reliability Fixture RFQ_2009 04 24_Xl0000002 5" xfId="14558"/>
    <cellStyle name="好_River EE BOM_Creek RFQ feedback 04_28_2009_FD Update_Leopard_UniBOM_ME_0603-2_Bolt RFQ_Foxlink_03.1 2011_nego meeting@MACH 4" xfId="14559"/>
    <cellStyle name="好_Creek EE BOM cost_20090425_Creek RFQ feedback 04_28_2009_FD Update_Squirrel UniBom-06.23.2010_update_internal_Bolt RFQ_Foxlink_03.1 2011_nego meeting@MACH 2" xfId="14560"/>
    <cellStyle name="_Mulan Edge Procurement Plan May 24 P1A_Nazca copy exact flow chart 2012313" xfId="14561"/>
    <cellStyle name="好_River EE BOM_Xl0000000_Squirrel UniBom-06.23.2010_update_internal_Bolt RFQ_Foxlink_03.1 2011 4" xfId="14562"/>
    <cellStyle name="_Mulan Edge Procurement Plan May 30 P1A" xfId="14563"/>
    <cellStyle name="差_Creek RFQ feedback 04_28_2009_FD Update_Squirrel RFQ ME BOM Costs-0623_Bolt RFQ_Foxlink_03.1 2011_nego meeting@MACH 4" xfId="14564"/>
    <cellStyle name="差_Creak Pearl Reliability Fixture RFQ_2009 04 24_Squirrel UniBom-06.23.2010_update_internal_Bolt RFQ_Foxlink_03.1 2011_nego meeting@MACH 3 2" xfId="14565"/>
    <cellStyle name="_Mulan Edge Procurement Plan May 30 P1A_Copy of MOST Std - S1300 F2lines_FMTQCI-MIS3H064-P027(01)Nazca Copy Exact Flow chart" xfId="14566"/>
    <cellStyle name="_Mulan Edge Procurement Plan May 30 P1A_Copy of MOST Std - S1300 F2lines_Nazca copy exact flow chart 20120409" xfId="14567"/>
    <cellStyle name="_Mulan Edge Procurement Plan May 30 P1A_Copy of MOST Std - S1300 F2lines_Nazca copy exact flow chart 2012313" xfId="14568"/>
    <cellStyle name="_Mulan Edge Procurement Plan May 30 P1A_MOST Std - Project A BB Line" xfId="14569"/>
    <cellStyle name="差_Creak Pearl Reliability Fixture RFQ_2009 04 24_Xl0000002_Leopard RFQ ME BOM Costs-0618-2_Bolt RFQ Proposal_Foxlink_ (Pricing Summary) 2 25 2011 2 2" xfId="14570"/>
    <cellStyle name="差_dallas產能評估_Dallas效益分析&amp;投資回收期 (12-2 A1)_~5631336_Jackson 效益分析 (2-1 B0 上系統)_Leopard Flowchart &amp; 產能評估" xfId="14571"/>
    <cellStyle name="_Mulan Edge Procurement Plan May 30 P1A_MOST Std - Project A BB Line_FMTQCI-MIS3H064-P027(01)Nazca Copy Exact Flow chart" xfId="14572"/>
    <cellStyle name="差_dallas產能評估_~3106354_squirrel效益分析08-17" xfId="14573"/>
    <cellStyle name="Unprot" xfId="14574"/>
    <cellStyle name="_Mulan Edge Procurement Plan May 30 P1A_MOST Std - Project A BB Line_Nazca copy exact flow chart 2012313" xfId="14575"/>
    <cellStyle name="_Mulan Edge Procurement Plan May 30 P1A_MOST Std - S1300 F2lines" xfId="14576"/>
    <cellStyle name="好_River EE BOM_Creak Pearl Reliability Fixture RFQ_2009 04 24_Pearl RFQ(Submittal)ver2_05_12_2009 _Squirrel RFQ ME BOM Costs-0623_Bolt RFQ_Foxlink_03.1 2011 5" xfId="14577"/>
    <cellStyle name="_Part_Master" xfId="14578"/>
    <cellStyle name="_Mulan Edge Procurement Plan May 30 P1A_MOST Std - S1300 F2lines_FMTQCI-MIS3H064-P027(01)Nazca Copy Exact Flow chart" xfId="14579"/>
    <cellStyle name="_Mulan Edge Procurement Plan May 30 P1A_MOST Std - S1300 F2lines_Nazca copy exact flow chart 20120409" xfId="14580"/>
    <cellStyle name="60% - アクセント 5" xfId="14581"/>
    <cellStyle name="差_Squirrel UniBom-06.23.2010_update_internal_Bolt RFQ_Foxlink_03.1 2011_nego meeting@MACH 3" xfId="14582"/>
    <cellStyle name="_Mulan Edge Procurement Plan May 30 P1A_MOST Std - S1300 F2lines_Nazca copy exact flow chart 2012313" xfId="14583"/>
    <cellStyle name="_Mulan Edge Procurement Plan May 30 P1A_Nazca copy exact flow chart 20120409" xfId="14584"/>
    <cellStyle name="好_Creek Assembly Fixture  Test Equipment RFQ_20090427_Xl0000002_Leopard Lemur Squirrel UniBom-06.22.2010_EE cost _update_internal_Bolt RFQ_Foxlink_03.1 2011_nego meeting@MACH 4" xfId="14585"/>
    <cellStyle name="_Mulan Edge Procurement Plan May 30 P1A_Nazca copy exact flow chart 2012313" xfId="14586"/>
    <cellStyle name="好_River EE BOM_Xl0000000_Leopard RFQ ME BOM Costs-0618-2_Bolt RFQ_Foxlink_03.1 2011 4" xfId="14587"/>
    <cellStyle name="_Mulan Edge RTP CTB EP1 Aug 22 Chin" xfId="14588"/>
    <cellStyle name="_Mulan Edge RTP CTB EP1 Aug 22 Chin_Copy of MOST Std - S1300 F2lines" xfId="14589"/>
    <cellStyle name="_Mulan Edge RTP CTB EP1 Aug 22 Chin_Copy of MOST Std - S1300 F2lines_FMTQCI-MIS3H064-P027(01)Nazca Copy Exact Flow chart" xfId="14590"/>
    <cellStyle name="好_Erie Trial run  QA Report-1105_Dolce   QA Report 2010_0902" xfId="14591"/>
    <cellStyle name="_Mulan Edge RTP CTB EP1 Aug 22 Chin_Copy of MOST Std - S1300 F2lines_Nazca copy exact flow chart 20120409" xfId="14592"/>
    <cellStyle name="_Mulan Edge RTP CTB EP1 Aug 22 Chin_Copy of MOST Std - S1300 F2lines_Nazca copy exact flow chart 2012313" xfId="14593"/>
    <cellStyle name="_Mulan Edge RTP CTB EP1 Aug 22 Chin_FMTQCI-MIS3H064-P027(01)Nazca Copy Exact Flow chart" xfId="14594"/>
    <cellStyle name="_PL Forecast Comparison_Mech Doumen2006_1(preliminary)_PL Forecast by segment-most final 0806_2009 xBOX ramp up budget code applicaiton 300K --New May27" xfId="14595"/>
    <cellStyle name="差_治具工程課2009年KPI_KPI 1006 5 3" xfId="14596"/>
    <cellStyle name="好_HP all model 標準工時(W1130) 5 2 2" xfId="14597"/>
    <cellStyle name="_Mulan Edge RTP CTB EP1 Aug 22 Chin_MOST Std - Project A BB Line" xfId="14598"/>
    <cellStyle name="_品質及5S標語統計表" xfId="14599"/>
    <cellStyle name="_Mulan Edge RTP CTB EP1 Aug 22 Chin_MOST Std - Project A BB Line_FMTQCI-MIS3H064-P027(01)Nazca Copy Exact Flow chart" xfId="14600"/>
    <cellStyle name="差_HP Mouse 產能評估(Forecast更改後)_MS Bolt wireless mouse FixtureEquipment Cost_A5_2010_02_21 3" xfId="14601"/>
    <cellStyle name="60% - 强调文字颜色 3 3 4" xfId="14602"/>
    <cellStyle name="差_Creak Pearl Reliability Fixture RFQ_2009 04 24_Leopard RFQ ME BOM Costs-0618 2 2 3" xfId="14603"/>
    <cellStyle name="_Mulan Edge RTP CTB EP1 Aug 22 Chin_MOST Std - Project A BB Line_Nazca copy exact flow chart 20120409" xfId="14604"/>
    <cellStyle name="_Mulan Edge RTP CTB EP1 Aug 22 Chin_MOST Std - Project A BB Line_Nazca copy exact flow chart 2012313" xfId="14605"/>
    <cellStyle name="差_HP Mouse 產能評估(Forecast更改後)_Erie 效益分析(8-27)_squirrel效益分析08-17" xfId="14606"/>
    <cellStyle name="Normal 4 8 4" xfId="14607"/>
    <cellStyle name="好_Creek Assembly Fixture  Test Equipment RFQ_20090427_Leopard_UniBOM_ME_0602-1_Bolt RFQ Proposal_Foxlink_ (Pricing Summary) 2 25 2011 3 2" xfId="14608"/>
    <cellStyle name="_Mulan Edge RTP CTB EP1 Aug 22 Chin_MOST Std - S1300 F2lines" xfId="14609"/>
    <cellStyle name="好_Creek EE BOM cost_20090425_Creek RFQ feedback 04_28_2009_FD Update_Leopard_UniBOM_ME_0603-2_Bolt RFQ_Foxlink_03.1 2011 2 3" xfId="14610"/>
    <cellStyle name="_Seagate FLAGSHIP DESKTOP ME bom cost_Rev.A1" xfId="14611"/>
    <cellStyle name="_Mulan Edge RTP CTB EP1 Aug 22 Chin_MOST Std - S1300 F2lines_FMTQCI-MIS3H064-P027(01)Nazca Copy Exact Flow chart" xfId="14612"/>
    <cellStyle name="_Mulan Edge RTP CTB EP1 Aug 22 Chin_MOST Std - S1300 F2lines_Nazca copy exact flow chart 20120409" xfId="14613"/>
    <cellStyle name="好_River EE BOM_Squirrel UniBom-06.23.2010_update_internal_Bolt RFQ_Foxlink_03.1 2011 3 3" xfId="14614"/>
    <cellStyle name="_Mulan Edge RTP CTB EP1 Aug 22 Chin_MOST Std - S1300 F2lines_Nazca copy exact flow chart 2012313" xfId="14615"/>
    <cellStyle name="好_River EE BOM_Creak Pearl Reliability Fixture RFQ_2009 04 24_Creek RFQ feedback 04_28_2009_FD Update_Foxlink_Shadow RFQ NREUni BOM_12032009_Bolt RFQ Proposal_Foxlink_ (Pricing Summary) 2 25 2011 3" xfId="14616"/>
    <cellStyle name="_Mulan Edge RTP CTB EP1 Aug 22 Chin_Nazca copy exact flow chart 20120409" xfId="14617"/>
    <cellStyle name="60% - 强调文字颜色 2 2 2 2 2" xfId="14618"/>
    <cellStyle name="_Mulan Edge RTP CTB EP1 Aug 22 Chin_Nazca copy exact flow chart 2012313" xfId="14619"/>
    <cellStyle name="_Mustang production assembly quotation (internal review)3-16 Rev7" xfId="14620"/>
    <cellStyle name="差_Creak Pearl Reliability Fixture RFQ_2009 04 24_Leopard RFQ ME BOM Costs-0618_Bolt RFQ Proposal_Foxlink_ (Pricing Summary) 2 25 2011 6" xfId="14621"/>
    <cellStyle name="_Mustang production sample quotation (internal review)3-12-09 Rev3" xfId="14622"/>
    <cellStyle name="_Mystique RFQ 070920" xfId="14623"/>
    <cellStyle name="好_River EE BOM_Bolt RFQ Proposal_Foxlink_ (Pricing Summary) 2 25 2011 7" xfId="14624"/>
    <cellStyle name="_N2 Forecast-08.09.2007" xfId="14625"/>
    <cellStyle name="_x001e__Nasca Riskbuy list 20110117 wk03-Update" xfId="14626"/>
    <cellStyle name="好_River EE BOM_Creak Pearl Reliability Fixture RFQ_2009 04 24_Xl0000002_Leopard_UniBOM_ME_0531_Bolt RFQ Proposal_Foxlink_ (Pricing Summary) 2 25 2011 5 3" xfId="14627"/>
    <cellStyle name="_x001e__Nasca Riskbuy list 20110117 wk04-To HM" xfId="14628"/>
    <cellStyle name="_NER cost budget for Xbox360 peripherals volume raise 2006-03-16" xfId="14629"/>
    <cellStyle name="_Xbox November COGS Close Pack_P6 Si Ops review" xfId="14630"/>
    <cellStyle name="差_Creak Pearl Reliability Fixture RFQ_2009 04 24_Pearl RFQ(Submittal)ver2_05_12_2009 _Leopard_UniBOM_ME_0602-1 2 3" xfId="14631"/>
    <cellStyle name="_NER cost budget for Xbox360 peripherals volume raise 2006-03-16_FMTQCI-MIS3H064-P027(01)Nazca Copy Exact Flow chart" xfId="14632"/>
    <cellStyle name="好_River EE BOM_Creek RFQ feedback 04_28_2009_FD Update_Leopard_UniBOM_ME_0602-1_Bolt RFQ Proposal_Foxlink_ (Pricing Summary) 2 25 2011 3" xfId="14633"/>
    <cellStyle name="_NER cost budget for Xbox360 peripherals volume raise 2006-03-16_Nazca copy exact flow chart 20120409" xfId="14634"/>
    <cellStyle name="差_Xl0000000_Squirrel UniBom-06.23.2010_update_internal_Bolt RFQ Proposal_Foxlink_ (Pricing Summary) 2 25 2011 2 4" xfId="14635"/>
    <cellStyle name="好_River EE BOM_Xl0000000_Leopard_UniBOM_ME_0531_Bolt RFQ_Foxlink_03.1 2011_nego meeting@MACH 3 2" xfId="14636"/>
    <cellStyle name="_NER cost budget for Xbox360 peripherals volume raise 2006-03-16_Nazca copy exact flow chart 2012313" xfId="14637"/>
    <cellStyle name="差_Creak Pearl Reliability Fixture RFQ_2009 04 24_Creek  Pearl RFQ_May 12_Leopard Lemur Squirrel UniBom-06.22.2010_EE cost _update_internal_Bolt RFQ Proposal_Foxlink_ (Pricing Summary) 2 25 2011 2 2" xfId="14638"/>
    <cellStyle name="_New Cyclops POC uni-BOM 080922" xfId="14639"/>
    <cellStyle name="差_Creak Pearl Reliability Fixture RFQ_2009 04 24_Creek  Pearl RFQ_May 12_Leopard Lemur Squirrel UniBom-06.22.2010_EE cost _update_internal_Bolt RFQ Proposal_Foxlink_ (Pricing Summary) 2 25 2011 2 2 2" xfId="14640"/>
    <cellStyle name="_New Cyclops POC uni-BOM 080922 2" xfId="14641"/>
    <cellStyle name="差_Creak Pearl Reliability Fixture RFQ_2009 04 24_Creek RFQ feedback 04_28_2009_FD Update_Leopard_UniBOM_ME_0531_Bolt RFQ_Foxlink_03.1 2011_nego meeting@MACH 3 3" xfId="14642"/>
    <cellStyle name="好_River EE BOM_Creak Pearl Reliability Fixture RFQ_2009 04 24_Pearl RFQ(Submittal)ver2_05_12_2009 _Leopard_UniBOM_ME_0603-2_Bolt RFQ_Foxlink_03.1 2011_nego meeting@MACH 2" xfId="14643"/>
    <cellStyle name="差_Creak Pearl Reliability Fixture RFQ_2009 04 24_Creek RFQ feedback 04_28_2009_FD Update_Foxlink_Shadow RFQ NREUni BOM_12032009_Bolt RFQ_Foxlink_03.1 2011 2 3" xfId="14644"/>
    <cellStyle name="_New Stuff for Part Master" xfId="14645"/>
    <cellStyle name="_New Stuff for Part Master_Development" xfId="14646"/>
    <cellStyle name="Monetaire [0]_!!!GO" xfId="14647"/>
    <cellStyle name="_New Stuff for Part Master_Development_FY06 P6 CM Consigned RM" xfId="14648"/>
    <cellStyle name="_New Stuff for Part Master_Development_FY06 P7 CM Consigned RM" xfId="14649"/>
    <cellStyle name="60% - Accent2 5" xfId="14650"/>
    <cellStyle name="_New Stuff for Part Master_Development_P2 Waynea review" xfId="14651"/>
    <cellStyle name="好_Creek Assembly Fixture  Test Equipment RFQ_20090427_Squirrel RFQ ME BOM Costs-0623 2" xfId="14652"/>
    <cellStyle name="_New Stuff for Part Master_FY06 P6 CM Consigned RM" xfId="14653"/>
    <cellStyle name="_New Stuff for Part Master_FY06 P6 XBox 360 Mfg Var - Close Pack" xfId="14654"/>
    <cellStyle name="_New Stuff for Part Master_FY06 P7 CM Consigned RM" xfId="14655"/>
    <cellStyle name="_New Stuff for Part Master_P2 Waynea review" xfId="14656"/>
    <cellStyle name="好_Creek EE BOM cost_20090425_Creek RFQ feedback 04_28_2009_FD Update_Leopard Lemur Squirrel UniBom-06.22.2010_EE cost _update_internal_Bolt RFQ_Foxlink_03.1 2011_nego meeting@MACH 2 2" xfId="14657"/>
    <cellStyle name="差_Creak Pearl Reliability Fixture RFQ_2009 04 24_Creek  Pearl RFQ_May 12_Squirrel UniBom-06.23.2010_update_internal_Bolt RFQ Proposal_Foxlink_ (Pricing Summary) 2 25 2011 7" xfId="14658"/>
    <cellStyle name="_Seagate FLAGSHIP DESKTOP ME bom cost_Rev.A2 78" xfId="14659"/>
    <cellStyle name="_Seagate FLAGSHIP DESKTOP ME bom cost_Rev.A2 83" xfId="14660"/>
    <cellStyle name="_NG Summary" xfId="14661"/>
    <cellStyle name="差_0842周 顯卡報廢超標8D_2009MB KPI_MBO3F製造部hp0209-01 2 2 4" xfId="14662"/>
    <cellStyle name="_NGSC Budget May 3rd" xfId="14663"/>
    <cellStyle name="好_Creek EE BOM cost_20090425_Leopard RFQ ME BOM Costs-0618-2_Bolt RFQ Proposal_Foxlink_ (Pricing Summary) 2 25 2011 4" xfId="14664"/>
    <cellStyle name="_NGSC Budget May 3rd_accessories spc 1 0 slide" xfId="14665"/>
    <cellStyle name="_NGSC Budget May 3rd_Book5" xfId="14666"/>
    <cellStyle name="好_River EE BOM_Creak Pearl Reliability Fixture RFQ_2009 04 24_Pearl RFQ(Submittal)ver2_05_12_2009 _Bolt RFQ Proposal_Foxlink_ (Pricing Summary) 2 25 2011 2 2 3" xfId="14667"/>
    <cellStyle name="_NGSC Budget May 3rd_CopyOfP6 Waynea review" xfId="14668"/>
    <cellStyle name="_NGSC Budget May 3rd_FY06 P06 360Periphs SPC" xfId="14669"/>
    <cellStyle name="_NGSC Budget May 3rd_FY06 P4 CM Consigned RM" xfId="14670"/>
    <cellStyle name="差_jupite r設備&amp;治工具LIST (總)_Dallas flow chart&amp;設備&amp;治工具清單(12-8 A0)_Jackson 效益分析 testing update_16th Jan111_Jackson 效益分析 (2-1 B0 上系統)" xfId="14671"/>
    <cellStyle name="_NGSC Budget May 3rd_FY06 P5 XBox 360 Mfg Var - Close Pack" xfId="14672"/>
    <cellStyle name="差_Creak Pearl Reliability Fixture RFQ_2009 04 24_Creek  Pearl RFQ_May 12_Leopard_UniBOM_ME_0531_Bolt RFQ Proposal_Foxlink_ (Pricing Summary) 2 25 2011 2 3" xfId="14673"/>
    <cellStyle name="_NGSC Budget May 3rd_FY06 P7 XBox 360 Mfg Var - Close Pack" xfId="14674"/>
    <cellStyle name="好_River EE BOM_Creak Pearl Reliability Fixture RFQ_2009 04 24_Leopard_UniBOM_ME_0602_Bolt RFQ_Foxlink_03.1 2011 4" xfId="14675"/>
    <cellStyle name="差_HP Mouse 產能評估(Forecast更改後)_MS Bolt wireless mouse FixtureEquipment Cost_A5_2010_02_21_Bolt RFQ_Foxlink_03.1 2011_nego meeting@MACH 2 2" xfId="14676"/>
    <cellStyle name="_NGSC Budget May 3rd_FY06 P7 XBox Mfg Var - Close Pack" xfId="14677"/>
    <cellStyle name="_PL Forecast Comparison_Mech Doumen2006_1(preliminary)_PL Fcst Jul 06-updated G&amp;A Value_X-BOX BB" xfId="14678"/>
    <cellStyle name="_NGSC Budget May 3rd_FY06 P8 CM Consigned RM" xfId="14679"/>
    <cellStyle name="差_Creak Pearl Reliability Fixture RFQ_2009 04 24_Creek  Pearl RFQ_May 12 3 2" xfId="14680"/>
    <cellStyle name="好_River EE BOM_Creak Pearl Reliability Fixture RFQ_2009 04 24_Creek  Pearl RFQ_May 12_Leopard_UniBOM_ME_0603-2_Bolt RFQ Proposal_Foxlink_ (Pricing Summary) 2 25 2011 2 2 2" xfId="14681"/>
    <cellStyle name="_NGSC Budget May 3rd_P2 Waynea review" xfId="14682"/>
    <cellStyle name="_NGSC Budget May 3rd_P6 Si Ops review" xfId="14683"/>
    <cellStyle name="_RM And FG Open POa_FY06 P4 CM Consigned RM" xfId="14684"/>
    <cellStyle name="_NGSC Budget May 3rd_P6 Si Ops review (2)" xfId="14685"/>
    <cellStyle name="好_River EE BOM_Creek RFQ feedback 04_28_2009_FD Update_Leopard_UniBOM_ME_0531_Bolt RFQ_Foxlink_03.1 2011 3" xfId="14686"/>
    <cellStyle name="_NGSC Budget May 3rd_P6 Waynea review" xfId="14687"/>
    <cellStyle name="Normal 4 5 2 4 2" xfId="14688"/>
    <cellStyle name="_NGSC Budget May 3rd_Sheet1" xfId="14689"/>
    <cellStyle name="_Nokia BTHS Cost Analysis_091305 v1.0" xfId="14690"/>
    <cellStyle name="_Nokia Ikarus action item report_111705" xfId="14691"/>
    <cellStyle name="Percent [00] 2" xfId="14692"/>
    <cellStyle name="_Nokia Ikarus BTHS Cost Analysis_120505 v1.4" xfId="14693"/>
    <cellStyle name="_Nokia Ikarus BTHS Cost Analysis_120505 v1.4 2" xfId="14694"/>
    <cellStyle name="差_Creak Pearl Reliability Fixture RFQ_2009 04 24_Creek RFQ feedback 04_28_2009_FD Update_Leopard_UniBOM_ME_0602_Bolt RFQ Proposal_Foxlink_ (Pricing Summary) 2 25 2011 5 3" xfId="14695"/>
    <cellStyle name="_Nov Freight analysis value" xfId="14696"/>
    <cellStyle name="_Nov Freight analysis value_FY06 P6 CM Consigned RM" xfId="14697"/>
    <cellStyle name="_Nov Freight analysis value_FY06 P7 CM Consigned RM" xfId="14698"/>
    <cellStyle name="_Plantronics_Rainier_Dev Pricing_Apr.16_RFQ_River_BAFO_2008 0606_M1_Stream Package Quotation_20090311" xfId="14699"/>
    <cellStyle name="_Nov Freight analysis value_P2 Waynea review" xfId="14700"/>
    <cellStyle name="_NRE Summary" xfId="14701"/>
    <cellStyle name="好_Creek EE BOM cost_20090425_Leopard UniBom_Foxlink_6 21 2010-ME_nego_Bolt RFQ Proposal_Foxlink_ (Pricing Summary) 2 25 2011 2 4" xfId="14702"/>
    <cellStyle name="_NRE Summary 2" xfId="14703"/>
    <cellStyle name="好_River EE BOM_Xl0000002_Leopard_UniBOM_ME_0531_Bolt RFQ Proposal_Foxlink_ (Pricing Summary) 2 25 2011 4" xfId="14704"/>
    <cellStyle name="好_Creek Assembly Fixture  Test Equipment RFQ_20090427_Leopard UniBom_Foxlink_6 21 2010-ME_nego_Bolt RFQ_Foxlink_03.1 2011_nego meeting@MACH 4" xfId="14705"/>
    <cellStyle name="_NVD-MB最新人员名单" xfId="14706"/>
    <cellStyle name="差_HP Mouse 產能評估(Forecast更改後)_M1 SuedeFixtureEquipment Cost_A0_2010_10_15_Wedge_ME_BOM-v00-11v0630" xfId="14707"/>
    <cellStyle name="_ODDBB Customer Visit Log050401" xfId="14708"/>
    <cellStyle name="_Office XP 20002 Ms Sales query" xfId="14709"/>
    <cellStyle name="_Omni COGS 5.04.05 rev_1" xfId="14710"/>
    <cellStyle name="壞_Creek EE BOM cost_20090425_Squirrel UniBom-06.23.2010_update_internal 2 2" xfId="14711"/>
    <cellStyle name="_Omni COGS 5.04.05 rev_1_FY06 P4 CM Consigned RM" xfId="14712"/>
    <cellStyle name="_Omni COGS 5.04.05 rev_1_FY06 P6 CM Consigned RM" xfId="14713"/>
    <cellStyle name="差_F3   SMT設備明細_效益分析_Dallas flow chart&amp;設備&amp;治工具清單(12-8 A0)_Flow chart and Fixture(Jackson)_A1_Jackson 效益分析 (2-1 B0 上系統)_Leopard Flowchart &amp; 產能評估" xfId="14714"/>
    <cellStyle name="_Omni COGS 5.04.05 rev_1_FY06 P6 XBox 360 Mfg Var - Close Pack" xfId="14715"/>
    <cellStyle name="_Omni COGS 5.04.05 rev_1_FY06 P7 CM Consigned RM" xfId="14716"/>
    <cellStyle name="_Omni COGS 5.04.05 rev_1_P2 Waynea review" xfId="14717"/>
    <cellStyle name="_OnLine Forecast Template PCBA_Computing Nov 2006 V2" xfId="14718"/>
    <cellStyle name="好_治具工程課2009年KPI_2009MB KPI-0205 2 3 2" xfId="14719"/>
    <cellStyle name="_OnLine Forecast Template PCBA_Computing Nov 2006 V2_2009 xBOX ramp up budget code applicaiton" xfId="14720"/>
    <cellStyle name="_OnLine Forecast Template PCBA_Computing Nov 2006 V2_2009 xBOX ramp up budget code applicaiton 300K --New May27" xfId="14721"/>
    <cellStyle name="_Seagate FLAGSHIP DESKTOP ME bom cost_Rev.A2 11" xfId="14722"/>
    <cellStyle name="好_River EE BOM_Creak Pearl Reliability Fixture RFQ_2009 04 24_Creek RFQ feedback 04_28_2009_FD Update_Leopard UniBom_Foxlink_6 21 2010-ME_nego_Bolt RFQ Proposal_Foxlink_ (Pricing Summary) 2 25 2011 4 2" xfId="14723"/>
    <cellStyle name="_OnLine Forecast Template PCBA_Computing Nov 2006 V2_Copy of X-BOX for line setup budget" xfId="14724"/>
    <cellStyle name="好_River EE BOM_Creak Pearl Reliability Fixture RFQ_2009 04 24_Xl0000002_Squirrel RFQ ME BOM Costs-0623_Bolt RFQ_Foxlink_03.1 2011_nego meeting@MACH 2 2" xfId="14725"/>
    <cellStyle name="_OnLine Forecast Template PCBA_Computing Nov 2006 V2_Forecast Template v4" xfId="14726"/>
    <cellStyle name="好_River EE BOM_Creak Pearl Reliability Fixture RFQ_2009 04 24_Creek  Pearl RFQ_May 12_Foxlink_Shadow RFQ NREUni BOM_12032009_Bolt RFQ Proposal_Foxlink_ (Pricing Summary) 2 25 2011 6" xfId="14727"/>
    <cellStyle name="差_RIO Trial run (Pre-PV 100PCS) QA Report-0610_Dolce   QA Report 2010_0902_~7519239" xfId="14728"/>
    <cellStyle name="差_Creak Pearl Reliability Fixture RFQ_2009 04 24_Pearl RFQ(Submittal)ver2_05_12_2009 _Foxlink_Shadow RFQ NREUni BOM_12032009_Bolt RFQ_Foxlink_03.1 2011 5" xfId="14729"/>
    <cellStyle name="_OnLine Forecast Template PCBA_Computing Nov 2006 V2_X-BOX BB" xfId="14730"/>
    <cellStyle name="_OnLine Forecast Template PCBA_Computing Nov 2006 V2_X-BOX Console line setup budget 20080414" xfId="14731"/>
    <cellStyle name="_OP1 DPO Forecast Final" xfId="14732"/>
    <cellStyle name="_OP1 DPO Forecast Final_2009 xBOX ramp up budget code applicaiton" xfId="14733"/>
    <cellStyle name="_OP1 DPO Forecast Final_2009 xBOX ramp up budget code applicaiton 300K --New May26 (3)" xfId="14734"/>
    <cellStyle name="_OP1 DPO Forecast Final_2009 xBOX ramp up budget code applicaiton 300K --New May27" xfId="14735"/>
    <cellStyle name="好_Creek EE BOM cost_20090425_Creek RFQ feedback 04_28_2009_FD Update_Leopard Lemur Squirrel UniBom-06.22.2010_EE cost _update_internal_Bolt RFQ_Foxlink_03.1 2011_nego meeting@MACH 3" xfId="14736"/>
    <cellStyle name="_OP1 DPO Forecast Final_Budget GC Other Form" xfId="14737"/>
    <cellStyle name="_OP1 DPO Forecast Final_Copy of Tom OS ( Oct) new for LOG_2009 xBOX ramp up budget code applicaiton" xfId="14738"/>
    <cellStyle name="_Seagate FLAGSHIP DESKTOP ME bom cost_Rev.A2 28" xfId="14739"/>
    <cellStyle name="_Seagate FLAGSHIP DESKTOP ME bom cost_Rev.A2 33" xfId="14740"/>
    <cellStyle name="好_Creek EE BOM cost_20090425_Creek RFQ feedback 04_28_2009_FD Update_Leopard_UniBOM_ME_0603-2" xfId="14741"/>
    <cellStyle name="好_River EE BOM_Creek RFQ feedback 04_28_2009_FD Update_Squirrel UniBom-06.23.2010_update_internal_Bolt RFQ Proposal_Foxlink_ (Pricing Summary) 2 25 2011" xfId="14742"/>
    <cellStyle name="Accent3 - 60%" xfId="14743"/>
    <cellStyle name="_OP1 DPO Forecast Final_Copy of Tom OS ( Oct) new for LOG_2009 xBOX ramp up budget code applicaiton 300K --New May26 (3)" xfId="14744"/>
    <cellStyle name="_OP1 DPO Forecast Final_Copy of Tom OS ( Oct) new for LOG_2009 xBOX ramp up budget code applicaiton 300K --New May27" xfId="14745"/>
    <cellStyle name="好_River EE BOM_Xl0000000_Foxlink_Shadow RFQ NREUni BOM_12032009 2" xfId="14746"/>
    <cellStyle name="_OP1 DPO Forecast Final_Copy of Tom OS ( Oct) new for LOG_Budget GC Other Form" xfId="14747"/>
    <cellStyle name="_OP1 DPO Forecast Final_Copy of Tom OS ( Oct) new for LOG_Copy of X-BOX for line setup budget" xfId="14748"/>
    <cellStyle name="_OP1 DPO Forecast Final_Copy of Tom OS ( Oct) new for LOG_Forecast Template v4" xfId="14749"/>
    <cellStyle name="差_Creek RFQ feedback 04_28_2009_FD Update_Leopard RFQ ME BOM Costs-0618-2_Bolt RFQ Proposal_Foxlink_ (Pricing Summary) 2 25 2011 5 2" xfId="14750"/>
    <cellStyle name="_OP1 DPO Forecast Final_Copy of Tom OS ( Oct) new for LOG_X-BOX BB" xfId="14751"/>
    <cellStyle name="差_Creak Pearl Reliability Fixture RFQ_2009 04 24_Xl0000002_Squirrel RFQ ME BOM Costs-0623_Bolt RFQ Proposal_Foxlink_ (Pricing Summary) 2 25 2011 4 2" xfId="14752"/>
    <cellStyle name="_Part_Master_P6 Waynea review" xfId="14753"/>
    <cellStyle name="_OP1 DPO Forecast Final_Copy of Tom OS ( Oct) new for LOG_X-BOX Console line setup budget 20080414" xfId="14754"/>
    <cellStyle name="差_F3   SMT設備明細_jupite r設備&amp;治工具LIST (總)_效益分析 (12-9 A1)_~1159284" xfId="14755"/>
    <cellStyle name="强调文字颜色 5 2 2 2 3" xfId="14756"/>
    <cellStyle name="_OP1 DPO Forecast Final_Forecast Template v4" xfId="14757"/>
    <cellStyle name="_OP1 DPO Forecast Final_Internal Hourly Rate Q1 FY08 Version 06052007 Draft" xfId="14758"/>
    <cellStyle name="差_治具工程課2009年KPI 2 2 2 2" xfId="14759"/>
    <cellStyle name="_OP1 DPO Forecast Final_Internal Hourly Rate Q1 FY08 Version 06142007 excl. Corporate Allocation" xfId="14760"/>
    <cellStyle name="_OP1 DPO Forecast Final_PL Fcst Jul 06-updated G&amp;A Value" xfId="14761"/>
    <cellStyle name="_OP1 DPO Forecast Final_PL Fcst Jul 06-updated G&amp;A Value_2009 xBOX ramp up budget code applicaiton" xfId="14762"/>
    <cellStyle name="_PL FORECAST OF SEP,06_Forecast Template v4" xfId="14763"/>
    <cellStyle name="_OP1 DPO Forecast Final_PL Fcst Jul 06-updated G&amp;A Value_2009 xBOX ramp up budget code applicaiton 300K --New May26 (3)" xfId="14764"/>
    <cellStyle name="Good 14" xfId="14765"/>
    <cellStyle name="_OP1 DPO Forecast Final_PL Fcst Jul 06-updated G&amp;A Value_2009 xBOX ramp up budget code applicaiton 300K --New May27" xfId="14766"/>
    <cellStyle name="_OP1 DPO Forecast Final_PL Fcst Jul 06-updated G&amp;A Value_Copy of Tom OS ( Oct) new for LOG" xfId="14767"/>
    <cellStyle name="_OP1 DPO Forecast Final_PL Fcst Jul 06-updated G&amp;A Value_Copy of Tom OS ( Oct) new for LOG_2009 xBOX ramp up budget code applicaiton" xfId="14768"/>
    <cellStyle name="差_Creak Pearl Reliability Fixture RFQ_2009 04 24_Pearl RFQ(Submittal)ver2_05_12_2009 _Leopard_UniBOM_ME_0602_Bolt RFQ Proposal_Foxlink_ (Pricing Summary) 2 25 2011 2 2" xfId="14769"/>
    <cellStyle name="_OP1 DPO Forecast Final_PL Fcst Jul 06-updated G&amp;A Value_Copy of Tom OS ( Oct) new for LOG_2009 xBOX ramp up budget code applicaiton 300K --New May27" xfId="14770"/>
    <cellStyle name="差_效益分析&amp;產能評估_M1 Lemur Capacity planFixtureEquipment Cost_A2_06192010_Leopard UniBom_Foxlink_12092010 RevD-jen" xfId="14771"/>
    <cellStyle name="差_Creak Pearl Reliability Fixture RFQ_2009 04 24_Creek RFQ feedback 04_28_2009_FD Update_Leopard RFQ ME BOM Costs-0618_Bolt RFQ_Foxlink_03.1 2011_nego meeting@MACH 3 2" xfId="14772"/>
    <cellStyle name="好_River EE BOM_Creak Pearl Reliability Fixture RFQ_2009 04 24_Pearl RFQ(Submittal)ver2_05_12_2009 _Leopard_UniBOM_ME_0602_Bolt RFQ_Foxlink_03.1 2011_nego meeting@MACH 4" xfId="14773"/>
    <cellStyle name="_OP1 DPO Forecast Final_PL Fcst Jul 06-updated G&amp;A Value_Copy of Tom OS ( Oct) new for LOG_Budget GC Other Form" xfId="14774"/>
    <cellStyle name="_OP1 DPO Forecast Final_PL Fcst Jul 06-updated G&amp;A Value_Copy of Tom OS ( Oct) new for LOG_Forecast Template v4" xfId="14775"/>
    <cellStyle name="好_River EE BOM_Xl0000000_Leopard_UniBOM_ME_0603-2 2 2" xfId="14776"/>
    <cellStyle name="_OP1 DPO Forecast Final_PL Fcst Jul 06-updated G&amp;A Value_Copy of Tom OS ( Oct) new for LOG_X-BOX BB" xfId="14777"/>
    <cellStyle name="_OP1 DPO Forecast Final_PL Fcst Jul 06-updated G&amp;A Value_Copy of Tom OS ( Oct) new for LOG_X-BOX Console line setup budget 20080414" xfId="14778"/>
    <cellStyle name="_OP1 DPO Forecast Final_PL Fcst Jul 06-updated G&amp;A Value_Copy of Tom OS ( Oct) new for LOG_X-BOX Console line setup budget and Buyer list" xfId="14779"/>
    <cellStyle name="_OP1 DPO Forecast Final_PL Fcst Jul 06-updated G&amp;A Value_Copy of X-BOX for line setup budget" xfId="14780"/>
    <cellStyle name="_OP1 DPO Forecast Final_PL Fcst Jul 06-updated G&amp;A Value_Forecast Template v4" xfId="14781"/>
    <cellStyle name="_OP1 DPO Forecast Final_PL Fcst Jul 06-updated G&amp;A Value_Tom OS ( Oct)" xfId="14782"/>
    <cellStyle name="_OP1 DPO Forecast Final_PL Fcst Jul 06-updated G&amp;A Value_Tom OS ( Oct)_2009 xBOX ramp up budget code applicaiton" xfId="14783"/>
    <cellStyle name="差_效益分析&amp;產能評估_M1 Bolt wireless mouse FixtureEquipment Cost_A2_2010_12_07_Bolt RFQ Proposal_Foxlink_ (Pricing Summary) 2 25 2011 3" xfId="14784"/>
    <cellStyle name="_OP1 DPO Forecast Final_PL Fcst Jul 06-updated G&amp;A Value_Tom OS ( Oct)_2009 xBOX ramp up budget code applicaiton 300K --New May26 (3)" xfId="14785"/>
    <cellStyle name="好_River EE BOM_Creak Pearl Reliability Fixture RFQ_2009 04 24_Leopard UniBom_Foxlink_6 21 2010-ME_nego 3 3" xfId="14786"/>
    <cellStyle name="好_Bristol  cost 20100914Rev.A_foxlink Bristol for 10063D-2010-10-11_Bristol ME parts tooling cost 20101022 updated_Bristol TC Estimate Update 08112011_internal working file" xfId="14787"/>
    <cellStyle name="_OP1 DPO Forecast Final_PL Fcst Jul 06-updated G&amp;A Value_Tom OS ( Oct)_2009 xBOX ramp up budget code applicaiton 300K --New May27" xfId="14788"/>
    <cellStyle name="6" xfId="14789"/>
    <cellStyle name="差_Creak Pearl Reliability Fixture RFQ_2009 04 24_Creek  Pearl RFQ_May 12_Squirrel RFQ ME BOM Costs-0623_Bolt RFQ Proposal_Foxlink_ (Pricing Summary) 2 25 2011 4 3" xfId="14790"/>
    <cellStyle name="_XBOX MB repair &amp; refurbish freight cost_Lenovo Park Format_July 07 05" xfId="14791"/>
    <cellStyle name="_OP1 DPO Forecast Final_PL Fcst Jul 06-updated G&amp;A Value_Tom OS ( Oct)_Budget GC Other Form" xfId="14792"/>
    <cellStyle name="好_River EE BOM_Creak Pearl Reliability Fixture RFQ_2009 04 24_Squirrel UniBom-06.23.2010_update_internal_Bolt RFQ Proposal_Foxlink_ (Pricing Summary) 2 25 2011" xfId="14793"/>
    <cellStyle name="_OP1 DPO Forecast Final_PL Fcst Jul 06-updated G&amp;A Value_Tom OS ( Oct)_Copy of X-BOX for line setup budget" xfId="14794"/>
    <cellStyle name="_OP1 DPO Forecast Final_PL Fcst Jul 06-updated G&amp;A Value_Tom OS ( Oct)_Forecast Template v4" xfId="14795"/>
    <cellStyle name="_OP1 DPO Forecast Final_PL Fcst Jul 06-updated G&amp;A Value_Tom OS ( Oct)_X-BOX BB" xfId="14796"/>
    <cellStyle name="_OP1 DPO Forecast Final_PL Fcst Jul 06-updated G&amp;A Value_Tom OS ( Oct)_X-BOX Console line setup budget 20080414" xfId="14797"/>
    <cellStyle name="_OP1 DPO Forecast Final_PL Fcst Jul 06-updated G&amp;A Value_Tom OS ( Oct)_X-BOX Console line setup budget and Buyer list" xfId="14798"/>
    <cellStyle name="_OP1 DPO Forecast Final_PL Fcst Jul 06-updated G&amp;A Value_X-BOX Console line setup budget and Buyer list" xfId="14799"/>
    <cellStyle name="差_MB9月管審誤判超標 8D 5 2 3" xfId="14800"/>
    <cellStyle name="_OP1 DPO Forecast Final_PL Forecast by segment-most final 0806" xfId="14801"/>
    <cellStyle name="_OP1 DPO Forecast Final_PL Forecast by segment-most final 0806_2009 xBOX ramp up budget code applicaiton" xfId="14802"/>
    <cellStyle name="好_Creek Assembly Fixture  Test Equipment RFQ_20090427_Leopard_UniBOM_ME_0602-1 2 2" xfId="14803"/>
    <cellStyle name="_OP1 DPO Forecast Final_PL Forecast by segment-most final 0806_2009 xBOX ramp up budget code applicaiton 300K --New May26 (3)" xfId="14804"/>
    <cellStyle name="好_River EE BOM_Creek RFQ feedback 04_28_2009_FD Update_Leopard_UniBOM_ME_0602-1_Bolt RFQ_Foxlink_03.1 2011 3 3" xfId="14805"/>
    <cellStyle name="好_River EE BOM_Creak Pearl Reliability Fixture RFQ_2009 04 24_Bolt RFQ_Foxlink_03.1 2011_nego meeting@MACH 4" xfId="14806"/>
    <cellStyle name="_OP1 DPO Forecast Final_PL Forecast by segment-most final 0806_Budget GC Other Form" xfId="14807"/>
    <cellStyle name="_OP1 DPO Forecast Final_PL Forecast by segment-most final 0806_Copy of Tom OS ( Oct) new for LOG" xfId="14808"/>
    <cellStyle name="好_River EE BOM_Creak Pearl Reliability Fixture RFQ_2009 04 24_Pearl RFQ(Submittal)ver2_05_12_2009 _Leopard_UniBOM_ME_0531 3 2" xfId="14809"/>
    <cellStyle name="_OP1 DPO Forecast Final_PL Forecast by segment-most final 0806_Copy of Tom OS ( Oct) new for LOG_2009 xBOX ramp up budget code applicaiton 300K --New May26 (3)" xfId="14810"/>
    <cellStyle name="_OP1 DPO Forecast Final_PL Forecast by segment-most final 0806_Copy of Tom OS ( Oct) new for LOG_Budget GC Other Form" xfId="14811"/>
    <cellStyle name="_OP1 DPO Forecast Final_PL Forecast by segment-most final 0806_Copy of Tom OS ( Oct) new for LOG_Copy of X-BOX for line setup budget" xfId="14812"/>
    <cellStyle name="好_River EE BOM_Creak Pearl Reliability Fixture RFQ_2009 04 24_Xl0000002_Leopard_UniBOM_ME_0603-2_Bolt RFQ_Foxlink_03.1 2011_nego meeting@MACH 3 2" xfId="14813"/>
    <cellStyle name="_OP1 DPO Forecast Final_PL Forecast by segment-most final 0806_Copy of Tom OS ( Oct) new for LOG_Forecast Template v4" xfId="14814"/>
    <cellStyle name="Normal 4 4 2 4" xfId="14815"/>
    <cellStyle name="_OP1 DPO Forecast Final_PL Forecast by segment-most final 0806_Copy of Tom OS ( Oct) new for LOG_X-BOX BB" xfId="14816"/>
    <cellStyle name="_OP1 DPO Forecast Final_PL Forecast by segment-most final 0806_Copy of Tom OS ( Oct) new for LOG_X-BOX Console line setup budget 20080414" xfId="14817"/>
    <cellStyle name="_OP1 DPO Forecast Final_PL Forecast by segment-most final 0806_Copy of Tom OS ( Oct) new for LOG_X-BOX Console line setup budget and Buyer list" xfId="14818"/>
    <cellStyle name="_OP1 DPO Forecast Final_PL Forecast by segment-most final 0806_Copy of X-BOX for line setup budget" xfId="14819"/>
    <cellStyle name="差_Creak Pearl Reliability Fixture RFQ_2009 04 24_Pearl RFQ(Submittal)ver2_05_12_2009 _Leopard RFQ ME BOM Costs-0618-2_Bolt RFQ Proposal_Foxlink_ (Pricing Summary) 2 25 2011 2 3" xfId="14820"/>
    <cellStyle name="_OP1 DPO Forecast Final_PL Forecast by segment-most final 0806_Forecast Template v4" xfId="14821"/>
    <cellStyle name="_OP1 DPO Forecast Final_PL Forecast by segment-most final 0806_Tom OS ( Oct)_2009 xBOX ramp up budget code applicaiton 300K --New May27" xfId="14822"/>
    <cellStyle name="差_Creak Pearl Reliability Fixture RFQ_2009 04 24_Xl0000002_Squirrel RFQ ME BOM Costs-0623_Bolt RFQ_Foxlink_03.1 2011 2" xfId="14823"/>
    <cellStyle name="差_Creak Pearl Reliability Fixture RFQ_2009 04 24_Xl0000002_Leopard_UniBOM_ME_0603-2_Bolt RFQ_Foxlink_03.1 2011_nego meeting@MACH" xfId="14824"/>
    <cellStyle name="Normal 5 2 2 2 3" xfId="14825"/>
    <cellStyle name="_OP1 DPO Forecast Final_PL Forecast by segment-most final 0806_Tom OS ( Oct)_Copy of X-BOX for line setup budget" xfId="14826"/>
    <cellStyle name="_OP1 DPO Forecast Final_PL Forecast by segment-most final 0806_Tom OS ( Oct)_Forecast Template v4" xfId="14827"/>
    <cellStyle name="_OP1 DPO Forecast Final_PL Forecast by segment-most final 0806_Tom OS ( Oct)_X-BOX BB" xfId="14828"/>
    <cellStyle name="好_River EE BOM_Xl0000000_Leopard Lemur Squirrel UniBom-06.22.2010_EE cost _update_internal 2 3" xfId="14829"/>
    <cellStyle name="_OP1 DPO Forecast Final_PL Forecast by segment-most final 0806_Tom OS ( Oct)_X-BOX Console line setup budget 20080414" xfId="14830"/>
    <cellStyle name="好_River EE BOM_Creak Pearl Reliability Fixture RFQ_2009 04 24_Xl0000002_Squirrel RFQ ME BOM Costs-0623_Bolt RFQ_Foxlink_03.1 2011_nego meeting@MACH 4" xfId="14831"/>
    <cellStyle name="_OP1 DPO Forecast Final_PL Forecast by segment-most final 0806_Tom OS ( Oct)_X-BOX Console line setup budget and Buyer list" xfId="14832"/>
    <cellStyle name="_OP1 DPO Forecast Final_PL Forecast by segment-most final 0806_X-BOX BB" xfId="14833"/>
    <cellStyle name="_OP1 DPO Forecast Final_PL Forecast by segment-most final 0806_X-BOX Console line setup budget 20080414" xfId="14834"/>
    <cellStyle name="_OP1 DPO Forecast Final_PL Forecast by segment-most final 0806_X-BOX Console line setup budget and Buyer list" xfId="14835"/>
    <cellStyle name="好_River EE BOM_Creak Pearl Reliability Fixture RFQ_2009 04 24_Pearl RFQ(Submittal)ver2_05_12_2009 _Leopard RFQ ME BOM Costs-0618-2_Bolt RFQ_Foxlink_03.1 2011_nego meeting@MACH 2 2" xfId="14836"/>
    <cellStyle name="_OP1 DPO Forecast Final_Q3 OS" xfId="14837"/>
    <cellStyle name="差_dallas產能評估_Jackson 效益分析 (1-18 A7)" xfId="14838"/>
    <cellStyle name="差_Bristol RFQ response _20101102_internal (4)_Bristol TC Estimate Update 08042011_MS" xfId="14839"/>
    <cellStyle name="_OP1 DPO Forecast Final_Q3 OS_2009 xBOX ramp up budget code applicaiton" xfId="14840"/>
    <cellStyle name="一般 5 3 3" xfId="14841"/>
    <cellStyle name="_Ronald-Stereo BT Display Headset Quotation 03_03_2006 v1.0 2" xfId="14842"/>
    <cellStyle name="_OP1 DPO Forecast Final_Q3 OS_2009 xBOX ramp up budget code applicaiton 300K --New May26 (3)" xfId="14843"/>
    <cellStyle name="差_Xl0000002_Leopard RFQ ME BOM Costs-0618_Bolt RFQ_Foxlink_03.1 2011_nego meeting@MACH 4" xfId="14844"/>
    <cellStyle name="_OP1 DPO Forecast Final_Q3 OS_2009 xBOX ramp up budget code applicaiton 300K --New May27" xfId="14845"/>
    <cellStyle name="_Z9i_Quotebook_(Worksheet)_V4_Internal RFQ River Standalone  Bundle Unibom_v1 2_20080603_EJ" xfId="14846"/>
    <cellStyle name="_PL Forecast Comparison_Mech Doumen2006_1(preliminary)_PL Forecast by segment-most final 0806" xfId="14847"/>
    <cellStyle name="_OP1 DPO Forecast Final_Q3 OS_Budget GC Other Form" xfId="14848"/>
    <cellStyle name="_OP1 DPO Forecast Final_Q3 OS_X-BOX BB" xfId="14849"/>
    <cellStyle name="差_Creak Pearl Reliability Fixture RFQ_2009 04 24_Pearl RFQ(Submittal)ver2_05_12_2009 _Squirrel UniBom-06.23.2010_update_internal_Bolt RFQ Proposal_Foxlink_ (Pricing Summary) 2 25 2011 3 3" xfId="14850"/>
    <cellStyle name="_OP1 DPO Forecast Final_Q3 OS_X-BOX Console line setup budget 20080414" xfId="14851"/>
    <cellStyle name="_OP1 DPO Forecast Final_Q3 OS_X-BOX Console line setup budget and Buyer list" xfId="14852"/>
    <cellStyle name="Normal 5 13" xfId="14853"/>
    <cellStyle name="_OP1 DPO Forecast Final_Tom OS ( Oct)_2009 xBOX ramp up budget code applicaiton 300K --New May26 (3)" xfId="14854"/>
    <cellStyle name="_OP1 DPO Forecast Final_Tom OS ( Oct)_2009 xBOX ramp up budget code applicaiton 300K --New May27" xfId="14855"/>
    <cellStyle name="_OP1 DPO Forecast Final_Tom OS ( Oct)_Budget GC Other Form" xfId="14856"/>
    <cellStyle name="差_Creak Pearl Reliability Fixture RFQ_2009 04 24_Xl0000002_Leopard_UniBOM_ME_0531_Bolt RFQ Proposal_Foxlink_ (Pricing Summary) 2 25 2011 7" xfId="14857"/>
    <cellStyle name="60% - 强调文字颜色 2 2 2" xfId="14858"/>
    <cellStyle name="_OP1 DPO Forecast Final_Tom OS ( Oct)_Copy of X-BOX for line setup budget" xfId="14859"/>
    <cellStyle name="_OP1 DPO Forecast Final_Tom OS ( Oct)_Forecast Template v4" xfId="14860"/>
    <cellStyle name="差_HP Mouse 產能評估(上系統)_費用統計_Jackson 效益分析 (2-1 B0 上系統)_squirrel效益分析08-17" xfId="14861"/>
    <cellStyle name="_PL Forecast by segment-most final 0806" xfId="14862"/>
    <cellStyle name="_OP1 DPO Forecast Final_Tom OS ( Oct)_X-BOX BB" xfId="14863"/>
    <cellStyle name="_OP1 DPO Forecast Final_Tom OS ( Oct)_X-BOX Console line setup budget 20080414" xfId="14864"/>
    <cellStyle name="_OP1 DPO Forecast Final_Tom OS ( Oct)_X-BOX Console line setup budget and Buyer list" xfId="14865"/>
    <cellStyle name="_OP1 DPO Forecast Final_Volume Fcst 1006 updated" xfId="14866"/>
    <cellStyle name="差_Creak Pearl Reliability Fixture RFQ_2009 04 24_Creek RFQ feedback 04_28_2009_FD Update_Squirrel RFQ ME BOM Costs-0623_Bolt RFQ_Foxlink_03.1 2011" xfId="14867"/>
    <cellStyle name="9_Revised AP DPO Oct 04 v2_PL Fcst Jul 06-updated G&amp;A Value_Internal Hourly Rate Q1 FY08 Version 06052007 Draft" xfId="14868"/>
    <cellStyle name="_OP1 DPO Forecast Final_Volume Fcst 1006 updated_2009 xBOX ramp up budget code applicaiton" xfId="14869"/>
    <cellStyle name="差_jupite r設備&amp;治工具LIST (總)_Dallas flow chart&amp;設備&amp;治工具清單(12-8 A0)_Flow chart and Fixture(Jackson)_A1_Jackson 效益分析 (2-1 B0 上系統)_squirrel效益分析08-17" xfId="14870"/>
    <cellStyle name="20% - Accent2 3 4" xfId="14871"/>
    <cellStyle name="_OP1 DPO Forecast Final_Volume Fcst 1006 updated_2009 xBOX ramp up budget code applicaiton 300K --New May26 (3)" xfId="14872"/>
    <cellStyle name="好_River EE BOM_Creek RFQ feedback 04_28_2009_FD Update_Leopard RFQ ME BOM Costs-0618_Bolt RFQ Proposal_Foxlink_ (Pricing Summary) 2 25 2011 3 2" xfId="14873"/>
    <cellStyle name="_OP1 DPO Forecast Final_Volume Fcst 1006 updated_2009 xBOX ramp up budget code applicaiton 300K --New May27" xfId="14874"/>
    <cellStyle name="_OP1 DPO Forecast Final_Volume Fcst 1006 updated_Budget GC Other Form" xfId="14875"/>
    <cellStyle name="_OP1 DPO Forecast Final_Volume Fcst 1006 updated_Copy of Tom OS ( Oct) new for LOG" xfId="14876"/>
    <cellStyle name="好_Creek Assembly Fixture  Test Equipment RFQ_20090427_Xl0000002_Foxlink_Shadow RFQ NREUni BOM_12032009 3 3" xfId="14877"/>
    <cellStyle name="差_Xl0000000_Squirrel RFQ ME BOM Costs-0623_Bolt RFQ_Foxlink_03.1 2011_nego meeting@MACH 5" xfId="14878"/>
    <cellStyle name="好_River EE BOM_Creak Pearl Reliability Fixture RFQ_2009 04 24_Pearl RFQ(Submittal)ver2_05_12_2009 _Leopard UniBom_Foxlink_6 21 2010-ME_nego_Bolt RFQ Proposal_Foxlink_ (Pricing Summary) 2 25 2011 5" xfId="14879"/>
    <cellStyle name="差_Creek RFQ feedback 04_28_2009_FD Update_Leopard_UniBOM_ME_0602-1_Bolt RFQ Proposal_Foxlink_ (Pricing Summary) 2 25 2011" xfId="14880"/>
    <cellStyle name="_OP1 DPO Forecast Final_Volume Fcst 1006 updated_Copy of Tom OS ( Oct) new for LOG_Copy of X-BOX for line setup budget" xfId="14881"/>
    <cellStyle name="差_Creak Pearl Reliability Fixture RFQ_2009 04 24_Leopard_UniBOM_ME_0603-2_Bolt RFQ Proposal_Foxlink_ (Pricing Summary) 2 25 2011 5" xfId="14882"/>
    <cellStyle name="好_Creek EE BOM cost_20090425_Creek RFQ feedback 04_28_2009_FD Update_Foxlink_Shadow RFQ NREUni BOM_12032009_Bolt RFQ_Foxlink_03.1 2011 2" xfId="14883"/>
    <cellStyle name="active 3" xfId="14884"/>
    <cellStyle name="_OP1 DPO Forecast Final_Volume Fcst 1006 updated_Copy of Tom OS ( Oct) new for LOG_Forecast Template v4" xfId="14885"/>
    <cellStyle name="壞_Creek EE BOM cost_20090425_Squirrel RFQ ME BOM Costs-0623" xfId="14886"/>
    <cellStyle name="_OP1 DPO Forecast Final_Volume Fcst 1006 updated_Copy of Tom OS ( Oct) new for LOG_X-BOX BB" xfId="14887"/>
    <cellStyle name="_OP1 DPO Forecast Final_Volume Fcst 1006 updated_Copy of Tom OS ( Oct) new for LOG_X-BOX Console line setup budget 20080414" xfId="14888"/>
    <cellStyle name="差_Squirrel EV1 Cross build plan 2010_09_24" xfId="14889"/>
    <cellStyle name="_OP1 DPO Forecast Final_Volume Fcst 1006 updated_Copy of Tom OS ( Oct) new for LOG_X-BOX Console line setup budget and Buyer list" xfId="14890"/>
    <cellStyle name="差_F3   SMT設備明細_效益分析_flow chart 2009.12.12_Jackson 效益分析 testing update_16th Jan1" xfId="14891"/>
    <cellStyle name="好_River EE BOM_Creak Pearl Reliability Fixture RFQ_2009 04 24_Pearl RFQ(Submittal)ver2_05_12_2009 _Leopard RFQ ME BOM Costs-0618-2_Bolt RFQ_Foxlink_03.1 2011_nego meeting@MACH 4" xfId="14892"/>
    <cellStyle name="_OP1 DPO Forecast Final_Volume Fcst 1006 updated_Copy of X-BOX for line setup budget" xfId="14893"/>
    <cellStyle name="差_Xl0000000_Leopard RFQ ME BOM Costs-0618_Bolt RFQ Proposal_Foxlink_ (Pricing Summary) 2 25 2011 3 3" xfId="14894"/>
    <cellStyle name="_OP1 DPO Forecast Final_Volume Fcst 1006 updated_Tom OS ( Oct)" xfId="14895"/>
    <cellStyle name="_Sales Forecast (plastic XX)0703_PL Fcst Jul 06-updated G&amp;A Value_X-BOX Console line setup budget and Buyer list" xfId="14896"/>
    <cellStyle name="_Sales Forecast (plastic XX)1203_PL Fcst Jul 06-updated G&amp;A Value_X-BOX Console line setup budget and Buyer list" xfId="14897"/>
    <cellStyle name="差_Creak Pearl Reliability Fixture RFQ_2009 04 24_Pearl RFQ(Submittal)ver2_05_12_2009 _Leopard Lemur Squirrel UniBom-06.22.2010_EE cost _update_internal_Bolt RFQ_Foxlink_03.1 2011_nego meeting@MACH 2 2" xfId="14898"/>
    <cellStyle name="差_Xl0000002_Leopard Lemur Squirrel UniBom-06.22.2010_EE cost _update_internal_Bolt RFQ Proposal_Foxlink_ (Pricing Summary) 2 25 2011 5 2" xfId="14899"/>
    <cellStyle name="_OP1 DPO Forecast Final_Volume Fcst 1006 updated_Tom OS ( Oct)_2009 xBOX ramp up budget code applicaiton" xfId="14900"/>
    <cellStyle name="_OP1 DPO Forecast Final_Volume Fcst 1006 updated_Tom OS ( Oct)_2009 xBOX ramp up budget code applicaiton 300K --New May26 (3)" xfId="14901"/>
    <cellStyle name="_OP1 DPO Forecast Final_Volume Fcst 1006 updated_Tom OS ( Oct)_2009 xBOX ramp up budget code applicaiton 300K --New May27" xfId="14902"/>
    <cellStyle name="Normal 14 2" xfId="14903"/>
    <cellStyle name="_OP1 DPO Forecast Final_Volume Fcst 1006 updated_Tom OS ( Oct)_Forecast Template v4" xfId="14904"/>
    <cellStyle name="好_Creek EE BOM cost_20090425_Leopard_UniBOM_ME_0603-2_Bolt RFQ Proposal_Foxlink_ (Pricing Summary) 2 25 2011" xfId="14905"/>
    <cellStyle name="_OP1 DPO Forecast Final_Volume Fcst 1006 updated_Tom OS ( Oct)_X-BOX BB" xfId="14906"/>
    <cellStyle name="_OP1 DPO Forecast Final_Volume Fcst 1006 updated_Tom OS ( Oct)_X-BOX Console line setup budget and Buyer list" xfId="14907"/>
    <cellStyle name="_OP1 DPO Forecast Final_Volume Fcst 1006 updated_X-BOX BB" xfId="14908"/>
    <cellStyle name="好_River EE BOM_Creek RFQ feedback 04_28_2009_FD Update_Leopard_UniBOM_ME_0603-2 2 3" xfId="14909"/>
    <cellStyle name="_OP1 DPO Forecast Final_Volume Fcst 1006 updated_X-BOX Console line setup budget and Buyer list" xfId="14910"/>
    <cellStyle name="_OP1 DPO Forecast Final_X-BOX BB" xfId="14911"/>
    <cellStyle name="差_Creak Pearl Reliability Fixture RFQ_2009 04 24_Creek RFQ feedback 04_28_2009_FD Update_Squirrel RFQ ME BOM Costs-0623_Bolt RFQ_Foxlink_03.1 2011 2" xfId="14912"/>
    <cellStyle name="_OP1 DPO Forecast Final_X-BOX Console line setup budget 20080414" xfId="14913"/>
    <cellStyle name="好_River EE BOM_Creak Pearl Reliability Fixture RFQ_2009 04 24_Leopard_UniBOM_ME_0603-2 2 2" xfId="14914"/>
    <cellStyle name="差_Xl0000002_Leopard UniBom_Foxlink_6 21 2010-ME_nego_Bolt RFQ_Foxlink_03.1 2011_nego meeting@MACH" xfId="14915"/>
    <cellStyle name="_OP1 DPO Forecast Final_X-BOX Console line setup budget and Buyer list" xfId="14916"/>
    <cellStyle name="PrePop Units (0) 2" xfId="14917"/>
    <cellStyle name="差_F3   SMT設備明細_jupite r設備&amp;治工具LIST (總)_flow chart 2009.12.12_效益分析(總 12-28 Update)_~1159284" xfId="14918"/>
    <cellStyle name="差_F3   SMT設備明細_Bolt RFQ_Foxlink_03.1 2011_nego meeting@MACH" xfId="14919"/>
    <cellStyle name="_Open PO" xfId="14920"/>
    <cellStyle name="差_Creak Pearl Reliability Fixture RFQ_2009 04 24_Xl0000002_Squirrel UniBom-06.23.2010_update_internal_Bolt RFQ_Foxlink_03.1 2011_nego meeting@MACH 2 2" xfId="14921"/>
    <cellStyle name="_Open PO_FY06 P4 CM Consigned RM" xfId="14922"/>
    <cellStyle name="_Open PO_FY06 P6 CM Consigned RM" xfId="14923"/>
    <cellStyle name="_Open PO_FY06 P7 CM Consigned RM" xfId="14924"/>
    <cellStyle name="_Open PO_P2 Waynea review" xfId="14925"/>
    <cellStyle name="好_River EE BOM_Creak Pearl Reliability Fixture RFQ_2009 04 24_Pearl RFQ(Submittal)ver2_05_12_2009 " xfId="14926"/>
    <cellStyle name="Percent 21 4" xfId="14927"/>
    <cellStyle name="_Open Select License" xfId="14928"/>
    <cellStyle name="_Open Select License_CopyOfP6 Waynea review" xfId="14929"/>
    <cellStyle name="_Open Select License_FY06 P06 360Periphs SPC" xfId="14930"/>
    <cellStyle name="好_Rio QA Report-8.12_Dolce   QA Report 2010_0902_~7519239" xfId="14931"/>
    <cellStyle name="好_River EE BOM_Creak Pearl Reliability Fixture RFQ_2009 04 24_Creek RFQ feedback 04_28_2009_FD Update_Foxlink_Shadow RFQ NREUni BOM_12032009" xfId="14932"/>
    <cellStyle name="_Open Select License_FY06 P5 XBox 360 Mfg Var - Close Pack" xfId="14933"/>
    <cellStyle name="差_Xl0000002_Leopard Lemur Squirrel UniBom-06.22.2010_EE cost _update_internal_Bolt RFQ_Foxlink_03.1 2011_nego meeting@MACH 2 3" xfId="14934"/>
    <cellStyle name="_Open Select License_FY06 P7 CM Consigned RM" xfId="14935"/>
    <cellStyle name="_Open Select License_FY06 P7 XBox 360 Mfg Var - Close Pack" xfId="14936"/>
    <cellStyle name="_Open Select License_FY06 P7 XBox Mfg Var - Close Pack" xfId="14937"/>
    <cellStyle name="_Sales Forecast (plastic XX)0703_Copy of X-BOX for line setup budget" xfId="14938"/>
    <cellStyle name="_Sales Forecast (plastic XX)1203_Copy of X-BOX for line setup budget" xfId="14939"/>
    <cellStyle name="_Open Select License_FY06 P8 CM Consigned RM" xfId="14940"/>
    <cellStyle name="_Open Select License_P2 Waynea review" xfId="14941"/>
    <cellStyle name="差_效益分析&amp;產能評估_M1 Bolt wireless mouse FixtureEquipment Cost_A2_2010_12_07_Bolt RFQ Proposal_Foxlink_ (Pricing Summary) 2 25 2011 3 3" xfId="14942"/>
    <cellStyle name="好_MB9月管審換線超時8d 3" xfId="14943"/>
    <cellStyle name="_Open Select License_P6 Si Ops review" xfId="14944"/>
    <cellStyle name="_Open Select License_P6 Si Ops review (2)" xfId="14945"/>
    <cellStyle name="_Open Select License_P6 Waynea review" xfId="14946"/>
    <cellStyle name="_Open Select License_Sheet1" xfId="14947"/>
    <cellStyle name="_Opex" xfId="14948"/>
    <cellStyle name="_Opex Seasonality" xfId="14949"/>
    <cellStyle name="好_River EE BOM_Xl0000002_Squirrel UniBom-06.23.2010_update_internal" xfId="14950"/>
    <cellStyle name="_Opex Seasonality_Book1" xfId="14951"/>
    <cellStyle name="好_River EE BOM_Creak Pearl Reliability Fixture RFQ_2009 04 24_Creek  Pearl RFQ_May 12_Leopard_UniBOM_ME_0602-1 2 2 3" xfId="14952"/>
    <cellStyle name="_Opex Seasonality_Book5" xfId="14953"/>
    <cellStyle name="_Opex Seasonality_CopyOfP6 Waynea review" xfId="14954"/>
    <cellStyle name="好_River EE BOM_Creak Pearl Reliability Fixture RFQ_2009 04 24_Xl0000002_Squirrel RFQ ME BOM Costs-0623_Bolt RFQ Proposal_Foxlink_ (Pricing Summary) 2 25 2011 3 3" xfId="14955"/>
    <cellStyle name="_Opex Seasonality_FY06 P06 360Periphs SPC" xfId="14956"/>
    <cellStyle name="_Opex Seasonality_FY06 P4 CM Consigned RM" xfId="14957"/>
    <cellStyle name="_Opex Seasonality_FY06 P5 XBox 360 Mfg Var - Close Pack" xfId="14958"/>
    <cellStyle name="好_River EE BOM_Foxlink_Shadow RFQ NREUni BOM_12032009_Bolt RFQ_Foxlink_03.1 2011" xfId="14959"/>
    <cellStyle name="好_Creek EE BOM cost_20090425_Creek RFQ feedback 04_28_2009_FD Update_Leopard_UniBOM_ME_0531_Bolt RFQ Proposal_Foxlink_ (Pricing Summary) 2 25 2011 3" xfId="14960"/>
    <cellStyle name="_Opex Seasonality_FY06 P7 CM Consigned RM" xfId="14961"/>
    <cellStyle name="差_Xl0000000_Squirrel UniBom-06.23.2010_update_internal_Bolt RFQ Proposal_Foxlink_ (Pricing Summary) 2 25 2011 3 2" xfId="14962"/>
    <cellStyle name="_Opex Seasonality_FY06 P7 XBox 360 Mfg Var - Close Pack" xfId="14963"/>
    <cellStyle name="_Opex Seasonality_FY06 P7 XBox Mfg Var - Close Pack" xfId="14964"/>
    <cellStyle name="_Opex Seasonality_P2 Waynea review" xfId="14965"/>
    <cellStyle name="好_River EE BOM_Xl0000000_Leopard_UniBOM_ME_0531 3 2" xfId="14966"/>
    <cellStyle name="_Opex Seasonality_P6 Si Ops review" xfId="14967"/>
    <cellStyle name="_Opex Seasonality_P6 Waynea review" xfId="14968"/>
    <cellStyle name="好_Creek EE BOM cost_20090425_Leopard_UniBOM_ME_0531_Bolt RFQ_Foxlink_03.1 2011_nego meeting@MACH 4" xfId="14969"/>
    <cellStyle name="Percent 10" xfId="14970"/>
    <cellStyle name="_Opex_Book1" xfId="14971"/>
    <cellStyle name="差_Jackson EE BOM " xfId="14972"/>
    <cellStyle name="好_River EE BOM_Creak Pearl Reliability Fixture RFQ_2009 04 24_Creek  Pearl RFQ_May 12_Leopard_UniBOM_ME_0531" xfId="14973"/>
    <cellStyle name="Percent 14" xfId="14974"/>
    <cellStyle name="_Opex_Book5" xfId="14975"/>
    <cellStyle name="_Opex_CopyOfP6 Waynea review" xfId="14976"/>
    <cellStyle name="_Opex_FY06 P06 360Periphs SPC" xfId="14977"/>
    <cellStyle name="_Opex_FY06 P4 CM Consigned RM" xfId="14978"/>
    <cellStyle name="_Opex_FY06 P5 XBox 360 Mfg Var - Close Pack" xfId="14979"/>
    <cellStyle name="_Opex_FY06 P7 CM Consigned RM" xfId="14980"/>
    <cellStyle name="_Opex_FY06 P7 XBox 360 Mfg Var - Close Pack" xfId="14981"/>
    <cellStyle name="好_Creek Assembly Fixture  Test Equipment RFQ_20090427_Xl0000002_Leopard Lemur Squirrel UniBom-06.22.2010_EE cost _update_internal_Bolt RFQ Proposal_Foxlink_ (Pricing Summary) 2 25 2011 7" xfId="14982"/>
    <cellStyle name="60% - 强调文字颜色 3 5" xfId="14983"/>
    <cellStyle name="_Opex_P6 Si Ops review (2)" xfId="14984"/>
    <cellStyle name="_Opex_P6 Waynea review" xfId="14985"/>
    <cellStyle name="_OQC檢出率超標8D" xfId="14986"/>
    <cellStyle name="好_River EE BOM_Xl0000000_Foxlink_Shadow RFQ NREUni BOM_12032009_Bolt RFQ Proposal_Foxlink_ (Pricing Summary) 2 25 2011 3 3" xfId="14987"/>
    <cellStyle name="_Otter_Test Equipment List_051005" xfId="14988"/>
    <cellStyle name="_overall Mulan PTK w28_Copy of MOST Std - S1300 F2lines" xfId="14989"/>
    <cellStyle name="_overall Mulan PTK w28_Copy of MOST Std - S1300 F2lines_Nazca copy exact flow chart 20120409" xfId="14990"/>
    <cellStyle name="_overall Mulan PTK w28_FMTQCI-MIS3H064-P027(01)Nazca Copy Exact Flow chart" xfId="14991"/>
    <cellStyle name="_overall Mulan PTK w28_MOST Std - Project A BB Line" xfId="14992"/>
    <cellStyle name="_TC Model_P6 Si Ops review (2)" xfId="14993"/>
    <cellStyle name="差_Xl0000002_Leopard_UniBOM_ME_0603-2_Bolt RFQ Proposal_Foxlink_ (Pricing Summary) 2 25 2011 2 2" xfId="14994"/>
    <cellStyle name="_overall Mulan PTK w28_MOST Std - Project A BB Line_FMTQCI-MIS3H064-P027(01)Nazca Copy Exact Flow chart" xfId="14995"/>
    <cellStyle name="7_P139 CCM 1212" xfId="14996"/>
    <cellStyle name="差_HP  專案(設備&amp;治工具需夠買)update_Erie 效益分析 (Update)_~5631336_Jackson 效益分析 (2-1 B0 上系統)_squirrel效益分析08-17" xfId="14997"/>
    <cellStyle name="_overall Mulan PTK w28_MOST Std - Project A BB Line_Nazca copy exact flow chart 20120409" xfId="14998"/>
    <cellStyle name="_overall Mulan PTK w28_MOST Std - Project A BB Line_Nazca copy exact flow chart 2012313" xfId="14999"/>
    <cellStyle name="_overall Mulan PTK w28_MOST Std - S1300 F2lines" xfId="15000"/>
    <cellStyle name="差_Creak Pearl Reliability Fixture RFQ_2009 04 24_Leopard_UniBOM_ME_0602-1_Bolt RFQ_Foxlink_03.1 2011_nego meeting@MACH 3 3" xfId="15001"/>
    <cellStyle name="_overall Mulan PTK w28_MOST Std - S1300 F2lines_FMTQCI-MIS3H064-P027(01)Nazca Copy Exact Flow chart" xfId="15002"/>
    <cellStyle name="_overall Mulan PTK w28_MOST Std - S1300 F2lines_Nazca copy exact flow chart 20120409" xfId="15003"/>
    <cellStyle name="差_Creak Pearl Reliability Fixture RFQ_2009 04 24_Xl0000002_Leopard_UniBOM_ME_0602-1 2 4" xfId="15004"/>
    <cellStyle name="_overall Mulan PTK w28_Nazca copy exact flow chart 20120409" xfId="15005"/>
    <cellStyle name="好_River EE BOM 2" xfId="15006"/>
    <cellStyle name="_Overall quote format 27th Nov 07" xfId="15007"/>
    <cellStyle name="好_River EE BOM 2 2" xfId="15008"/>
    <cellStyle name="_Overall quote format 27th Nov 07 2" xfId="15009"/>
    <cellStyle name="_Sales Forecast (plastic XX)0703_Copy of Tom OS ( Oct) new for LOG_2009 xBOX ramp up budget code applicaiton 300K --New May27" xfId="15010"/>
    <cellStyle name="_Sales Forecast (plastic XX)1203_Copy of Tom OS ( Oct) new for LOG_2009 xBOX ramp up budget code applicaiton 300K --New May27" xfId="15011"/>
    <cellStyle name="_P&amp;L Forecast Comparison_Mech Doumen2005_12 Test" xfId="15012"/>
    <cellStyle name="差_F3   SMT設備明細_jupite r設備&amp;治工具LIST (總)_效益分析 (12-9 A1)_Jackson 效益分析 (2-1 B0 上系統)_squirrel效益分析08-17" xfId="15013"/>
    <cellStyle name="40% - Accent3 14" xfId="15014"/>
    <cellStyle name="_P2 Waynea review" xfId="15015"/>
    <cellStyle name="差_Creak Pearl Reliability Fixture RFQ_2009 04 24_Creek RFQ feedback 04_28_2009_FD Update_Leopard_UniBOM_ME_0602_Bolt RFQ Proposal_Foxlink_ (Pricing Summary) 2 25 2011 2 2 2" xfId="15016"/>
    <cellStyle name="好_River EE BOM_Creak Pearl Reliability Fixture RFQ_2009 04 24_Pearl RFQ(Submittal)ver2_05_12_2009 _Leopard_UniBOM_ME_0602-1_Bolt RFQ_Foxlink_03.1 2011 5" xfId="15017"/>
    <cellStyle name="_P3 PCHW CogM" xfId="15018"/>
    <cellStyle name="_P3 PCHW CogM_FY06 P6 XBox 360 Mfg Var - Close Pack" xfId="15019"/>
    <cellStyle name="好_River EE BOM_Creak Pearl Reliability Fixture RFQ_2009 04 24_Leopard RFQ ME BOM Costs-0618 2 2 2" xfId="15020"/>
    <cellStyle name="_P3 Waynea review_P5 Waynea Review" xfId="15021"/>
    <cellStyle name="_P3 Waynea review_P6 Si Ops review" xfId="15022"/>
    <cellStyle name="_P3 Waynea review_P6 Si Ops review (2)" xfId="15023"/>
    <cellStyle name="_P3 Waynea review_P6 Waynea review" xfId="15024"/>
    <cellStyle name="Normal 5 6 2 3" xfId="15025"/>
    <cellStyle name="Normal 37 2 4" xfId="15026"/>
    <cellStyle name="Normal 42 2 4" xfId="15027"/>
    <cellStyle name="_P3 Waynea review_SiOps P6 Close Pack" xfId="15028"/>
    <cellStyle name="好_Creek EE BOM cost_20090425_Leopard_UniBOM_ME_0603-2 2 4" xfId="15029"/>
    <cellStyle name="_P6 Si Ops review" xfId="15030"/>
    <cellStyle name="好_River EE BOM_Creak Pearl Reliability Fixture RFQ_2009 04 24_Xl0000002_Foxlink_Shadow RFQ NREUni BOM_12032009_Bolt RFQ_Foxlink_03.1 2011 3 2" xfId="15031"/>
    <cellStyle name="_P6 Si Ops review (2)" xfId="15032"/>
    <cellStyle name="_P6 Waynea review" xfId="15033"/>
    <cellStyle name="_P6_XeDK Bone Pile COI Accrual p4-FINAL BUILDS" xfId="15034"/>
    <cellStyle name="_P7 Waynea close pack summary" xfId="15035"/>
    <cellStyle name="_PACKAGE COST Lenovo Speyburn IV " xfId="15036"/>
    <cellStyle name="好_Creek Assembly Fixture  Test Equipment RFQ_20090427_Xl0000002_Leopard_UniBOM_ME_0602-1_Bolt RFQ_Foxlink_03.1 2011 2 2" xfId="15037"/>
    <cellStyle name="表标题" xfId="15038"/>
    <cellStyle name="_PACKAGE COST-Andes Lenovo 17L" xfId="15039"/>
    <cellStyle name="Percent [0] 2" xfId="15040"/>
    <cellStyle name="好_MB9月管審換線超時8d_2009MB KPI_MBO3F製造部hp0209-01 2 2 2 2" xfId="15041"/>
    <cellStyle name="好_Creek Assembly Fixture  Test Equipment RFQ_20090427_Xl0000002_Foxlink_Shadow RFQ NREUni BOM_12032009_Bolt RFQ Proposal_Foxlink_ (Pricing Summary) 2 25 2011 2 2" xfId="15042"/>
    <cellStyle name="差_F3   SMT設備明細_jupite r設備&amp;治工具LIST (總)_Dallas flow chart&amp;設備&amp;治工具清單(12-8 A0)_~1159284" xfId="15043"/>
    <cellStyle name="_PACKAGE COST-Lenovo 25LM" xfId="15044"/>
    <cellStyle name="_PACKAGE COST-Martel- W-Handle" xfId="15045"/>
    <cellStyle name="差_Creak Pearl Reliability Fixture RFQ_2009 04 24_Xl0000002_Leopard_UniBOM_ME_0602_Bolt RFQ_Foxlink_03.1 2011_nego meeting@MACH 3 2" xfId="15046"/>
    <cellStyle name="差_Creak Pearl Reliability Fixture RFQ_2009 04 24_Pearl RFQ(Submittal)ver2_05_12_2009 _Leopard_UniBOM_ME_0602-1_Bolt RFQ Proposal_Foxlink_ (Pricing Summary) 2 25 2011 7" xfId="15047"/>
    <cellStyle name="_PACKAGE COST-Martel- WO_Handle" xfId="15048"/>
    <cellStyle name="好_Creek Assembly Fixture  Test Equipment RFQ_20090427_Xl0000002_Squirrel UniBom-06.23.2010_update_internal_Bolt RFQ_Foxlink_03.1 2011 3" xfId="15049"/>
    <cellStyle name="_Painting format" xfId="15050"/>
    <cellStyle name="_Panther Production Line Intro_051006 的 工作表" xfId="15051"/>
    <cellStyle name="差_F3   SMT設備明細_MS Bolt wireless mouse FixtureEquipment Cost_A5_2010_02_21 2 3" xfId="15052"/>
    <cellStyle name="差_jupite r設備&amp;治工具LIST (總)_Flow Chart&amp;設備治工具清單 _Jackson 效益分析 (2-1 B0 上系統)_Leopard效益分析08-17" xfId="15053"/>
    <cellStyle name="好_River EE BOM_Creak Pearl Reliability Fixture RFQ_2009 04 24_Creek RFQ feedback 04_28_2009_FD Update_Leopard_UniBOM_ME_0602-1 3 3" xfId="15054"/>
    <cellStyle name="_Part_Master_1" xfId="15055"/>
    <cellStyle name="差_Xl0000002_Leopard RFQ ME BOM Costs-0618 3 3" xfId="15056"/>
    <cellStyle name="_Part_Master_accessories spc 1 0 slide" xfId="15057"/>
    <cellStyle name="_PL Forecast by segment-most final 0806_Tom OS ( Oct)_2009 xBOX ramp up budget code applicaiton 300K --New May27" xfId="15058"/>
    <cellStyle name="_Part_Master_Book1" xfId="15059"/>
    <cellStyle name="差_Creak Pearl Reliability Fixture RFQ_2009 04 24_Xl0000002_Bolt RFQ_Foxlink_03.1 2011_nego meeting@MACH" xfId="15060"/>
    <cellStyle name="_Part_Master_Book5" xfId="15061"/>
    <cellStyle name="_Part_Master_CopyOfP6 Waynea review" xfId="15062"/>
    <cellStyle name="差_Creak Pearl Reliability Fixture RFQ_2009 04 24_Pearl RFQ(Submittal)ver2_05_12_2009 _Squirrel RFQ ME BOM Costs-0623_Bolt RFQ_Foxlink_03.1 2011_nego meeting@MACH 3 3" xfId="15063"/>
    <cellStyle name="_Part_Master_FY06 P06 360Periphs SPC" xfId="15064"/>
    <cellStyle name="差_Creak Pearl Reliability Fixture RFQ_2009 04 24_Leopard_UniBOM_ME_0603-2_Bolt RFQ Proposal_Foxlink_ (Pricing Summary) 2 25 2011 4" xfId="15065"/>
    <cellStyle name="差_Xl0000002_Leopard_UniBOM_ME_0602-1_Bolt RFQ Proposal_Foxlink_ (Pricing Summary) 2 25 2011 5 3" xfId="15066"/>
    <cellStyle name="active 2" xfId="15067"/>
    <cellStyle name="_Part_Master_FY06 P4 CM Consigned RM" xfId="15068"/>
    <cellStyle name="_Part_Master_FY06 P5 XBox 360 Mfg Var - Close Pack" xfId="15069"/>
    <cellStyle name="好_River EE BOM_Xl0000000_Leopard RFQ ME BOM Costs-0618-2_Bolt RFQ Proposal_Foxlink_ (Pricing Summary) 2 25 2011 6" xfId="15070"/>
    <cellStyle name="好_Creek Assembly Fixture  Test Equipment RFQ_20090427_Leopard RFQ ME BOM Costs-0618_Bolt RFQ Proposal_Foxlink_ (Pricing Summary) 2 25 2011 5 2" xfId="15071"/>
    <cellStyle name="壞_Creek Assembly Fixture  Test Equipment RFQ_20090427_Squirrel UniBom-06.23.2010_update_internal 2 2 2" xfId="15072"/>
    <cellStyle name="_Part_Master_FY06 P7 CM Consigned RM" xfId="15073"/>
    <cellStyle name="_Part_Master_FY06 P7 XBox 360 Mfg Var - Close Pack" xfId="15074"/>
    <cellStyle name="_Part_Master_FY06 P7 XBox Mfg Var - Close Pack" xfId="15075"/>
    <cellStyle name="好_River EE BOM_Creak Pearl Reliability Fixture RFQ_2009 04 24_Creek RFQ feedback 04_28_2009_FD Update_Leopard_UniBOM_ME_0531_Bolt RFQ_Foxlink_03.1 2011 2 3" xfId="15076"/>
    <cellStyle name="好_River EE BOM_Creak Pearl Reliability Fixture RFQ_2009 04 24_Pearl RFQ(Submittal)ver2_05_12_2009 _Foxlink_Shadow RFQ NREUni BOM_12032009_Bolt RFQ_Foxlink_03.1 2011 2" xfId="15077"/>
    <cellStyle name="_Part_Master_P2 Waynea review" xfId="15078"/>
    <cellStyle name="Normal 38 5" xfId="15079"/>
    <cellStyle name="Normal 43 5" xfId="15080"/>
    <cellStyle name="好_River EE BOM_Creak Pearl Reliability Fixture RFQ_2009 04 24_Leopard_UniBOM_ME_0531_Bolt RFQ_Foxlink_03.1 2011_nego meeting@MACH 5" xfId="15081"/>
    <cellStyle name="_Part_Master_P6 Si Ops review" xfId="15082"/>
    <cellStyle name="差_Xl0000002_Leopard UniBom_Foxlink_6 21 2010-ME_nego_Bolt RFQ Proposal_Foxlink_ (Pricing Summary) 2 25 2011" xfId="15083"/>
    <cellStyle name="好_River EE BOM_Bolt EE tracker 20110421" xfId="15084"/>
    <cellStyle name="_Part_Master_P6 Si Ops review (2)" xfId="15085"/>
    <cellStyle name="_Part_Master_Sheet1" xfId="15086"/>
    <cellStyle name="壞_Creek EE BOM cost_20090425_Leopard_UniBOM_ME_0602-1_Bolt RFQ_Foxlink_03.1 2011_nego meeting@MACH 2 3" xfId="15087"/>
    <cellStyle name="好_River EE BOM_Foxlink_Shadow RFQ NREUni BOM_12032009_Bolt RFQ Proposal_Foxlink_ (Pricing Summary) 2 25 2011 5 3" xfId="15088"/>
    <cellStyle name="_PAVO DV BB  Flowchart 2009.05.31" xfId="15089"/>
    <cellStyle name="好_Creek Assembly Fixture  Test Equipment RFQ_20090427_Xl0000002_Leopard_UniBOM_ME_0531_Bolt RFQ Proposal_Foxlink_ (Pricing Summary) 2 25 2011 2 2 3" xfId="15090"/>
    <cellStyle name="_PAVO DV BB  Flowchart 2009.05.31_Nazca copy exact flow chart 2012313" xfId="15091"/>
    <cellStyle name="Neutral 6" xfId="15092"/>
    <cellStyle name="_TrueupWistron-20050820-July v.4_to MSFT(Tuscany)" xfId="15093"/>
    <cellStyle name="_PAVO DV Flowchart" xfId="15094"/>
    <cellStyle name="差_Creak Pearl Reliability Fixture RFQ_2009 04 24_Xl0000002_Squirrel RFQ ME BOM Costs-0624" xfId="15095"/>
    <cellStyle name="_PAVO DV Flowchart_FMTQCI-MIS3H064-P027(01)Nazca Copy Exact Flow chart" xfId="15096"/>
    <cellStyle name="好_River EE BOM_Creak Pearl Reliability Fixture RFQ_2009 04 24_Creek RFQ feedback 04_28_2009_FD Update_Leopard_UniBOM_ME_0531 3 2" xfId="15097"/>
    <cellStyle name="差_F3   SMT設備明細_MS Bolt wireless mouse FixtureEquipment Cost_A5_2010_02_21_Bolt RFQ Proposal_Foxlink_ (Pricing Summary) 2 25 2011 2" xfId="15098"/>
    <cellStyle name="好_Creek EE BOM cost_20090425_Leopard_UniBOM_ME_0602-1 2" xfId="15099"/>
    <cellStyle name="差_Creak Pearl Reliability Fixture RFQ_2009 04 24_Pearl RFQ(Submittal)ver2_05_12_2009 _Leopard_UniBOM_ME_0531_Bolt RFQ Proposal_Foxlink_ (Pricing Summary) 2 25 2011 3" xfId="15100"/>
    <cellStyle name="_PAVO DV Flowchart_Nazca copy exact flow chart 2012313" xfId="15101"/>
    <cellStyle name="_Pavo SMT SOE and RC (2)" xfId="15102"/>
    <cellStyle name="_PBOM_Key_Largo" xfId="15103"/>
    <cellStyle name="_PBOM_Key_Largo_Corsica_PBOM_Flex" xfId="15104"/>
    <cellStyle name="好_Erie 效益分析 (Update)_Jackson 效益分析 testing update_16th Jan111" xfId="15105"/>
    <cellStyle name="_PBOM_Key_Largo_Corsica_PBOM_x00" xfId="15106"/>
    <cellStyle name="差_Creak Pearl Reliability Fixture RFQ_2009 04 24_Squirrel UniBom-06.23.2010_update_internal_Bolt RFQ_Foxlink_03.1 2011 3" xfId="15107"/>
    <cellStyle name="_PBOM_Key_Largo_Corsica_PBOM_x001" xfId="15108"/>
    <cellStyle name="_PCB Award Allocation Q1FY06  DT-WS" xfId="15109"/>
    <cellStyle name="差_F3   SMT設備明細_MS Bolt wireless mouse FixtureEquipment Cost_A5_2010_02_21_Bolt RFQ Proposal_Foxlink_ (Pricing Summary) 2 25 2011 3 3" xfId="15110"/>
    <cellStyle name="_PCBA_SENAI_ACT  FCST" xfId="15111"/>
    <cellStyle name="好_Creek EE BOM cost_20090425_Leopard_UniBOM_ME_0602-1 3 3" xfId="15112"/>
    <cellStyle name="差_Creak Pearl Reliability Fixture RFQ_2009 04 24_Pearl RFQ(Submittal)ver2_05_12_2009 _Leopard_UniBOM_ME_0531_Bolt RFQ Proposal_Foxlink_ (Pricing Summary) 2 25 2011 4 3" xfId="15113"/>
    <cellStyle name="差_Creak Pearl Reliability Fixture RFQ_2009 04 24_Squirrel UniBom-06.23.2010_update_internal 2 3" xfId="15114"/>
    <cellStyle name="差_HP Mouse 產能評估(Forecast更改後)_費用統計_Jackson 效益分析 (2-1 B0 上系統)" xfId="15115"/>
    <cellStyle name="_PCBA_SENAI_ACT  FCST_2009 xBOX ramp up budget code applicaiton 300K --New May27" xfId="15116"/>
    <cellStyle name="差_HP  專案(設備&amp;治工具需夠買)update_Erie 效益分析 (Update)_效益分析(總 12-28 Update)_Jackson 效益分析 (2-1 B0 上系統)_squirrel效益分析08-17" xfId="15117"/>
    <cellStyle name="好_MB9月管審換線超時8d_HP 3 2 3" xfId="15118"/>
    <cellStyle name="_PCBA_SENAI_ACT  FCST_Budget GC Other Form" xfId="15119"/>
    <cellStyle name="差_dallas產能評估_flow chart 2009.12.12_Flow Chart&amp;設備治工具清單 _Jackson 效益分析 (2-1 B0 上系統)_Leopard效益分析08-17" xfId="15120"/>
    <cellStyle name="_PCBA_SENAI_ACT  FCST_Copy of X-BOX for line setup budget" xfId="15121"/>
    <cellStyle name="_PCBA_SENAI_ACT  FCST_X-BOX BB" xfId="15122"/>
    <cellStyle name="差_Xl0000002_Foxlink_Shadow RFQ NREUni BOM_12032009_Bolt RFQ_Foxlink_03.1 2011_nego meeting@MACH 4" xfId="15123"/>
    <cellStyle name="_PCBA_SENAI_ACT  FCST_X-BOX Console line setup budget 20080414" xfId="15124"/>
    <cellStyle name="_PCBA_SENAI_ACT  FCST_X-BOX Console line setup budget and Buyer list" xfId="15125"/>
    <cellStyle name="好_MAUI Quotation For Plastics Tooling RFQ Worksheets-2010-11-08" xfId="15126"/>
    <cellStyle name="_PCI Card_Persia ProcesFlow_r001" xfId="15127"/>
    <cellStyle name="差_Creak Pearl Reliability Fixture RFQ_2009 04 24_Squirrel RFQ ME BOM Costs-0623_Bolt RFQ Proposal_Foxlink_ (Pricing Summary) 2 25 2011 2 2" xfId="15128"/>
    <cellStyle name="_pe bug" xfId="15129"/>
    <cellStyle name="_Pending MRB 3 29 05" xfId="15130"/>
    <cellStyle name="_工作表 在 Weekly report (W45)2008.11_工作表 在 Weekly report (W46)2008.11" xfId="15131"/>
    <cellStyle name="好_Creek Assembly Fixture  Test Equipment RFQ_20090427_Leopard RFQ ME BOM Costs-0618 2 3" xfId="15132"/>
    <cellStyle name="_Pending MRB 3 29 05_FY06 P4 CM Consigned RM" xfId="15133"/>
    <cellStyle name="Good 2" xfId="15134"/>
    <cellStyle name="7_Dell ASUS NV28GL NPI 10-11-021" xfId="15135"/>
    <cellStyle name="_Pending MRB 3 29 05_FY06 P6 CM Consigned RM" xfId="15136"/>
    <cellStyle name="_Pending MRB 3 29 05_P2 Waynea review" xfId="15137"/>
    <cellStyle name="好_River EE BOM_Creek RFQ feedback 04_28_2009_FD Update_Leopard_UniBOM_ME_0602_Bolt RFQ Proposal_Foxlink_ (Pricing Summary) 2 25 2011 5" xfId="15138"/>
    <cellStyle name="好_Creek Assembly Fixture  Test Equipment RFQ_20090427_Leopard Lemur Squirrel UniBom-06.22.2010_EE cost _update_internal_Bolt RFQ_Foxlink_03.1 2011_nego meeting@MACH_Bolt_Cliff 5" xfId="15139"/>
    <cellStyle name="_Pending MRB 4 29 05" xfId="15140"/>
    <cellStyle name="差_Wedge_ME_BOM-v00-11v0630" xfId="15141"/>
    <cellStyle name="_Pending MRB 4 29 05_FY06 P6 CM Consigned RM" xfId="15142"/>
    <cellStyle name="好_River EE BOM_Xl0000000_Leopard Lemur Squirrel UniBom-06.22.2010_EE cost _update_internal" xfId="15143"/>
    <cellStyle name="壞_Creek Assembly Fixture  Test Equipment RFQ_20090427_Xl0000002_Leopard Lemur Squirrel UniBom-06.22.2010_EE cost _update_internal_Bolt RFQ_Foxlink_03.1 2011_nego meeting@MACH 3 3" xfId="15144"/>
    <cellStyle name="_Pending MRB 4 29 05_FY06 P7 CM Consigned RM" xfId="15145"/>
    <cellStyle name="壞_Creek EE BOM cost_20090425_Creek RFQ feedback 04_28_2009_FD Update_Leopard Lemur Squirrel UniBom-06.22.2010_EE cost _update_internal" xfId="15146"/>
    <cellStyle name="差_HP Mouse 產能評估(Forecast更改後)_Bolt RFQ_Foxlink_03.1 2011_nego meeting@MACH 2 2" xfId="15147"/>
    <cellStyle name="_Pending MRB 4 29 05_P2 Waynea review" xfId="15148"/>
    <cellStyle name="_Pending MRB 5 27 05 v2" xfId="15149"/>
    <cellStyle name="_Pending MRB 5 27 05 v2_FY06 P4 CM Consigned RM" xfId="15150"/>
    <cellStyle name="_Pending MRB 5 27 05 v2_FY06 P6 CM Consigned RM" xfId="15151"/>
    <cellStyle name="_Pending MRB 5 27 05 v2_FY06 P7 CM Consigned RM" xfId="15152"/>
    <cellStyle name="_Pending MRB 5 27 05 v2_P2 Waynea review" xfId="15153"/>
    <cellStyle name="_Perip &amp; Live Mfg OPC - 360_FY06 P6 XBox 360 Mfg Var - Close Pack" xfId="15154"/>
    <cellStyle name="好_Creek EE BOM cost_20090425_Leopard_UniBOM_ME_0531_Bolt RFQ Proposal_Foxlink_ (Pricing Summary) 2 25 2011" xfId="15155"/>
    <cellStyle name="_Periph Costed BOM Rollup May_rev_8 Budget Flash ROM" xfId="15156"/>
    <cellStyle name="好_Creek EE BOM cost_20090425_Squirrel UniBom-06.23.2010_update_internal_Bolt RFQ_Foxlink_03.1 2011_nego meeting@MACH 2 2" xfId="15157"/>
    <cellStyle name="_Periph Costed BOM Rollup May_rev_8 Budget Flash ROM_FY06 P4 CM Consigned RM" xfId="15158"/>
    <cellStyle name="好_River EE BOM_Creak Pearl Reliability Fixture RFQ_2009 04 24_Creek RFQ feedback 04_28_2009_FD Update_Squirrel UniBom-06.23.2010_update_internal_Bolt RFQ Proposal_Foxlink_ (Pricing Summary) 2 25 2011 5" xfId="15159"/>
    <cellStyle name="_Periph Costed BOM Rollup May_rev_8 Budget Flash ROM_FY06 P6 CM Consigned RM" xfId="15160"/>
    <cellStyle name="_Periph Costed BOM Rollup May_rev_8 Budget Flash ROM_FY06 P7 CM Consigned RM" xfId="15161"/>
    <cellStyle name="好_Creek EE BOM cost_20090425_Creek RFQ feedback 04_28_2009_FD Update 4" xfId="15162"/>
    <cellStyle name="_Periph Costed BOM Rollup May_rev_8 Budget Flash ROM_P2 Waynea review" xfId="15163"/>
    <cellStyle name="_Peripherals Tooling" xfId="15164"/>
    <cellStyle name="_PERSONAL" xfId="15165"/>
    <cellStyle name="_PL Fcst Jul 06-updated G&amp;A Value" xfId="15166"/>
    <cellStyle name="差_dallas產能評估_flow chart 2009.12.12_效益分析(總 12-28 Update)_squirrel效益分析08-17" xfId="15167"/>
    <cellStyle name="好_效益分析&amp;產能評估_Bolt RFQ_Foxlink_03.1 2011_nego meeting@MACH 3 2" xfId="15168"/>
    <cellStyle name="好_River EE BOM_Xl0000000_Leopard UniBom_Foxlink_6 21 2010-ME_nego_Bolt RFQ_Foxlink_03.1 2011_nego meeting@MACH 2 2" xfId="15169"/>
    <cellStyle name="_PL Fcst Jul 06-updated G&amp;A Value_2009 xBOX ramp up budget code applicaiton" xfId="15170"/>
    <cellStyle name="好_Creek Assembly Fixture  Test Equipment RFQ_20090427_Bolt RFQ_Foxlink_03.1 2011_nego meeting@MACH_Bolt_Cliff 2 2" xfId="15171"/>
    <cellStyle name="_PL Fcst Jul 06-updated G&amp;A Value_2009 xBOX ramp up budget code applicaiton 300K --New May26 (3)" xfId="15172"/>
    <cellStyle name="好_Creek Assembly Fixture  Test Equipment RFQ_20090427_Xl0000002_Leopard RFQ ME BOM Costs-0618-2_Bolt RFQ Proposal_Foxlink_ (Pricing Summary) 2 25 2011 5" xfId="15173"/>
    <cellStyle name="_PL Fcst Jul 06-updated G&amp;A Value_2009 xBOX ramp up budget code applicaiton 300K --New May27" xfId="15174"/>
    <cellStyle name="好_River EE BOM_Creek RFQ feedback 04_28_2009_FD Update_Foxlink_Shadow RFQ NREUni BOM_12032009_Bolt RFQ Proposal_Foxlink_ (Pricing Summary) 2 25 2011 2" xfId="15175"/>
    <cellStyle name="_PL Fcst Jul 06-updated G&amp;A Value_Budget GC Other Form" xfId="15176"/>
    <cellStyle name="好_River EE BOM_Jackson NRE Uni BOM_update _05072010 rev K_Bristol UniBom_Foxlink_02082011 RevA" xfId="15177"/>
    <cellStyle name="好_Creek EE BOM cost_20090425_Creek RFQ feedback 04_28_2009_FD Update_Squirrel UniBom-06.23.2010_update_internal_Bolt RFQ_Foxlink_03.1 2011 5" xfId="15178"/>
    <cellStyle name="_PL Fcst Jul 06-updated G&amp;A Value_Copy of Tom OS ( Oct) new for LOG_2009 xBOX ramp up budget code applicaiton" xfId="15179"/>
    <cellStyle name="_PL Fcst Jul 06-updated G&amp;A Value_Copy of Tom OS ( Oct) new for LOG_2009 xBOX ramp up budget code applicaiton 300K --New May27" xfId="15180"/>
    <cellStyle name="差_Xl0000000_Leopard RFQ ME BOM Costs-0618_Bolt RFQ_Foxlink_03.1 2011_nego meeting@MACH 2" xfId="15181"/>
    <cellStyle name="_PL Fcst Jul 06-updated G&amp;A Value_Copy of Tom OS ( Oct) new for LOG_Budget GC Other Form" xfId="15182"/>
    <cellStyle name="_PL Fcst Jul 06-updated G&amp;A Value_Copy of Tom OS ( Oct) new for LOG_Forecast Template v4" xfId="15183"/>
    <cellStyle name="_PL Fcst Jul 06-updated G&amp;A Value_Copy of Tom OS ( Oct) new for LOG_X-BOX BB" xfId="15184"/>
    <cellStyle name="好_Creek EE BOM cost_20090425_Leopard_UniBOM_ME_0602-1_Bolt RFQ_Foxlink_03.1 2011 4" xfId="15185"/>
    <cellStyle name="_PL Fcst Jul 06-updated G&amp;A Value_Copy of Tom OS ( Oct) new for LOG_X-BOX Console line setup budget 20080414" xfId="15186"/>
    <cellStyle name="差_HP Mouse 產能評估(Forecast更改後)_MS Bolt wireless mouse FixtureEquipment Cost_A5_2010_02_21_Bolt RFQ_Foxlink_03.1 2011 4" xfId="15187"/>
    <cellStyle name="_PL Fcst Jul 06-updated G&amp;A Value_Copy of Tom OS ( Oct) new for LOG_X-BOX Console line setup budget and Buyer list" xfId="15188"/>
    <cellStyle name="7_P139 CCM 1107" xfId="15189"/>
    <cellStyle name="_PL Fcst Jul 06-updated G&amp;A Value_Copy of X-BOX for line setup budget" xfId="15190"/>
    <cellStyle name="_PL Fcst Jul 06-updated G&amp;A Value_Forecast Template v4" xfId="15191"/>
    <cellStyle name="_PL Fcst Jul 06-updated G&amp;A Value_Internal Hourly Rate Q1 FY08 Version 06052007 Draft" xfId="15192"/>
    <cellStyle name="_PL Fcst Jul 06-updated G&amp;A Value_Internal Hourly Rate Q1 FY08 Version 06142007 excl. Corporate Allocation" xfId="15193"/>
    <cellStyle name="差_治具工程課2009年KPI_KPI 1006 3 2" xfId="15194"/>
    <cellStyle name="_PL Fcst Jul 06-updated G&amp;A Value_Tom OS ( Oct)" xfId="15195"/>
    <cellStyle name="_PL Fcst Jul 06-updated G&amp;A Value_Tom OS ( Oct)_2009 xBOX ramp up budget code applicaiton" xfId="15196"/>
    <cellStyle name="_PL Fcst Jul 06-updated G&amp;A Value_Tom OS ( Oct)_Budget GC Other Form" xfId="15197"/>
    <cellStyle name="_PL Fcst Jul 06-updated G&amp;A Value_Tom OS ( Oct)_Copy of X-BOX for line setup budget" xfId="15198"/>
    <cellStyle name="_PL Fcst Jul 06-updated G&amp;A Value_Tom OS ( Oct)_Forecast Template v4" xfId="15199"/>
    <cellStyle name="差_jupite r設備&amp;治工具LIST (總)_Dallas效益分析&amp;投資回收期 (12-2 A1)_~5631336_Jackson 效益分析 (2-1 B0 上系統)_Leopard Flowchart &amp; 產能評估" xfId="15200"/>
    <cellStyle name="好_Creek Assembly Fixture  Test Equipment RFQ_20090427_Bristol UniBom_Foxlink_02082011 RevA" xfId="15201"/>
    <cellStyle name="_PL Fcst Jul 06-updated G&amp;A Value_Tom OS ( Oct)_X-BOX Console line setup budget 20080414" xfId="15202"/>
    <cellStyle name="差_Creak Pearl Reliability Fixture RFQ_2009 04 24_Creek  Pearl RFQ_May 12_Squirrel UniBom_Foxlink_6 28 2010" xfId="15203"/>
    <cellStyle name="_PL Fcst Jul 06-updated G&amp;A Value_X-BOX BB" xfId="15204"/>
    <cellStyle name="好_Creek Assembly Fixture  Test Equipment RFQ_20090427_Xl0000002_Leopard Lemur Squirrel UniBom-06.22.2010_EE cost _update_internal_Bolt RFQ_Foxlink_03.1 2011_nego meeting@MACH 3 3" xfId="15205"/>
    <cellStyle name="_PL Fcst Jul 06-updated G&amp;A Value_X-BOX Console line setup budget 20080414" xfId="15206"/>
    <cellStyle name="差_Creak Pearl Reliability Fixture RFQ_2009 04 24_Creek  Pearl RFQ_May 12_Leopard Lemur Squirrel UniBom-06.22.2010_EE cost _update_internal_Bolt RFQ_Foxlink_03.1 2011_nego meeting@MACH 3 3" xfId="15207"/>
    <cellStyle name="Check Cell 8" xfId="15208"/>
    <cellStyle name="_PL Fcst_akl(Friday)" xfId="15209"/>
    <cellStyle name="_PL Fcst_akl(Friday)_2009 xBOX ramp up budget code applicaiton 300K --New May26 (3)" xfId="15210"/>
    <cellStyle name="_PL Fcst_akl(Friday)_2009 xBOX ramp up budget code applicaiton 300K --New May27" xfId="15211"/>
    <cellStyle name="_PL Fcst_akl(Friday)_Budget GC Other Form" xfId="15212"/>
    <cellStyle name="差_HP Mouse 產能評估(上系統)_Erie 效益分析(8-27)_squirrel效益分析08-17" xfId="15213"/>
    <cellStyle name="_PL Fcst_akl(Friday)_Copy of Tom OS ( Oct) new for LOG_2009 xBOX ramp up budget code applicaiton" xfId="15214"/>
    <cellStyle name="_PL Fcst_akl(Friday)_Copy of Tom OS ( Oct) new for LOG_2009 xBOX ramp up budget code applicaiton 300K --New May26 (3)" xfId="15215"/>
    <cellStyle name="_PL Fcst_akl(Friday)_Copy of Tom OS ( Oct) new for LOG_2009 xBOX ramp up budget code applicaiton 300K --New May27" xfId="15216"/>
    <cellStyle name="好_River EE BOM_Creak Pearl Reliability Fixture RFQ_2009 04 24_Creek  Pearl RFQ_May 12_Leopard Lemur Squirrel UniBom-06.22.2010_EE cost _update_internal 2 2 3" xfId="15217"/>
    <cellStyle name="_PL Fcst_akl(Friday)_Copy of Tom OS ( Oct) new for LOG_Budget GC Other Form" xfId="15218"/>
    <cellStyle name="_PL Fcst_akl(Friday)_Copy of Tom OS ( Oct) new for LOG_Copy of X-BOX for line setup budget" xfId="15219"/>
    <cellStyle name="_PL Fcst_akl(Friday)_Copy of Tom OS ( Oct) new for LOG_Forecast Template v4" xfId="15220"/>
    <cellStyle name="_PL Fcst_akl(Friday)_Copy of Tom OS ( Oct) new for LOG_X-BOX BB" xfId="15221"/>
    <cellStyle name="差_效益分析&amp;產能評估_M1 SuedeFixtureEquipment Cost_A0_2010_10_15_Wedge_ME_BOM-v00-11v0630" xfId="15222"/>
    <cellStyle name="好_Creek Assembly Fixture  Test Equipment RFQ_20090427_Foxlink_Shadow RFQ NREUni BOM_12032009_Bolt RFQ_Foxlink_03.1 2011_nego meeting@MACH_Bolt_Cliff 6" xfId="15223"/>
    <cellStyle name="_PL Fcst_akl(Friday)_Copy of Tom OS ( Oct) new for LOG_X-BOX Console line setup budget and Buyer list" xfId="15224"/>
    <cellStyle name="_PL Fcst_akl(Friday)_Copy of X-BOX for line setup budget" xfId="15225"/>
    <cellStyle name="_PL Fcst_akl(Friday)_Forecast Template v4" xfId="15226"/>
    <cellStyle name="_PL Fcst_akl(Friday)_Internal Hourly Rate Q1 FY08 Version 06052007 Draft" xfId="15227"/>
    <cellStyle name="_PL Fcst_akl(Friday)_Internal Hourly Rate Q1 FY08 Version 06142007 excl. Corporate Allocation" xfId="15228"/>
    <cellStyle name="好_River EE BOM_Creak Pearl Reliability Fixture RFQ_2009 04 24 2 2 2" xfId="15229"/>
    <cellStyle name="_PL Fcst_akl(Friday)_PL Fcst Jul 06-updated G&amp;A Value" xfId="15230"/>
    <cellStyle name="差_Creak Pearl Reliability Fixture RFQ_2009 04 24_Xl0000002_Leopard_UniBOM_ME_0602-1 2 3" xfId="15231"/>
    <cellStyle name="_PL Fcst_akl(Friday)_PL Fcst Jul 06-updated G&amp;A Value_2009 xBOX ramp up budget code applicaiton 300K --New May26 (3)" xfId="15232"/>
    <cellStyle name="_PL Fcst_akl(Friday)_PL Fcst Jul 06-updated G&amp;A Value_2009 xBOX ramp up budget code applicaiton 300K --New May27" xfId="15233"/>
    <cellStyle name="好_River EE BOM_Creak Pearl Reliability Fixture RFQ_2009 04 24_Creek RFQ feedback 04_28_2009_FD Update_Leopard RFQ ME BOM Costs-0618_Bolt RFQ Proposal_Foxlink_ (Pricing Summary) 2 25 2011 6" xfId="15234"/>
    <cellStyle name="_PL Fcst_akl(Friday)_PL Fcst Jul 06-updated G&amp;A Value_Copy of Tom OS ( Oct) new for LOG" xfId="15235"/>
    <cellStyle name="_PL Fcst_akl(Friday)_PL Fcst Jul 06-updated G&amp;A Value_Copy of Tom OS ( Oct) new for LOG_2009 xBOX ramp up budget code applicaiton" xfId="15236"/>
    <cellStyle name="差_Erie mouse 效益分析( 11-19 A1)_~5631336_Jackson 效益分析 (2-1 B0 上系統)_squirrel效益分析08-17" xfId="15237"/>
    <cellStyle name="好_Creek EE BOM cost_20090425_Creek RFQ feedback 04_28_2009_FD Update_Leopard_UniBOM_ME_0531_Bolt RFQ Proposal_Foxlink_ (Pricing Summary) 2 25 2011 5 2" xfId="15238"/>
    <cellStyle name="_Xbox November COGS Close Pack" xfId="15239"/>
    <cellStyle name="_PL Fcst_akl(Friday)_PL Fcst Jul 06-updated G&amp;A Value_Copy of Tom OS ( Oct) new for LOG_2009 xBOX ramp up budget code applicaiton 300K --New May26 (3)" xfId="15240"/>
    <cellStyle name="_PL Fcst_akl(Friday)_PL Fcst Jul 06-updated G&amp;A Value_Copy of Tom OS ( Oct) new for LOG_Budget GC Other Form" xfId="15241"/>
    <cellStyle name="好_River EE BOM_Creak Pearl Reliability Fixture RFQ_2009 04 24_Pearl RFQ(Submittal)ver2_05_12_2009 _Leopard_UniBOM_ME_0531_Bolt RFQ_Foxlink_03.1 2011" xfId="15242"/>
    <cellStyle name="_PL Fcst_akl(Friday)_PL Fcst Jul 06-updated G&amp;A Value_Copy of Tom OS ( Oct) new for LOG_Forecast Template v4" xfId="15243"/>
    <cellStyle name="好_River EE BOM_Creak Pearl Reliability Fixture RFQ_2009 04 24_Pearl RFQ(Submittal)ver2_05_12_2009 _Leopard_UniBOM_ME_0531_Bolt RFQ Proposal_Foxlink_ (Pricing Summary) 2 25 2011 2 2 2" xfId="15244"/>
    <cellStyle name="差_Creak Pearl Reliability Fixture RFQ_2009 04 24_Squirrel RFQ ME BOM Costs-0623 2 3" xfId="15245"/>
    <cellStyle name="_PL Fcst_akl(Friday)_PL Fcst Jul 06-updated G&amp;A Value_Copy of Tom OS ( Oct) new for LOG_X-BOX BB" xfId="15246"/>
    <cellStyle name="差_Creak Pearl Reliability Fixture RFQ_2009 04 24_Creek RFQ feedback 04_28_2009_FD Update_Leopard_UniBOM_ME_0602_Bolt RFQ_Foxlink_03.1 2011_nego meeting@MACH 3 3" xfId="15247"/>
    <cellStyle name="_PL Fcst_akl(Friday)_PL Fcst Jul 06-updated G&amp;A Value_Copy of Tom OS ( Oct) new for LOG_X-BOX Console line setup budget and Buyer list" xfId="15248"/>
    <cellStyle name="_PL Fcst_akl(Friday)_PL Fcst Jul 06-updated G&amp;A Value_Copy of X-BOX for line setup budget" xfId="15249"/>
    <cellStyle name="_PL Fcst_akl(Friday)_PL Fcst Jul 06-updated G&amp;A Value_Forecast Template v4" xfId="15250"/>
    <cellStyle name="_PL Fcst_akl(Friday)_PL Fcst Jul 06-updated G&amp;A Value_Internal Hourly Rate Q1 FY08 Version 06052007 Draft" xfId="15251"/>
    <cellStyle name="_PL Fcst_akl(Friday)_PL Fcst Jul 06-updated G&amp;A Value_Internal Hourly Rate Q1 FY08 Version 06142007 excl. Corporate Allocation" xfId="15252"/>
    <cellStyle name="_PL Fcst_akl(Friday)_PL Fcst Jul 06-updated G&amp;A Value_X-BOX BB" xfId="15253"/>
    <cellStyle name="差_Stream Package Quotation_20090311" xfId="15254"/>
    <cellStyle name="好_River EE BOM_Creak Pearl Reliability Fixture RFQ_2009 04 24_Foxlink_Shadow RFQ NREUni BOM_12032009_Bolt RFQ_Foxlink_03.1 2011 2" xfId="15255"/>
    <cellStyle name="_PL Fcst_akl(Friday)_PL Fcst Jul 06-updated G&amp;A Value_X-BOX Console line setup budget 20080414" xfId="15256"/>
    <cellStyle name="_Template for DV PV MP Yield Reports_Updated_Yield report for Jasper DV 0610" xfId="15257"/>
    <cellStyle name="_PL Fcst_akl(Friday)_PL Forecast by segment-most final 0806" xfId="15258"/>
    <cellStyle name="差_HP Mouse 產能評估(上系統)_Bolt RFQ_Foxlink_03.1 2011_nego meeting@MACH 3 2" xfId="15259"/>
    <cellStyle name="_PL Fcst_akl(Friday)_PL Forecast by segment-most final 0806_2009 xBOX ramp up budget code applicaiton" xfId="15260"/>
    <cellStyle name="好_River EE BOM_Xl0000002_Leopard RFQ ME BOM Costs-0618-2_Bolt RFQ Proposal_Foxlink_ (Pricing Summary) 2 25 2011 7" xfId="15261"/>
    <cellStyle name="好_0842周 顯卡報廢超標8D_2009MB KPI_MBO3F製造部hp0209-01 2 2 4" xfId="15262"/>
    <cellStyle name="_PL Fcst_akl(Friday)_PL Forecast by segment-most final 0806_2009 xBOX ramp up budget code applicaiton 300K --New May26 (3)" xfId="15263"/>
    <cellStyle name="_PL Fcst_akl(Friday)_PL Forecast by segment-most final 0806_2009 xBOX ramp up budget code applicaiton 300K --New May27" xfId="15264"/>
    <cellStyle name="_PL Fcst_akl(Friday)_PL Forecast by segment-most final 0806_Copy of Tom OS ( Oct) new for LOG" xfId="15265"/>
    <cellStyle name="差_Creak Pearl Reliability Fixture RFQ_2009 04 24_Pearl RFQ(Submittal)ver2_05_12_2009 _Leopard_UniBOM_ME_0602-1_Bolt RFQ_Foxlink_03.1 2011_nego meeting@MACH 2" xfId="15266"/>
    <cellStyle name="_PL Fcst_akl(Friday)_PL Forecast by segment-most final 0806_Copy of Tom OS ( Oct) new for LOG_2009 xBOX ramp up budget code applicaiton" xfId="15267"/>
    <cellStyle name="差_HP  專案(設備&amp;治工具需夠買)update_M1 Bolt wireless mouse FixtureEquipment Cost_A2_2010_12_07_Bolt RFQ Proposal_Foxlink_ (Pricing Summary) 2 25 2011 6" xfId="15268"/>
    <cellStyle name="差_HP Mouse 產能評估(上系統)_Erie 效益分析 (Update)_Flow Chart&amp;設備治工具清單 " xfId="15269"/>
    <cellStyle name="_PL Fcst_akl(Friday)_PL Forecast by segment-most final 0806_Copy of Tom OS ( Oct) new for LOG_2009 xBOX ramp up budget code applicaiton 300K --New May26 (3)" xfId="15270"/>
    <cellStyle name="好_Erie Assembly Fixture  Test Equip Cost_20090716_Jackson EE BOM " xfId="15271"/>
    <cellStyle name="_PL Fcst_akl(Friday)_PL Forecast by segment-most final 0806_Copy of Tom OS ( Oct) new for LOG_2009 xBOX ramp up budget code applicaiton 300K --New May27" xfId="15272"/>
    <cellStyle name="好_River EE BOM_Xl0000002_Leopard RFQ ME BOM Costs-0618-2_Bolt RFQ Proposal_Foxlink_ (Pricing Summary) 2 25 2011 6" xfId="15273"/>
    <cellStyle name="好_0842周 顯卡報廢超標8D_2009MB KPI_MBO3F製造部hp0209-01 2 2 3" xfId="15274"/>
    <cellStyle name="_PL Fcst_akl(Friday)_PL Forecast by segment-most final 0806_Copy of Tom OS ( Oct) new for LOG_Budget GC Other Form" xfId="15275"/>
    <cellStyle name="_PL Fcst_akl(Friday)_PL Forecast by segment-most final 0806_Copy of Tom OS ( Oct) new for LOG_Forecast Template v4" xfId="15276"/>
    <cellStyle name="_PL Fcst_akl(Friday)_PL Forecast by segment-most final 0806_Copy of Tom OS ( Oct) new for LOG_X-BOX BB" xfId="15277"/>
    <cellStyle name="差_Xl0000002_Bolt RFQ Proposal_Foxlink_ (Pricing Summary) 2 25 2011 2 2 2" xfId="15278"/>
    <cellStyle name="好_River EE BOM_Xl0000000_Leopard UniBom_Foxlink_6 21 2010-ME_nego_Bolt RFQ Proposal_Foxlink_ (Pricing Summary) 2 25 2011 2" xfId="15279"/>
    <cellStyle name="_PL Fcst_akl(Friday)_PL Forecast by segment-most final 0806_Copy of Tom OS ( Oct) new for LOG_X-BOX Console line setup budget and Buyer list" xfId="15280"/>
    <cellStyle name="Accent4 - 20%" xfId="15281"/>
    <cellStyle name="_PL Fcst_akl(Friday)_PL Forecast by segment-most final 0806_Copy of X-BOX for line setup budget" xfId="15282"/>
    <cellStyle name="_PL Fcst_akl(Friday)_PL Forecast by segment-most final 0806_Tom OS ( Oct)" xfId="15283"/>
    <cellStyle name="好_River EE BOM_Creak Pearl Reliability Fixture RFQ_2009 04 24_Leopard_UniBOM_ME_0602 3 3" xfId="15284"/>
    <cellStyle name="_PL Fcst_akl(Friday)_PL Forecast by segment-most final 0806_Tom OS ( Oct)_2009 xBOX ramp up budget code applicaiton" xfId="15285"/>
    <cellStyle name="Accent6 3 2" xfId="15286"/>
    <cellStyle name="_PL Fcst_akl(Friday)_PL Forecast by segment-most final 0806_Tom OS ( Oct)_2009 xBOX ramp up budget code applicaiton 300K --New May26 (3)" xfId="15287"/>
    <cellStyle name="差_jupite r設備&amp;治工具LIST (總)_Dallas效益分析&amp;投資回收期 (12-2 A1)_squirrel效益分析08-17" xfId="15288"/>
    <cellStyle name="_PL Fcst_akl(Friday)_PL Forecast by segment-most final 0806_Tom OS ( Oct)_2009 xBOX ramp up budget code applicaiton 300K --New May27" xfId="15289"/>
    <cellStyle name="_PL Fcst_akl(Friday)_PL Forecast by segment-most final 0806_Tom OS ( Oct)_Budget GC Other Form" xfId="15290"/>
    <cellStyle name="_PL Fcst_akl(Friday)_PL Forecast by segment-most final 0806_Tom OS ( Oct)_Copy of X-BOX for line setup budget" xfId="15291"/>
    <cellStyle name="差_Creak Pearl Reliability Fixture RFQ_2009 04 24_Creek  Pearl RFQ_May 12_Foxlink_Shadow RFQ NREUni BOM_12032009_Bolt RFQ_Foxlink_03.1 2011 3" xfId="15292"/>
    <cellStyle name="差_Creak Pearl Reliability Fixture RFQ_2009 04 24_Pearl RFQ(Submittal)ver2_05_12_2009 _Leopard RFQ ME BOM Costs-0618-2 2 2 2" xfId="15293"/>
    <cellStyle name="_PL Fcst_akl(Friday)_PL Forecast by segment-most final 0806_Tom OS ( Oct)_Forecast Template v4" xfId="15294"/>
    <cellStyle name="_PL Fcst_akl(Friday)_PL Forecast by segment-most final 0806_Tom OS ( Oct)_X-BOX BB" xfId="15295"/>
    <cellStyle name="40% - Accent3 2 2" xfId="15296"/>
    <cellStyle name="_PL Fcst_akl(Friday)_PL Forecast by segment-most final 0806_Tom OS ( Oct)_X-BOX Console line setup budget and Buyer list" xfId="15297"/>
    <cellStyle name="_PL Fcst_akl(Friday)_PL Forecast by segment-most final 0806_X-BOX BB" xfId="15298"/>
    <cellStyle name="_PL Fcst_akl(Friday)_PL Forecast by segment-most final 0806_X-BOX Console line setup budget 20080414" xfId="15299"/>
    <cellStyle name="_PL Fcst_akl(Friday)_Tom OS ( Oct)_2009 xBOX ramp up budget code applicaiton" xfId="15300"/>
    <cellStyle name="好_River EE BOM_Xl0000000_Leopard_UniBOM_ME_0531_Bolt RFQ_Foxlink_03.1 2011 3 2" xfId="15301"/>
    <cellStyle name="_PL Fcst_akl(Friday)_Tom OS ( Oct)_2009 xBOX ramp up budget code applicaiton 300K --New May26 (3)" xfId="15302"/>
    <cellStyle name="_PL Fcst_akl(Friday)_Tom OS ( Oct)_2009 xBOX ramp up budget code applicaiton 300K --New May27" xfId="15303"/>
    <cellStyle name="_PL Fcst_akl(Friday)_Tom OS ( Oct)_Budget GC Other Form" xfId="15304"/>
    <cellStyle name="_PL Fcst_akl(Friday)_Tom OS ( Oct)_Copy of X-BOX for line setup budget" xfId="15305"/>
    <cellStyle name="好_River EE BOM_Creek RFQ feedback 04_28_2009_FD Update_Leopard RFQ ME BOM Costs-0618-2_Bolt RFQ_Foxlink_03.1 2011 3 3" xfId="15306"/>
    <cellStyle name="好_River EE BOM_Creak Pearl Reliability Fixture RFQ_2009 04 24_Creek RFQ feedback 04_28_2009_FD Update_Leopard UniBom_Foxlink_6 21 2010-ME_nego_Bolt RFQ_Foxlink_03.1 2011 5" xfId="15307"/>
    <cellStyle name="_PL Fcst_akl(Friday)_Tom OS ( Oct)_Forecast Template v4" xfId="15308"/>
    <cellStyle name="好_River EE BOM_Creak Pearl Reliability Fixture RFQ_2009 04 24_Creek  Pearl RFQ_May 12_Bolt RFQ Proposal_Foxlink_ (Pricing Summary) 2 25 2011 5 2" xfId="15309"/>
    <cellStyle name="_PL Fcst_akl(Friday)_Tom OS ( Oct)_X-BOX BB" xfId="15310"/>
    <cellStyle name="_PL Fcst_akl(Friday)_Tom OS ( Oct)_X-BOX Console line setup budget 20080414" xfId="15311"/>
    <cellStyle name="_PL Fcst_akl(Friday)_Tom OS ( Oct)_X-BOX Console line setup budget and Buyer list" xfId="15312"/>
    <cellStyle name="差_Creak Pearl Reliability Fixture RFQ_2009 04 24_Xl0000002_Leopard_UniBOM_ME_0531_Bolt RFQ_Foxlink_03.1 2011_nego meeting@MACH" xfId="15313"/>
    <cellStyle name="好_River EE BOM_Creek RFQ feedback 04_28_2009_FD Update_Leopard UniBom_Foxlink_6 21 2010-ME_nego 3 3" xfId="15314"/>
    <cellStyle name="20% - 强调文字颜色 4 2 2 4" xfId="15315"/>
    <cellStyle name="差_Creak Pearl Reliability Fixture RFQ_2009 04 24_Xl0000002_Foxlink_Shadow RFQ NREUni BOM_12032009_Bolt RFQ Proposal_Foxlink_ (Pricing Summary) 2 25 2011 2" xfId="15316"/>
    <cellStyle name="_PL Fcst_akl(Friday)_Volume Fcst 1006 updated_2009 xBOX ramp up budget code applicaiton" xfId="15317"/>
    <cellStyle name="好_Creek Assembly Fixture  Test Equipment RFQ_20090427_Xl0000002_Leopard_UniBOM_ME_0603-2_Bolt RFQ_Foxlink_03.1 2011 2" xfId="15318"/>
    <cellStyle name="_PL Fcst_akl(Friday)_Volume Fcst 1006 updated_2009 xBOX ramp up budget code applicaiton 300K --New May27" xfId="15319"/>
    <cellStyle name="好_Creek Assembly Fixture  Test Equipment RFQ_20090427_Leopard RFQ ME BOM Costs-0618_Bolt RFQ_Foxlink_03.1 2011_nego meeting@MACH_Bolt_Cliff" xfId="15320"/>
    <cellStyle name="_PL Fcst_akl(Friday)_Volume Fcst 1006 updated_Budget GC Other Form" xfId="15321"/>
    <cellStyle name="好_效益分析&amp;產能評估_Bolt RFQ_Foxlink_03.1 2011_nego meeting@MACH 3 3" xfId="15322"/>
    <cellStyle name="好_River EE BOM_Xl0000000_Leopard UniBom_Foxlink_6 21 2010-ME_nego_Bolt RFQ_Foxlink_03.1 2011_nego meeting@MACH 2 3" xfId="15323"/>
    <cellStyle name="_PL Fcst_akl(Friday)_Volume Fcst 1006 updated_Copy of Tom OS ( Oct) new for LOG" xfId="15324"/>
    <cellStyle name="好_效益分析&amp;產能評估_M1 SuedeFixtureEquipment Cost_A0_2010_10_15_Bolt RFQ_Foxlink_03.1 2011 4" xfId="15325"/>
    <cellStyle name="_PL Fcst_akl(Friday)_Volume Fcst 1006 updated_Copy of Tom OS ( Oct) new for LOG_2009 xBOX ramp up budget code applicaiton" xfId="15326"/>
    <cellStyle name="_PL Fcst_akl(Friday)_Volume Fcst 1006 updated_Copy of Tom OS ( Oct) new for LOG_2009 xBOX ramp up budget code applicaiton 300K --New May26 (3)" xfId="15327"/>
    <cellStyle name="差_Creek RFQ feedback 04_28_2009_FD Update_Squirrel RFQ ME BOM Costs-0623_Bolt RFQ_Foxlink_03.1 2011_nego meeting@MACH 2 3" xfId="15328"/>
    <cellStyle name="好_River EE BOM_Creak Pearl Reliability Fixture RFQ_2009 04 24_Pearl RFQ(Submittal)ver2_05_12_2009 _Leopard Lemur Squirrel UniBom-06.22.2010_EE cost _update_internal_Bolt RFQ Proposal_Foxlink_ (Pricing Summary) 2 25 2011 2 4" xfId="15329"/>
    <cellStyle name="_PL Fcst_akl(Friday)_Volume Fcst 1006 updated_Copy of Tom OS ( Oct) new for LOG_2009 xBOX ramp up budget code applicaiton 300K --New May27" xfId="15330"/>
    <cellStyle name="40% - Accent4 13" xfId="15331"/>
    <cellStyle name="_PL Fcst_akl(Friday)_Volume Fcst 1006 updated_Copy of Tom OS ( Oct) new for LOG_Budget GC Other Form" xfId="15332"/>
    <cellStyle name="_PL Fcst_akl(Friday)_Volume Fcst 1006 updated_Copy of Tom OS ( Oct) new for LOG_Forecast Template v4" xfId="15333"/>
    <cellStyle name="_PL Fcst_akl(Friday)_Volume Fcst 1006 updated_Copy of Tom OS ( Oct) new for LOG_X-BOX BB" xfId="15334"/>
    <cellStyle name="_PL Fcst_akl(Friday)_Volume Fcst 1006 updated_Copy of Tom OS ( Oct) new for LOG_X-BOX Console line setup budget 20080414" xfId="15335"/>
    <cellStyle name="_PL Fcst_akl(Friday)_Volume Fcst 1006 updated_Copy of Tom OS ( Oct) new for LOG_X-BOX Console line setup budget and Buyer list" xfId="15336"/>
    <cellStyle name="注释 2" xfId="15337"/>
    <cellStyle name="_PL Fcst_akl(Friday)_Volume Fcst 1006 updated_Copy of X-BOX for line setup budget" xfId="15338"/>
    <cellStyle name="_PL Fcst_akl(Friday)_Volume Fcst 1006 updated_Forecast Template v4" xfId="15339"/>
    <cellStyle name="好_River EE BOM_Xl0000000_Bolt RFQ_Foxlink_03.1 2011 4" xfId="15340"/>
    <cellStyle name="_PL Fcst_akl(Friday)_Volume Fcst 1006 updated_Tom OS ( Oct)" xfId="15341"/>
    <cellStyle name="好_River EE BOM_Squirrel UniBom-06.23.2010_update_internal 2 4" xfId="15342"/>
    <cellStyle name="_PL Fcst_akl(Friday)_Volume Fcst 1006 updated_Tom OS ( Oct)_2009 xBOX ramp up budget code applicaiton" xfId="15343"/>
    <cellStyle name="差_Creak Pearl Reliability Fixture RFQ_2009 04 24_Xl0000002_Jackson EE BOM " xfId="15344"/>
    <cellStyle name="好_Creek EE BOM cost_20090425_Creek RFQ feedback 04_28_2009_FD Update_Leopard RFQ ME BOM Costs-0618_Bolt RFQ Proposal_Foxlink_ (Pricing Summary) 2 25 2011 3" xfId="15345"/>
    <cellStyle name="_PL Fcst_akl(Friday)_Volume Fcst 1006 updated_Tom OS ( Oct)_2009 xBOX ramp up budget code applicaiton 300K --New May26 (3)" xfId="15346"/>
    <cellStyle name="_PL Fcst_akl(Friday)_Volume Fcst 1006 updated_Tom OS ( Oct)_2009 xBOX ramp up budget code applicaiton 300K --New May27" xfId="15347"/>
    <cellStyle name="差_Xl0000002_Leopard Lemur Squirrel UniBom-06.22.2010_EE cost _update_internal_Bolt RFQ_Foxlink_03.1 2011_nego meeting@MACH 2" xfId="15348"/>
    <cellStyle name="Normal 12 9" xfId="15349"/>
    <cellStyle name="差_jupite r設備&amp;治工具LIST (總)_flow chart 2009.12.12_Flow Chart&amp;設備治工具清單 _Jackson 效益分析 (2-1 B0 上系統)_Leopard Flowchart &amp; 產能評估" xfId="15350"/>
    <cellStyle name="_PL Fcst_akl(Friday)_Volume Fcst 1006 updated_Tom OS ( Oct)_Budget GC Other Form" xfId="15351"/>
    <cellStyle name="差_F3   SMT設備明細_效益分析_Dallas效益分析&amp;投資回收期 (12-2 A1)_squirrel效益分析08-17" xfId="15352"/>
    <cellStyle name="_PL Fcst_akl(Friday)_Volume Fcst 1006 updated_Tom OS ( Oct)_X-BOX Console line setup budget 20080414" xfId="15353"/>
    <cellStyle name="_PL Fcst_akl(Friday)_Volume Fcst 1006 updated_X-BOX BB" xfId="15354"/>
    <cellStyle name="差_Creek RFQ feedback 04_28_2009_FD Update_Bolt RFQ Proposal_Foxlink_ (Pricing Summary) 2 25 2011 5 3" xfId="15355"/>
    <cellStyle name="_PL Fcst_akl(Friday)_Volume Fcst 1006 updated_X-BOX Console line setup budget 20080414" xfId="15356"/>
    <cellStyle name="_PL Fcst_akl(Friday)_Volume Fcst 1006 updated_X-BOX Console line setup budget and Buyer list" xfId="15357"/>
    <cellStyle name="60% - Accent4 13" xfId="15358"/>
    <cellStyle name="_PL Fcst_akl(Friday)_Volume Fcst Jul 06-update HP " xfId="15359"/>
    <cellStyle name="_PL Fcst_akl(Friday)_Volume Fcst Jul 06-update HP _2009 xBOX ramp up budget code applicaiton" xfId="15360"/>
    <cellStyle name="好_Bristol FLK system BOM cost_08122011" xfId="15361"/>
    <cellStyle name="per.style" xfId="15362"/>
    <cellStyle name="_PL Fcst_akl(Friday)_Volume Fcst Jul 06-update HP _2009 xBOX ramp up budget code applicaiton 300K --New May27" xfId="15363"/>
    <cellStyle name="好_foxlink Bristol for 10063D-2010-10-11_Bristol RFQ response _20101102_internal (4)_Bristol TC Estimate Update 08042011_MS" xfId="15364"/>
    <cellStyle name="_PL Fcst_akl(Friday)_Volume Fcst Jul 06-update HP _Budget GC Other Form" xfId="15365"/>
    <cellStyle name="_PL Fcst_akl(Friday)_Volume Fcst Jul 06-update HP _Copy of Tom OS ( Oct) new for LOG" xfId="15366"/>
    <cellStyle name="Normal 28" xfId="15367"/>
    <cellStyle name="Normal 33" xfId="15368"/>
    <cellStyle name="_PL Fcst_akl(Friday)_Volume Fcst Jul 06-update HP _Copy of Tom OS ( Oct) new for LOG_2009 xBOX ramp up budget code applicaiton" xfId="15369"/>
    <cellStyle name="_PL Fcst_akl(Friday)_Volume Fcst Jul 06-update HP _Copy of Tom OS ( Oct) new for LOG_2009 xBOX ramp up budget code applicaiton 300K --New May26 (3)" xfId="15370"/>
    <cellStyle name="链接单元格 2" xfId="15371"/>
    <cellStyle name="_PL Fcst_akl(Friday)_Volume Fcst Jul 06-update HP _Copy of Tom OS ( Oct) new for LOG_2009 xBOX ramp up budget code applicaiton 300K --New May27" xfId="15372"/>
    <cellStyle name="差_Creak Pearl Reliability Fixture RFQ_2009 04 24_Pearl RFQ(Submittal)ver2_05_12_2009 _Leopard Lemur Squirrel UniBom-06.22.2010_EE cost _update_internal_Bolt RFQ Proposal_Foxlink_ (Pricing Summary) 2 25 2011 3 2" xfId="15373"/>
    <cellStyle name="_Sales Forecast (plastic XX)0703_PL Fcst Jul 06-updated G&amp;A Value_Tom OS ( Oct)_X-BOX Console line setup budget 20080414" xfId="15374"/>
    <cellStyle name="_Sales Forecast (plastic XX)1203_PL Fcst Jul 06-updated G&amp;A Value_Tom OS ( Oct)_X-BOX Console line setup budget 20080414" xfId="15375"/>
    <cellStyle name="_PL Fcst_akl(Friday)_Volume Fcst Jul 06-update HP _Copy of Tom OS ( Oct) new for LOG_Budget GC Other Form" xfId="15376"/>
    <cellStyle name="差_治具工程課2009年KPI 6 3" xfId="15377"/>
    <cellStyle name="??" xfId="15378"/>
    <cellStyle name="_PL Fcst_akl(Friday)_Volume Fcst Jul 06-update HP _Copy of Tom OS ( Oct) new for LOG_Copy of X-BOX for line setup budget" xfId="15379"/>
    <cellStyle name="_PL Fcst_akl(Friday)_Volume Fcst Jul 06-update HP _Copy of Tom OS ( Oct) new for LOG_Forecast Template v4" xfId="15380"/>
    <cellStyle name="差_Creak Pearl Reliability Fixture RFQ_2009 04 24_Leopard_UniBOM_ME_0603-2_Bolt RFQ_Foxlink_03.1 2011 4" xfId="15381"/>
    <cellStyle name="_Xenon Build Plan Flex 081505" xfId="15382"/>
    <cellStyle name="_PL Fcst_akl(Friday)_Volume Fcst Jul 06-update HP _Copy of Tom OS ( Oct) new for LOG_X-BOX Console line setup budget 20080414" xfId="15383"/>
    <cellStyle name="_PL Fcst_akl(Friday)_Volume Fcst Jul 06-update HP _Copy of Tom OS ( Oct) new for LOG_X-BOX Console line setup budget and Buyer list" xfId="15384"/>
    <cellStyle name="_PL Fcst_akl(Friday)_Volume Fcst Jul 06-update HP _Copy of X-BOX for line setup budget" xfId="15385"/>
    <cellStyle name="差_Xl0000000_Foxlink_Shadow RFQ NREUni BOM_12032009 2 4" xfId="15386"/>
    <cellStyle name="_PL Fcst_akl(Friday)_Volume Fcst Jul 06-update HP _Tom OS ( Oct)" xfId="15387"/>
    <cellStyle name="_PL Fcst_akl(Friday)_Volume Fcst Jul 06-update HP _Tom OS ( Oct)_2009 xBOX ramp up budget code applicaiton" xfId="15388"/>
    <cellStyle name="好_River EE BOM_Creak Pearl Reliability Fixture RFQ_2009 04 24_Pearl RFQ(Submittal)ver2_05_12_2009 _Bolt RFQ_Foxlink_03.1 2011 2 3" xfId="15389"/>
    <cellStyle name="_PL Fcst_akl(Friday)_Volume Fcst Jul 06-update HP _Tom OS ( Oct)_2009 xBOX ramp up budget code applicaiton 300K --New May26 (3)" xfId="15390"/>
    <cellStyle name="60% - 强调文字颜色 6 2 3 2" xfId="15391"/>
    <cellStyle name="_PL Fcst_akl(Friday)_Volume Fcst Jul 06-update HP _Tom OS ( Oct)_2009 xBOX ramp up budget code applicaiton 300K --New May27" xfId="15392"/>
    <cellStyle name="差_Creek RFQ feedback 04_28_2009_FD Update_Leopard_UniBOM_ME_0603-2_Bolt RFQ_Foxlink_03.1 2011 3 2" xfId="15393"/>
    <cellStyle name="_PL Fcst_akl(Friday)_Volume Fcst Jul 06-update HP _Tom OS ( Oct)_Budget GC Other Form" xfId="15394"/>
    <cellStyle name="好_River EE BOM_Creak Pearl Reliability Fixture RFQ_2009 04 24_Creek  Pearl RFQ_May 12_Leopard RFQ ME BOM Costs-0618-2_Bolt RFQ Proposal_Foxlink_ (Pricing Summary) 2 25 2011 2 4" xfId="15395"/>
    <cellStyle name="_Transportation Charges from DM to Huizhou_Lenovo Park Format_July 07 05" xfId="15396"/>
    <cellStyle name="Currency 9" xfId="15397"/>
    <cellStyle name="_PL Fcst_akl(Friday)_Volume Fcst Jul 06-update HP _Tom OS ( Oct)_Forecast Template v4" xfId="15398"/>
    <cellStyle name="_PL Fcst_akl(Friday)_Volume Fcst Jul 06-update HP _Tom OS ( Oct)_X-BOX BB" xfId="15399"/>
    <cellStyle name="好_River EE BOM_Creak Pearl Reliability Fixture RFQ_2009 04 24_Leopard RFQ ME BOM Costs-0618 2 2 3" xfId="15400"/>
    <cellStyle name="_PL Fcst_akl(Friday)_Volume Fcst Jul 06-update HP _Tom OS ( Oct)_X-BOX Console line setup budget 20080414" xfId="15401"/>
    <cellStyle name="好_Creek EE BOM cost_20090425_Leopard UniBom_Foxlink_6 21 2010-ME_nego 2 2" xfId="15402"/>
    <cellStyle name="_PL Fcst_akl(Friday)_Volume Fcst Jul 06-update HP _Tom OS ( Oct)_X-BOX Console line setup budget and Buyer list" xfId="15403"/>
    <cellStyle name="Normal 5 2 2 3 2" xfId="15404"/>
    <cellStyle name="_PL Fcst_akl(Friday)_Volume Fcst Jul 06-update HP _X-BOX BB" xfId="15405"/>
    <cellStyle name="好_River EE BOM_Creak Pearl Reliability Fixture RFQ_2009 04 24_Leopard_UniBOM_ME_0603-2_Bolt RFQ_Foxlink_03.1 2011 3" xfId="15406"/>
    <cellStyle name="好_River EE BOM_Creek RFQ feedback 04_28_2009_FD Update_Foxlink_Shadow RFQ NREUni BOM_12032009_Bolt RFQ Proposal_Foxlink_ (Pricing Summary) 2 25 2011 2 4" xfId="15407"/>
    <cellStyle name="好_Creek Assembly Fixture  Test Equipment RFQ_20090427_Xl0000002_Leopard RFQ ME BOM Costs-0618-2_Bolt RFQ Proposal_Foxlink_ (Pricing Summary) 2 25 2011 5 2" xfId="15408"/>
    <cellStyle name="_PL Fcst_akl(Friday)_Volume Fcst Jul 06-update HP _X-BOX Console line setup budget 20080414" xfId="15409"/>
    <cellStyle name="9_Revised AP DPO Oct 04 v2_Q3 OS_X-BOX Console line setup budget 20080414" xfId="15410"/>
    <cellStyle name="_PL Fcst_akl(Friday)_Volume Fcst Jul 06-update HP _X-BOX Console line setup budget and Buyer list" xfId="15411"/>
    <cellStyle name="_PL Fcst_akl(Friday)_X-BOX BB" xfId="15412"/>
    <cellStyle name="_PL Fcst_akl(Friday)_X-BOX Console line setup budget 20080414" xfId="15413"/>
    <cellStyle name="一般 2 2" xfId="15414"/>
    <cellStyle name="_PL Fcst_akl(Friday)_X-BOX Console line setup budget and Buyer list" xfId="15415"/>
    <cellStyle name="Percent 19" xfId="15416"/>
    <cellStyle name="Percent 24" xfId="15417"/>
    <cellStyle name="_Sales Forecast (plastic XX)0703_Copy of Tom OS ( Oct) new for LOG_X-BOX Console line setup budget 20080414" xfId="15418"/>
    <cellStyle name="_Sales Forecast (plastic XX)1203_Copy of Tom OS ( Oct) new for LOG_X-BOX Console line setup budget 20080414" xfId="15419"/>
    <cellStyle name="_PL Forecast by segment-most final 0806_2009 xBOX ramp up budget code applicaiton 300K --New May26 (3)" xfId="15420"/>
    <cellStyle name="好_Creek Assembly Fixture  Test Equipment RFQ_20090427_Leopard_UniBOM_ME_0531_Bolt RFQ Proposal_Foxlink_ (Pricing Summary) 2 25 2011 5" xfId="15421"/>
    <cellStyle name="_PL Forecast by segment-most final 0806_2009 xBOX ramp up budget code applicaiton 300K --New May27" xfId="15422"/>
    <cellStyle name="好_River EE BOM_Creak Pearl Reliability Fixture RFQ_2009 04 24_Foxlink_Shadow RFQ NREUni BOM_12032009_Bolt RFQ Proposal_Foxlink_ (Pricing Summary) 2 25 2011 2 4" xfId="15423"/>
    <cellStyle name="_PL Forecast by segment-most final 0806_Budget GC Other Form" xfId="15424"/>
    <cellStyle name="好_River EE BOM_Creak Pearl Reliability Fixture RFQ_2009 04 24_Creek RFQ feedback 04_28_2009_FD Update_Leopard_UniBOM_ME_0602 3 3" xfId="15425"/>
    <cellStyle name="差_Xl0000002_Jackson and Shadow BOM cost_mainfile_2010 0324 rev.1_Leopard UniBom_Foxlink_12092010 RevD-jen" xfId="15426"/>
    <cellStyle name="好_Creek EE BOM cost_20090425_Creek RFQ feedback 04_28_2009_FD Update_Squirrel UniBom-06.23.2010_update_internal_Bolt RFQ Proposal_Foxlink_ (Pricing Summary) 2 25 2011 2 2" xfId="15427"/>
    <cellStyle name="_PL Forecast by segment-most final 0806_Copy of Tom OS ( Oct) new for LOG_2009 xBOX ramp up budget code applicaiton" xfId="15428"/>
    <cellStyle name="_PL Forecast by segment-most final 0806_Copy of Tom OS ( Oct) new for LOG_2009 xBOX ramp up budget code applicaiton 300K --New May26 (3)" xfId="15429"/>
    <cellStyle name="好_River EE BOM_Creak Pearl Reliability Fixture RFQ_2009 04 24_Pearl RFQ(Submittal)ver2_05_12_2009 _Leopard RFQ ME BOM Costs-0618-2_Bolt RFQ_Foxlink_03.1 2011 5" xfId="15430"/>
    <cellStyle name="_PL Forecast by segment-most final 0806_Copy of Tom OS ( Oct) new for LOG_2009 xBOX ramp up budget code applicaiton 300K --New May27" xfId="15431"/>
    <cellStyle name="_PL Forecast by segment-most final 0806_Copy of Tom OS ( Oct) new for LOG_Budget GC Other Form" xfId="15432"/>
    <cellStyle name="差_Xl0000002_Leopard UniBom-06 22 2010_update_internal" xfId="15433"/>
    <cellStyle name="_PL Forecast by segment-most final 0806_Copy of Tom OS ( Oct) new for LOG_Forecast Template v4" xfId="15434"/>
    <cellStyle name="好_River EE BOM_Creak Pearl Reliability Fixture RFQ_2009 04 24_Pearl RFQ(Submittal)ver2_05_12_2009 _Leopard RFQ ME BOM Costs-0618-2_Bolt RFQ_Foxlink_03.1 2011 3 3" xfId="15435"/>
    <cellStyle name="好_Erie Trial run  QA Report-1103_Dolce   QA Report 2010_0902 (A3)" xfId="15436"/>
    <cellStyle name="_Sales Forecast (plastic XX)0703_Tom OS ( Oct)_X-BOX Console line setup budget 20080414" xfId="15437"/>
    <cellStyle name="_Sales Forecast (plastic XX)1203_Tom OS ( Oct)_X-BOX Console line setup budget 20080414" xfId="15438"/>
    <cellStyle name="_PL Forecast by segment-most final 0806_Copy of Tom OS ( Oct) new for LOG_X-BOX BB" xfId="15439"/>
    <cellStyle name="好_Bristol  cost 20100914Rev.A 2_Bristol ME parts tooling cost 20101022 updated_Bristol TC Estimate Update 07292011_internal from Tony" xfId="15440"/>
    <cellStyle name="_PL Forecast by segment-most final 0806_Copy of Tom OS ( Oct) new for LOG_X-BOX Console line setup budget and Buyer list" xfId="15441"/>
    <cellStyle name="差_治具工程課2009年KPI_2009MB KPI-0205 3 2 2" xfId="15442"/>
    <cellStyle name="_PL Forecast by segment-most final 0806_Copy of X-BOX for line setup budget" xfId="15443"/>
    <cellStyle name="差_Creek RFQ feedback 04_28_2009_FD Update_Leopard_UniBOM_ME_0603-2_Bolt RFQ Proposal_Foxlink_ (Pricing Summary) 2 25 2011 5 2" xfId="15444"/>
    <cellStyle name="_PL Forecast by segment-most final 0806_Forecast Template v4" xfId="15445"/>
    <cellStyle name="好_River EE BOM_Creak Pearl Reliability Fixture RFQ_2009 04 24_Leopard Lemur Squirrel UniBom-06.22.2010_EE cost _update_internal_Bolt RFQ Proposal_Foxlink_ (Pricing Summary) 2 25 2011 2 2" xfId="15446"/>
    <cellStyle name="Total 10 2" xfId="15447"/>
    <cellStyle name="_PL Forecast by segment-most final 0806_Internal Hourly Rate Q1 FY08 Version 06052007 Draft" xfId="15448"/>
    <cellStyle name="_PL Forecast by segment-most final 0806_Tom OS ( Oct)" xfId="15449"/>
    <cellStyle name="好_River EE BOM_Creak Pearl Reliability Fixture RFQ_2009 04 24_Pearl RFQ(Submittal)ver2_05_12_2009 _Leopard Lemur Squirrel UniBom-06.22.2010_EE cost _update_internal_Bolt RFQ Proposal_Foxlink_ (Pricing Summary) 2 25 2011 2 2 3" xfId="15450"/>
    <cellStyle name="_PL Forecast by segment-most final 0806_Tom OS ( Oct)_2009 xBOX ramp up budget code applicaiton 300K --New May26 (3)" xfId="15451"/>
    <cellStyle name="差_Xl0000000 3 2" xfId="15452"/>
    <cellStyle name="_PL Forecast by segment-most final 0806_Tom OS ( Oct)_Budget GC Other Form" xfId="15453"/>
    <cellStyle name="_PL Forecast by segment-most final 0806_Tom OS ( Oct)_Forecast Template v4" xfId="15454"/>
    <cellStyle name="_PL Forecast by segment-most final 0806_Tom OS ( Oct)_X-BOX Console line setup budget and Buyer list" xfId="15455"/>
    <cellStyle name="差_F3   SMT設備明細_效益分析_Flow Chart(shadow) A3 _Jackson 效益分析 (2-1 B0 上系統)_squirrel效益分析08-17" xfId="15456"/>
    <cellStyle name="_PL Forecast by segment-most final 0806_X-BOX BB" xfId="15457"/>
    <cellStyle name="汇总 2 3" xfId="15458"/>
    <cellStyle name="60% - Accent5 8" xfId="15459"/>
    <cellStyle name="_PL Forecast by segment-most final 0806_X-BOX Console line setup budget 20080414" xfId="15460"/>
    <cellStyle name="_PL Forecast Comparison_Mech Doumen2006_1(preliminary)" xfId="15461"/>
    <cellStyle name="_PL Forecast Comparison_Mech Doumen2006_1(preliminary)_2009 xBOX ramp up budget code applicaiton 300K --New May26 (3)" xfId="15462"/>
    <cellStyle name="好_Creek Assembly Fixture  Test Equipment RFQ_20090427_Leopard_UniBOM_ME_0602_Bolt_Cliff 2 2 2" xfId="15463"/>
    <cellStyle name="_PL Forecast Comparison_Mech Doumen2006_1(preliminary)_2009 xBOX ramp up budget code applicaiton 300K --New May27" xfId="15464"/>
    <cellStyle name="好_River EE BOM_Creak Pearl Reliability Fixture RFQ_2009 04 24_Creek RFQ feedback 04_28_2009_FD Update_Foxlink_Shadow RFQ NREUni BOM_12032009 2 2" xfId="15465"/>
    <cellStyle name="_PL Forecast Comparison_Mech Doumen2006_1(preliminary)_Budget GC Other Form" xfId="15466"/>
    <cellStyle name="_PL Forecast Comparison_Mech Doumen2006_1(preliminary)_Copy of Tom OS ( Oct) new for LOG_2009 xBOX ramp up budget code applicaiton" xfId="15467"/>
    <cellStyle name="_PPV ALLOCATION-Nov04_Zune v2  Manufacturing Pricing_Erie  Mouse RFQ Pricing IE" xfId="15468"/>
    <cellStyle name="_PL Forecast Comparison_Mech Doumen2006_1(preliminary)_Copy of Tom OS ( Oct) new for LOG_2009 xBOX ramp up budget code applicaiton 300K --New May26 (3)" xfId="15469"/>
    <cellStyle name="_PL Forecast Comparison_Mech Doumen2006_1(preliminary)_Copy of Tom OS ( Oct) new for LOG_Budget GC Other Form" xfId="15470"/>
    <cellStyle name="_PL Forecast Comparison_Mech Doumen2006_1(preliminary)_Copy of Tom OS ( Oct) new for LOG_Forecast Template v4" xfId="15471"/>
    <cellStyle name="_PL Forecast Comparison_Mech Doumen2006_1(preliminary)_Copy of Tom OS ( Oct) new for LOG_X-BOX BB" xfId="15472"/>
    <cellStyle name="好_River EE BOM_Xl0000002_Leopard RFQ ME BOM Costs-0618_Bolt RFQ Proposal_Foxlink_ (Pricing Summary) 2 25 2011 3 3" xfId="15473"/>
    <cellStyle name="_PL Forecast Comparison_Mech Doumen2006_1(preliminary)_Copy of Tom OS ( Oct) new for LOG_X-BOX Console line setup budget 20080414" xfId="15474"/>
    <cellStyle name="好_River EE BOM_Creak Pearl Reliability Fixture RFQ_2009 04 24_Xl0000002_Leopard_UniBOM_ME_0602_Bolt RFQ Proposal_Foxlink_ (Pricing Summary) 2 25 2011 4 2" xfId="15475"/>
    <cellStyle name="好_River EE BOM_Xl0000002_Foxlink_Shadow RFQ NREUni BOM_12032009_Bolt RFQ_Foxlink_03.1 2011_nego meeting@MACH 2 3" xfId="15476"/>
    <cellStyle name="_PL Forecast Comparison_Mech Doumen2006_1(preliminary)_Copy of Tom OS ( Oct) new for LOG_X-BOX Console line setup budget and Buyer list" xfId="15477"/>
    <cellStyle name="60% - Accent6 3 2" xfId="15478"/>
    <cellStyle name="_PL Forecast Comparison_Mech Doumen2006_1(preliminary)_Internal Hourly Rate Q1 FY08 Version 06052007 Draft" xfId="15479"/>
    <cellStyle name="_PL Forecast Comparison_Mech Doumen2006_1(preliminary)_Internal Hourly Rate Q1 FY08 Version 06142007 excl. Corporate Allocation" xfId="15480"/>
    <cellStyle name="_PL Forecast Comparison_Mech Doumen2006_1(preliminary)_PL Fcst Jul 06-updated G&amp;A Value" xfId="15481"/>
    <cellStyle name="_PL Forecast Comparison_Mech Doumen2006_1(preliminary)_PL Fcst Jul 06-updated G&amp;A Value_2009 xBOX ramp up budget code applicaiton" xfId="15482"/>
    <cellStyle name="_PL Forecast Comparison_Mech Doumen2006_1(preliminary)_PL Fcst Jul 06-updated G&amp;A Value_2009 xBOX ramp up budget code applicaiton 300K --New May26 (3)" xfId="15483"/>
    <cellStyle name="差_jupite r設備&amp;治工具LIST (總)_Dallas效益分析&amp;投資回收期 (12-2 A1)_Jackson 效益分析 (2-1 B0 上系統)_Leopard效益分析08-17" xfId="15484"/>
    <cellStyle name="好_Creek EE BOM cost_20090425_Foxlink_Shadow RFQ NREUni BOM_12032009_Bolt RFQ Proposal_Foxlink_ (Pricing Summary) 2 25 2011 4 2" xfId="15485"/>
    <cellStyle name="_PL Forecast Comparison_Mech Doumen2006_1(preliminary)_PL Fcst Jul 06-updated G&amp;A Value_Budget GC Other Form" xfId="15486"/>
    <cellStyle name="好_治具工程課2009年KPI_產線生產規劃KPI 5 2" xfId="15487"/>
    <cellStyle name="Enter Currency (2) 4" xfId="15488"/>
    <cellStyle name="_PL Forecast Comparison_Mech Doumen2006_1(preliminary)_PL Fcst Jul 06-updated G&amp;A Value_Copy of Tom OS ( Oct) new for LOG" xfId="15489"/>
    <cellStyle name="Normal 3 2 4" xfId="15490"/>
    <cellStyle name="_PL Forecast Comparison_Mech Doumen2006_1(preliminary)_PL Fcst Jul 06-updated G&amp;A Value_Copy of Tom OS ( Oct) new for LOG_2009 xBOX ramp up budget code applicaiton" xfId="15491"/>
    <cellStyle name="_PL Forecast Comparison_Mech Doumen2006_1(preliminary)_PL Fcst Jul 06-updated G&amp;A Value_Copy of Tom OS ( Oct) new for LOG_2009 xBOX ramp up budget code applicaiton 300K --New May26 (3)" xfId="15492"/>
    <cellStyle name="_PL Forecast Comparison_Mech Doumen2006_1(preliminary)_PL Fcst Jul 06-updated G&amp;A Value_Copy of Tom OS ( Oct) new for LOG_Budget GC Other Form" xfId="15493"/>
    <cellStyle name="_PL Forecast Comparison_Mech Doumen2006_1(preliminary)_PL Fcst Jul 06-updated G&amp;A Value_Copy of Tom OS ( Oct) new for LOG_Copy of X-BOX for line setup budget" xfId="15494"/>
    <cellStyle name="_PL Forecast Comparison_Mech Doumen2006_1(preliminary)_PL Fcst Jul 06-updated G&amp;A Value_Copy of Tom OS ( Oct) new for LOG_Forecast Template v4" xfId="15495"/>
    <cellStyle name="_PL Forecast Comparison_Mech Doumen2006_1(preliminary)_PL Fcst Jul 06-updated G&amp;A Value_Copy of Tom OS ( Oct) new for LOG_X-BOX Console line setup budget 20080414" xfId="15496"/>
    <cellStyle name="_PL Forecast Comparison_Mech Doumen2006_1(preliminary)_PL Fcst Jul 06-updated G&amp;A Value_Copy of X-BOX for line setup budget" xfId="15497"/>
    <cellStyle name="好_Creek EE BOM cost_20090425_Creek RFQ feedback 04_28_2009_FD Update_Leopard Lemur Squirrel UniBom-06.22.2010_EE cost _update_internal_Bolt RFQ Proposal_Foxlink_ (Pricing Summary) 2 25 2011 7" xfId="15498"/>
    <cellStyle name="_PL Forecast Comparison_Mech Doumen2006_1(preliminary)_PL Fcst Jul 06-updated G&amp;A Value_Forecast Template v4" xfId="15499"/>
    <cellStyle name="_PL Forecast Comparison_Mech Doumen2006_1(preliminary)_PL Fcst Jul 06-updated G&amp;A Value_Tom OS ( Oct)" xfId="15500"/>
    <cellStyle name="_PL Forecast Comparison_Mech Doumen2006_1(preliminary)_PL Fcst Jul 06-updated G&amp;A Value_Tom OS ( Oct)_2009 xBOX ramp up budget code applicaiton 300K --New May26 (3)" xfId="15501"/>
    <cellStyle name="_PL Forecast Comparison_Mech Doumen2006_1(preliminary)_PL Fcst Jul 06-updated G&amp;A Value_Tom OS ( Oct)_2009 xBOX ramp up budget code applicaiton 300K --New May27" xfId="15502"/>
    <cellStyle name="_PL Forecast Comparison_Mech Doumen2006_1(preliminary)_PL Fcst Jul 06-updated G&amp;A Value_Tom OS ( Oct)_Budget GC Other Form" xfId="15503"/>
    <cellStyle name="好_River EE BOM_Creak Pearl Reliability Fixture RFQ_2009 04 24_Squirrel RFQ ME BOM Costs-0623 2 2 3" xfId="15504"/>
    <cellStyle name="_PL Forecast Comparison_Mech Doumen2006_1(preliminary)_PL Fcst Jul 06-updated G&amp;A Value_Tom OS ( Oct)_Copy of X-BOX for line setup budget" xfId="15505"/>
    <cellStyle name="货币 2 3" xfId="15506"/>
    <cellStyle name="_PL Forecast Comparison_Mech Doumen2006_1(preliminary)_PL Fcst Jul 06-updated G&amp;A Value_Tom OS ( Oct)_Forecast Template v4" xfId="15507"/>
    <cellStyle name="_PL Forecast Comparison_Mech Doumen2006_1(preliminary)_PL Fcst Jul 06-updated G&amp;A Value_Tom OS ( Oct)_X-BOX BB" xfId="15508"/>
    <cellStyle name="一般 6 6" xfId="15509"/>
    <cellStyle name="差_Creak Pearl Reliability Fixture RFQ_2009 04 24_Leopard_UniBOM_ME_0603-2_Bolt RFQ_Foxlink_03.1 2011_nego meeting@MACH 3 3" xfId="15510"/>
    <cellStyle name="好_Creek EE BOM cost_20090425_Leopard RFQ ME BOM Costs-0618_Bolt RFQ Proposal_Foxlink_ (Pricing Summary) 2 25 2011 3" xfId="15511"/>
    <cellStyle name="_PL Forecast Comparison_Mech Doumen2006_1(preliminary)_PL Fcst Jul 06-updated G&amp;A Value_Tom OS ( Oct)_X-BOX Console line setup budget 20080414" xfId="15512"/>
    <cellStyle name="_PL Forecast Comparison_Mech Doumen2006_1(preliminary)_PL Fcst Jul 06-updated G&amp;A Value_Tom OS ( Oct)_X-BOX Console line setup budget and Buyer list" xfId="15513"/>
    <cellStyle name="_PL Forecast Comparison_Mech Doumen2006_1(preliminary)_PL Fcst Jul 06-updated G&amp;A Value_X-BOX Console line setup budget 20080414" xfId="15514"/>
    <cellStyle name="壞_Creek EE BOM cost_20090425_Creek RFQ feedback 04_28_2009_FD Update_Leopard_UniBOM_ME_0602_Bolt RFQ Proposal_Foxlink_ (Pricing Summary) 2 25 2011 5" xfId="15515"/>
    <cellStyle name="_PL Forecast Comparison_Mech Doumen2006_1(preliminary)_PL Forecast by segment-most final 0806_2009 xBOX ramp up budget code applicaiton 300K --New May26 (3)" xfId="15516"/>
    <cellStyle name="_PL Forecast Comparison_Mech Doumen2006_1(preliminary)_PL Forecast by segment-most final 0806_Budget GC Other Form" xfId="15517"/>
    <cellStyle name="_PL Forecast Comparison_Mech Doumen2006_1(preliminary)_PL Forecast by segment-most final 0806_Copy of Tom OS ( Oct) new for LOG" xfId="15518"/>
    <cellStyle name="40% - Accent4 12" xfId="15519"/>
    <cellStyle name="_PL Forecast Comparison_Mech Doumen2006_1(preliminary)_PL Forecast by segment-most final 0806_Copy of Tom OS ( Oct) new for LOG_2009 xBOX ramp up budget code applicaiton" xfId="15520"/>
    <cellStyle name="_PL Forecast Comparison_Mech Doumen2006_1(preliminary)_PL Forecast by segment-most final 0806_Copy of Tom OS ( Oct) new for LOG_2009 xBOX ramp up budget code applicaiton 300K --New May26 (3)" xfId="15521"/>
    <cellStyle name="_PL Forecast Comparison_Mech Doumen2006_1(preliminary)_PL Forecast by segment-most final 0806_Copy of Tom OS ( Oct) new for LOG_2009 xBOX ramp up budget code applicaiton 300K --New May27" xfId="15522"/>
    <cellStyle name="差_Creak Pearl Reliability Fixture RFQ_2009 04 24_Leopard UniBom_Foxlink_6 21 2010-ME_nego_Bolt RFQ Proposal_Foxlink_ (Pricing Summary) 2 25 2011" xfId="15523"/>
    <cellStyle name="_PL Forecast Comparison_Mech Doumen2006_1(preliminary)_PL Forecast by segment-most final 0806_Copy of Tom OS ( Oct) new for LOG_Budget GC Other Form" xfId="15524"/>
    <cellStyle name="_PL Forecast Comparison_Mech Doumen2006_1(preliminary)_PL Forecast by segment-most final 0806_Copy of Tom OS ( Oct) new for LOG_Copy of X-BOX for line setup budget" xfId="15525"/>
    <cellStyle name="好_Creek Assembly Fixture  Test Equipment RFQ_20090427_Xl0000002_Foxlink_Shadow RFQ NREUni BOM_12032009_Bolt RFQ Proposal_Foxlink_ (Pricing Summary) 2 25 2011 7" xfId="15526"/>
    <cellStyle name="_PL Forecast Comparison_Mech Doumen2006_1(preliminary)_PL Forecast by segment-most final 0806_Copy of Tom OS ( Oct) new for LOG_X-BOX BB" xfId="15527"/>
    <cellStyle name="_PL Forecast Comparison_Mech Doumen2006_1(preliminary)_PL Forecast by segment-most final 0806_Copy of Tom OS ( Oct) new for LOG_X-BOX Console line setup budget 20080414" xfId="15528"/>
    <cellStyle name="计算 2 2 2 5" xfId="15529"/>
    <cellStyle name="差_Foxlink_Shadow RFQ NREUni BOM_12032009_Bolt RFQ Proposal_Foxlink_ (Pricing Summary) 2 25 2011" xfId="15530"/>
    <cellStyle name="好_River EE BOM_Creak Pearl Reliability Fixture RFQ_2009 04 24_Creek RFQ feedback 04_28_2009_FD Update_Leopard RFQ ME BOM Costs-0618-2_Bolt RFQ_Foxlink_03.1 2011_nego meeting@MACH 3 3" xfId="15531"/>
    <cellStyle name="好_Creek Assembly Fixture  Test Equipment RFQ_20090427_Leopard_UniBOM_ME_0602_Bolt RFQ_Foxlink_03.1 2011_nego meeting@MACH 5" xfId="15532"/>
    <cellStyle name="_PL Forecast Comparison_Mech Doumen2006_1(preliminary)_PL Forecast by segment-most final 0806_Copy of Tom OS ( Oct) new for LOG_X-BOX Console line setup budget and Buyer list" xfId="15533"/>
    <cellStyle name="Normal 9 4" xfId="15534"/>
    <cellStyle name="_PL Forecast Comparison_Mech Doumen2006_1(preliminary)_PL Forecast by segment-most final 0806_Copy of X-BOX for line setup budget" xfId="15535"/>
    <cellStyle name="_PL Forecast Comparison_Mech Doumen2006_1(preliminary)_PL Forecast by segment-most final 0806_Forecast Template v4" xfId="15536"/>
    <cellStyle name="好_River EE BOM_Xl0000000_Squirrel UniBom-06.23.2010_update_internal 2" xfId="15537"/>
    <cellStyle name="_PL Forecast Comparison_Mech Doumen2006_1(preliminary)_PL Forecast by segment-most final 0806_Tom OS ( Oct)" xfId="15538"/>
    <cellStyle name="_PL Forecast Comparison_Mech Doumen2006_1(preliminary)_PL Forecast by segment-most final 0806_Tom OS ( Oct)_2009 xBOX ramp up budget code applicaiton 300K --New May26 (3)" xfId="15539"/>
    <cellStyle name="_PL Forecast Comparison_Mech Doumen2006_1(preliminary)_PL Forecast by segment-most final 0806_Tom OS ( Oct)_Budget GC Other Form" xfId="15540"/>
    <cellStyle name="_PL Forecast Comparison_Mech Doumen2006_1(preliminary)_PL Forecast by segment-most final 0806_Tom OS ( Oct)_Copy of X-BOX for line setup budget" xfId="15541"/>
    <cellStyle name="_PL Forecast Comparison_Mech Doumen2006_1(preliminary)_PL Forecast by segment-most final 0806_Tom OS ( Oct)_Forecast Template v4" xfId="15542"/>
    <cellStyle name="差_效益分析&amp;產能評估" xfId="15543"/>
    <cellStyle name="_PL Forecast Comparison_Mech Doumen2006_1(preliminary)_PL Forecast by segment-most final 0806_Tom OS ( Oct)_X-BOX BB" xfId="15544"/>
    <cellStyle name="_PL Forecast Comparison_Mech Doumen2006_1(preliminary)_PL Forecast by segment-most final 0806_Tom OS ( Oct)_X-BOX Console line setup budget 20080414" xfId="15545"/>
    <cellStyle name="好_Creek Assembly Fixture  Test Equipment RFQ_20090427_Squirrel UniBom-06.23.2010_update_internal_Bolt RFQ_Foxlink_03.1 2011 3 3" xfId="15546"/>
    <cellStyle name="_PL Forecast Comparison_Mech Doumen2006_1(preliminary)_PL Forecast by segment-most final 0806_Tom OS ( Oct)_X-BOX Console line setup budget and Buyer list" xfId="15547"/>
    <cellStyle name="Bad 13" xfId="15548"/>
    <cellStyle name="_PL Forecast Comparison_Mech Doumen2006_1(preliminary)_PL Forecast by segment-most final 0806_X-BOX BB" xfId="15549"/>
    <cellStyle name="差_jupite r設備&amp;治工具LIST (總)_~8644671_Jackson 效益分析 (2-1 B0 上系統)_Leopard Flowchart &amp; 產能評估" xfId="15550"/>
    <cellStyle name="_PL Forecast Comparison_Mech Doumen2006_1(preliminary)_PL Forecast by segment-most final 0806_X-BOX Console line setup budget 20080414" xfId="15551"/>
    <cellStyle name="_PL Forecast Comparison_Mech Doumen2006_1(preliminary)_PL Forecast by segment-most final 0806_X-BOX Console line setup budget and Buyer list" xfId="15552"/>
    <cellStyle name="_PL Forecast Comparison_Mech Doumen2006_1(preliminary)_Tom OS ( Oct)_2009 xBOX ramp up budget code applicaiton" xfId="15553"/>
    <cellStyle name="_PL Forecast Comparison_Mech Doumen2006_1(preliminary)_Tom OS ( Oct)_2009 xBOX ramp up budget code applicaiton 300K --New May26 (3)" xfId="15554"/>
    <cellStyle name="Comma 14" xfId="15555"/>
    <cellStyle name="_PL Forecast Comparison_Mech Doumen2006_1(preliminary)_Tom OS ( Oct)_2009 xBOX ramp up budget code applicaiton 300K --New May27" xfId="15556"/>
    <cellStyle name="_PL Forecast Comparison_Mech Doumen2006_1(preliminary)_Tom OS ( Oct)_Budget GC Other Form" xfId="15557"/>
    <cellStyle name="_PL Forecast Comparison_Mech Doumen2006_1(preliminary)_Tom OS ( Oct)_Copy of X-BOX for line setup budget" xfId="15558"/>
    <cellStyle name="好_Creek Assembly Fixture  Test Equipment RFQ_20090427_Xl0000002_Squirrel UniBom-06.23.2010_update_internal_Bolt RFQ_Foxlink_03.1 2011_nego meeting@MACH 3 2" xfId="15559"/>
    <cellStyle name="差_jupite r設備&amp;治工具LIST (總)_Flow Chart&amp;PQ分析(12-1)_Flow chart and Fixture(Jackson)_A1_Jackson 效益分析 (2-1 B0 上系統)_Leopard Flowchart &amp; 產能評估" xfId="15560"/>
    <cellStyle name="_PL Forecast Comparison_Mech Doumen2006_1(preliminary)_Tom OS ( Oct)_Forecast Template v4" xfId="15561"/>
    <cellStyle name="好_River EE BOM_Creak Pearl Reliability Fixture RFQ_2009 04 24_Xl0000002_Bolt RFQ Proposal_Foxlink_ (Pricing Summary) 2 25 2011 2 2" xfId="15562"/>
    <cellStyle name="_PL Forecast Comparison_Mech Doumen2006_1(preliminary)_Tom OS ( Oct)_X-BOX BB" xfId="15563"/>
    <cellStyle name="差_Creek RFQ feedback 04_28_2009_FD Update_Leopard_UniBOM_ME_0602 2 4" xfId="15564"/>
    <cellStyle name="好_Creek EE BOM cost_20090425_Creek RFQ feedback 04_28_2009_FD Update_Leopard Lemur Squirrel UniBom-06.22.2010_EE cost _update_internal_Bolt RFQ Proposal_Foxlink_ (Pricing Summary) 2 25 2011 4 3" xfId="15565"/>
    <cellStyle name="_PL Forecast Comparison_Mech Doumen2006_1(preliminary)_Tom OS ( Oct)_X-BOX Console line setup budget 20080414" xfId="15566"/>
    <cellStyle name="_Sales Breakdown Analysis 3_PL Fcst Jul 06-updated G&amp;A Value_Tom OS ( Oct)_2009 xBOX ramp up budget code applicaiton" xfId="15567"/>
    <cellStyle name="好_Creek EE BOM cost_20090425_Creek RFQ feedback 04_28_2009_FD Update_Foxlink_Shadow RFQ NREUni BOM_12032009 2 2 3" xfId="15568"/>
    <cellStyle name="_PL Forecast Comparison_Mech Doumen2006_1(preliminary)_Tom OS ( Oct)_X-BOX Console line setup budget and Buyer list" xfId="15569"/>
    <cellStyle name="差_HP Mouse 產能評估(Forecast更改後)_M1 Squirrel Capacity planFixtureEquipment Cost_A2_06192010_Leopard UniBom_Foxlink_12092010 RevD-jen" xfId="15570"/>
    <cellStyle name="_PL Forecast Comparison_Mech Doumen2006_1(preliminary)_Volume Fcst 1006 updated" xfId="15571"/>
    <cellStyle name="_PL Forecast Comparison_Mech Doumen2006_1(preliminary)_Volume Fcst 1006 updated_2009 xBOX ramp up budget code applicaiton 300K --New May26 (3)" xfId="15572"/>
    <cellStyle name="好_Creek Assembly Fixture  Test Equipment RFQ_20090427_Xl0000002_Leopard UniBom_Foxlink_6 21 2010-ME_nego_Bolt RFQ Proposal_Foxlink_ (Pricing Summary) 2 25 2011 6" xfId="15573"/>
    <cellStyle name="_PL Forecast Comparison_Mech Doumen2006_1(preliminary)_Volume Fcst 1006 updated_Copy of Tom OS ( Oct) new for LOG" xfId="15574"/>
    <cellStyle name="_PL Forecast Comparison_Mech Doumen2006_1(preliminary)_Volume Fcst 1006 updated_Copy of Tom OS ( Oct) new for LOG_2009 xBOX ramp up budget code applicaiton" xfId="15575"/>
    <cellStyle name="差_Creak Pearl Reliability Fixture RFQ_2009 04 24_Creek  Pearl RFQ_May 12_Leopard_UniBOM_ME_0603-2_Bolt RFQ_Foxlink_03.1 2011 5" xfId="15576"/>
    <cellStyle name="_PL Forecast Comparison_Mech Doumen2006_1(preliminary)_Volume Fcst 1006 updated_Copy of Tom OS ( Oct) new for LOG_Forecast Template v4" xfId="15577"/>
    <cellStyle name="差_F3   SMT設備明細_M1 SuedeFixtureEquipment Cost_A0_2010_10_15_Bolt RFQ_Foxlink_03.1 2011_nego meeting@MACH 2 3" xfId="15578"/>
    <cellStyle name="好_River EE BOM_Creak Pearl Reliability Fixture RFQ_2009 04 24_Pearl RFQ(Submittal)ver2_05_12_2009 _Leopard RFQ ME BOM Costs-0618 2 2" xfId="15579"/>
    <cellStyle name="_PL Forecast Comparison_Mech Doumen2006_1(preliminary)_Volume Fcst 1006 updated_Copy of X-BOX for line setup budget" xfId="15580"/>
    <cellStyle name="好_River EE BOM_Creak Pearl Reliability Fixture RFQ_2009 04 24_Leopard_UniBOM_ME_0602-1_Bolt RFQ Proposal_Foxlink_ (Pricing Summary) 2 25 2011 5" xfId="15581"/>
    <cellStyle name="_PL Forecast Comparison_Mech Doumen2006_1(preliminary)_Volume Fcst 1006 updated_Tom OS ( Oct)" xfId="15582"/>
    <cellStyle name="壞_Creek EE BOM cost_20090425_Creek RFQ feedback 04_28_2009_FD Update_Squirrel RFQ ME BOM Costs-0623 3" xfId="15583"/>
    <cellStyle name="_PL Forecast Comparison_Mech Doumen2006_1(preliminary)_Volume Fcst 1006 updated_Tom OS ( Oct)_2009 xBOX ramp up budget code applicaiton" xfId="15584"/>
    <cellStyle name="_PL Forecast Comparison_Mech Doumen2006_1(preliminary)_Volume Fcst 1006 updated_Tom OS ( Oct)_2009 xBOX ramp up budget code applicaiton 300K --New May26 (3)" xfId="15585"/>
    <cellStyle name="_PL Forecast Comparison_Mech Doumen2006_1(preliminary)_Volume Fcst 1006 updated_Tom OS ( Oct)_2009 xBOX ramp up budget code applicaiton 300K --New May27" xfId="15586"/>
    <cellStyle name="差_F3   SMT設備明細_jupite r設備&amp;治工具LIST (總)_flow chart 2009.12.12_Leopard Flowchart &amp; 產能評估" xfId="15587"/>
    <cellStyle name="_PL Forecast Comparison_Mech Doumen2006_1(preliminary)_Volume Fcst 1006 updated_Tom OS ( Oct)_Budget GC Other Form" xfId="15588"/>
    <cellStyle name="_PL Forecast Comparison_Mech Doumen2006_1(preliminary)_Volume Fcst 1006 updated_Tom OS ( Oct)_X-BOX BB" xfId="15589"/>
    <cellStyle name="好_River EE BOM_Creak Pearl Reliability Fixture RFQ_2009 04 24_Xl0000002_Bolt RFQ Proposal_Foxlink_ (Pricing Summary) 2 25 2011" xfId="15590"/>
    <cellStyle name="_PL Forecast Comparison_Mech Doumen2006_1(preliminary)_Volume Fcst 1006 updated_Tom OS ( Oct)_X-BOX Console line setup budget 20080414" xfId="15591"/>
    <cellStyle name="_Sales Forecast (plastic XX)0703_Volume Fcst Jul 06-update HP _Copy of X-BOX for line setup budget" xfId="15592"/>
    <cellStyle name="_Sales Forecast (plastic XX)1203_Volume Fcst Jul 06-update HP _Copy of X-BOX for line setup budget" xfId="15593"/>
    <cellStyle name="_PL Forecast Comparison_Mech Doumen2006_1(preliminary)_Volume Fcst 1006 updated_Tom OS ( Oct)_X-BOX Console line setup budget and Buyer list" xfId="15594"/>
    <cellStyle name="差_Creak Pearl Reliability Fixture RFQ_2009 04 24_Pearl RFQ(Submittal)ver2_05_12_2009 _Foxlink_Shadow RFQ NREUni BOM_12032009_Bolt RFQ_Foxlink_03.1 2011 2 3" xfId="15595"/>
    <cellStyle name="20% - Accent4 2 6" xfId="15596"/>
    <cellStyle name="_PL Forecast Comparison_Mech Doumen2006_1(preliminary)_Volume Fcst 1006 updated_X-BOX Console line setup budget 20080414" xfId="15597"/>
    <cellStyle name="好_River EE BOM_Creek RFQ feedback 04_28_2009_FD Update_Bolt RFQ Proposal_Foxlink_ (Pricing Summary) 2 25 2011 2 3" xfId="15598"/>
    <cellStyle name="_PL Forecast Comparison_Mech Doumen2006_1(preliminary)_Volume Fcst 1006 updated_X-BOX Console line setup budget and Buyer list" xfId="15599"/>
    <cellStyle name="_PL Forecast Comparison_Mech Doumen2006_1(preliminary)_Volume Fcst Jul 06-update HP " xfId="15600"/>
    <cellStyle name="_PL Forecast Comparison_Mech Doumen2006_1(preliminary)_Volume Fcst Jul 06-update HP _2009 xBOX ramp up budget code applicaiton" xfId="15601"/>
    <cellStyle name="_PL Forecast Comparison_Mech Doumen2006_1(preliminary)_Volume Fcst Jul 06-update HP _Copy of Tom OS ( Oct) new for LOG" xfId="15602"/>
    <cellStyle name="_PL Forecast Comparison_Mech Doumen2006_1(preliminary)_Volume Fcst Jul 06-update HP _Copy of Tom OS ( Oct) new for LOG_2009 xBOX ramp up budget code applicaiton" xfId="15603"/>
    <cellStyle name="_PL Forecast Comparison_Mech Doumen2006_1(preliminary)_Volume Fcst Jul 06-update HP _Copy of Tom OS ( Oct) new for LOG_2009 xBOX ramp up budget code applicaiton 300K --New May26 (3)" xfId="15604"/>
    <cellStyle name="_PL Forecast Comparison_Mech Doumen2006_1(preliminary)_Volume Fcst Jul 06-update HP _Copy of Tom OS ( Oct) new for LOG_Budget GC Other Form" xfId="15605"/>
    <cellStyle name="_PL Forecast Comparison_Mech Doumen2006_1(preliminary)_Volume Fcst Jul 06-update HP _Copy of Tom OS ( Oct) new for LOG_Forecast Template v4" xfId="15606"/>
    <cellStyle name="差_Creak Pearl Reliability Fixture RFQ_2009 04 24_Creek RFQ feedback 04_28_2009_FD Update_Leopard_UniBOM_ME_0602-1_Bolt RFQ_Foxlink_03.1 2011_nego meeting@MACH 2 2" xfId="15607"/>
    <cellStyle name="差_HP Mouse 產能評估(上系統)_MS Bolt wireless mouse FixtureEquipment Cost_A5_2010_02_21_Bolt RFQ Proposal_Foxlink_ (Pricing Summary) 2 25 2011 4 2" xfId="15608"/>
    <cellStyle name="_PL Forecast Comparison_Mech Doumen2006_1(preliminary)_Volume Fcst Jul 06-update HP _Copy of Tom OS ( Oct) new for LOG_X-BOX BB" xfId="15609"/>
    <cellStyle name="_PL Forecast Comparison_Mech Doumen2006_1(preliminary)_Volume Fcst Jul 06-update HP _Internal Hourly Rate Q1 FY08 Version 06052007 Draft" xfId="15610"/>
    <cellStyle name="好_River EE BOM_Creak Pearl Reliability Fixture RFQ_2009 04 24_Creek RFQ feedback 04_28_2009_FD Update_Leopard Lemur Squirrel UniBom-06.22.2010_EE cost _update_internal_Bolt RFQ_Foxlink_03.1 2011_nego meeting@MACH 3 3" xfId="15611"/>
    <cellStyle name="_PL Forecast Comparison_Mech Doumen2006_1(preliminary)_Volume Fcst Jul 06-update HP _Internal Hourly Rate Q1 FY08 Version 06142007 excl. Corporate Allocation" xfId="15612"/>
    <cellStyle name="好_River EE BOM_Creak Pearl Reliability Fixture RFQ_2009 04 24_Creek RFQ feedback 04_28_2009_FD Update_Foxlink_Shadow RFQ NREUni BOM_12032009 2" xfId="15613"/>
    <cellStyle name="_Project A ToolingFixture List 091202_Nazca copy exact flow chart 2012313" xfId="15614"/>
    <cellStyle name="_PL Forecast Comparison_Mech Doumen2006_1(preliminary)_Volume Fcst Jul 06-update HP _Tom OS ( Oct)" xfId="15615"/>
    <cellStyle name="好_Creek Assembly Fixture  Test Equipment RFQ_20090427_Leopard RFQ ME BOM Costs-0618-2_Bolt RFQ_Foxlink_03.1 2011_Bolt_Cliff 3 3" xfId="15616"/>
    <cellStyle name="好_River EE BOM_Creak Pearl Reliability Fixture RFQ_2009 04 24_Pearl RFQ(Submittal)ver2_05_12_2009 _Squirrel UniBom-06.23.2010_update_internal_Bolt RFQ_Foxlink_03.1 2011 3" xfId="15617"/>
    <cellStyle name="差_F3   SMT設備明細_jupite r設備&amp;治工具LIST (總)_Dallas flow chart&amp;設備&amp;治工具清單(12-8 A0)_Jackson 效益分析 (2-1 B0 上系統)_Leopard Flowchart &amp; 產能評估" xfId="15618"/>
    <cellStyle name="_PL Forecast Comparison_Mech Doumen2006_1(preliminary)_Volume Fcst Jul 06-update HP _Tom OS ( Oct)_2009 xBOX ramp up budget code applicaiton" xfId="15619"/>
    <cellStyle name="Normal 18 4 2" xfId="15620"/>
    <cellStyle name="Normal 23 4 2" xfId="15621"/>
    <cellStyle name="差_F3   SMT設備明細_jupite r設備&amp;治工具LIST (總)_pq_效益分析(總 12-28 Update)_Leopard Flowchart &amp; 產能評估" xfId="15622"/>
    <cellStyle name="好_River EE BOM_Creak Pearl Reliability Fixture RFQ_2009 04 24_Pearl RFQ(Submittal)ver2_05_12_2009 _Leopard_UniBOM_ME_0531_Bolt RFQ Proposal_Foxlink_ (Pricing Summary) 2 25 2011 5 2" xfId="15623"/>
    <cellStyle name="_PL Forecast Comparison_Mech Doumen2006_1(preliminary)_Volume Fcst Jul 06-update HP _Tom OS ( Oct)_2009 xBOX ramp up budget code applicaiton 300K --New May26 (3)" xfId="15624"/>
    <cellStyle name="_PPV ALLOCATION-Nov04_Gutenberg Development Pricing_Erie  Mouse RFQ Pricing IE 2" xfId="15625"/>
    <cellStyle name="_PL Forecast Comparison_Mech Doumen2006_1(preliminary)_Volume Fcst Jul 06-update HP _Tom OS ( Oct)_2009 xBOX ramp up budget code applicaiton 300K --New May27" xfId="15626"/>
    <cellStyle name="好_Creek Assembly Fixture  Test Equipment RFQ_20090427_Leopard_UniBOM_ME_0602-1_Bolt RFQ_Foxlink_03.1 2011_Bolt_Cliff 5 2" xfId="15627"/>
    <cellStyle name="Calculation 5 2 2" xfId="15628"/>
    <cellStyle name="_PL Forecast Comparison_Mech Doumen2006_1(preliminary)_Volume Fcst Jul 06-update HP _Tom OS ( Oct)_Budget GC Other Form" xfId="15629"/>
    <cellStyle name="_PL Forecast Comparison_Mech Doumen2006_1(preliminary)_Volume Fcst Jul 06-update HP _Tom OS ( Oct)_Copy of X-BOX for line setup budget" xfId="15630"/>
    <cellStyle name="_PL Forecast Comparison_Mech Doumen2006_1(preliminary)_Volume Fcst Jul 06-update HP _Tom OS ( Oct)_Forecast Template v4" xfId="15631"/>
    <cellStyle name="_PL Forecast Comparison_Mech Doumen2006_1(preliminary)_Volume Fcst Jul 06-update HP _Tom OS ( Oct)_X-BOX Console line setup budget 20080414" xfId="15632"/>
    <cellStyle name="_PL Forecast Comparison_Mech Doumen2006_1(preliminary)_Volume Fcst Jul 06-update HP _Tom OS ( Oct)_X-BOX Console line setup budget and Buyer list" xfId="15633"/>
    <cellStyle name="_PL Forecast Comparison_Mech Doumen2006_1(preliminary)_Volume Fcst Jul 06-update HP _X-BOX BB" xfId="15634"/>
    <cellStyle name="_PL Forecast Comparison_Mech Doumen2006_1(preliminary)_Volume Fcst Jul 06-update HP _X-BOX Console line setup budget 20080414" xfId="15635"/>
    <cellStyle name="_PL Forecast Comparison_Mech Doumen2006_1(preliminary)_Volume Fcst Jul 06-update HP _X-BOX Console line setup budget and Buyer list" xfId="15636"/>
    <cellStyle name="好_River EE BOM_Creak Pearl Reliability Fixture RFQ_2009 04 24_Xl0000002_Leopard UniBom_Foxlink_12092010 RevD-jen" xfId="15637"/>
    <cellStyle name="_PL Forecast Comparison_Mech Doumen2006_1(preliminary)_X-BOX BB" xfId="15638"/>
    <cellStyle name="_PL Forecast Comparison_Mech Doumen2006_1(preliminary)_X-BOX Console line setup budget 20080414" xfId="15639"/>
    <cellStyle name="差_Flow chart and Fixture(Jackson)_A1_Jackson 效益分析 (2-1 B0 上系統)_Leopard效益分析08-17" xfId="15640"/>
    <cellStyle name="_PL Forecast Comparison_Mech Doumen2006_1(preliminary)_X-BOX Console line setup budget and Buyer list" xfId="15641"/>
    <cellStyle name="_PL FORECAST OF SEP,06" xfId="15642"/>
    <cellStyle name="_PL FORECAST OF SEP,06_2009 xBOX ramp up budget code applicaiton" xfId="15643"/>
    <cellStyle name="_PL FORECAST OF SEP,06_2009 xBOX ramp up budget code applicaiton 300K --New May26 (3)" xfId="15644"/>
    <cellStyle name="_PL FORECAST OF SEP,06_2009 xBOX ramp up budget code applicaiton 300K --New May27" xfId="15645"/>
    <cellStyle name="_PL FORECAST OF SEP,06_Budget GC Other Form" xfId="15646"/>
    <cellStyle name="_PL FORECAST OF SEP,06_Copy of Tom OS ( Oct) new for LOG" xfId="15647"/>
    <cellStyle name="_PL FORECAST OF SEP,06_Copy of Tom OS ( Oct) new for LOG_2009 xBOX ramp up budget code applicaiton" xfId="15648"/>
    <cellStyle name="好_Creek Assembly Fixture  Test Equipment RFQ_20090427_Leopard_UniBOM_ME_0531_Bolt RFQ Proposal_Foxlink_ (Pricing Summary) 2 25 2011 4" xfId="15649"/>
    <cellStyle name="_PL FORECAST OF SEP,06_Copy of Tom OS ( Oct) new for LOG_2009 xBOX ramp up budget code applicaiton 300K --New May26 (3)" xfId="15650"/>
    <cellStyle name="_PL FORECAST OF SEP,06_Copy of Tom OS ( Oct) new for LOG_2009 xBOX ramp up budget code applicaiton 300K --New May27" xfId="15651"/>
    <cellStyle name="_PL FORECAST OF SEP,06_Copy of Tom OS ( Oct) new for LOG_Copy of X-BOX for line setup budget" xfId="15652"/>
    <cellStyle name="_PL FORECAST OF SEP,06_Copy of Tom OS ( Oct) new for LOG_Forecast Template v4" xfId="15653"/>
    <cellStyle name="差_jupite r設備&amp;治工具LIST (總)_Flow Chart&amp;PQ分析(12-1)_Jackson 效益分析 (2-1 B0 上系統)_squirrel效益分析08-17" xfId="15654"/>
    <cellStyle name="好_River EE BOM_Creek RFQ feedback 04_28_2009_FD Update_Leopard_UniBOM_ME_0602-1_Bolt RFQ_Foxlink_03.1 2011_nego meeting@MACH 4" xfId="15655"/>
    <cellStyle name="_PL FORECAST OF SEP,06_Copy of Tom OS ( Oct) new for LOG_X-BOX BB" xfId="15656"/>
    <cellStyle name="差_HP Mouse 產能評估(Forecast更改後)_MS Bolt wireless mouse FixtureEquipment Cost_A5_2010_02_21_Bolt RFQ Proposal_Foxlink_ (Pricing Summary) 2 25 2011 3 2" xfId="15657"/>
    <cellStyle name="_PL FORECAST OF SEP,06_Copy of Tom OS ( Oct) new for LOG_X-BOX Console line setup budget 20080414" xfId="15658"/>
    <cellStyle name="_PL FORECAST OF SEP,06_Copy of X-BOX for line setup budget" xfId="15659"/>
    <cellStyle name="_PL FORECAST OF SEP,06_Tom OS ( Oct)" xfId="15660"/>
    <cellStyle name="_PL FORECAST OF SEP,06_Tom OS ( Oct)_2009 xBOX ramp up budget code applicaiton" xfId="15661"/>
    <cellStyle name="差_Creek RFQ feedback 04_28_2009_FD Update_Leopard_UniBOM_ME_0531_Bolt RFQ Proposal_Foxlink_ (Pricing Summary) 2 25 2011 2" xfId="15662"/>
    <cellStyle name="差_Creek RFQ feedback 04_28_2009_FD Update_Foxlink_Shadow RFQ NREUni BOM_12032009_Bolt RFQ Proposal_Foxlink_ (Pricing Summary) 2 25 2011 3" xfId="15663"/>
    <cellStyle name="_PL FORECAST OF SEP,06_Tom OS ( Oct)_2009 xBOX ramp up budget code applicaiton 300K --New May26 (3)" xfId="15664"/>
    <cellStyle name="差_F3   SMT設備明細_效益分析_Dallas flow chart&amp;設備&amp;治工具清單(12-8 A0)_效益分析(總 12-28 Update)_Leopard Flowchart &amp; 產能評估" xfId="15665"/>
    <cellStyle name="_PL FORECAST OF SEP,06_Tom OS ( Oct)_Copy of X-BOX for line setup budget" xfId="15666"/>
    <cellStyle name="差_Creek RFQ feedback 04_28_2009_FD Update_Squirrel UniBom-06 23 2010_update_internal" xfId="15667"/>
    <cellStyle name="_PL FORECAST OF SEP,06_Tom OS ( Oct)_Forecast Template v4" xfId="15668"/>
    <cellStyle name="_PL FORECAST OF SEP,06_Tom OS ( Oct)_X-BOX BB" xfId="15669"/>
    <cellStyle name="差_Creek RFQ feedback 04_28_2009_FD Update_Squirrel UniBom-06.23.2010_update_internal 3" xfId="15670"/>
    <cellStyle name="好_River EE BOM_Creak Pearl Reliability Fixture RFQ_2009 04 24_Pearl RFQ(Submittal)ver2_05_12_2009 _Leopard Lemur Squirrel UniBom-06.22.2010_EE cost _update_internal_Bolt RFQ_Foxlink_03.1 2011_nego meeting@MACH 2 2" xfId="15671"/>
    <cellStyle name="_PL FORECAST OF SEP,06_Tom OS ( Oct)_X-BOX Console line setup budget 20080414" xfId="15672"/>
    <cellStyle name="差_Creak Pearl Reliability Fixture RFQ_2009 04 24_Xl0000002_Squirrel UniBom-06.23.2010_update_internal_Bolt RFQ Proposal_Foxlink_ (Pricing Summary) 2 25 2011 4 2" xfId="15673"/>
    <cellStyle name="_PL FORECAST OF SEP,06_Tom OS ( Oct)_X-BOX Console line setup budget and Buyer list" xfId="15674"/>
    <cellStyle name="好_Creek Assembly Fixture  Test Equipment RFQ_20090427_Xl0000002_Leopard Lemur Squirrel UniBom-06.22.2010_EE cost _update_internal_Bolt RFQ_Foxlink_03.1 2011_nego meeting@MACH 2 2" xfId="15675"/>
    <cellStyle name="_PL FORECAST OF SEP,06_X-BOX BB" xfId="15676"/>
    <cellStyle name="一般 8" xfId="15677"/>
    <cellStyle name="Normal 49 2 4" xfId="15678"/>
    <cellStyle name="Normal 54 2 4" xfId="15679"/>
    <cellStyle name="_PL FORECAST OF SEP,06_X-BOX Console line setup budget 20080414" xfId="15680"/>
    <cellStyle name="_Plan" xfId="15681"/>
    <cellStyle name="_Plantronics_Rainier_Dev Pricing_Apr.16" xfId="15682"/>
    <cellStyle name="壞_Creek Assembly Fixture  Test Equipment RFQ_20090427_Xl0000002_Leopard RFQ ME BOM Costs-0618 3 3" xfId="15683"/>
    <cellStyle name="_Plantronics_Rainier_Dev Pricing_Apr.16 2" xfId="15684"/>
    <cellStyle name="_Plantronics_Rainier_Dev Pricing_Apr.16_Internal RFQ River Standalone  Bundle Unibom_v1 2_20080603_EJ" xfId="15685"/>
    <cellStyle name="差_Creak Pearl Reliability Fixture RFQ_2009 04 24_Creek RFQ feedback 04_28_2009_FD Update_Bolt RFQ Proposal_Foxlink_ (Pricing Summary) 2 25 2011 5" xfId="15686"/>
    <cellStyle name="壞_Creek Assembly Fixture  Test Equipment RFQ_20090427_Leopard RFQ ME BOM Costs-0618-2_Bolt RFQ Proposal_Foxlink_ (Pricing Summary) 2 25 2011 4" xfId="15687"/>
    <cellStyle name="差_Creak Pearl Reliability Fixture RFQ_2009 04 24_Creek  Pearl RFQ_May 12_Leopard_UniBOM_ME_0531_Bolt RFQ Proposal_Foxlink_ (Pricing Summary) 2 25 2011" xfId="15688"/>
    <cellStyle name="_Plantronics_Rainier_Dev Pricing_Apr.16_Internal RFQ River Standalone  Bundle Unibom_v1 2_20080603_EJ_Stream Package Quotation_20090311" xfId="15689"/>
    <cellStyle name="_Plantronics_Rainier_Dev Pricing_Apr.16_Internal RFQ River Standalone  Bundle Unibom_v1 2_20080603_EJ_Stream Quotebook (Submittal)_POC2_20081117-1" xfId="15690"/>
    <cellStyle name="_Plantronics_Rainier_Dev Pricing_Apr.16_Internal RFQ River Standalone  Bundle Unibom_v1 2_20080603_EJ_Stream Quotebook(Submittal)_POC1_20080903" xfId="15691"/>
    <cellStyle name="_Plantronics_Rainier_Dev Pricing_Apr.16_Internal RFQ River Standalone  Bundle Unibom_v1 2_20080603_EJ_Stream Quotebook(Submittal)_POC1_20080903 2" xfId="15692"/>
    <cellStyle name="差_Creak Pearl Reliability Fixture RFQ_2009 04 24_Leopard_UniBOM_ME_0602 2" xfId="15693"/>
    <cellStyle name="好_Creek Assembly Fixture  Test Equipment RFQ_20090427_Xl0000002_Bolt RFQ Proposal_Foxlink_ (Pricing Summary) 2 25 2011 2" xfId="15694"/>
    <cellStyle name="_Plantronics_Rainier_Dev Pricing_Apr.16_RFQ_River_BAFO_2008 0606_M1" xfId="15695"/>
    <cellStyle name="差_Creak Pearl Reliability Fixture RFQ_2009 04 24_Leopard_UniBOM_ME_0602 2 2" xfId="15696"/>
    <cellStyle name="好_Creek Assembly Fixture  Test Equipment RFQ_20090427_Xl0000002_Bolt RFQ Proposal_Foxlink_ (Pricing Summary) 2 25 2011 2 2" xfId="15697"/>
    <cellStyle name="_Plantronics_Rainier_Dev Pricing_Apr.16_RFQ_River_BAFO_2008 0606_M1 2" xfId="15698"/>
    <cellStyle name="好_Creek EE BOM cost_20090425_Creek RFQ feedback 04_28_2009_FD Update_Leopard UniBom_Foxlink_6 21 2010-ME_nego_Bolt RFQ Proposal_Foxlink_ (Pricing Summary) 2 25 2011" xfId="15699"/>
    <cellStyle name="_Plantronics_Rainier_Dev Pricing_Apr.16_RFQ_River_BAFO_2008 0606_M1_Stream Quotebook (Submittal)_POC2_20081117-1" xfId="15700"/>
    <cellStyle name="_Plantronics_Rainier_Dev Pricing_Apr.16_RFQ_River_BAFO_2008 0606_M1_Stream Quotebook(Submittal)_POC1_20080903" xfId="15701"/>
    <cellStyle name="_Plantronics_Rainier_Dev Pricing_Apr.16_RFQ_River_BAFO_2008 0606_M1_Stream Quotebook(Submittal)_POC1_20080903 2" xfId="15702"/>
    <cellStyle name="差_Creek RFQ feedback 04_28_2009_FD Update_Leopard Lemur Squirrel UniBom-06.22.2010_EE cost _update_internal_Bolt RFQ Proposal_Foxlink_ (Pricing Summary) 2 25 2011 2" xfId="15703"/>
    <cellStyle name="_Plantronics_Rainier_Dev Pricing_Apr.16_Stream RFQ Unibom--0626-1756 2" xfId="15704"/>
    <cellStyle name="差_MB9月管審換線超時8d_2009MB KPI_MBO3F製造部hp0209-01 2" xfId="15705"/>
    <cellStyle name="_Plantronics_Rainier_Dev Pricing_Apr.16_Stream RFQ Unibom--0626-1756_Stream Package Quotation_20090311" xfId="15706"/>
    <cellStyle name="_Plantronics_Rainier_Dev Pricing_Apr.16_Stream RFQ Unibom--0626-1756_Stream Quotebook (Submittal)_POC2_20081117-1" xfId="15707"/>
    <cellStyle name="好_River EE BOM_Foxlink_Shadow RFQ NREUni BOM_12032009_Leopard UniBom_Foxlink_12272010 RevF_shirley" xfId="15708"/>
    <cellStyle name="_Plantronics_Rainier_Dev Pricing_Apr.16_Stream RFQ Unibom--0626-1756_Stream Quotebook(Submittal)_POC1_20080903" xfId="15709"/>
    <cellStyle name="_plforecastsample" xfId="15710"/>
    <cellStyle name="_plforecastsample_2009 xBOX ramp up budget code applicaiton" xfId="15711"/>
    <cellStyle name="_plforecastsample_2009 xBOX ramp up budget code applicaiton 300K --New May26 (3)" xfId="15712"/>
    <cellStyle name="_plforecastsample_2009 xBOX ramp up budget code applicaiton 300K --New May27" xfId="15713"/>
    <cellStyle name="_plforecastsample_Budget GC Other Form" xfId="15714"/>
    <cellStyle name="_plforecastsample_Copy of X-BOX for line setup budget" xfId="15715"/>
    <cellStyle name="差_F3   SMT設備明細_jupite r設備&amp;治工具LIST (總)_Flow chart and Fixture(Jackson)_A1_Jackson 效益分析 (2-1 B0 上系統)" xfId="15716"/>
    <cellStyle name="好_River EE BOM_Creak Pearl Reliability Fixture RFQ_2009 04 24_Creek RFQ feedback 04_28_2009_FD Update_Squirrel RFQ ME BOM Costs-0623_Bolt RFQ Proposal_Foxlink_ (Pricing Summary) 2 25 2011 4 2" xfId="15717"/>
    <cellStyle name="_plforecastsample_Forecast Template v4" xfId="15718"/>
    <cellStyle name="_Quotebook_07SEP10 2" xfId="15719"/>
    <cellStyle name="_plforecastsample_X-BOX BB" xfId="15720"/>
    <cellStyle name="_plforecastsample_X-BOX Console line setup budget 20080414" xfId="15721"/>
    <cellStyle name="_plforecastsample_X-BOX Console line setup budget and Buyer list" xfId="15722"/>
    <cellStyle name="_Pluto BT Dongle Test Equipments" xfId="15723"/>
    <cellStyle name="好_River EE BOM_Creak Pearl Reliability Fixture RFQ_2009 04 24_Creek  Pearl RFQ_May 12_Squirrel RFQ ME BOM Costs-0623_Bolt RFQ Proposal_Foxlink_ (Pricing Summary) 2 25 2011" xfId="15724"/>
    <cellStyle name="_Pluto NRE-03032006" xfId="15725"/>
    <cellStyle name="好_River EE BOM_Creak Pearl Reliability Fixture RFQ_2009 04 24_Creek  Pearl RFQ_May 12_Squirrel RFQ ME BOM Costs-0623_Bolt RFQ Proposal_Foxlink_ (Pricing Summary) 2 25 2011 2" xfId="15726"/>
    <cellStyle name="_Pluto NRE-03032006 2" xfId="15727"/>
    <cellStyle name="差_Creak Pearl Reliability Fixture RFQ_2009 04 24_Squirrel RFQ ME BOM Costs-0623_Bolt RFQ_Foxlink_03.1 2011 5" xfId="15728"/>
    <cellStyle name="_Pluto NRE-03032006_Internal RFQ River Standalone  Bundle Unibom_v1 2_20080603_EJ" xfId="15729"/>
    <cellStyle name="差_Stream Package Quotation_20090311 3" xfId="15730"/>
    <cellStyle name="好_River EE BOM_Creak Pearl Reliability Fixture RFQ_2009 04 24_Foxlink_Shadow RFQ NREUni BOM_12032009_Bolt RFQ_Foxlink_03.1 2011 2 3" xfId="15731"/>
    <cellStyle name="_Pluto NRE-03032006_Internal RFQ River Standalone  Bundle Unibom_v1 2_20080603_EJ 2" xfId="15732"/>
    <cellStyle name="_Pluto NRE-03032006_Internal RFQ River Standalone  Bundle Unibom_v1 2_20080603_EJ_Stream Package Quotation_20090311" xfId="15733"/>
    <cellStyle name="_Pluto NRE-03032006_Internal RFQ River Standalone  Bundle Unibom_v1 2_20080603_EJ_Stream Quotebook(Submittal)_POC1_20080903" xfId="15734"/>
    <cellStyle name="差_Xl0000002_Bolt RFQ_Foxlink_03.1 2011_nego meeting@MACH 3" xfId="15735"/>
    <cellStyle name="_Pluto NRE-03032006_Internal RFQ River Standalone  Bundle Unibom_v1 2_20080603_EJ_Stream Quotebook(Submittal)_POC1_20080903 2" xfId="15736"/>
    <cellStyle name="_Pluto NRE-03032006_RFQ_River_BAFO_2008 0606_M1" xfId="15737"/>
    <cellStyle name="_Pluto NRE-03032006_RFQ_River_BAFO_2008 0606_M1_Stream Package Quotation_20090311" xfId="15738"/>
    <cellStyle name="差_Creak Pearl Reliability Fixture RFQ_2009 04 24_Creek RFQ feedback 04_28_2009_FD Update_Leopard Lemur Squirrel UniBom-06.22.2010_EE cost _update_internal 2 2" xfId="15739"/>
    <cellStyle name="_Pluto NRE-03032006_RFQ_River_BAFO_2008 0606_M1_Stream Quotebook (Submittal)_POC2_20081117-1" xfId="15740"/>
    <cellStyle name="好_River EE BOM_Xl0000000_Foxlink_Shadow RFQ NREUni BOM_12032009_Bolt RFQ_Foxlink_03.1 2011_nego meeting@MACH" xfId="15741"/>
    <cellStyle name="_Pluto NRE-03032006_RFQ_River_BAFO_2008 0606_M1_Stream Quotebook(Submittal)_POC1_20080903" xfId="15742"/>
    <cellStyle name="好_River EE BOM_Xl0000000_Foxlink_Shadow RFQ NREUni BOM_12032009_Bolt RFQ_Foxlink_03.1 2011_nego meeting@MACH 2" xfId="15743"/>
    <cellStyle name="好_Creek Assembly Fixture  Test Equipment RFQ_20090427_Xl0000002_Leopard_UniBOM_ME_0602 2 3" xfId="15744"/>
    <cellStyle name="_Pluto NRE-03032006_RFQ_River_BAFO_2008 0606_M1_Stream Quotebook(Submittal)_POC1_20080903 2" xfId="15745"/>
    <cellStyle name="差_Creak Pearl Reliability Fixture RFQ_2009 04 24_Pearl RFQ(Submittal)ver2_05_12_2009 _Leopard UniBom_Foxlink_6 21 2010-ME_nego 2 2 3" xfId="15746"/>
    <cellStyle name="_Pluto NRE-03032006_Stream RFQ Unibom--0626-1756" xfId="15747"/>
    <cellStyle name="_Pluto NRE-03032006_Stream RFQ Unibom--0626-1756 2" xfId="15748"/>
    <cellStyle name="差_Flow Chart&amp;設備治工具清單 _Leopard Flowchart &amp; 產能評估" xfId="15749"/>
    <cellStyle name="好_Creek EE BOM cost_20090425_Creek RFQ feedback 04_28_2009_FD Update_Squirrel UniBom-06.23.2010_update_internal_Bolt RFQ Proposal_Foxlink_ (Pricing Summary) 2 25 2011 6" xfId="15750"/>
    <cellStyle name="壞_Creek Assembly Fixture  Test Equipment RFQ_20090427_Xl0000002_Squirrel RFQ ME BOM Costs-0623_Bolt RFQ Proposal_Foxlink_ (Pricing Summary) 2 25 2011 4 3" xfId="15751"/>
    <cellStyle name="_Pluto NRE-03032006_Stream RFQ Unibom--0626-1756_Stream Quotebook (Submittal)_POC2_20081117-1" xfId="15752"/>
    <cellStyle name="Enter Units (1) 2 2" xfId="15753"/>
    <cellStyle name="差_Creak Pearl Reliability Fixture RFQ_2009 04 24_Creek RFQ feedback 04_28_2009_FD Update_Squirrel RFQ ME BOM Costs-0623 2 4" xfId="15754"/>
    <cellStyle name="_Pluto NRE-03032006_Stream RFQ Unibom--0626-1756_Stream Quotebook(Submittal)_POC1_20080903 2" xfId="15755"/>
    <cellStyle name="_Pluto Process Flow" xfId="15756"/>
    <cellStyle name="好_Creek EE BOM cost_20090425_Creek RFQ feedback 04_28_2009_FD Update_Foxlink_Shadow RFQ NREUni BOM_12032009_Bolt RFQ Proposal_Foxlink_ (Pricing Summary) 2 25 2011 4 3" xfId="15757"/>
    <cellStyle name="壞_Creek Assembly Fixture  Test Equipment RFQ_20090427_Xl0000002_Leopard_UniBOM_ME_0603-2" xfId="15758"/>
    <cellStyle name="_Pluto Test Equipments" xfId="15759"/>
    <cellStyle name="_Pluto Uni_BOM 01212006" xfId="15760"/>
    <cellStyle name="_PlutoProjectCOGS_MP_060726" xfId="15761"/>
    <cellStyle name="差_F3   SMT設備明細_Bolt RFQ Proposal_Foxlink_ (Pricing Summary) 2 25 2011 2 2 2" xfId="15762"/>
    <cellStyle name="差_Creak Pearl Reliability Fixture RFQ_2009 04 24_Leopard_UniBOM_ME_0602 3 3" xfId="15763"/>
    <cellStyle name="好_Creek Assembly Fixture  Test Equipment RFQ_20090427_Xl0000002_Bolt RFQ Proposal_Foxlink_ (Pricing Summary) 2 25 2011 3 3" xfId="15764"/>
    <cellStyle name="Comma 12" xfId="15765"/>
    <cellStyle name="_Plutto Uni_BOM 03012006" xfId="15766"/>
    <cellStyle name="_Plutto Uni_BOM 03012006 2" xfId="15767"/>
    <cellStyle name="壞_Creek Assembly Fixture  Test Equipment RFQ_20090427_Xl0000002_Leopard_UniBOM_ME_0602 3 3" xfId="15768"/>
    <cellStyle name="_Plutto Uni_BOM 03232006" xfId="15769"/>
    <cellStyle name="_Plutto Uni_BOM 04062006" xfId="15770"/>
    <cellStyle name="20% - Accent1 3 4" xfId="15771"/>
    <cellStyle name="_Plutto Uni_BOM 05072006 2" xfId="15772"/>
    <cellStyle name="_Plutto Uni_BOM 06192006" xfId="15773"/>
    <cellStyle name="好_River EE BOM_Creak Pearl Reliability Fixture RFQ_2009 04 24 2 3" xfId="15774"/>
    <cellStyle name="差_F3   SMT設備明細_效益分析_Dallas效益分析&amp;投資回收期 (12-2 A1)_Flow Chart&amp;設備治工具清單 _Jackson 效益分析 (2-1 B0 上系統)" xfId="15775"/>
    <cellStyle name="_Plutto Uni_BOM 06292006(Pasadena)" xfId="15776"/>
    <cellStyle name="_PMC 周報   HP MB 2006-6-6" xfId="15777"/>
    <cellStyle name="差_Creak Pearl Reliability Fixture RFQ_2009 04 24_Creek RFQ feedback 04_28_2009_FD Update_Leopard RFQ ME BOM Costs-0618_Bolt RFQ Proposal_Foxlink_ (Pricing Summary) 2 25 2011 2 4" xfId="15778"/>
    <cellStyle name="_PMP for Project A 20100121" xfId="15779"/>
    <cellStyle name="_PMPECN-3E078-A" xfId="15780"/>
    <cellStyle name="_Sales Breakdown Analysis 3_PL Fcst Jul 06-updated G&amp;A Value_Tom OS ( Oct)_X-BOX BB" xfId="15781"/>
    <cellStyle name="_Position Vacancy(DL) 2007-10-5 MBU" xfId="15782"/>
    <cellStyle name="_PPV ALLOCATION-Nov04" xfId="15783"/>
    <cellStyle name="_PPV ALLOCATION-Nov04 2" xfId="15784"/>
    <cellStyle name="差_Creak Pearl Reliability Fixture RFQ_2009 04 24_Pearl RFQ(Submittal)ver2_05_12_2009 _Leopard_UniBOM_ME_0602-1_Bolt RFQ_Foxlink_03.1 2011 5" xfId="15785"/>
    <cellStyle name="_PPV ALLOCATION-Nov04_Dawson_Dev Pricing" xfId="15786"/>
    <cellStyle name="_PPV ALLOCATION-Nov04_Dawson_Dev Pricing 2" xfId="15787"/>
    <cellStyle name="_PPV ALLOCATION-Nov04_Dawson_Dev Pricing_Internal RFQ River Standalone  Bundle Unibom_v1 2_20080603_EJ" xfId="15788"/>
    <cellStyle name="差_Creak Pearl Reliability Fixture RFQ_2009 04 24_Leopard_UniBOM_ME_0602_Bolt RFQ Proposal_Foxlink_ (Pricing Summary) 2 25 2011 2 4" xfId="15789"/>
    <cellStyle name="_PPV ALLOCATION-Nov04_Dawson_Dev Pricing_Internal RFQ River Standalone  Bundle Unibom_v1 2_20080603_EJ 2" xfId="15790"/>
    <cellStyle name="_PPV ALLOCATION-Nov04_Dawson_Dev Pricing_Internal RFQ River Standalone  Bundle Unibom_v1 2_20080603_EJ_Stream Package Quotation_20090311" xfId="15791"/>
    <cellStyle name="好_River EE BOM_Creak Pearl Reliability Fixture RFQ_2009 04 24_Pearl RFQ(Submittal)ver2_05_12_2009 _Leopard RFQ ME BOM Costs-0618_Bolt RFQ_Foxlink_03.1 2011_nego meeting@MACH 3" xfId="15792"/>
    <cellStyle name="_PPV ALLOCATION-Nov04_Dawson_Dev Pricing_Internal RFQ River Standalone  Bundle Unibom_v1 2_20080603_EJ_Stream Quotebook (Submittal)_POC2_20081117-1" xfId="15793"/>
    <cellStyle name="_PPV ALLOCATION-Nov04_Dawson_Dev Pricing_Internal RFQ River Standalone  Bundle Unibom_v1 2_20080603_EJ_Stream Quotebook(Submittal)_POC1_20080903" xfId="15794"/>
    <cellStyle name="_PPV ALLOCATION-Nov04_Dawson_Dev Pricing_Internal RFQ River Standalone  Bundle Unibom_v1 2_20080603_EJ_Stream Quotebook(Submittal)_POC1_20080903 2" xfId="15795"/>
    <cellStyle name="差_MB9月管審誤判超標 8D_HP 5 3" xfId="15796"/>
    <cellStyle name="_PPV ALLOCATION-Nov04_Dawson_Dev Pricing_RFQ_River_BAFO_2008 0606_M1" xfId="15797"/>
    <cellStyle name="_PPV ALLOCATION-Nov04_Dawson_Dev Pricing_RFQ_River_BAFO_2008 0606_M1 2" xfId="15798"/>
    <cellStyle name="好_River EE BOM_Creak Pearl Reliability Fixture RFQ_2009 04 24_Creek  Pearl RFQ_May 12_Leopard_UniBOM_ME_0602_Bolt RFQ Proposal_Foxlink_ (Pricing Summary) 2 25 2011 5 2" xfId="15799"/>
    <cellStyle name="_PPV ALLOCATION-Nov04_FM Transmitter_Dev Labor NRE_Mar26-07 2" xfId="15800"/>
    <cellStyle name="_PPV ALLOCATION-Nov04_Dawson_Dev Pricing_RFQ_River_BAFO_2008 0606_M1_Stream Package Quotation_20090311" xfId="15801"/>
    <cellStyle name="好_Creek Assembly Fixture  Test Equipment RFQ_20090427_Xl0000002_Leopard_UniBOM_ME_0602_Bolt RFQ Proposal_Foxlink_ (Pricing Summary) 2 25 2011 3" xfId="15802"/>
    <cellStyle name="_PPV ALLOCATION-Nov04_Dawson_Dev Pricing_RFQ_River_BAFO_2008 0606_M1_Stream Quotebook (Submittal)_POC2_20081117-1" xfId="15803"/>
    <cellStyle name="_PPV ALLOCATION-Nov04_Dawson_Dev Pricing_RFQ_River_BAFO_2008 0606_M1_Stream Quotebook(Submittal)_POC1_20080903" xfId="15804"/>
    <cellStyle name="_Sales Breakdown Analysis 3_PL Fcst Jul 06-updated G&amp;A Value_Copy of Tom OS ( Oct) new for LOG_2009 xBOX ramp up budget code applicaiton" xfId="15805"/>
    <cellStyle name="_PPV ALLOCATION-Nov04_Dawson_Dev Pricing_RFQ_River_BAFO_2008 0606_M1_Stream Quotebook(Submittal)_POC1_20080903 2" xfId="15806"/>
    <cellStyle name="_Sheet1_FY06 P4 CM Consigned RM" xfId="15807"/>
    <cellStyle name="_PPV ALLOCATION-Nov04_Dawson_Dev Pricing_Stream RFQ Unibom--0626-1756" xfId="15808"/>
    <cellStyle name="_PPV ALLOCATION-Nov04_Dawson_Dev Pricing_Stream RFQ Unibom--0626-1756 2" xfId="15809"/>
    <cellStyle name="差_Xl0000002_Leopard Lemur Squirrel UniBom-06.22.2010_EE cost _update_internal_Bolt RFQ_Foxlink_03.1 2011_nego meeting@MACH 5" xfId="15810"/>
    <cellStyle name="Normal 4 12" xfId="15811"/>
    <cellStyle name="_PPV ALLOCATION-Nov04_Dawson_Dev Pricing_Stream RFQ Unibom--0626-1756_Stream Package Quotation_20090311" xfId="15812"/>
    <cellStyle name="好_River EE BOM_Creak Pearl Reliability Fixture RFQ_2009 04 24_Xl0000002_Leopard Lemur Squirrel UniBom-06.22.2010_EE cost _update_internal 3 3" xfId="15813"/>
    <cellStyle name="好_Creek EE BOM cost_20090425_Creek RFQ feedback 04_28_2009_FD Update_Leopard Lemur Squirrel UniBom-06.22.2010_EE cost _update_internal_Bolt RFQ_Foxlink_03.1 2011_nego meeting@MACH 2" xfId="15814"/>
    <cellStyle name="Normal 19 2 2 2 3" xfId="15815"/>
    <cellStyle name="Normal 24 2 2 2 3" xfId="15816"/>
    <cellStyle name="_PPV ALLOCATION-Nov04_Dawson_Dev Pricing_Stream RFQ Unibom--0626-1756_Stream Quotebook (Submittal)_POC2_20081117-1" xfId="15817"/>
    <cellStyle name="好_River EE BOM_Xl0000002_Leopard_UniBOM_ME_0603-2_Bolt RFQ Proposal_Foxlink_ (Pricing Summary) 2 25 2011 2 3" xfId="15818"/>
    <cellStyle name="好_River EE BOM_Creak Pearl Reliability Fixture RFQ_2009 04 24_Creek  Pearl RFQ_May 12_Leopard UniBom_Foxlink_6 21 2010-ME_nego_Bolt RFQ_Foxlink_03.1 2011 5" xfId="15819"/>
    <cellStyle name="_PPV ALLOCATION-Nov04_Dawson_Dev Pricing_Stream RFQ Unibom--0626-1756_Stream Quotebook(Submittal)_POC1_20080903" xfId="15820"/>
    <cellStyle name="_PPV ALLOCATION-Nov04_Dawson_Dev Pricing_Stream RFQ Unibom--0626-1756_Stream Quotebook(Submittal)_POC1_20080903 2" xfId="15821"/>
    <cellStyle name="_PPV ALLOCATION-Nov04_Dawson_RFP_Foxlink_Response_Proposal 的 工作表" xfId="15822"/>
    <cellStyle name="9_Revised AP DPO Oct 04 v2_Internal Hourly Rate Q1 FY08 Version 06052007 Draft" xfId="15823"/>
    <cellStyle name="_PPV ALLOCATION-Nov04_Dawson_RFP_Foxlink_Response_Proposal 的 工作表_Internal RFQ River Standalone  Bundle Unibom_v1 2_20080603_EJ" xfId="15824"/>
    <cellStyle name="差_HP Mouse 產能評估(上系統)_Erie 效益分析 (Update)_~5631336" xfId="15825"/>
    <cellStyle name="好_Erie Assembly Fixture  Test Equip Cost_20090716_Foxlink_Shadow RFQ NREUni BOM_12032009_Bolt RFQ_Foxlink_03.1 2011_nego meeting@MACH 3" xfId="15826"/>
    <cellStyle name="_Z9 blueAnt ME BOM 0910 final" xfId="15827"/>
    <cellStyle name="_PPV ALLOCATION-Nov04_Dawson_RFP_Foxlink_Response_Proposal 的 工作表_Internal RFQ River Standalone  Bundle Unibom_v1 2_20080603_EJ 2" xfId="15828"/>
    <cellStyle name="_PPV ALLOCATION-Nov04_Dawson_RFP_Foxlink_Response_Proposal 的 工作表_Internal RFQ River Standalone  Bundle Unibom_v1 2_20080603_EJ_Stream Quotebook(Submittal)_POC1_20080903" xfId="15829"/>
    <cellStyle name="0,0_x000d__x000a_NA_x000d__x000a_ 10" xfId="15830"/>
    <cellStyle name="_PPV ALLOCATION-Nov04_Dawson_RFP_Foxlink_Response_Proposal 的 工作表_Internal RFQ River Standalone  Bundle Unibom_v1 2_20080603_EJ_Stream Quotebook(Submittal)_POC1_20080903 2" xfId="15831"/>
    <cellStyle name="Output" xfId="15832"/>
    <cellStyle name="_PPV ALLOCATION-Nov04_Dawson_RFP_Foxlink_Response_Proposal 的 工作表_RFQ_River_BAFO_2008 0606_M1" xfId="15833"/>
    <cellStyle name="Title 10" xfId="15834"/>
    <cellStyle name="Output 2" xfId="15835"/>
    <cellStyle name="_PPV ALLOCATION-Nov04_Dawson_RFP_Foxlink_Response_Proposal 的 工作表_RFQ_River_BAFO_2008 0606_M1 2" xfId="15836"/>
    <cellStyle name="好_River EE BOM_Creek RFQ feedback 04_28_2009_FD Update_Leopard_UniBOM_ME_0602_Bolt RFQ_Foxlink_03.1 2011_nego meeting@MACH" xfId="15837"/>
    <cellStyle name="_PPV ALLOCATION-Nov04_Dawson_RFP_Foxlink_Response_Proposal 的 工作表_RFQ_River_BAFO_2008 0606_M1_Stream Package Quotation_20090311" xfId="15838"/>
    <cellStyle name="_PPV ALLOCATION-Nov04_Dawson_RFP_Foxlink_Response_Proposal 的 工作表_RFQ_River_BAFO_2008 0606_M1_Stream Quotebook (Submittal)_POC2_20081117-1" xfId="15839"/>
    <cellStyle name="壞_Creek EE BOM cost_20090425_Foxlink_Shadow RFQ NREUni BOM_12032009_Bolt RFQ Proposal_Foxlink_ (Pricing Summary) 2 25 2011 6 2" xfId="15840"/>
    <cellStyle name="_PPV ALLOCATION-Nov04_Dawson_RFP_Foxlink_Response_Proposal 的 工作表_RFQ_River_BAFO_2008 0606_M1_Stream Quotebook(Submittal)_POC1_20080903" xfId="15841"/>
    <cellStyle name="差_jupite r設備&amp;治工具LIST (總)_Dallas flow chart&amp;設備&amp;治工具清單(12-8 A0)_效益分析(總 12-28 Update)_Jackson 效益分析 (2-1 B0 上系統)" xfId="15842"/>
    <cellStyle name="_PPV ALLOCATION-Nov04_Dawson_RFP_Foxlink_Response_Proposal 的 工作表_Stream RFQ Unibom--0626-1756_Stream Quotebook(Submittal)_POC1_20080903" xfId="15843"/>
    <cellStyle name="_PPV ALLOCATION-Nov04_Dawson_RFP_Foxlink_Response_Proposal 的 工作表_Stream RFQ Unibom--0626-1756_Stream Quotebook(Submittal)_POC1_20080903 2" xfId="15844"/>
    <cellStyle name="Thousands" xfId="15845"/>
    <cellStyle name="好_River EE BOM_Creak Pearl Reliability Fixture RFQ_2009 04 24_Creek RFQ feedback 04_28_2009_FD Update_Foxlink_Shadow RFQ NREUni BOM_12032009_Bolt RFQ_Foxlink_03.1 2011 5" xfId="15846"/>
    <cellStyle name="_PPV ALLOCATION-Nov04_Erie  Mouse RFQ Pricing IE 2" xfId="15847"/>
    <cellStyle name="好_River EE BOM_Xl0000002_Leopard_UniBOM_ME_0602_Bolt RFQ_Foxlink_03.1 2011 4" xfId="15848"/>
    <cellStyle name="好_River EE BOM_Creak Pearl Reliability Fixture RFQ_2009 04 24_Creek  Pearl RFQ_May 12_Leopard_UniBOM_ME_0602_Bolt RFQ Proposal_Foxlink_ (Pricing Summary) 2 25 2011 5" xfId="15849"/>
    <cellStyle name="_PPV ALLOCATION-Nov04_FM Transmitter_Dev Labor NRE_Mar26-07" xfId="15850"/>
    <cellStyle name="_PPV ALLOCATION-Nov04_FM Transmitter_Dev Labor NRE_Mar26-07_Internal RFQ River Standalone  Bundle Unibom_v1 2_20080603_EJ" xfId="15851"/>
    <cellStyle name="壞_Erie Assembly Fixture  Test Equip Cost_20090716_Foxlink_Shadow RFQ NREUni BOM_12032009_Bolt RFQ_Foxlink_03.1 2011_nego meeting@MACH 2 3" xfId="15852"/>
    <cellStyle name="Normal 4 3 2 2 4" xfId="15853"/>
    <cellStyle name="_PPV ALLOCATION-Nov04_FM Transmitter_Dev Labor NRE_Mar26-07_Internal RFQ River Standalone  Bundle Unibom_v1 2_20080603_EJ 2" xfId="15854"/>
    <cellStyle name="_PPV ALLOCATION-Nov04_FM Transmitter_Dev Labor NRE_Mar26-07_Internal RFQ River Standalone  Bundle Unibom_v1 2_20080603_EJ_Stream Package Quotation_20090311" xfId="15855"/>
    <cellStyle name="差_Creak Pearl Reliability Fixture RFQ_2009 04 24_Leopard_UniBOM_ME_0602_Bolt RFQ_Foxlink_03.1 2011_nego meeting@MACH 2" xfId="15856"/>
    <cellStyle name="Accent6 17" xfId="15857"/>
    <cellStyle name="好_River EE BOM_Squirrel UniBom-06.23.2010_update_internal_Bolt RFQ Proposal_Foxlink_ (Pricing Summary) 2 25 2011 2 3" xfId="15858"/>
    <cellStyle name="_PPV ALLOCATION-Nov04_FM Transmitter_Dev Labor NRE_Mar26-07_Internal RFQ River Standalone  Bundle Unibom_v1 2_20080603_EJ_Stream Quotebook (Submittal)_POC2_20081117-1" xfId="15859"/>
    <cellStyle name="_PPV ALLOCATION-Nov04_FM Transmitter_Dev Labor NRE_Mar26-07_Internal RFQ River Standalone  Bundle Unibom_v1 2_20080603_EJ_Stream Quotebook(Submittal)_POC1_20080903" xfId="15860"/>
    <cellStyle name="_PPV ALLOCATION-Nov04_FM Transmitter_Dev Labor NRE_Mar26-07_Internal RFQ River Standalone  Bundle Unibom_v1 2_20080603_EJ_Stream Quotebook(Submittal)_POC1_20080903 2" xfId="15861"/>
    <cellStyle name="好_Creek Assembly Fixture  Test Equipment RFQ_20090427_Foxlink_Shadow RFQ NREUni BOM_12032009_Bolt RFQ_Foxlink_03.1 2011" xfId="15862"/>
    <cellStyle name="_PPV ALLOCATION-Nov04_FM Transmitter_Dev Labor NRE_Mar26-07_RFQ_River_BAFO_2008 0606_M1" xfId="15863"/>
    <cellStyle name="好_Creek Assembly Fixture  Test Equipment RFQ_20090427_Foxlink_Shadow RFQ NREUni BOM_12032009_Bolt RFQ_Foxlink_03.1 2011 2" xfId="15864"/>
    <cellStyle name="_PPV ALLOCATION-Nov04_FM Transmitter_Dev Labor NRE_Mar26-07_RFQ_River_BAFO_2008 0606_M1 2" xfId="15865"/>
    <cellStyle name="_PPV ALLOCATION-Nov04_FM Transmitter_Dev Labor NRE_Mar26-07_RFQ_River_BAFO_2008 0606_M1_Stream Package Quotation_20090311" xfId="15866"/>
    <cellStyle name="差_HP Mouse 產能評估(上系統)_MS Bolt wireless mouse FixtureEquipment Cost_A5_2010_02_21_Bolt RFQ_Foxlink_03.1 2011 4" xfId="15867"/>
    <cellStyle name="好_Creek EE BOM cost_20090425_Creek RFQ feedback 04_28_2009_FD Update_Foxlink_Shadow RFQ NREUni BOM_12032009_Bolt RFQ Proposal_Foxlink_ (Pricing Summary) 2 25 2011 7" xfId="15868"/>
    <cellStyle name="b_Dell ASUS NV28GL NPI 12-18-02" xfId="15869"/>
    <cellStyle name="差_Creak Pearl Reliability Fixture RFQ_2009 04 24_Pearl RFQ(Submittal)ver2_05_12_2009 _Leopard RFQ ME BOM Costs-0618-2_Bolt RFQ_Foxlink_03.1 2011_nego meeting@MACH 2 2" xfId="15870"/>
    <cellStyle name="_PPV ALLOCATION-Nov04_FM Transmitter_Dev Labor NRE_Mar26-07_RFQ_River_BAFO_2008 0606_M1_Stream Quotebook (Submittal)_POC2_20081117-1" xfId="15871"/>
    <cellStyle name="60% - 强调文字颜色 2 2 5" xfId="15872"/>
    <cellStyle name="_PPV ALLOCATION-Nov04_FM Transmitter_Dev Labor NRE_Mar26-07_RFQ_River_BAFO_2008 0606_M1_Stream Quotebook(Submittal)_POC1_20080903 2" xfId="15873"/>
    <cellStyle name="_PPV ALLOCATION-Nov04_FM Transmitter_Dev Labor NRE_Mar26-07_Stream RFQ Unibom--0626-1756" xfId="15874"/>
    <cellStyle name="_PPV ALLOCATION-Nov04_FM Transmitter_Dev Labor NRE_Mar26-07_Stream RFQ Unibom--0626-1756 2" xfId="15875"/>
    <cellStyle name="_PPV ALLOCATION-Nov04_FM Transmitter_Dev Labor NRE_Mar26-07_Stream RFQ Unibom--0626-1756_Stream Package Quotation_20090311" xfId="15876"/>
    <cellStyle name="_PPV ALLOCATION-Nov04_FM Transmitter_Dev Labor NRE_Mar26-07_Stream RFQ Unibom--0626-1756_Stream Quotebook (Submittal)_POC2_20081117-1" xfId="15877"/>
    <cellStyle name="差_Creak Pearl Reliability Fixture RFQ_2009 04 24_Creek RFQ feedback 04_28_2009_FD Update_Leopard_UniBOM_ME_0603-2_Bolt RFQ Proposal_Foxlink_ (Pricing Summary) 2 25 2011 4 3" xfId="15878"/>
    <cellStyle name="差_Creak Pearl Reliability Fixture RFQ_2009 04 24_Creek  Pearl RFQ_May 12_Leopard UniBom_Foxlink_6 21 2010-ME_nego_Bolt RFQ_Foxlink_03.1 2011_nego meeting@MACH 5" xfId="15879"/>
    <cellStyle name="_PPV ALLOCATION-Nov04_FM Transmitter_Dev Labor NRE_Mar26-07_Stream RFQ Unibom--0626-1756_Stream Quotebook(Submittal)_POC1_20080903" xfId="15880"/>
    <cellStyle name="差_Creak Pearl Reliability Fixture RFQ_2009 04 24_Foxlink_Shadow RFQ NREUni BOM_12032009_Bolt RFQ Proposal_Foxlink_ (Pricing Summary) 2 25 2011 4 3" xfId="15881"/>
    <cellStyle name="Normal 47 5" xfId="15882"/>
    <cellStyle name="Normal 52 5" xfId="15883"/>
    <cellStyle name="_PPV ALLOCATION-Nov04_FM Transmitter_Dev Labor NRE_Mar26-07_Stream RFQ Unibom--0626-1756_Stream Quotebook(Submittal)_POC1_20080903 2" xfId="15884"/>
    <cellStyle name="差_HP Mouse 產能評估(Forecast更改後)_Jackson 效益分析 (2-1 B0 上系統)" xfId="15885"/>
    <cellStyle name="_PPV ALLOCATION-Nov04_FY06 P4 CM Consigned RM" xfId="15886"/>
    <cellStyle name="Heading 1 2_Bristol RFQ response _20101102_internal (4)" xfId="15887"/>
    <cellStyle name="差_Creak Pearl Reliability Fixture RFQ_2009 04 24_Creek RFQ feedback 04_28_2009_FD Update_Leopard_UniBOM_ME_0603-2_Bolt RFQ Proposal_Foxlink_ (Pricing Summary) 2 25 2011 2" xfId="15888"/>
    <cellStyle name="Normal 47 4 2" xfId="15889"/>
    <cellStyle name="Normal 52 4 2" xfId="15890"/>
    <cellStyle name="_PPV ALLOCATION-Nov04_FY06 P6 CM Consigned RM" xfId="15891"/>
    <cellStyle name="_PPV ALLOCATION-Nov04_FY06 P7 CM Consigned RM" xfId="15892"/>
    <cellStyle name="_PPV ALLOCATION-Nov04_Gutenberg Development Pricing" xfId="15893"/>
    <cellStyle name="好_River EE BOM_Creak Pearl Reliability Fixture RFQ_2009 04 24_Creek RFQ feedback 04_28_2009_FD Update_Leopard_UniBOM_ME_0602-1_Bolt RFQ_Foxlink_03.1 2011_nego meeting@MACH 2 3" xfId="15894"/>
    <cellStyle name="_PPV ALLOCATION-Nov04_Gutenberg Manufacturing Pricing" xfId="15895"/>
    <cellStyle name="好_River EE BOM_Creek RFQ feedback 04_28_2009_FD Update_Foxlink_Shadow RFQ NREUni BOM_12032009 2 4" xfId="15896"/>
    <cellStyle name="_PPV ALLOCATION-Nov04_Gutenberg Manufacturing Pricing 2" xfId="15897"/>
    <cellStyle name="40% - 强调文字颜色 2 2 4" xfId="15898"/>
    <cellStyle name="_PPV ALLOCATION-Nov04_Gutenberg Manufacturing Pricing_Erie  Mouse RFQ Pricing IE 2" xfId="15899"/>
    <cellStyle name="_不良總明細_八月月報2_0540周直通率8D1" xfId="15900"/>
    <cellStyle name="_PPV ALLOCATION-Nov04_Internal RFQ River Standalone  Bundle Unibom_v1 2_20080603_EJ" xfId="15901"/>
    <cellStyle name="_Sales Breakdown Analysis 3_Volume Fcst 1006 updated_Copy of Tom OS ( Oct) new for LOG_2009 xBOX ramp up budget code applicaiton 300K --New May27" xfId="15902"/>
    <cellStyle name="_PPV ALLOCATION-Nov04_Internal RFQ River Standalone  Bundle Unibom_v1 2_20080603_EJ 2" xfId="15903"/>
    <cellStyle name="好_0842周 顯卡報廢超標8D 6 2" xfId="15904"/>
    <cellStyle name="_PPV ALLOCATION-Nov04_Internal RFQ River Standalone  Bundle Unibom_v1 2_20080603_EJ_Stream Quotebook (Submittal)_POC2_20081117-1" xfId="15905"/>
    <cellStyle name="好_Creek EE BOM cost_20090425_Creek RFQ feedback 04_28_2009_FD Update_Leopard Lemur Squirrel UniBom-06.22.2010_EE cost _update_internal_Bolt RFQ Proposal_Foxlink_ (Pricing Summary) 2 25 2011 4" xfId="15906"/>
    <cellStyle name="20% - Accent3 15 3" xfId="15907"/>
    <cellStyle name="_Quotebook_07SEP10_BlueAnt_Quotebook_V3_07SEP11_Stream RFQ Unibom--0626-1756_Stream Quotebook(Submittal)_POC1_20080903 2" xfId="15908"/>
    <cellStyle name="_PPV ALLOCATION-Nov04_Internal RFQ River Standalone  Bundle Unibom_v1 2_20080603_EJ_Stream Quotebook(Submittal)_POC1_20080903" xfId="15909"/>
    <cellStyle name="差_Creek RFQ feedback 04_28_2009_FD Update_Leopard_UniBOM_ME_0602 2 3" xfId="15910"/>
    <cellStyle name="好_Creek EE BOM cost_20090425_Creek RFQ feedback 04_28_2009_FD Update_Leopard Lemur Squirrel UniBom-06.22.2010_EE cost _update_internal_Bolt RFQ Proposal_Foxlink_ (Pricing Summary) 2 25 2011 4 2" xfId="15911"/>
    <cellStyle name="好_River EE BOM_Creak Pearl Reliability Fixture RFQ_2009 04 24_Xl0000002_Squirrel UniBom_Foxlink_6 28 2010" xfId="15912"/>
    <cellStyle name="_PPV ALLOCATION-Nov04_Internal RFQ River Standalone  Bundle Unibom_v1 2_20080603_EJ_Stream Quotebook(Submittal)_POC1_20080903 2" xfId="15913"/>
    <cellStyle name="差_dallas產能評估_效益分析(總 12-28 Update)_Leopard效益分析08-17" xfId="15914"/>
    <cellStyle name="_PPV ALLOCATION-Nov04_P2 Waynea review" xfId="15915"/>
    <cellStyle name="_PPV ALLOCATION-Nov04_RFQ_River_BAFO_2008 0606_M1" xfId="15916"/>
    <cellStyle name="_PPV ALLOCATION-Nov04_RFQ_River_BAFO_2008 0606_M1 2" xfId="15917"/>
    <cellStyle name="_PPV ALLOCATION-Nov04_RFQ_River_BAFO_2008 0606_M1_Stream Package Quotation_20090311" xfId="15918"/>
    <cellStyle name="_PPV ALLOCATION-Nov04_RFQ_River_BAFO_2008 0606_M1_Stream Quotebook(Submittal)_POC1_20080903" xfId="15919"/>
    <cellStyle name="_PPV ALLOCATION-Nov04_RFQ_River_BAFO_2008 0606_M1_Stream Quotebook(Submittal)_POC1_20080903 2" xfId="15920"/>
    <cellStyle name="_PPV ALLOCATION-Nov04_Stream RFQ Unibom--0626-1756 2" xfId="15921"/>
    <cellStyle name="差_Creek RFQ feedback 04_28_2009_FD Update_Leopard_UniBOM_ME_0602_Bolt RFQ_Foxlink_03.1 2011_nego meeting@MACH 2" xfId="15922"/>
    <cellStyle name="_PPV ALLOCATION-Nov04_Stream RFQ Unibom--0626-1756_Stream Package Quotation_20090311" xfId="15923"/>
    <cellStyle name="_PPV ALLOCATION-Nov04_Stream RFQ Unibom--0626-1756_Stream Quotebook (Submittal)_POC2_20081117-1" xfId="15924"/>
    <cellStyle name="_PPV ALLOCATION-Nov04_Stream RFQ Unibom--0626-1756_Stream Quotebook(Submittal)_POC1_20080903" xfId="15925"/>
    <cellStyle name="_PPV ALLOCATION-Nov04_Stream RFQ Unibom--0626-1756_Stream Quotebook(Submittal)_POC1_20080903 2" xfId="15926"/>
    <cellStyle name="_PPV ALLOCATION-Nov04_Zune v2  Manufacturing Pricing" xfId="15927"/>
    <cellStyle name="差_dallas產能評估_Dallas flow chart&amp;設備&amp;治工具清單(12-8 A0)_Flow chart and Fixture(1-4)_Jackson 效益分析 (2-1 B0 上系統)_Leopard效益分析08-17" xfId="15928"/>
    <cellStyle name="_PPV ALLOCATION-Nov04_Zune v2  Manufacturing Pricing_Erie  Mouse RFQ Pricing IE 2" xfId="15929"/>
    <cellStyle name="好_River EE BOM_Xl0000000_Leopard UniBom_Foxlink_12272010 RevF_shirley" xfId="15930"/>
    <cellStyle name="_PPV ALLOCATION-Nov04_Zune V2 FM Transmitter_Schedule A" xfId="15931"/>
    <cellStyle name="差_MS Bolt wireless mouse FixtureEquipment Cost_A5_2010_02_21_Bolt RFQ Proposal_Foxlink_ (Pricing Summary) 2 25 2011 2 4" xfId="15932"/>
    <cellStyle name="差_Creak Pearl Reliability Fixture RFQ_2009 04 24_Pearl RFQ(Submittal)ver2_05_12_2009 _Squirrel UniBom-06.23.2010_update_internal_Bolt RFQ_Foxlink_03.1 2011 4" xfId="15933"/>
    <cellStyle name="_PPV ALLOCATION-Nov04_Zune V2 FM Transmitter_Schedule A 2" xfId="15934"/>
    <cellStyle name="_PPV ALLOCATION-Nov04_Zune V2 FM Transmitter_Schedule A_Internal RFQ River Standalone  Bundle Unibom_v1 2_20080603_EJ" xfId="15935"/>
    <cellStyle name="_PPV ALLOCATION-Nov04_Zune V2 FM Transmitter_Schedule A_Internal RFQ River Standalone  Bundle Unibom_v1 2_20080603_EJ 2" xfId="15936"/>
    <cellStyle name="_PPV ALLOCATION-Nov04_Zune V2 FM Transmitter_Schedule A_Internal RFQ River Standalone  Bundle Unibom_v1 2_20080603_EJ_Stream Quotebook (Submittal)_POC2_20081117-1" xfId="15937"/>
    <cellStyle name="_PPV ALLOCATION-Nov04_Zune V2 FM Transmitter_Schedule A_Internal RFQ River Standalone  Bundle Unibom_v1 2_20080603_EJ_Stream Quotebook(Submittal)_POC1_20080903 2" xfId="15938"/>
    <cellStyle name="差_Foxlink_Shadow RFQ NREUni BOM_12032009" xfId="15939"/>
    <cellStyle name="差_F3   SMT設備明細_jupite r設備&amp;治工具LIST (總)_Flow Chart(shadow) A3 " xfId="15940"/>
    <cellStyle name="Input 18" xfId="15941"/>
    <cellStyle name="_PPV ALLOCATION-Nov04_Zune V2 FM Transmitter_Schedule A_RFQ_River_BAFO_2008 0606_M1" xfId="15942"/>
    <cellStyle name="差_Foxlink_Shadow RFQ NREUni BOM_12032009 2" xfId="15943"/>
    <cellStyle name="_PPV ALLOCATION-Nov04_Zune V2 FM Transmitter_Schedule A_RFQ_River_BAFO_2008 0606_M1 2" xfId="15944"/>
    <cellStyle name="_PPV ALLOCATION-Nov04_Zune V2 FM Transmitter_Schedule A_RFQ_River_BAFO_2008 0606_M1_Stream Package Quotation_20090311" xfId="15945"/>
    <cellStyle name="_PPV ALLOCATION-Nov04_Zune V2 FM Transmitter_Schedule A_RFQ_River_BAFO_2008 0606_M1_Stream Quotebook (Submittal)_POC2_20081117-1" xfId="15946"/>
    <cellStyle name="壞_Creek Assembly Fixture  Test Equipment RFQ_20090427_Xl0000002_Foxlink_Shadow RFQ NREUni BOM_12032009" xfId="15947"/>
    <cellStyle name="_PPV ALLOCATION-Nov04_Zune V2 FM Transmitter_Schedule A_RFQ_River_BAFO_2008 0606_M1_Stream Quotebook(Submittal)_POC1_20080903" xfId="15948"/>
    <cellStyle name="_PPV ALLOCATION-Nov04_Zune V2 FM Transmitter_Schedule A_Stream RFQ Unibom--0626-1756" xfId="15949"/>
    <cellStyle name="_PPV ALLOCATION-Nov04_Zune V2 FM Transmitter_Schedule A_Stream RFQ Unibom--0626-1756 2" xfId="15950"/>
    <cellStyle name="_PPV ALLOCATION-Nov04_Zune V2 FM Transmitter_Schedule A_Stream RFQ Unibom--0626-1756_Stream Package Quotation_20090311" xfId="15951"/>
    <cellStyle name="好_River EE BOM_Creak Pearl Reliability Fixture RFQ_2009 04 24_Leopard UniBom_Foxlink_6 21 2010-ME_nego_Bolt RFQ Proposal_Foxlink_ (Pricing Summary) 2 25 2011 2 2" xfId="15952"/>
    <cellStyle name="_PPV ALLOCATION-Nov04_Zune V2 FM Transmitter_Schedule A_Stream RFQ Unibom--0626-1756_Stream Quotebook (Submittal)_POC2_20081117-1" xfId="15953"/>
    <cellStyle name="_PPV ALLOCATION-Nov04_Zune V2 FM Transmitter_Schedule A_Stream RFQ Unibom--0626-1756_Stream Quotebook(Submittal)_POC1_20080903" xfId="15954"/>
    <cellStyle name="差_MB9月管審誤判超標 8D_HP" xfId="15955"/>
    <cellStyle name="好_River EE BOM_Creak Pearl Reliability Fixture RFQ_2009 04 24_Pearl RFQ(Submittal)ver2_05_12_2009 _Leopard_UniBOM_ME_0602-1_Bolt RFQ_Foxlink_03.1 2011 3" xfId="15956"/>
    <cellStyle name="_PPV ALLOCATION-Nov04_Zune V2 FM Transmitter_Schedule A_Stream RFQ Unibom--0626-1756_Stream Quotebook(Submittal)_POC1_20080903 2" xfId="15957"/>
    <cellStyle name="差_MB9月管審誤判超標 8D_HP 2" xfId="15958"/>
    <cellStyle name="好_River EE BOM_Creak Pearl Reliability Fixture RFQ_2009 04 24_Pearl RFQ(Submittal)ver2_05_12_2009 _Leopard_UniBOM_ME_0602-1_Bolt RFQ_Foxlink_03.1 2011 3 2" xfId="15959"/>
    <cellStyle name="_PPV JUSTIFICATION 2004.Jun" xfId="15960"/>
    <cellStyle name="差_jupite r設備&amp;治工具LIST (總)_Dallas效益分析&amp;投資回收期 (12-2 A1)_Flow chart and Fixture(Jackson)_A1_Jackson 效益分析 (2-1 B0 上系統)_Leopard效益分析08-17" xfId="15961"/>
    <cellStyle name="_PR0598SOP" xfId="15962"/>
    <cellStyle name="_Sales Breakdown Analysis 3_PL Fcst Jul 06-updated G&amp;A Value_2009 xBOX ramp up budget code applicaiton 300K --New May26 (3)" xfId="15963"/>
    <cellStyle name="_PR0598SOP_1" xfId="15964"/>
    <cellStyle name="差_0842周 顯卡報廢超標8D 3 2 2" xfId="15965"/>
    <cellStyle name="_PR0598SOP_1_337341SOP" xfId="15966"/>
    <cellStyle name="标题 1 3" xfId="15967"/>
    <cellStyle name="_PR0598SOP_337341SOP" xfId="15968"/>
    <cellStyle name="Output 3 2 3" xfId="15969"/>
    <cellStyle name="_Pre-Close Meeting Aug FY06_FY06 P4 CM Consigned RM" xfId="15970"/>
    <cellStyle name="_Pre-Close Meeting Aug FY06_FY06 P6 CM Consigned RM" xfId="15971"/>
    <cellStyle name="差_jupite r設備&amp;治工具LIST (總)_Dallas效益分析&amp;投資回收期 (12-2 A1)_Flow Chart&amp;設備治工具清單 _Jackson 效益分析 (2-1 B0 上系統)" xfId="15972"/>
    <cellStyle name="差_Creak Pearl Reliability Fixture RFQ_2009 04 24_Creek  Pearl RFQ_May 12_Leopard RFQ ME BOM Costs-0618-2 3 3" xfId="15973"/>
    <cellStyle name="差_Xl0000002_Leopard_UniBOM_ME_0602-1_Bolt RFQ Proposal_Foxlink_ (Pricing Summary) 2 25 2011 2" xfId="15974"/>
    <cellStyle name="_Pre-Close Meeting Aug FY06_FY06 P7 CM Consigned RM" xfId="15975"/>
    <cellStyle name="_Prepayment Listing-June_FY06 P4 CM Consigned RM" xfId="15976"/>
    <cellStyle name="差_F3   SMT設備明細_MS Bolt wireless mouse FixtureEquipment Cost_A5_2010_02_21_Bolt RFQ Proposal_Foxlink_ (Pricing Summary) 2 25 2011 5 2" xfId="15977"/>
    <cellStyle name="_Prepayment Listing-June_FY06 P6 CM Consigned RM" xfId="15978"/>
    <cellStyle name="差_jupite r設備&amp;治工具LIST (總)_Jackson 效益分析 testing update_16th Jan1" xfId="15979"/>
    <cellStyle name="_Prepayment Listing-June_FY06 P6 XBox 360 Mfg Var - Close Pack" xfId="15980"/>
    <cellStyle name="好_Creek Assembly Fixture  Test Equipment RFQ_20090427_Leopard_UniBOM_ME_0603-2_Bolt RFQ_Foxlink_03.1 2011_Bolt_Cliff 5 2" xfId="15981"/>
    <cellStyle name="差_Creek RFQ feedback 04_28_2009_FD Update_Squirrel RFQ ME BOM Costs-0623_Bolt RFQ_Foxlink_03.1 2011 3 3" xfId="15982"/>
    <cellStyle name="_Prepayment Listing-June_FY06 P7 CM Consigned RM" xfId="15983"/>
    <cellStyle name="_Prepayment Listing-June_FY06 Xenon Console Other Mfg Costs Forecast - january v1" xfId="15984"/>
    <cellStyle name="_process map" xfId="15985"/>
    <cellStyle name="差_Xl0000000_Foxlink_Shadow RFQ NREUni BOM_12032009_Bolt RFQ Proposal_Foxlink_ (Pricing Summary) 2 25 2011 3 3" xfId="15986"/>
    <cellStyle name="差_Creak Pearl Reliability Fixture RFQ_2009 04 24_Creek  Pearl RFQ_May 12" xfId="15987"/>
    <cellStyle name="好_Creek Assembly Fixture  Test Equipment RFQ_20090427_Leopard RFQ ME BOM Costs-0618-2_Bolt RFQ_Foxlink_03.1 2011_nego meeting@MACH 3" xfId="15988"/>
    <cellStyle name="_Production line allocation" xfId="15989"/>
    <cellStyle name="_Project A BB ASSY Line Time Study (2)" xfId="15990"/>
    <cellStyle name="好_River EE BOM_Creak Pearl Reliability Fixture RFQ_2009 04 24_Pearl RFQ(Submittal)ver2_05_12_2009 _Leopard_UniBOM_ME_0531_Bolt RFQ_Foxlink_03.1 2011_nego meeting@MACH 3 2" xfId="15991"/>
    <cellStyle name="好_River EE BOM_Creak Pearl Reliability Fixture RFQ_2009 04 24_Creek RFQ feedback 04_28_2009_FD Update_Leopard_UniBOM_ME_0531_Bolt RFQ Proposal_Foxlink_ (Pricing Summary) 2 25 2011" xfId="15992"/>
    <cellStyle name="Accent4 10" xfId="15993"/>
    <cellStyle name="_Project A BB ASSY Line Time Study (2)_FMTQCI-MIS3H064-P027(01)Nazca Copy Exact Flow chart" xfId="15994"/>
    <cellStyle name="差_Creak Pearl Reliability Fixture RFQ_2009 04 24_Xl0000002_Foxlink_Shadow RFQ NREUni BOM_12032009_Bolt RFQ_Foxlink_03.1 2011 2 3" xfId="15995"/>
    <cellStyle name="_Project A BB ASSY Line Time Study (2)_Nazca copy exact flow chart 20120409" xfId="15996"/>
    <cellStyle name="计算 4 2 4" xfId="15997"/>
    <cellStyle name="_Project A BB ASSY Line Time Study (2)_Nazca copy exact flow chart 2012313" xfId="15998"/>
    <cellStyle name="_Project A BB flowchart20100105" xfId="15999"/>
    <cellStyle name="_Project A BB Line Time Study compare220100224" xfId="16000"/>
    <cellStyle name="差_Wedge_ME_BOM-v00-11v0715 2" xfId="16001"/>
    <cellStyle name="_Project A BoxBuild Flow Chart 091123" xfId="16002"/>
    <cellStyle name="_Project A Pick List 20100312" xfId="16003"/>
    <cellStyle name="_Project A Pick List 20100312_Copy of FMTQCI-MIS3H064-P031 1  Scan the repair action of failure device in FF sytem 扫描产品进入系统重测、换料确认" xfId="16004"/>
    <cellStyle name="好_River EE BOM_Creak Pearl Reliability Fixture RFQ_2009 04 24_Xl0000002_Squirrel UniBom-06.23.2010_update_internal_Bolt RFQ_Foxlink_03.1 2011 3 2" xfId="16005"/>
    <cellStyle name="好_River EE BOM_Creak Pearl Reliability Fixture RFQ_2009 04 24_Leopard UniBom_Foxlink_6 21 2010-ME_nego_Bolt RFQ_Foxlink_03.1 2011_nego meeting@MACH 5" xfId="16006"/>
    <cellStyle name="好_Creek Assembly Fixture  Test Equipment RFQ_20090427_Leopard_UniBOM_ME_0531_Bolt RFQ_Foxlink_03.1 2011_Bolt_Cliff 6" xfId="16007"/>
    <cellStyle name="_Radon Costed BOM Rev E 7-30-05" xfId="16008"/>
    <cellStyle name="_Project A Pick List 20100312_Copy of FMTQCI-MIS3H064-P031 1  Scan the repair action of failure device in FF sytem 扫描产品进入系统重测、换料确认_Tikal assembly Flow Chart and TQCI--20120119" xfId="16009"/>
    <cellStyle name="_Project A Pick List 20100312_Copy of FMTQCI-MIS3H064-P032 Tikal material Lot code scan and tracking" xfId="16010"/>
    <cellStyle name="_Project A Pick List 20100312_Copy of FMTTQCI-MIS3H064-P027 扫描COI次数_Nazca rework flow" xfId="16011"/>
    <cellStyle name="_Project A Pick List 20100312_FMTQCI-MIS3H058-P003(01)1A.离线打印设备标签.-------" xfId="16012"/>
    <cellStyle name="_Project A Pick List 20100312_FMTQCI-MIS3H058-P003(01)1A.离线打印设备标签.-------_Tikal assembly Flow Chart and TQCI--20120119" xfId="16013"/>
    <cellStyle name="_Project A Pick List 20100312_FMTQCI-MIS3H058-P005(03)3.Install RGB and IR Sensors into fixture装RGB和IR摄像头到夹具.-----" xfId="16014"/>
    <cellStyle name="Normal 5 16 3 2" xfId="16015"/>
    <cellStyle name="差_MB9月管審誤判超標 8D 2 3" xfId="16016"/>
    <cellStyle name="_Project A Pick List 20100312_FMTQCI-MIS3H058-P005(03)3.Install RGB and IR Sensors into fixture装RGB和IR摄像头到夹具.-----_Tikal assembly Flow Chart and TQCI--20120119" xfId="16017"/>
    <cellStyle name="好_River EE BOM_Creak Pearl Reliability Fixture RFQ_2009 04 24_Xl0000002_Leopard Lemur Squirrel UniBom-06.22.2010_EE cost _update_internal 2 2 3" xfId="16018"/>
    <cellStyle name="差_F3   SMT設備明細_jupite r設備&amp;治工具LIST (總)_Dallas效益分析&amp;投資回收期 (12-2 A1)_Flow chart and Fixture(1-4)_Jackson 效益分析 (2-1 B0 上系統)_squirrel效益分析08-17" xfId="16019"/>
    <cellStyle name="_Project A Pick List 20100312_FMTQCI-MIS3H058-P007(04)5. Install Bracket;Fix screws (X3);Install Ferrite.安装支架,打3颗螺钉;安装磁环----" xfId="16020"/>
    <cellStyle name="好_River EE BOM_Creak Pearl Reliability Fixture RFQ_2009 04 24_Leopard Lemur Squirrel UniBom-06.22.2010_EE cost _update_internal" xfId="16021"/>
    <cellStyle name="20% - 强调文字颜色 3 2 3" xfId="16022"/>
    <cellStyle name="_Project A Pick List 20100312_FMTQCI-MIS3H058-P007(04)5. Install Bracket;Fix screws (X3);Install Ferrite.安装支架,打3颗螺钉;安装磁环----_Tikal assembly Flow Chart and TQCI--20120119" xfId="16023"/>
    <cellStyle name="好_Creek Assembly Fixture  Test Equipment RFQ_20090427_Leopard_UniBOM_ME_0603-2_Bolt RFQ Proposal_Foxlink_ (Pricing Summary) 2 25 2011 2 2 3" xfId="16024"/>
    <cellStyle name="_Project A Pick List 20100312_FMTQCI-MIS3H058-P008_Tikal assembly Flow Chart and TQCI--20120119" xfId="16025"/>
    <cellStyle name="好_River EE BOM_Xl0000000_Foxlink_Shadow RFQ NREUni BOM_12032009_Bolt RFQ Proposal_Foxlink_ (Pricing Summary) 2 25 2011 5 3" xfId="16026"/>
    <cellStyle name="_Project A Pick List 20100312_FMTQCI-MIS3H058-P012" xfId="16027"/>
    <cellStyle name="_Project A Pick List 20100312_FMTQCI-MIS3H058-P012_Tikal assembly Flow Chart and TQCI--20120119" xfId="16028"/>
    <cellStyle name="_Project A Pick List 20100312_FMTQCI-MIS3H058-P021" xfId="16029"/>
    <cellStyle name="_Project A Pick List 20100312_FMTQCI-MIS3H058-P021_Tikal assembly Flow Chart and TQCI--20120119" xfId="16030"/>
    <cellStyle name="差_pq_Jackson 效益分析 (2-1 B0 上系統)_Leopard Flowchart &amp; 產能評估" xfId="16031"/>
    <cellStyle name="_Project A Pick List 20100312_FMTQCI-MIS3H058-P022" xfId="16032"/>
    <cellStyle name="_Project A Pick List 20100312_FMTQCI-MIS3H058-P022_Tikal assembly Flow Chart and TQCI--20120119" xfId="16033"/>
    <cellStyle name="好_Creek Assembly Fixture  Test Equipment RFQ_20090427_Leopard_UniBOM_ME_0602_Bolt RFQ_Foxlink_03.1 2011_nego meeting@MACH_Bolt_Cliff 3 2" xfId="16034"/>
    <cellStyle name="_Project A Pick List 20100312_FMTQCI-MIS3H058-P023" xfId="16035"/>
    <cellStyle name="_Project A Pick List 20100312_FMTQCI-MIS3H058-P023_Tikal assembly Flow Chart and TQCI--20120119" xfId="16036"/>
    <cellStyle name="_Project A Pick List 20100312_FMTQCI-MIS3H058-P025" xfId="16037"/>
    <cellStyle name="_Project A Pick List 20100312_FMTQCI-MIS3H058-P025_Tikal assembly Flow Chart and TQCI--20120119" xfId="16038"/>
    <cellStyle name="Percent 22 2 3" xfId="16039"/>
    <cellStyle name="Normal 25 2 2 2" xfId="16040"/>
    <cellStyle name="Normal 30 2 2 2" xfId="16041"/>
    <cellStyle name="DELTA" xfId="16042"/>
    <cellStyle name="_Project A Pick List 20100312_FMTQCI-MIS3H058-P028(03)25. Print &amp; Stick tamper labels then Final visual_Tikal assembly Flow Chart and TQCI--20120119" xfId="16043"/>
    <cellStyle name="好_River EE BOM_Creak Pearl Reliability Fixture RFQ_2009 04 24_Xl0000002_Leopard_UniBOM_ME_0602-1_Bolt RFQ Proposal_Foxlink_ (Pricing Summary) 2 25 2011 5 2" xfId="16044"/>
    <cellStyle name="_Project A Pick List 20100312_FMTQCI-MIS3H069-P001(01) Bundle flow chart" xfId="16045"/>
    <cellStyle name="_Project A Pick List 20100312_FMTQCI-MIS5H069 Bundle TQCI for new form" xfId="16046"/>
    <cellStyle name="_Project A Pick List 20100312_FMTQCI-MIS5H1485-P001 (01)   1 Place EMIAssy PCBA to EMI Bottom(form01)" xfId="16047"/>
    <cellStyle name="好_Creek Assembly Fixture  Test Equipment RFQ_20090427_Jackson and Shadow BOM cost_mainfile_2010 0324 rev.1_Bristol UniBom_Foxlink_02082011 RevA" xfId="16048"/>
    <cellStyle name="_Project A Pick List 20100312_FMTQCI-MIS5H1485-P001 (01)   1.Place EMI,Assy PCBA to EMI Bottom(form01)" xfId="16049"/>
    <cellStyle name="_Project A Pick List 20100312_Nazca DV Assembly Flow Chart and TQCI--20110802" xfId="16050"/>
    <cellStyle name="_Project A Pick List 20100312_NAZCA EV3C Box Build Flow Chart 20110506" xfId="16051"/>
    <cellStyle name="好_River EE BOM_Xl0000000_Leopard RFQ ME BOM Costs-0618-2_Bolt RFQ Proposal_Foxlink_ (Pricing Summary) 2 25 2011 2 2" xfId="16052"/>
    <cellStyle name="_x001e__Project A Riskbuy list 20100125" xfId="16053"/>
    <cellStyle name="差_RIO Trial run QA Report-7.21（SEA97217)_Dolce   QA Report 2010_0902 (A3)_~7519239" xfId="16054"/>
    <cellStyle name="差_Creak Pearl Reliability Fixture RFQ_2009 04 24_Creek RFQ feedback 04_28_2009_FD Update_Leopard UniBom_Foxlink_6 21 2010-nego" xfId="16055"/>
    <cellStyle name="好_Creek Assembly Fixture  Test Equipment RFQ_20090427_Xl0000002_Leopard RFQ ME BOM Costs-0618-2_Bolt RFQ Proposal_Foxlink_ (Pricing Summary) 2 25 2011 4" xfId="16056"/>
    <cellStyle name="_x001e__Project A Riskbuy list 20100125 (2)" xfId="16057"/>
    <cellStyle name="好_River EE BOM_Xl0000000_Leopard RFQ ME BOM Costs-0618-2_Bolt RFQ Proposal_Foxlink_ (Pricing Summary) 2 25 2011 2 2 2" xfId="16058"/>
    <cellStyle name="好_River EE BOM_Xl0000000_Squirrel UniBom-06.23.2010_update_internal_Bolt RFQ_Foxlink_03.1 2011_nego meeting@MACH 3" xfId="16059"/>
    <cellStyle name="_x001e__Project A Riskbuy list 20100125 2" xfId="16060"/>
    <cellStyle name="差_HP Mouse 產能評估(Forecast更改後)_Erie 效益分析 (Update)_Leopard Flowchart &amp; 產能評估" xfId="16061"/>
    <cellStyle name="_x001e__Project A Riskbuy list 20100125 2_Nasca Riskbuy list 20110117 wk03-Update" xfId="16062"/>
    <cellStyle name="差_Creak Pearl Reliability Fixture RFQ_2009 04 24_Leopard_UniBOM_ME_0603-2_Bolt RFQ_Foxlink_03.1 2011 3 2" xfId="16063"/>
    <cellStyle name="Currency 2 19" xfId="16064"/>
    <cellStyle name="Currency 2 24" xfId="16065"/>
    <cellStyle name="_x001e__Project A Riskbuy list 20100125 2_Project A Riskbuy list 20100201" xfId="16066"/>
    <cellStyle name="_x001e__Project A Riskbuy list 20100125 2_Project A Riskbuy list 20100222" xfId="16067"/>
    <cellStyle name="好_River EE BOM_Xl0000002_Squirrel UniBom-06.23.2010_update_internal_Bolt RFQ_Foxlink_03.1 2011 4" xfId="16068"/>
    <cellStyle name="_x001e__Project A Riskbuy list 20100125 2_Project A Riskbuy list 20100222 - MS Response" xfId="16069"/>
    <cellStyle name="_x001e__Project A Riskbuy list 20100125 2_Project A Riskbuy list 20100301" xfId="16070"/>
    <cellStyle name="差_Creak Pearl Reliability Fixture RFQ_2009 04 24_Creek  Pearl RFQ_May 12_Leopard_UniBOM_ME_0602_Bolt RFQ_Foxlink_03.1 2011_nego meeting@MACH 2" xfId="16071"/>
    <cellStyle name="_x001e__Project A Riskbuy list 20100125 2_Project A Riskbuy list 20100308" xfId="16072"/>
    <cellStyle name="差_Creak Pearl Reliability Fixture RFQ_2009 04 24_Creek  Pearl RFQ_May 12_Leopard_UniBOM_ME_0602_Bolt RFQ_Foxlink_03.1 2011_nego meeting@MACH 4" xfId="16073"/>
    <cellStyle name="好_Creek Assembly Fixture  Test Equipment RFQ_20090427_Squirrel RFQ ME BOM Costs-0623_Bolt RFQ Proposal_Foxlink_ (Pricing Summary) 2 25 2011 5 2" xfId="16074"/>
    <cellStyle name="_x001e__Project A Riskbuy list 20100125 2_Project A Riskbuy list 20100315" xfId="16075"/>
    <cellStyle name="Warning Text 3" xfId="16076"/>
    <cellStyle name="_x001e__Project A Riskbuy list 20100125 2_Project A Riskbuy list 20100322 (2)" xfId="16077"/>
    <cellStyle name="差_Creak Pearl Reliability Fixture RFQ_2009 04 24_Leopard Lemur Squirrel UniBom-06.22.2010_EE cost _update_internal 2 4" xfId="16078"/>
    <cellStyle name="_x001e__Project A Riskbuy list 20100125 2_Project A Riskbuy list 20100322 wk13 - MS RESPONSE" xfId="16079"/>
    <cellStyle name="好_River EE BOM_Xl0000000_Foxlink_Shadow RFQ NREUni BOM_12032009 3" xfId="16080"/>
    <cellStyle name="好_Erie Assembly Fixture  Test Equip Cost_20090716_Bolt RFQ Proposal_Foxlink_ (Pricing Summary) 2 25 2011 2" xfId="16081"/>
    <cellStyle name="_x001e__Project A Riskbuy list 20100125 2_Project A Riskbuy list 20100329 wk14 - MS RESPONSE" xfId="16082"/>
    <cellStyle name="_x001e__Project A Riskbuy list 20100125 2_Project A Riskbuy list 20100329 wk141" xfId="16083"/>
    <cellStyle name="好_Creek EE BOM cost_20090425_Creek RFQ feedback 04_28_2009_FD Update_Leopard_UniBOM_ME_0531_Bolt RFQ Proposal_Foxlink_ (Pricing Summary) 2 25 2011 5" xfId="16084"/>
    <cellStyle name="20% - Accent2 10" xfId="16085"/>
    <cellStyle name="_x001e__Project A Riskbuy list 20100125 2_Project A Riskbuy list 20100405 wk15 - MS Response (3)" xfId="16086"/>
    <cellStyle name="_x001e__Project A Riskbuy list 20100125 2_Project A Riskbuy list 20100406" xfId="16087"/>
    <cellStyle name="_x001e__Project A Riskbuy list 20100125 2_Project A Riskbuy list 20100412" xfId="16088"/>
    <cellStyle name="_Z9 blueAnt ME BOM 0910_BlueAnt_Quotebook_V3_07SEP11_Stream RFQ Unibom--0626-1756_Stream Quotebook(Submittal)_POC1_20080903" xfId="16089"/>
    <cellStyle name="_短路明細_八月月報2_0538周周管審--FINl_複本 0541周周管審" xfId="16090"/>
    <cellStyle name="_x001e__Project A Riskbuy list 20100125 2_Project A Riskbuy list 20100419 wk17 - MS Response" xfId="16091"/>
    <cellStyle name="_x001e__Project A Riskbuy list 20100125 2_Project A Riskbuy list 20100426" xfId="16092"/>
    <cellStyle name="差_Xl0000000_Leopard Lemur Squirrel UniBom-06.22.2010_EE cost _update_internal_Bolt RFQ_Foxlink_03.1 2011 4" xfId="16093"/>
    <cellStyle name="_x001e__Project A Riskbuy list 20100125 2_Project A Riskbuy list 20100426 wk18 - MS Response" xfId="16094"/>
    <cellStyle name="_x001e__Project A Riskbuy list 20100201 - MS" xfId="16095"/>
    <cellStyle name="_x001e__Project A Riskbuy list 20100222" xfId="16096"/>
    <cellStyle name="_x001e__Project A Riskbuy list 20100222 - MS Response" xfId="16097"/>
    <cellStyle name="_x001e__Project A Riskbuy list 20100301" xfId="16098"/>
    <cellStyle name="_x001e__Project A Riskbuy list 20100308" xfId="16099"/>
    <cellStyle name="_x001e__Project A Riskbuy list 20100315" xfId="16100"/>
    <cellStyle name="_x001e__Project A Riskbuy list 20100329 wk14 - MS RESPONSE" xfId="16101"/>
    <cellStyle name="好_Erie 效益分析 (Update)_效益分析(總 12-28 Update)_Jackson 效益分析 (2-1 B0 上系統)" xfId="16102"/>
    <cellStyle name="_x001e__Project A Riskbuy list 20100405 wk15 - MS Response (3)" xfId="16103"/>
    <cellStyle name="差_Xl0000000_Leopard UniBom_Foxlink_6 21 2010-ME_nego_Bolt RFQ_Foxlink_03.1 2011" xfId="16104"/>
    <cellStyle name="_x001e__Project A Riskbuy list 20100406" xfId="16105"/>
    <cellStyle name="_x001e__Project A Riskbuy list 20100412" xfId="16106"/>
    <cellStyle name="差_Creek RFQ feedback 04_28_2009_FD Update_Leopard UniBom_Foxlink_6 21 2010-ME_nego_Bolt RFQ_Foxlink_03.1 2011 5" xfId="16107"/>
    <cellStyle name="_x001e__Project A Riskbuy list 20100419" xfId="16108"/>
    <cellStyle name="_x001e__Project A Riskbuy list 20100419 wk17 - MS Response" xfId="16109"/>
    <cellStyle name="差_Xl0000002_Leopard Lemur Squirrel UniBom-06.22.2010_EE cost _update_internal_Bolt RFQ Proposal_Foxlink_ (Pricing Summary) 2 25 2011 2 2" xfId="16110"/>
    <cellStyle name="好_River EE BOM_Xl0000000_Leopard RFQ ME BOM Costs-0618-2_Bolt RFQ Proposal_Foxlink_ (Pricing Summary) 2 25 2011 5 3" xfId="16111"/>
    <cellStyle name="_x001e__Project A Riskbuy list 20100426" xfId="16112"/>
    <cellStyle name="_x001e__Project A Riskbuy list 20100426 wk18 - MS Response" xfId="16113"/>
    <cellStyle name="好_K TEST 3 4" xfId="16114"/>
    <cellStyle name="_x001e__Project A Riskbuy list 20100504" xfId="16115"/>
    <cellStyle name="好_River EE BOM_Creak Pearl Reliability Fixture RFQ_2009 04 24_Creek  Pearl RFQ_May 12_Foxlink_Shadow RFQ NREUni BOM_12032009_Bolt RFQ_Foxlink_03.1 2011_nego meeting@MACH 3 2" xfId="16116"/>
    <cellStyle name="_Project A ToolingFixture List 091202" xfId="16117"/>
    <cellStyle name="壞_Creek EE BOM cost_20090425_Creek RFQ feedback 04_28_2009_FD Update_Bolt RFQ Proposal_Foxlink_ (Pricing Summary) 2 25 2011 8" xfId="16118"/>
    <cellStyle name="_Project A ToolingFixture List 091202_FMTQCI-MIS3H064-P027(01)Nazca Copy Exact Flow chart" xfId="16119"/>
    <cellStyle name="_Project A ToolingFixture List 091202_Nazca copy exact flow chart 20120409" xfId="16120"/>
    <cellStyle name="_Project A XBOX PCBA Manpower List Rev2" xfId="16121"/>
    <cellStyle name="差_Xl0000000_Foxlink_Shadow RFQ NREUni BOM_12032009 3 3" xfId="16122"/>
    <cellStyle name="_Project Management0504_2010-05 費用分析0604" xfId="16123"/>
    <cellStyle name="Normal 5 4 2 2 5" xfId="16124"/>
    <cellStyle name="_Project Management0504_2010銷售明細實績-201006" xfId="16125"/>
    <cellStyle name="好_Creek Assembly Fixture  Test Equipment RFQ_20090427_Xl0000002_Squirrel RFQ ME BOM Costs-0623_Bolt RFQ_Foxlink_03.1 2011_nego meeting@MACH 3" xfId="16126"/>
    <cellStyle name="_Promotion Form" xfId="16127"/>
    <cellStyle name="_Purchase items tracker ODM" xfId="16128"/>
    <cellStyle name="_PWB_Q4 FY05 Splits to EMs_09082004SCF" xfId="16129"/>
    <cellStyle name="_Q2 fdm bom" xfId="16130"/>
    <cellStyle name="_Q3 OS" xfId="16131"/>
    <cellStyle name="_Q3 OS_2009 xBOX ramp up budget code applicaiton" xfId="16132"/>
    <cellStyle name="好_Creek Assembly Fixture  Test Equipment RFQ_20090427_Leopard_UniBOM_ME_0531 3" xfId="16133"/>
    <cellStyle name="Note 9 2 3" xfId="16134"/>
    <cellStyle name="_Q3 OS_2009 xBOX ramp up budget code applicaiton 300K --New May26 (3)" xfId="16135"/>
    <cellStyle name="差_F3   SMT設備明細_Jackson 效益分析 (2-1 B0 上系統)_Leopard Flowchart &amp; 產能評估" xfId="16136"/>
    <cellStyle name="_Q3 OS_2009 xBOX ramp up budget code applicaiton 300K --New May27" xfId="16137"/>
    <cellStyle name="_Q3 OS_Budget GC Other Form" xfId="16138"/>
    <cellStyle name="壞_Creek Assembly Fixture  Test Equipment RFQ_20090427_Foxlink_Shadow RFQ NREUni BOM_12032009_Bolt RFQ Proposal_Foxlink_ (Pricing Summary) 2 25 2011 6" xfId="16139"/>
    <cellStyle name="差_Leopard效益分析08-17" xfId="16140"/>
    <cellStyle name="_Q3 OS_Copy of X-BOX for line setup budget" xfId="16141"/>
    <cellStyle name="_Q3 OS_Forecast Template v4" xfId="16142"/>
    <cellStyle name="_Q3 OS_X-BOX BB" xfId="16143"/>
    <cellStyle name="_Q3 OS_X-BOX Console line setup budget and Buyer list" xfId="16144"/>
    <cellStyle name="好_Creek Assembly Fixture  Test Equipment RFQ_20090427_Leopard UniBom_Foxlink_6 21 2010-ME_nego 3 3" xfId="16145"/>
    <cellStyle name="_Q4 Split-Oct04 Buisness Awards - EMS" xfId="16146"/>
    <cellStyle name="_QA name list" xfId="16147"/>
    <cellStyle name="_QA name list 3" xfId="16148"/>
    <cellStyle name="20% - 强调文字颜色 6 2" xfId="16149"/>
    <cellStyle name="_QA name list 3_人员计划" xfId="16150"/>
    <cellStyle name="差_Creak Pearl Reliability Fixture RFQ_2009 04 24_Leopard RFQ ME BOM Costs-0618_Bolt RFQ Proposal_Foxlink_ (Pricing Summary) 2 25 2011 3" xfId="16151"/>
    <cellStyle name="Normal 37 4 2" xfId="16152"/>
    <cellStyle name="Normal 42 4 2" xfId="16153"/>
    <cellStyle name="20% - Accent3 8" xfId="16154"/>
    <cellStyle name="_QA name list 3_人员计划_format" xfId="16155"/>
    <cellStyle name="好_River EE BOM_Creak Pearl Reliability Fixture RFQ_2009 04 24_Pearl RFQ(Submittal)ver2_05_12_2009 _Leopard_UniBOM_ME_0603-2_Bolt RFQ_Foxlink_03.1 2011_nego meeting@MACH 2 3" xfId="16156"/>
    <cellStyle name="_Quote Format - sample Rev 7 (not approve yet)" xfId="16157"/>
    <cellStyle name="_QA name list_format" xfId="16158"/>
    <cellStyle name="_QA組織圖" xfId="16159"/>
    <cellStyle name="差_效益分析&amp;產能評估_MS Bolt wireless mouse FixtureEquipment Cost_A5_2010_02_21 2 2 2" xfId="16160"/>
    <cellStyle name="Accent3 10" xfId="16161"/>
    <cellStyle name="_Q-Iceberg Plastic RFQ-2007-0611" xfId="16162"/>
    <cellStyle name="_Quo-Buteo web cam-20071012-V01" xfId="16163"/>
    <cellStyle name="_Quo-Safari ME-060729-V1-merrich" xfId="16164"/>
    <cellStyle name="好_Creek Assembly Fixture  Test Equipment RFQ_20090427_Leopard RFQ ME BOM Costs-0618 3" xfId="16165"/>
    <cellStyle name="_Quo-Safari ME-060729-V1-merrich 2" xfId="16166"/>
    <cellStyle name="差_Xl0000000_Foxlink_Shadow RFQ NREUni BOM_12032009_Bolt RFQ Proposal_Foxlink_ (Pricing Summary) 2 25 2011 2 2 2" xfId="16167"/>
    <cellStyle name="_Quo-Safari ME-060729-V1-merrich_KYE Glacier Uni_BOM Update after negotiation 07272007" xfId="16168"/>
    <cellStyle name="_Quo-Safari ME-060729-V1-merrich_KYE Glacier Uni_BOM Update after negotiation 07272007 2" xfId="16169"/>
    <cellStyle name="_Quo-Serengeti ME-05121501 (2) 2" xfId="16170"/>
    <cellStyle name="_Quo-Serengeti ME-05121501 (2)_KYE Glacier Uni_BOM Update after negotiation 07272007" xfId="16171"/>
    <cellStyle name="好_Creek Assembly Fixture  Test Equipment RFQ_20090427_Xl0000002_Leopard_UniBOM_ME_0531 3 2" xfId="16172"/>
    <cellStyle name="_Quo-Serengeti ME-05121501 (2)_KYE Glacier Uni_BOM Update after negotiation 07272007 2" xfId="16173"/>
    <cellStyle name="差_Creak Pearl Reliability Fixture RFQ_2009 04 24_Creek  Pearl RFQ_May 12_Leopard UniBom_Foxlink_6 21 2010-ME_nego_Bolt RFQ Proposal_Foxlink_ (Pricing Summary) 2 25 2011 2" xfId="16174"/>
    <cellStyle name="好_MB9月管審誤判超標 8D_2009MB KPI_MBO3F製造部hp0209-01 3 4" xfId="16175"/>
    <cellStyle name="_Quotebook_V3_07SEP11_Internal RFQ River Standalone  Bundle Unibom_v1 2_20080603_EJ_Stream Package Quotation_20090311" xfId="16176"/>
    <cellStyle name="_Quo-Serengeti ME-060416-V8_Jerry_KYE Glacier Uni_BOM Update after negotiation 07272007" xfId="16177"/>
    <cellStyle name="差_Creak Pearl Reliability Fixture RFQ_2009 04 24_Creek  Pearl RFQ_May 12_Leopard UniBom_Foxlink_6 21 2010-ME_nego_Bolt RFQ Proposal_Foxlink_ (Pricing Summary) 2 25 2011 2 2" xfId="16178"/>
    <cellStyle name="_Quo-Serengeti ME-060416-V8_Jerry_KYE Glacier Uni_BOM Update after negotiation 07272007 2" xfId="16179"/>
    <cellStyle name="差_Creak Pearl Reliability Fixture RFQ_2009 04 24_Leopard_UniBOM_ME_0603-2_Bolt RFQ_Foxlink_03.1 2011_nego meeting@MACH 3" xfId="16180"/>
    <cellStyle name="好_Creek EE BOM cost_20090425_Leopard RFQ ME BOM Costs-0618_Bolt RFQ Proposal_Foxlink_ (Pricing Summary) 2 25 2011" xfId="16181"/>
    <cellStyle name="_quotation(IBM) to david new" xfId="16182"/>
    <cellStyle name="好_River EE BOM_Xl0000002_Bolt RFQ Proposal_Foxlink_ (Pricing Summary) 2 25 2011 3" xfId="16183"/>
    <cellStyle name="_quotation(IBM) to david new_Captial Investment Mustang Dated 022609 (2)" xfId="16184"/>
    <cellStyle name="差 2 2" xfId="16185"/>
    <cellStyle name="一般 14 3 2" xfId="16186"/>
    <cellStyle name="_quotation(IBM) to david new_FlexStandardQuoteExample(JasonDated110107)" xfId="16187"/>
    <cellStyle name="_quotation(IBM) to david new_IBM SC Zero Cost_010405" xfId="16188"/>
    <cellStyle name="_quotation(IBM) to david new_Lenovo PACK  Packing Proposal" xfId="16189"/>
    <cellStyle name="_quotation(IBM) to david new_Lenovo Park Format_July 07 05V2" xfId="16190"/>
    <cellStyle name="_quotation(IBM) to david new_Microsoft Xenon Zero Cost_111405" xfId="16191"/>
    <cellStyle name="_quotation(IBM) to david new_Mustang production assembly quotation (internal review)3-16 Rev7" xfId="16192"/>
    <cellStyle name="_quotation(IBM) to david new_Mustang production assembly quotation (internal review)4-1 Rev8" xfId="16193"/>
    <cellStyle name="_quotation(IBM) to david new_Mustang production sample quotation (internal review)3-12-09 Rev3" xfId="16194"/>
    <cellStyle name="_quotation(IBM) to david new_Purchase items tracker ODM" xfId="16195"/>
    <cellStyle name="差_F3   SMT設備明細_jupite r設備&amp;治工具LIST (總)_pq_Flow Chart&amp;設備治工具清單 _Leopard效益分析08-17" xfId="16196"/>
    <cellStyle name="_quotation(IBM) to david new_Quote for 2WIRE Rev 0" xfId="16197"/>
    <cellStyle name="_quotation(IBM) to david new_Quote Format - sample" xfId="16198"/>
    <cellStyle name="_quotation(IBM) to david new_Quote Format - sample Rev 7 (not approve yet)" xfId="16199"/>
    <cellStyle name="_quotation(IBM) to david new_Radon chill_Quotation_Price(Internal) 6-9" xfId="16200"/>
    <cellStyle name="Normal 27 2 2 2" xfId="16201"/>
    <cellStyle name="Normal 32 2 2 2" xfId="16202"/>
    <cellStyle name="_Quotation_Reliability Test Fixture_20070418" xfId="16203"/>
    <cellStyle name="_Quote for 2WIRE Rev 0" xfId="16204"/>
    <cellStyle name="20% - Accent4 3 3 2" xfId="16205"/>
    <cellStyle name="_Quote_PixArt Reflowable Module_2010Jun28_Internal" xfId="16206"/>
    <cellStyle name="_Quotebook_07SEP10" xfId="16207"/>
    <cellStyle name="_Quotebook_07SEP10_BlueAnt_Quotebook_V3_07SEP11" xfId="16208"/>
    <cellStyle name="_Quotebook_07SEP10_BlueAnt_Quotebook_V3_07SEP11 2" xfId="16209"/>
    <cellStyle name="好_River EE BOM_Creak Pearl Reliability Fixture RFQ_2009 04 24_Xl0000002_Squirrel RFQ ME BOM Costs-0623 2 2 2" xfId="16210"/>
    <cellStyle name="_Quotebook_07SEP10_BlueAnt_Quotebook_V3_07SEP11_Internal RFQ River Standalone  Bundle Unibom_v1 2_20080603_EJ 2" xfId="16211"/>
    <cellStyle name="好_Creek Assembly Fixture  Test Equipment RFQ_20090427_Leopard_UniBOM_ME_0531_Bolt_Cliff 2 3" xfId="16212"/>
    <cellStyle name="_Quotebook_07SEP10_BlueAnt_Quotebook_V3_07SEP11_Internal RFQ River Standalone  Bundle Unibom_v1 2_20080603_EJ_Stream Package Quotation_20090311" xfId="16213"/>
    <cellStyle name="好_Creek Assembly Fixture  Test Equipment RFQ_20090427_Leopard RFQ ME BOM Costs-0618_Bolt RFQ_Foxlink_03.1 2011_nego meeting@MACH_Bolt_Cliff 4 3" xfId="16214"/>
    <cellStyle name="_Quotebook_07SEP10_BlueAnt_Quotebook_V3_07SEP11_Internal RFQ River Standalone  Bundle Unibom_v1 2_20080603_EJ_Stream Quotebook(Submittal)_POC1_20080903" xfId="16215"/>
    <cellStyle name="_Quotebook_07SEP10_BlueAnt_Quotebook_V3_07SEP11_RFQ_River_BAFO_2008 0606_M1" xfId="16216"/>
    <cellStyle name="_Quotebook_07SEP10_BlueAnt_Quotebook_V3_07SEP11_RFQ_River_BAFO_2008 0606_M1 2" xfId="16217"/>
    <cellStyle name="_Quotebook_07SEP10_BlueAnt_Quotebook_V3_07SEP11_RFQ_River_BAFO_2008 0606_M1_Stream Quotebook (Submittal)_POC2_20081117-1" xfId="16218"/>
    <cellStyle name="好_River EE BOM_Creak Pearl Reliability Fixture RFQ_2009 04 24_Creek RFQ feedback 04_28_2009_FD Update_Squirrel RFQ ME BOM Costs-0623_Bolt RFQ Proposal_Foxlink_ (Pricing Summary) 2 25 2011 2 3" xfId="16219"/>
    <cellStyle name="_Quotebook_07SEP10_BlueAnt_Quotebook_V3_07SEP11_RFQ_River_BAFO_2008 0606_M1_Stream Quotebook(Submittal)_POC1_20080903" xfId="16220"/>
    <cellStyle name="壞_Creek EE BOM cost_20090425_Leopard RFQ ME BOM Costs-0623" xfId="16221"/>
    <cellStyle name="壞_Creek EE BOM cost_20090425_Leopard RFQ ME BOM Costs-0618" xfId="16222"/>
    <cellStyle name="差_Creek RFQ feedback 04_28_2009_FD Update_Foxlink_Shadow RFQ NREUni BOM_12032009_Bolt RFQ_Foxlink_03.1 2011 5" xfId="16223"/>
    <cellStyle name="_Quotebook_07SEP10_BlueAnt_Quotebook_V3_07SEP11_RFQ_River_BAFO_2008 0606_M1_Stream Quotebook(Submittal)_POC1_20080903 2" xfId="16224"/>
    <cellStyle name="计算 4 2 3 2" xfId="16225"/>
    <cellStyle name="好_River EE BOM_Creak Pearl Reliability Fixture RFQ_2009 04 24_Creek RFQ feedback 04_28_2009_FD Update_Leopard RFQ ME BOM Costs-0618-2_Bolt RFQ Proposal_Foxlink_ (Pricing Summary) 2 25 2011 2" xfId="16226"/>
    <cellStyle name="_Quotebook_07SEP10_BlueAnt_Quotebook_V3_07SEP11_Stream RFQ Unibom--0626-1756" xfId="16227"/>
    <cellStyle name="好_River EE BOM_Creak Pearl Reliability Fixture RFQ_2009 04 24_Creek RFQ feedback 04_28_2009_FD Update_Leopard RFQ ME BOM Costs-0618-2_Bolt RFQ Proposal_Foxlink_ (Pricing Summary) 2 25 2011 2 2" xfId="16228"/>
    <cellStyle name="Comma 18 3" xfId="16229"/>
    <cellStyle name="_Quotebook_07SEP10_BlueAnt_Quotebook_V3_07SEP11_Stream RFQ Unibom--0626-1756 2" xfId="16230"/>
    <cellStyle name="_Quotebook_07SEP10_BlueAnt_Quotebook_V3_07SEP11_Stream RFQ Unibom--0626-1756_Stream Package Quotation_20090311" xfId="16231"/>
    <cellStyle name="_Quotebook_07SEP10_BlueAnt_Quotebook_V3_07SEP11_Stream RFQ Unibom--0626-1756_Stream Quotebook (Submittal)_POC2_20081117-1" xfId="16232"/>
    <cellStyle name="_Quotebook_07SEP10_BlueAnt_Quotebook_V3_07SEP11_Stream RFQ Unibom--0626-1756_Stream Quotebook(Submittal)_POC1_20080903" xfId="16233"/>
    <cellStyle name="差_治具工程課2009年KPI_產線生產規劃KPI 2 3 2" xfId="16234"/>
    <cellStyle name="好_MB9月管審換線超時8d_HP 2 2" xfId="16235"/>
    <cellStyle name="_Quotebook_07SEP10_Internal RFQ River Standalone  Bundle Unibom_v1 2_20080603_EJ" xfId="16236"/>
    <cellStyle name="差_F3   SMT設備明細_jupite r設備&amp;治工具LIST (總)_Dallas效益分析&amp;投資回收期 (12-2 A1)_Jackson 效益分析 (1-18 A7)" xfId="16237"/>
    <cellStyle name="_Quotebook_07SEP10_Internal RFQ River Standalone  Bundle Unibom_v1 2_20080603_EJ_Stream Package Quotation_20090311" xfId="16238"/>
    <cellStyle name="_Quotebook_07SEP10_Internal RFQ River Standalone  Bundle Unibom_v1 2_20080603_EJ_Stream Quotebook (Submittal)_POC2_20081117-1" xfId="16239"/>
    <cellStyle name="Note 7 2" xfId="16240"/>
    <cellStyle name="_Quotebook_07SEP10_Internal RFQ River Standalone  Bundle Unibom_v1 2_20080603_EJ_Stream Quotebook(Submittal)_POC1_20080903" xfId="16241"/>
    <cellStyle name="_Quotebook_07SEP10_RFQ_River_BAFO_2008 0606_M1 2" xfId="16242"/>
    <cellStyle name="差_Creak Pearl Reliability Fixture RFQ_2009 04 24_Xl0000002_Leopard Lemur Squirrel UniBom-06.22.2010_EE cost _update_internal 3 2" xfId="16243"/>
    <cellStyle name="_Quotebook_07SEP10_RFQ_River_BAFO_2008 0606_M1_Stream Package Quotation_20090311" xfId="16244"/>
    <cellStyle name="_Quotebook_07SEP10_RFQ_River_BAFO_2008 0606_M1_Stream Quotebook(Submittal)_POC1_20080903 2" xfId="16245"/>
    <cellStyle name="差_Creak Pearl Reliability Fixture RFQ_2009 04 24_Pearl RFQ(Submittal)ver2_05_12_2009 _Leopard UniBom_Foxlink_6 21 2010-ME_nego_Bolt RFQ_Foxlink_03.1 2011_nego meeting@MACH 2 3" xfId="16246"/>
    <cellStyle name="_Quotebook_07SEP10_Stream RFQ Unibom--0626-1756" xfId="16247"/>
    <cellStyle name="_Quotebook_07SEP10_Stream RFQ Unibom--0626-1756 2" xfId="16248"/>
    <cellStyle name="_Quotebook_07SEP10_Stream RFQ Unibom--0626-1756_Stream Quotebook (Submittal)_POC2_20081117-1" xfId="16249"/>
    <cellStyle name="_Quotebook_07SEP10_Stream RFQ Unibom--0626-1756_Stream Quotebook(Submittal)_POC1_20080903" xfId="16250"/>
    <cellStyle name="_Quotebook_V3_07SEP11 2" xfId="16251"/>
    <cellStyle name="_Quotebook_V3_07SEP11_Internal RFQ River Standalone  Bundle Unibom_v1 2_20080603_EJ" xfId="16252"/>
    <cellStyle name="_Quotebook_V3_07SEP11_Internal RFQ River Standalone  Bundle Unibom_v1 2_20080603_EJ 2" xfId="16253"/>
    <cellStyle name="差_Creak Pearl Reliability Fixture RFQ_2009 04 24_Creek  Pearl RFQ_May 12_Leopard RFQ ME BOM Costs-0618-2 2 2 2" xfId="16254"/>
    <cellStyle name="好_Creek EE BOM cost_20090425_Leopard UniBom_Foxlink_6 21 2010-ME_nego_Bolt RFQ_Foxlink_03.1 2011 4" xfId="16255"/>
    <cellStyle name="_Quotebook_V3_07SEP11_Internal RFQ River Standalone  Bundle Unibom_v1 2_20080603_EJ_Stream Quotebook (Submittal)_POC2_20081117-1" xfId="16256"/>
    <cellStyle name="差_Creak Pearl Reliability Fixture RFQ_2009 04 24_Leopard_UniBOM_ME_0602_Bolt RFQ Proposal_Foxlink_ (Pricing Summary) 2 25 2011 3 2" xfId="16257"/>
    <cellStyle name="差_Creak Pearl Reliability Fixture RFQ_2009 04 24_Leopard Lemur Squirrel UniBom-06.22.2010_EE cost _update_internal_Bolt RFQ_Foxlink_03.1 2011 2 2" xfId="16258"/>
    <cellStyle name="_Raw Materials Analysis Report" xfId="16259"/>
    <cellStyle name="_Quotebook_V3_07SEP11_Internal RFQ River Standalone  Bundle Unibom_v1 2_20080603_EJ_Stream Quotebook(Submittal)_POC1_20080903" xfId="16260"/>
    <cellStyle name="好_River EE BOM_Creek RFQ feedback 04_28_2009_FD Update_Squirrel RFQ ME BOM Costs-0623_Bolt RFQ_Foxlink_03.1 2011_nego meeting@MACH 3 2" xfId="16261"/>
    <cellStyle name="_Quotebook_V3_07SEP11_RFQ_River_BAFO_2008 0606_M1" xfId="16262"/>
    <cellStyle name="_WL138V2" xfId="16263"/>
    <cellStyle name="_Quotebook_V3_07SEP11_RFQ_River_BAFO_2008 0606_M1 2" xfId="16264"/>
    <cellStyle name="_Quotebook_V3_07SEP11_RFQ_River_BAFO_2008 0606_M1_Stream Package Quotation_20090311" xfId="16265"/>
    <cellStyle name="壞_Creek Assembly Fixture  Test Equipment RFQ_20090427_Squirrel UniBom-06.23.2010_update_internal_Bolt RFQ_Foxlink_03.1 2011_nego meeting@MACH 2 3" xfId="16266"/>
    <cellStyle name="好_Creek EE BOM cost_20090425_Creek RFQ feedback 04_28_2009_FD Update_Leopard RFQ ME BOM Costs-0618_Bolt RFQ Proposal_Foxlink_ (Pricing Summary) 2 25 2011 2 2 3" xfId="16267"/>
    <cellStyle name="_Quotebook_V3_07SEP11_RFQ_River_BAFO_2008 0606_M1_Stream Quotebook (Submittal)_POC2_20081117-1" xfId="16268"/>
    <cellStyle name="差_治具工程課2009年KPI 2 2 2 3" xfId="16269"/>
    <cellStyle name="差_Creak Pearl Reliability Fixture RFQ_2009 04 24_Pearl RFQ(Submittal)ver2_05_12_2009 _Squirrel RFQ ME BOM Costs-0623_Bolt RFQ Proposal_Foxlink_ (Pricing Summary) 2 25 2011 4 2" xfId="16270"/>
    <cellStyle name="_Quotebook_V3_07SEP11_RFQ_River_BAFO_2008 0606_M1_Stream Quotebook(Submittal)_POC1_20080903" xfId="16271"/>
    <cellStyle name="_Quotebook_V3_07SEP11_RFQ_River_BAFO_2008 0606_M1_Stream Quotebook(Submittal)_POC1_20080903 2" xfId="16272"/>
    <cellStyle name="差_HP Mouse 產能評估(上系統)_Erie 效益分析 (Update)_Jackson 效益分析 testing update_16th Jan111" xfId="16273"/>
    <cellStyle name="好_River EE BOM_Creak Pearl Reliability Fixture RFQ_2009 04 24_Creek  Pearl RFQ_May 12_Leopard_UniBOM_ME_0603-2_Bolt RFQ_Foxlink_03.1 2011_nego meeting@MACH 3 2" xfId="16274"/>
    <cellStyle name="_Radon Costed BOM Rev E 7-30-05_Gutenberg Manufacturing Pricing" xfId="16275"/>
    <cellStyle name="_Quotebook_V3_07SEP11_Stream RFQ Unibom--0626-1756 2" xfId="16276"/>
    <cellStyle name="_Quotebook_V3_07SEP11_Stream RFQ Unibom--0626-1756_Stream Package Quotation_20090311" xfId="16277"/>
    <cellStyle name="_Quotebook_V3_07SEP11_Stream RFQ Unibom--0626-1756_Stream Quotebook (Submittal)_POC2_20081117-1" xfId="16278"/>
    <cellStyle name="_Quotebook_V3_07SEP11_Stream RFQ Unibom--0626-1756_Stream Quotebook(Submittal)_POC1_20080903" xfId="16279"/>
    <cellStyle name="_Quotebook_V3_07SEP11_Stream RFQ Unibom--0626-1756_Stream Quotebook(Submittal)_POC1_20080903 2" xfId="16280"/>
    <cellStyle name="差_HP Mouse 產能評估(上系統)_Bolt RFQ_Foxlink_03.1 2011 3 2" xfId="16281"/>
    <cellStyle name="_R1" xfId="16282"/>
    <cellStyle name="Heading 3 3 2" xfId="16283"/>
    <cellStyle name="_R3" xfId="16284"/>
    <cellStyle name="_R9 Excess 分析-081129 (2)" xfId="16285"/>
    <cellStyle name="差_Creak Pearl Reliability Fixture RFQ_2009 04 24_Pearl RFQ(Submittal)ver2_05_12_2009 _Leopard_UniBOM_ME_0603-2_Bolt RFQ_Foxlink_03.1 2011_nego meeting@MACH 3 2" xfId="16286"/>
    <cellStyle name="差_Creak Pearl Reliability Fixture RFQ_2009 04 24_Xl0000002_Leopard RFQ ME BOM Costs-0618-2_Bolt RFQ_Foxlink_03.1 2011_nego meeting@MACH 3 3" xfId="16287"/>
    <cellStyle name="_R9 Excess 分析-081205" xfId="16288"/>
    <cellStyle name="好_Creek EE BOM cost_20090425_Leopard_UniBOM_ME_0603-2 2 2 3" xfId="16289"/>
    <cellStyle name="_WWF FY02 Budget REV &amp; FE_Sheet1" xfId="16290"/>
    <cellStyle name="_Radon chill_Quotation_Price(Internal) 6-9" xfId="16291"/>
    <cellStyle name="差_Xl0000002_Leopard_UniBOM_ME_0602-1_Bolt RFQ Proposal_Foxlink_ (Pricing Summary) 2 25 2011 3 2" xfId="16292"/>
    <cellStyle name="_Radon Costed BOM Rev E 7-30-05_Dawson_Dev Pricing" xfId="16293"/>
    <cellStyle name="_Radon Costed BOM Rev E 7-30-05_FM Transmitter_Dev Labor NRE_Mar26-07" xfId="16294"/>
    <cellStyle name="_Radon Costed BOM Rev E 7-30-05_Gutenberg Development Pricing" xfId="16295"/>
    <cellStyle name="好_River EE BOM_Creak Pearl Reliability Fixture RFQ_2009 04 24_Creek RFQ feedback 04_28_2009_FD Update_Leopard UniBom_Foxlink_6 21 2010-ME_nego_Bolt RFQ_Foxlink_03.1 2011_nego meeting@MACH 4" xfId="16296"/>
    <cellStyle name="好_River EE BOM_Creek RFQ feedback 04_28_2009_FD Update_Bristol UniBom_Foxlink_02082011 RevA" xfId="16297"/>
    <cellStyle name="_Radon Costed BOM Rev E 7-30-05_Zune v2  Manufacturing Pricing" xfId="16298"/>
    <cellStyle name="_Radon Costed BOM Rev E 7-30-05_Zune V2 FM Transmitter_Schedule A" xfId="16299"/>
    <cellStyle name="_Radon Costed BOM Rev F 8-4-05" xfId="16300"/>
    <cellStyle name="_Radon Costed BOM Rev F 8-4-05_Dawson_Dev Pricing" xfId="16301"/>
    <cellStyle name="_Radon Costed BOM Rev F 8-4-05_Dawson_RFP_Foxlink_Response_Proposal 的 工作表" xfId="16302"/>
    <cellStyle name="差_Xl0000002_Bolt RFQ_Foxlink_03.1 2011_nego meeting@MACH 3 2" xfId="16303"/>
    <cellStyle name="_Radon Costed BOM Rev F 8-4-05_FM Transmitter_Dev Labor NRE_Mar26-07" xfId="16304"/>
    <cellStyle name="好_River EE BOM_Creak Pearl Reliability Fixture RFQ_2009 04 24_Xl0000002_Leopard UniBom_Foxlink_6 21 2010-ME_nego_Bolt RFQ_Foxlink_03.1 2011 2" xfId="16305"/>
    <cellStyle name="_Radon Costed BOM Rev F 8-4-05_Gutenberg Development Pricing" xfId="16306"/>
    <cellStyle name="差_HP  專案(設備&amp;治工具需夠買)update_Erie 效益分析 (Update)_Jackson 效益分析 testing update_16th Jan111_Jackson 效益分析 (2-1 B0 上系統)" xfId="16307"/>
    <cellStyle name="好_Creek EE BOM cost_20090425_Creek RFQ feedback 04_28_2009_FD Update_Leopard_UniBOM_ME_0602_Bolt RFQ Proposal_Foxlink_ (Pricing Summary) 2 25 2011" xfId="16308"/>
    <cellStyle name="_Radon Costed BOM Rev F 8-4-05_Gutenberg Manufacturing Pricing" xfId="16309"/>
    <cellStyle name="_Radon Costed BOM Rev F 8-4-05_Zune v2  Manufacturing Pricing" xfId="16310"/>
    <cellStyle name="_Radon Costed BOM Rev F 8-4-05_Zune V2 FM Transmitter_Schedule A" xfId="16311"/>
    <cellStyle name="差_jupite r設備&amp;治工具LIST (總)_Flow Chart(shadow)-b (1-4 Update)" xfId="16312"/>
    <cellStyle name="_Ramp up suppoting name list" xfId="16313"/>
    <cellStyle name="差_F3   SMT設備明細_效益分析(總 12-28 Update)_Jackson 效益分析 (2-1 B0 上系統)_Leopard效益分析08-17" xfId="16314"/>
    <cellStyle name="_Raw Materials Analysis Report_FY06 P4 CM Consigned RM" xfId="16315"/>
    <cellStyle name="_Raw Materials Analysis Report_FY06 P7 CM Consigned RM" xfId="16316"/>
    <cellStyle name="_Readiness1" xfId="16317"/>
    <cellStyle name="差_F3   SMT設備明細_jupite r設備&amp;治工具LIST (總)_Dallas效益分析&amp;投資回收期 (12-2 A1)_~5631336" xfId="16318"/>
    <cellStyle name="好_River EE BOM_Squirrel UniBom-06.23.2010_update_internal_Bolt RFQ_Foxlink_03.1 2011_nego meeting@MACH" xfId="16319"/>
    <cellStyle name="_Replace BGA qty" xfId="16320"/>
    <cellStyle name="_Replace BGA qty_Tester Demand Plan 062707" xfId="16321"/>
    <cellStyle name="Style 1 4" xfId="16322"/>
    <cellStyle name="_Rest operator switch plan" xfId="16323"/>
    <cellStyle name="_Revenue Forecast of Apr'06_Rev01" xfId="16324"/>
    <cellStyle name="_Revised AP DPO Oct 04" xfId="16325"/>
    <cellStyle name="_RFQ Response-Glacier_uni bom update 20070718" xfId="16326"/>
    <cellStyle name="_RFQ Response-Glacier_uni bom update 20070718 2" xfId="16327"/>
    <cellStyle name="_RFQ Response-Iceberg_uni bom update 20070710" xfId="16328"/>
    <cellStyle name="40% - 强调文字颜色 5 5 3" xfId="16329"/>
    <cellStyle name="_RFQ Response-Iceberg_uni bom update 20070710 2" xfId="16330"/>
    <cellStyle name="差_Creak Pearl Reliability Fixture RFQ_2009 04 24_Foxlink_Shadow RFQ NREUni BOM_12032009_Bolt RFQ Proposal_Foxlink_ (Pricing Summary) 2 25 2011 4 2" xfId="16331"/>
    <cellStyle name="差_Creak Pearl Reliability Fixture RFQ_2009 04 24_Creek RFQ feedback 04_28_2009_FD Update_Leopard_UniBOM_ME_0603-2_Bolt RFQ Proposal_Foxlink_ (Pricing Summary) 2 25 2011" xfId="16332"/>
    <cellStyle name="Normal 47 4" xfId="16333"/>
    <cellStyle name="Normal 52 4" xfId="16334"/>
    <cellStyle name="_RM And FG Open POa" xfId="16335"/>
    <cellStyle name="一般 16" xfId="16336"/>
    <cellStyle name="一般 21" xfId="16337"/>
    <cellStyle name="_RM And FG Open POa_FY06 P6 CM Consigned RM" xfId="16338"/>
    <cellStyle name="_RM And FG Open POa_P2 Waynea review" xfId="16339"/>
    <cellStyle name="_RM Review 07.11.2005" xfId="16340"/>
    <cellStyle name="_RMA &amp; MRB Write-Offs_Book5" xfId="16341"/>
    <cellStyle name="好_River EE BOM_Creak Pearl Reliability Fixture RFQ_2009 04 24_Creek  Pearl RFQ_May 12_Leopard UniBom_Foxlink_6 21 2010-ME_nego_Bolt RFQ Proposal_Foxlink_ (Pricing Summary) 2 25 2011 4" xfId="16342"/>
    <cellStyle name="_RMA &amp; MRB Write-Offs_CopyOfP6 Waynea review" xfId="16343"/>
    <cellStyle name="_RMA &amp; MRB Write-Offs_FY06 P4 CM Consigned RM" xfId="16344"/>
    <cellStyle name="_RMA &amp; MRB Write-Offs_FY06 P7 CM Consigned RM" xfId="16345"/>
    <cellStyle name="差_F3   SMT設備明細 2 2 2" xfId="16346"/>
    <cellStyle name="差_Creak Pearl Reliability Fixture RFQ_2009 04 24_Xl0000002_Leopard_UniBOM_ME_0602-1_Bolt RFQ Proposal_Foxlink_ (Pricing Summary) 2 25 2011 5 2" xfId="16347"/>
    <cellStyle name="_RMA &amp; MRB Write-Offs_FY06 P8 CM Consigned RM" xfId="16348"/>
    <cellStyle name="_RMA &amp; MRB Write-Offs_P6 Si Ops review" xfId="16349"/>
    <cellStyle name="好_Creek Assembly Fixture  Test Equipment RFQ_20090427_Leopard_UniBOM_ME_0603-2_Bolt RFQ Proposal_Foxlink_ (Pricing Summary) 2 25 2011 2" xfId="16350"/>
    <cellStyle name="_RMA &amp; MRB Write-Offs_P6 Si Ops review (2)" xfId="16351"/>
    <cellStyle name="_RMA &amp; MRB Write-Offs_P6 Waynea review" xfId="16352"/>
    <cellStyle name="Calculation 3" xfId="16353"/>
    <cellStyle name="_RollSD Xbox consul - volume scenarios 405153" xfId="16354"/>
    <cellStyle name="差_Creak Pearl Reliability Fixture RFQ_2009 04 24_Xl0000002_Bolt RFQ Proposal_Foxlink_ (Pricing Summary) 2 25 2011 2 2" xfId="16355"/>
    <cellStyle name="_Ronald Proposal 03142006 v1.0" xfId="16356"/>
    <cellStyle name="差_Creak Pearl Reliability Fixture RFQ_2009 04 24_Creek  Pearl RFQ_May 12_Leopard Lemur Squirrel UniBom-06.22.2010_EE cost _update_internal_Bolt RFQ Proposal_Foxlink_ (Pricing Summary) 2 25 2011 2 4" xfId="16357"/>
    <cellStyle name="_Ronald Stereo EE BOM_Cost v1.0" xfId="16358"/>
    <cellStyle name="_Ronald_Mono_V1R0_BOM_Cost_Anaysis_3" xfId="16359"/>
    <cellStyle name="标题 2 3 2 3" xfId="16360"/>
    <cellStyle name="_Ronald-Stereo BT Display Headset Quotation 03_03_2006 v1.0" xfId="16361"/>
    <cellStyle name="_RR Rework Time Study 2 " xfId="16362"/>
    <cellStyle name="好_River EE BOM_Creak Pearl Reliability Fixture RFQ_2009 04 24_Creek RFQ feedback 04_28_2009_FD Update_Squirrel UniBom-06.23.2010_update_internal_Bolt RFQ Proposal_Foxlink_ (Pricing Summary) 2 25 2011 3" xfId="16363"/>
    <cellStyle name="_RRP" xfId="16364"/>
    <cellStyle name="_RSA Demand  Forecast Plan August 22" xfId="16365"/>
    <cellStyle name="好_River EE BOM_Xl0000000_Leopard_UniBOM_ME_0602_Bolt RFQ Proposal_Foxlink_ (Pricing Summary) 2 25 2011 2" xfId="16366"/>
    <cellStyle name="_RSM_HMN1090A" xfId="16367"/>
    <cellStyle name="好_HP all model 標準工時(W1130) 2 5" xfId="16368"/>
    <cellStyle name="_RSM_HMN9030A" xfId="16369"/>
    <cellStyle name="_RSM_PMMN4021A" xfId="16370"/>
    <cellStyle name="差_Creak Pearl Reliability Fixture RFQ_2009 04 24_Leopard UniBom_Foxlink_6 21 2010-ME_nego_Bolt RFQ_Foxlink_03.1 2011 3 3" xfId="16371"/>
    <cellStyle name="好_River EE BOM_Creak Pearl Reliability Fixture RFQ_2009 04 24_Foxlink_Shadow RFQ NREUni BOM_12032009_Bolt RFQ Proposal_Foxlink_ (Pricing Summary) 2 25 2011 3" xfId="16372"/>
    <cellStyle name="_RSM_RMN5021B" xfId="16373"/>
    <cellStyle name="_RSM_RMN5023C" xfId="16374"/>
    <cellStyle name="_S_BOMS" xfId="16375"/>
    <cellStyle name="_S_BOMS_1" xfId="16376"/>
    <cellStyle name="_S_SOPP" xfId="16377"/>
    <cellStyle name="_Salcomp FCA HK Transport Pricing Dec11" xfId="16378"/>
    <cellStyle name="_Salcomp FCA HK Transport Pricing Dec11_Lenovo PACK  Packing Proposal" xfId="16379"/>
    <cellStyle name="_Salcomp FCA HK Transport Pricing Dec11_Lenovo Park Format_July 07 05V2" xfId="16380"/>
    <cellStyle name="_Sales Breakdown Analysis 3" xfId="16381"/>
    <cellStyle name="好_Creek Assembly Fixture  Test Equipment RFQ_20090427_Leopard RFQ ME BOM Costs-0618_Bolt RFQ_Foxlink_03.1 2011_Bolt_Cliff 7" xfId="16382"/>
    <cellStyle name="_Sales Breakdown Analysis 3_2009 xBOX ramp up budget code applicaiton 300K --New May26 (3)" xfId="16383"/>
    <cellStyle name="_Sales Breakdown Analysis 3_Budget GC Other Form" xfId="16384"/>
    <cellStyle name="差_Xl0000000_Leopard_UniBOM_ME_0531_Bolt RFQ_Foxlink_03.1 2011 2 3" xfId="16385"/>
    <cellStyle name="好_Creek Assembly Fixture  Test Equipment RFQ_20090427_Xl0000002_Squirrel RFQ ME BOM Costs-0623_Bolt RFQ_Foxlink_03.1 2011 5" xfId="16386"/>
    <cellStyle name="_Sales Breakdown Analysis 3_Copy of Tom OS ( Oct) new for LOG" xfId="16387"/>
    <cellStyle name="_Sales Breakdown Analysis 3_Copy of Tom OS ( Oct) new for LOG_2009 xBOX ramp up budget code applicaiton" xfId="16388"/>
    <cellStyle name="_Sales Breakdown Analysis 3_Copy of Tom OS ( Oct) new for LOG_2009 xBOX ramp up budget code applicaiton 300K --New May26 (3)" xfId="16389"/>
    <cellStyle name="好_River EE BOM_Creak Pearl Reliability Fixture RFQ_2009 04 24_Creek RFQ feedback 04_28_2009_FD Update_Leopard UniBom_Foxlink_6 21 2010-ME_nego_Bolt RFQ_Foxlink_03.1 2011 3 2" xfId="16390"/>
    <cellStyle name="_Sales Breakdown Analysis 3_Copy of Tom OS ( Oct) new for LOG_2009 xBOX ramp up budget code applicaiton 300K --New May27" xfId="16391"/>
    <cellStyle name="_Sales Breakdown Analysis 3_Copy of Tom OS ( Oct) new for LOG_Copy of X-BOX for line setup budget" xfId="16392"/>
    <cellStyle name="壞_Creek EE BOM cost_20090425_Squirrel RFQ ME BOM Costs-0623_Bolt RFQ_Foxlink_03.1 2011_nego meeting@MACH" xfId="16393"/>
    <cellStyle name="差_F3   SMT設備明細_jupite r設備&amp;治工具LIST (總)_flow chart 2009.12.12_Leopard效益分析08-17" xfId="16394"/>
    <cellStyle name="好_River EE BOM_Creak Pearl Reliability Fixture RFQ_2009 04 24_Xl0000002_Leopard RFQ ME BOM Costs-0618_Bolt RFQ_Foxlink_03.1 2011_nego meeting@MACH 5" xfId="16395"/>
    <cellStyle name="_Sales Breakdown Analysis 3_Copy of Tom OS ( Oct) new for LOG_Forecast Template v4" xfId="16396"/>
    <cellStyle name="_Sales Breakdown Analysis 3_Copy of Tom OS ( Oct) new for LOG_X-BOX BB" xfId="16397"/>
    <cellStyle name="好_River EE BOM_Creak Pearl Reliability Fixture RFQ_2009 04 24_Xl0000002_Bristol UniBom_Foxlink_02082011 RevA" xfId="16398"/>
    <cellStyle name="好_Creek Assembly Fixture  Test Equipment RFQ_20090427_Leopard Lemur Squirrel UniBom-06.22.2010_EE cost _update_internal_Bolt RFQ_Foxlink_03.1 2011_Bolt_Cliff 5 2" xfId="16399"/>
    <cellStyle name="壞_Creek Assembly Fixture  Test Equipment RFQ_20090427_Xl0000002_Leopard_UniBOM_ME_0531_Bolt RFQ_Foxlink_03.1 2011_nego meeting@MACH 2 2" xfId="16400"/>
    <cellStyle name="_Sales Breakdown Analysis 3_Copy of Tom OS ( Oct) new for LOG_X-BOX Console line setup budget 20080414" xfId="16401"/>
    <cellStyle name="_Sales Breakdown Analysis 3_Copy of Tom OS ( Oct) new for LOG_X-BOX Console line setup budget and Buyer list" xfId="16402"/>
    <cellStyle name="_Sales Breakdown Analysis 3_Copy of X-BOX for line setup budget" xfId="16403"/>
    <cellStyle name="40% - Accent6 3 3 3" xfId="16404"/>
    <cellStyle name="_Sales Breakdown Analysis 3_Forecast Template v4" xfId="16405"/>
    <cellStyle name="_Sales Breakdown Analysis 3_Internal Hourly Rate Q1 FY08 Version 06052007 Draft" xfId="16406"/>
    <cellStyle name="40% - Accent2 15" xfId="16407"/>
    <cellStyle name="_Sales Breakdown Analysis 3_Internal Hourly Rate Q1 FY08 Version 06142007 excl. Corporate Allocation" xfId="16408"/>
    <cellStyle name="_Sales Breakdown Analysis 3_PL Fcst Jul 06-updated G&amp;A Value_2009 xBOX ramp up budget code applicaiton" xfId="16409"/>
    <cellStyle name="差_0842周 顯卡報廢超標8D_HP 2 2 2 3" xfId="16410"/>
    <cellStyle name="_Sales Breakdown Analysis 3_PL Fcst Jul 06-updated G&amp;A Value_Budget GC Other Form" xfId="16411"/>
    <cellStyle name="_Sales Breakdown Analysis 3_PL Fcst Jul 06-updated G&amp;A Value_Copy of Tom OS ( Oct) new for LOG_2009 xBOX ramp up budget code applicaiton 300K --New May27" xfId="16412"/>
    <cellStyle name="_Sales Breakdown Analysis 3_PL Fcst Jul 06-updated G&amp;A Value_Copy of Tom OS ( Oct) new for LOG_Budget GC Other Form" xfId="16413"/>
    <cellStyle name="_Sales Breakdown Analysis 3_PL Fcst Jul 06-updated G&amp;A Value_Copy of Tom OS ( Oct) new for LOG_Copy of X-BOX for line setup budget" xfId="16414"/>
    <cellStyle name="差_HP  專案(設備&amp;治工具需夠買)update_Bolt RFQ_Foxlink_03.1 2011_nego meeting@MACH 2 2" xfId="16415"/>
    <cellStyle name="_Sales Breakdown Analysis 3_PL Fcst Jul 06-updated G&amp;A Value_Copy of Tom OS ( Oct) new for LOG_Forecast Template v4" xfId="16416"/>
    <cellStyle name="_Sales Breakdown Analysis 3_PL Fcst Jul 06-updated G&amp;A Value_Copy of Tom OS ( Oct) new for LOG_X-BOX Console line setup budget 20080414" xfId="16417"/>
    <cellStyle name="_Sales Breakdown Analysis 3_PL Fcst Jul 06-updated G&amp;A Value_Copy of Tom OS ( Oct) new for LOG_X-BOX Console line setup budget and Buyer list" xfId="16418"/>
    <cellStyle name="好_River EE BOM_Xl0000002_Leopard_UniBOM_ME_0603-2 2 2 2" xfId="16419"/>
    <cellStyle name="_Sales Breakdown Analysis 3_PL Fcst Jul 06-updated G&amp;A Value_Copy of X-BOX for line setup budget" xfId="16420"/>
    <cellStyle name="Comma 16 2" xfId="16421"/>
    <cellStyle name="_Sales Breakdown Analysis 3_PL Fcst Jul 06-updated G&amp;A Value_Forecast Template v4" xfId="16422"/>
    <cellStyle name="_Sales Breakdown Analysis 3_PL Fcst Jul 06-updated G&amp;A Value_Internal Hourly Rate Q1 FY08 Version 06052007 Draft" xfId="16423"/>
    <cellStyle name="差_Creak Pearl Reliability Fixture RFQ_2009 04 24_Creek  Pearl RFQ_May 12_Foxlink_Shadow RFQ NREUni BOM_12032009_Bolt RFQ_Foxlink_03.1 2011_nego meeting@MACH 2" xfId="16424"/>
    <cellStyle name="好_Creek EE BOM cost_20090425_Leopard_UniBOM_ME_0602" xfId="16425"/>
    <cellStyle name="_Sales Breakdown Analysis 3_PL Fcst Jul 06-updated G&amp;A Value_Internal Hourly Rate Q1 FY08 Version 06142007 excl. Corporate Allocation" xfId="16426"/>
    <cellStyle name="好_Creek Assembly Fixture  Test Equipment RFQ_20090427_Leopard RFQ ME BOM Costs-0618-2 3 3" xfId="16427"/>
    <cellStyle name="差_Creak Pearl Reliability Fixture RFQ_2009 04 24_Xl0000002_Leopard Lemur Squirrel UniBom-06.22.2010_EE cost _update_internal_Bolt RFQ Proposal_Foxlink_ (Pricing Summary) 2 25 2011 3" xfId="16428"/>
    <cellStyle name="_Sales Breakdown Analysis 3_PL Fcst Jul 06-updated G&amp;A Value_Tom OS ( Oct)_2009 xBOX ramp up budget code applicaiton 300K --New May26 (3)" xfId="16429"/>
    <cellStyle name="Normal 55 2 5" xfId="16430"/>
    <cellStyle name="_Sales Breakdown Analysis 3_PL Fcst Jul 06-updated G&amp;A Value_Tom OS ( Oct)_2009 xBOX ramp up budget code applicaiton 300K --New May27" xfId="16431"/>
    <cellStyle name="_Sales Breakdown Analysis 3_PL Fcst Jul 06-updated G&amp;A Value_Tom OS ( Oct)_Budget GC Other Form" xfId="16432"/>
    <cellStyle name="_Sales Breakdown Analysis 3_PL Fcst Jul 06-updated G&amp;A Value_Tom OS ( Oct)_Copy of X-BOX for line setup budget" xfId="16433"/>
    <cellStyle name="_Sales Breakdown Analysis 3_PL Fcst Jul 06-updated G&amp;A Value_Tom OS ( Oct)_Forecast Template v4" xfId="16434"/>
    <cellStyle name="_Sales Breakdown Analysis 3_PL Fcst Jul 06-updated G&amp;A Value_Tom OS ( Oct)_X-BOX Console line setup budget and Buyer list" xfId="16435"/>
    <cellStyle name="_Sales Breakdown Analysis 3_PL Fcst Jul 06-updated G&amp;A Value_X-BOX BB" xfId="16436"/>
    <cellStyle name="_Sales Breakdown Analysis 3_PL Fcst Jul 06-updated G&amp;A Value_X-BOX Console line setup budget 20080414" xfId="16437"/>
    <cellStyle name="_Sales Breakdown Analysis 3_PL Forecast by segment-most final 0806_2009 xBOX ramp up budget code applicaiton" xfId="16438"/>
    <cellStyle name="_Sales Breakdown Analysis 3_PL Forecast by segment-most final 0806_2009 xBOX ramp up budget code applicaiton 300K --New May26 (3)" xfId="16439"/>
    <cellStyle name="差_Xl0000000_Leopard_UniBOM_ME_0531_Bolt RFQ_Foxlink_03.1 2011 4" xfId="16440"/>
    <cellStyle name="_Sales Breakdown Analysis 3_PL Forecast by segment-most final 0806_Budget GC Other Form" xfId="16441"/>
    <cellStyle name="_Sales Breakdown Analysis 3_PL Forecast by segment-most final 0806_Copy of Tom OS ( Oct) new for LOG" xfId="16442"/>
    <cellStyle name="_Sales Breakdown Analysis 3_PL Forecast by segment-most final 0806_Copy of Tom OS ( Oct) new for LOG_2009 xBOX ramp up budget code applicaiton" xfId="16443"/>
    <cellStyle name="_Sales Breakdown Analysis 3_PL Forecast by segment-most final 0806_Copy of Tom OS ( Oct) new for LOG_Budget GC Other Form" xfId="16444"/>
    <cellStyle name="好_Creek Assembly Fixture  Test Equipment RFQ_20090427_Xl0000002_Leopard RFQ ME BOM Costs-0618-2_Bolt RFQ_Foxlink_03.1 2011_nego meeting@MACH 4" xfId="16445"/>
    <cellStyle name="_Volume Fcst Jul 06-update HP _Budget GC Other Form" xfId="16446"/>
    <cellStyle name="_Sales Breakdown Analysis 3_PL Forecast by segment-most final 0806_Copy of Tom OS ( Oct) new for LOG_Forecast Template v4" xfId="16447"/>
    <cellStyle name="好_MB9月管審換線超時8d_HP 6" xfId="16448"/>
    <cellStyle name="_Sales Breakdown Analysis 3_PL Forecast by segment-most final 0806_Copy of Tom OS ( Oct) new for LOG_X-BOX BB" xfId="16449"/>
    <cellStyle name="好_River EE BOM_Creak Pearl Reliability Fixture RFQ_2009 04 24_Xl0000002_Leopard RFQ ME BOM Costs-0618_Bolt RFQ Proposal_Foxlink_ (Pricing Summary) 2 25 2011 5 3" xfId="16450"/>
    <cellStyle name="_Sales Breakdown Analysis 3_PL Forecast by segment-most final 0806_Copy of Tom OS ( Oct) new for LOG_X-BOX Console line setup budget 20080414" xfId="16451"/>
    <cellStyle name="好_Creek EE BOM cost_20090425_Creek RFQ feedback 04_28_2009_FD Update_Bolt RFQ_Foxlink_03.1 2011_nego meeting@MACH 2 2" xfId="16452"/>
    <cellStyle name="_Sales Breakdown Analysis 3_PL Forecast by segment-most final 0806_Copy of Tom OS ( Oct) new for LOG_X-BOX Console line setup budget and Buyer list" xfId="16453"/>
    <cellStyle name="_Sales Breakdown Analysis 3_PL Forecast by segment-most final 0806_Forecast Template v4" xfId="16454"/>
    <cellStyle name="好_Creek Assembly Fixture  Test Equipment RFQ_20090427_Xl0000002_Leopard_UniBOM_ME_0602-1 2 2" xfId="16455"/>
    <cellStyle name="_Sales Breakdown Analysis 3_PL Forecast by segment-most final 0806_Tom OS ( Oct)" xfId="16456"/>
    <cellStyle name="_Sales Breakdown Analysis 3_PL Forecast by segment-most final 0806_Tom OS ( Oct)_2009 xBOX ramp up budget code applicaiton" xfId="16457"/>
    <cellStyle name="_Sales Breakdown Analysis 3_PL Forecast by segment-most final 0806_Tom OS ( Oct)_2009 xBOX ramp up budget code applicaiton 300K --New May26 (3)" xfId="16458"/>
    <cellStyle name="_Sales Breakdown Analysis 3_PL Forecast by segment-most final 0806_Tom OS ( Oct)_Budget GC Other Form" xfId="16459"/>
    <cellStyle name="好_Creek Assembly Fixture  Test Equipment RFQ_20090427_Leopard_UniBOM_ME_0531_Bolt RFQ_Foxlink_03.1 2011_nego meeting@MACH" xfId="16460"/>
    <cellStyle name="_Sales Breakdown Analysis 3_PL Forecast by segment-most final 0806_Tom OS ( Oct)_Copy of X-BOX for line setup budget" xfId="16461"/>
    <cellStyle name="_Sales Breakdown Analysis 3_PL Forecast by segment-most final 0806_Tom OS ( Oct)_Forecast Template v4" xfId="16462"/>
    <cellStyle name="_Sales Breakdown Analysis 3_PL Forecast by segment-most final 0806_Tom OS ( Oct)_X-BOX BB" xfId="16463"/>
    <cellStyle name="好_River EE BOM_Squirrel UniBom-06.23.2010_update_internal_Bolt RFQ_Foxlink_03.1 2011 2 3" xfId="16464"/>
    <cellStyle name="好_River EE BOM_Creak Pearl Reliability Fixture RFQ_2009 04 24_Xl0000002_Leopard Lemur Squirrel UniBom-06.22.2010_EE cost _update_internal_Bolt RFQ Proposal_Foxlink_ (Pricing Summary) 2 25 2011 2 4" xfId="16465"/>
    <cellStyle name="_Sales Breakdown Analysis 3_PL Forecast by segment-most final 0806_Tom OS ( Oct)_X-BOX Console line setup budget 20080414" xfId="16466"/>
    <cellStyle name="_Sales Breakdown Analysis 3_PL Forecast by segment-most final 0806_Tom OS ( Oct)_X-BOX Console line setup budget and Buyer list" xfId="16467"/>
    <cellStyle name="_Sales Breakdown Analysis 3_PL Forecast by segment-most final 0806_X-BOX BB" xfId="16468"/>
    <cellStyle name="_Sales Breakdown Analysis 3_PL Forecast by segment-most final 0806_X-BOX Console line setup budget 20080414" xfId="16469"/>
    <cellStyle name="差_jupite r設備&amp;治工具LIST (總)_~5631336_Jackson 效益分析 (2-1 B0 上系統)" xfId="16470"/>
    <cellStyle name="好_治具工程課2009年KPI_2009MB KPI-0205 5" xfId="16471"/>
    <cellStyle name="好_Creek Assembly Fixture  Test Equipment RFQ_20090427_Leopard RFQ ME BOM Costs-0618_Bolt RFQ Proposal_Foxlink_ (Pricing Summary) 2 25 2011 4 3" xfId="16472"/>
    <cellStyle name="_Sales Breakdown Analysis 3_PL Forecast by segment-most final 0806_X-BOX Console line setup budget and Buyer list" xfId="16473"/>
    <cellStyle name="好_Creek Assembly Fixture  Test Equipment RFQ_20090427_Xl0000002_Leopard_UniBOM_ME_0531_Bolt RFQ_Foxlink_03.1 2011_nego meeting@MACH 3" xfId="16474"/>
    <cellStyle name="_Sales Breakdown Analysis 3_Tom OS ( Oct)" xfId="16475"/>
    <cellStyle name="_Sales Breakdown Analysis 3_Tom OS ( Oct)_2009 xBOX ramp up budget code applicaiton" xfId="16476"/>
    <cellStyle name="_Sales Breakdown Analysis 3_Tom OS ( Oct)_2009 xBOX ramp up budget code applicaiton 300K --New May27" xfId="16477"/>
    <cellStyle name="好_River EE BOM_Creak Pearl Reliability Fixture RFQ_2009 04 24_Creek  Pearl RFQ_May 12_Foxlink_Shadow RFQ NREUni BOM_12032009_Bolt RFQ_Foxlink_03.1 2011 4" xfId="16478"/>
    <cellStyle name="差_HP  專案(設備&amp;治工具需夠買)update_M1 SuedeFixtureEquipment Cost_A0_2010_10_15 4" xfId="16479"/>
    <cellStyle name="_Sales Breakdown Analysis 3_Tom OS ( Oct)_Budget GC Other Form" xfId="16480"/>
    <cellStyle name="_Sales Breakdown Analysis 3_Tom OS ( Oct)_Copy of X-BOX for line setup budget" xfId="16481"/>
    <cellStyle name="_Sales Breakdown Analysis 3_Tom OS ( Oct)_Forecast Template v4" xfId="16482"/>
    <cellStyle name="_Sales Breakdown Analysis 3_Tom OS ( Oct)_X-BOX BB" xfId="16483"/>
    <cellStyle name="_Sales Breakdown Analysis 3_Tom OS ( Oct)_X-BOX Console line setup budget 20080414" xfId="16484"/>
    <cellStyle name="_Sales Breakdown Analysis 3_Volume Fcst 1006 updated" xfId="16485"/>
    <cellStyle name="_Sales Breakdown Analysis 3_Volume Fcst 1006 updated_2009 xBOX ramp up budget code applicaiton" xfId="16486"/>
    <cellStyle name="20% - Accent5 13" xfId="16487"/>
    <cellStyle name="_Sales Breakdown Analysis 3_Volume Fcst 1006 updated_2009 xBOX ramp up budget code applicaiton 300K --New May26 (3)" xfId="16488"/>
    <cellStyle name="comma (0) 4" xfId="16489"/>
    <cellStyle name="_Sales Breakdown Analysis 3_Volume Fcst 1006 updated_Budget GC Other Form" xfId="16490"/>
    <cellStyle name="差_Creak Pearl Reliability Fixture RFQ_2009 04 24_Leopard RFQ ME BOM Costs-0618_Bolt RFQ Proposal_Foxlink_ (Pricing Summary) 2 25 2011 3 2" xfId="16491"/>
    <cellStyle name="好_River EE BOM_Xl0000002_Leopard_UniBOM_ME_0602-1 2 3" xfId="16492"/>
    <cellStyle name="_Sales Breakdown Analysis 3_Volume Fcst 1006 updated_Copy of Tom OS ( Oct) new for LOG" xfId="16493"/>
    <cellStyle name="_W528 5 CTB_Mulan-EDGE_ROA1281693 FXC_Nazca copy exact flow chart 20120409" xfId="16494"/>
    <cellStyle name="_Sales Breakdown Analysis 3_Volume Fcst 1006 updated_Copy of Tom OS ( Oct) new for LOG_2009 xBOX ramp up budget code applicaiton" xfId="16495"/>
    <cellStyle name="_Sales Breakdown Analysis 3_Volume Fcst 1006 updated_Copy of Tom OS ( Oct) new for LOG_2009 xBOX ramp up budget code applicaiton 300K --New May26 (3)" xfId="16496"/>
    <cellStyle name="好_治具工程課2009年KPI_產線生產規劃KPI 5 4" xfId="16497"/>
    <cellStyle name="_Sales Breakdown Analysis 3_Volume Fcst 1006 updated_Copy of Tom OS ( Oct) new for LOG_Budget GC Other Form" xfId="16498"/>
    <cellStyle name="_Sales Breakdown Analysis 3_Volume Fcst 1006 updated_Copy of Tom OS ( Oct) new for LOG_Forecast Template v4" xfId="16499"/>
    <cellStyle name="_不良明細_0541周周報" xfId="16500"/>
    <cellStyle name="好_River EE BOM_Creak Pearl Reliability Fixture RFQ_2009 04 24_Xl0000002_Squirrel RFQ ME BOM Costs-0623_Bolt RFQ Proposal_Foxlink_ (Pricing Summary) 2 25 2011 5 2" xfId="16501"/>
    <cellStyle name="_Sales Breakdown Analysis 3_Volume Fcst 1006 updated_Copy of Tom OS ( Oct) new for LOG_X-BOX BB" xfId="16502"/>
    <cellStyle name="_Sales Breakdown Analysis 3_Volume Fcst 1006 updated_Copy of Tom OS ( Oct) new for LOG_X-BOX Console line setup budget 20080414" xfId="16503"/>
    <cellStyle name="差_HP  專案(設備&amp;治工具需夠買)update_MS Bolt wireless mouse FixtureEquipment Cost_A5_2010_02_21 3 3" xfId="16504"/>
    <cellStyle name="一般 6 3 3 2" xfId="16505"/>
    <cellStyle name="_Sales Breakdown Analysis 3_Volume Fcst 1006 updated_Forecast Template v4" xfId="16506"/>
    <cellStyle name="_Sales Breakdown Analysis 3_Volume Fcst 1006 updated_Tom OS ( Oct)" xfId="16507"/>
    <cellStyle name="_Sales Breakdown Analysis 3_Volume Fcst 1006 updated_Tom OS ( Oct)_2009 xBOX ramp up budget code applicaiton 300K --New May26 (3)" xfId="16508"/>
    <cellStyle name="好_Creek EE BOM cost_20090425_Leopard_UniBOM_ME_0603-2_Bolt RFQ Proposal_Foxlink_ (Pricing Summary) 2 25 2011 5 2" xfId="16509"/>
    <cellStyle name="_Sales Breakdown Analysis 3_Volume Fcst 1006 updated_Tom OS ( Oct)_2009 xBOX ramp up budget code applicaiton 300K --New May27" xfId="16510"/>
    <cellStyle name="_Sales Breakdown Analysis 3_Volume Fcst 1006 updated_Tom OS ( Oct)_Budget GC Other Form" xfId="16511"/>
    <cellStyle name="好_Creek EE BOM cost_20090425_Leopard_UniBOM_ME_0603-2_Bolt RFQ_Foxlink_03.1 2011 2 3" xfId="16512"/>
    <cellStyle name="_Sales Breakdown Analysis 3_Volume Fcst 1006 updated_Tom OS ( Oct)_Copy of X-BOX for line setup budget" xfId="16513"/>
    <cellStyle name="好_River EE BOM_Squirrel UniBom-06.23.2010_update_internal_Bolt RFQ Proposal_Foxlink_ (Pricing Summary) 2 25 2011 3 2" xfId="16514"/>
    <cellStyle name="好_Creek Assembly Fixture  Test Equipment RFQ_20090427_Foxlink_Shadow RFQ NREUni BOM_12032009_Bolt RFQ_Foxlink_03.1 2011_nego meeting@MACH_Bolt_Cliff 3" xfId="16515"/>
    <cellStyle name="_Sales Breakdown Analysis 3_Volume Fcst 1006 updated_Tom OS ( Oct)_Forecast Template v4" xfId="16516"/>
    <cellStyle name="_Sales Breakdown Analysis 3_Volume Fcst 1006 updated_Tom OS ( Oct)_X-BOX BB" xfId="16517"/>
    <cellStyle name="_Sales Breakdown Analysis 3_Volume Fcst 1006 updated_Tom OS ( Oct)_X-BOX Console line setup budget 20080414" xfId="16518"/>
    <cellStyle name="_Sales Breakdown Analysis 3_Volume Fcst 1006 updated_Tom OS ( Oct)_X-BOX Console line setup budget and Buyer list" xfId="16519"/>
    <cellStyle name="差_Creak Pearl Reliability Fixture RFQ_2009 04 24_Creek  Pearl RFQ_May 12_Leopard_UniBOM_ME_0602 2 4" xfId="16520"/>
    <cellStyle name="20% - Accent3 3 5" xfId="16521"/>
    <cellStyle name="_Sales Breakdown Analysis 3_Volume Fcst 1006 updated_X-BOX BB" xfId="16522"/>
    <cellStyle name="_Sales Breakdown Analysis 3_Volume Fcst 1006 updated_X-BOX Console line setup budget 20080414" xfId="16523"/>
    <cellStyle name="_Sales Breakdown Analysis 3_Volume Fcst 1006 updated_X-BOX Console line setup budget and Buyer list" xfId="16524"/>
    <cellStyle name="好_Creek Assembly Fixture  Test Equipment RFQ_20090427_Leopard RFQ ME BOM Costs-0618-2_Bolt RFQ Proposal_Foxlink_ (Pricing Summary) 2 25 2011 3 3" xfId="16525"/>
    <cellStyle name="_Sales Breakdown Analysis 3_Volume Fcst Jul 06-update HP " xfId="16526"/>
    <cellStyle name="_Sales Breakdown Analysis 3_Volume Fcst Jul 06-update HP _2009 xBOX ramp up budget code applicaiton" xfId="16527"/>
    <cellStyle name="_Sales Breakdown Analysis 3_Volume Fcst Jul 06-update HP _2009 xBOX ramp up budget code applicaiton 300K --New May26 (3)" xfId="16528"/>
    <cellStyle name="_Sales Breakdown Analysis 3_Volume Fcst Jul 06-update HP _2009 xBOX ramp up budget code applicaiton 300K --New May27" xfId="16529"/>
    <cellStyle name="好_Creek EE BOM cost_20090425_Squirrel UniBom-06.23.2010_update_internal_Bolt RFQ Proposal_Foxlink_ (Pricing Summary) 2 25 2011 6" xfId="16530"/>
    <cellStyle name="_Sales Breakdown Analysis 3_Volume Fcst Jul 06-update HP _Budget GC Other Form" xfId="16531"/>
    <cellStyle name="Enter Units (1) 3" xfId="16532"/>
    <cellStyle name="_Sales Breakdown Analysis 3_Volume Fcst Jul 06-update HP _Copy of Tom OS ( Oct) new for LOG" xfId="16533"/>
    <cellStyle name="_Sales Breakdown Analysis 3_Volume Fcst Jul 06-update HP _Copy of Tom OS ( Oct) new for LOG_2009 xBOX ramp up budget code applicaiton 300K --New May27" xfId="16534"/>
    <cellStyle name="_Sales Breakdown Analysis 3_Volume Fcst Jul 06-update HP _Copy of Tom OS ( Oct) new for LOG_Budget GC Other Form" xfId="16535"/>
    <cellStyle name="_Sales Breakdown Analysis 3_Volume Fcst Jul 06-update HP _Copy of Tom OS ( Oct) new for LOG_Forecast Template v4" xfId="16536"/>
    <cellStyle name="差_F3   SMT設備明細_jupite r設備&amp;治工具LIST (總)_Flow Chart&amp;PQ分析(12-1)_~1159284" xfId="16537"/>
    <cellStyle name="_Sales Breakdown Analysis 3_Volume Fcst Jul 06-update HP _Copy of Tom OS ( Oct) new for LOG_X-BOX Console line setup budget and Buyer list" xfId="16538"/>
    <cellStyle name="_Sales Breakdown Analysis 3_Volume Fcst Jul 06-update HP _Copy of X-BOX for line setup budget" xfId="16539"/>
    <cellStyle name="_Sales Breakdown Analysis 3_Volume Fcst Jul 06-update HP _Forecast Template v4" xfId="16540"/>
    <cellStyle name="_Sales Breakdown Analysis 3_Volume Fcst Jul 06-update HP _Internal Hourly Rate Q1 FY08 Version 06052007 Draft" xfId="16541"/>
    <cellStyle name="差_dallas產能評估_Dallas flow chart&amp;設備&amp;治工具清單(12-8 A0)_Jackson 效益分析 (2-1 B0 上系統)_squirrel效益分析08-17" xfId="16542"/>
    <cellStyle name="好_Rio QA Report-8.12" xfId="16543"/>
    <cellStyle name="好_Creek Assembly Fixture  Test Equipment RFQ_20090427_Foxlink_Shadow RFQ NREUni BOM_12032009_Bolt_Cliff 5 2" xfId="16544"/>
    <cellStyle name="_Sales Breakdown Analysis 3_Volume Fcst Jul 06-update HP _Internal Hourly Rate Q1 FY08 Version 06142007 excl. Corporate Allocation" xfId="16545"/>
    <cellStyle name="_Sales Breakdown Analysis 3_Volume Fcst Jul 06-update HP _Tom OS ( Oct)" xfId="16546"/>
    <cellStyle name="差_jupite r設備&amp;治工具LIST (總)_Flow Chart(shadow) A3 " xfId="16547"/>
    <cellStyle name="_Sales Breakdown Analysis 3_Volume Fcst Jul 06-update HP _Tom OS ( Oct)_2009 xBOX ramp up budget code applicaiton" xfId="16548"/>
    <cellStyle name="_Sales Breakdown Analysis 3_Volume Fcst Jul 06-update HP _Tom OS ( Oct)_2009 xBOX ramp up budget code applicaiton 300K --New May26 (3)" xfId="16549"/>
    <cellStyle name="_Sales Breakdown Analysis 3_Volume Fcst Jul 06-update HP _Tom OS ( Oct)_2009 xBOX ramp up budget code applicaiton 300K --New May27" xfId="16550"/>
    <cellStyle name="好_River EE BOM_Creak Pearl Reliability Fixture RFQ_2009 04 24_Pearl RFQ(Submittal)ver2_05_12_2009 _Leopard_UniBOM_ME_0602-1 2 2" xfId="16551"/>
    <cellStyle name="好_River EE BOM_Xl0000002_Leopard Lemur Squirrel UniBom-06.22.2010_EE cost _update_internal_Bolt RFQ_Foxlink_03.1 2011_nego meeting@MACH 4" xfId="16552"/>
    <cellStyle name="好_Creek Assembly Fixture  Test Equipment RFQ_20090427_Leopard Lemur Squirrel UniBom-06.22.2010_EE cost _update_internal_Bolt_Cliff 2 2 3" xfId="16553"/>
    <cellStyle name="40% - Accent2 2 3 2" xfId="16554"/>
    <cellStyle name="_Sales Breakdown Analysis 3_Volume Fcst Jul 06-update HP _Tom OS ( Oct)_Budget GC Other Form" xfId="16555"/>
    <cellStyle name="_Sales Breakdown Analysis 3_Volume Fcst Jul 06-update HP _Tom OS ( Oct)_Copy of X-BOX for line setup budget" xfId="16556"/>
    <cellStyle name="_Sales Breakdown Analysis 3_Volume Fcst Jul 06-update HP _Tom OS ( Oct)_Forecast Template v4" xfId="16557"/>
    <cellStyle name="_Sales Breakdown Analysis 3_Volume Fcst Jul 06-update HP _Tom OS ( Oct)_X-BOX BB" xfId="16558"/>
    <cellStyle name="_Sales Breakdown Analysis 3_Volume Fcst Jul 06-update HP _Tom OS ( Oct)_X-BOX Console line setup budget 20080414" xfId="16559"/>
    <cellStyle name="_Sales Breakdown Analysis 3_Volume Fcst Jul 06-update HP _Tom OS ( Oct)_X-BOX Console line setup budget and Buyer list" xfId="16560"/>
    <cellStyle name="_Sales Breakdown Analysis 3_Volume Fcst Jul 06-update HP _X-BOX BB" xfId="16561"/>
    <cellStyle name="差_Creak Pearl Reliability Fixture RFQ_2009 04 24_Leopard_UniBOM_ME_0531_Bolt RFQ_Foxlink_03.1 2011" xfId="16562"/>
    <cellStyle name="_代工工時3" xfId="16563"/>
    <cellStyle name="_Sales Breakdown Analysis 3_Volume Fcst Jul 06-update HP _X-BOX Console line setup budget and Buyer list" xfId="16564"/>
    <cellStyle name="差_Creak Pearl Reliability Fixture RFQ_2009 04 24_Pearl RFQ(Submittal)ver2_05_12_2009 _Leopard Lemur Squirrel UniBom-06.22.2010_EE cost _update_internal 2 2" xfId="16565"/>
    <cellStyle name="壞_Creek EE BOM cost_20090425_Leopard_UniBOM_ME_0602-1_Bolt RFQ_Foxlink_03.1 2011_nego meeting@MACH" xfId="16566"/>
    <cellStyle name="_Sales Breakdown Analysis 3_X-BOX BB" xfId="16567"/>
    <cellStyle name="_Sales Breakdown Analysis 3_X-BOX Console line setup budget 20080414" xfId="16568"/>
    <cellStyle name="_Sales Forecast (plastic XX)0703_2009 xBOX ramp up budget code applicaiton" xfId="16569"/>
    <cellStyle name="_Sales Forecast (plastic XX)1203_2009 xBOX ramp up budget code applicaiton" xfId="16570"/>
    <cellStyle name="_Sales Forecast (plastic XX)0703_2009 xBOX ramp up budget code applicaiton 300K --New May26 (3)" xfId="16571"/>
    <cellStyle name="_Sales Forecast (plastic XX)1203_2009 xBOX ramp up budget code applicaiton 300K --New May26 (3)" xfId="16572"/>
    <cellStyle name="_Sales Forecast (plastic XX)0703_2009 xBOX ramp up budget code applicaiton 300K --New May27" xfId="16573"/>
    <cellStyle name="_Sales Forecast (plastic XX)1203_2009 xBOX ramp up budget code applicaiton 300K --New May27" xfId="16574"/>
    <cellStyle name="_Sales Forecast (plastic XX)0703_Budget GC Other Form" xfId="16575"/>
    <cellStyle name="_Sales Forecast (plastic XX)1203_Budget GC Other Form" xfId="16576"/>
    <cellStyle name="_Sales Forecast (plastic XX)0703_Copy of Tom OS ( Oct) new for LOG" xfId="16577"/>
    <cellStyle name="_Sales Forecast (plastic XX)1203_Copy of Tom OS ( Oct) new for LOG" xfId="16578"/>
    <cellStyle name="差_dallas產能評估_~8644671_Leopard效益分析08-17" xfId="16579"/>
    <cellStyle name="60% - 强调文字颜色 1 4" xfId="16580"/>
    <cellStyle name="_Sales Forecast (plastic XX)0703_Copy of Tom OS ( Oct) new for LOG_2009 xBOX ramp up budget code applicaiton" xfId="16581"/>
    <cellStyle name="_Sales Forecast (plastic XX)1203_Copy of Tom OS ( Oct) new for LOG_2009 xBOX ramp up budget code applicaiton" xfId="16582"/>
    <cellStyle name="差_Creak Pearl Reliability Fixture RFQ_2009 04 24_Pearl RFQ(Submittal)ver2_05_12_2009 _Leopard_UniBOM_ME_0602-1_Bolt RFQ Proposal_Foxlink_ (Pricing Summary) 2 25 2011 3 3" xfId="16583"/>
    <cellStyle name="差_Creak Pearl Reliability Fixture RFQ_2009 04 24_Creek  Pearl RFQ_May 12_Squirrel UniBom-06.23.2010_update_internal_Bolt RFQ_Foxlink_03.1 2011_nego meeting@MACH 2 2" xfId="16584"/>
    <cellStyle name="_Sales Forecast (plastic XX)0703_Tom OS ( Oct)_Budget GC Other Form" xfId="16585"/>
    <cellStyle name="_Sales Forecast (plastic XX)1203_Tom OS ( Oct)_Budget GC Other Form" xfId="16586"/>
    <cellStyle name="_Sales Forecast (plastic XX)0703_Copy of Tom OS ( Oct) new for LOG_2009 xBOX ramp up budget code applicaiton 300K --New May26 (3)" xfId="16587"/>
    <cellStyle name="_Sales Forecast (plastic XX)1203_Copy of Tom OS ( Oct) new for LOG_2009 xBOX ramp up budget code applicaiton 300K --New May26 (3)" xfId="16588"/>
    <cellStyle name="_Sales Forecast (plastic XX)0703_Copy of Tom OS ( Oct) new for LOG_Budget GC Other Form" xfId="16589"/>
    <cellStyle name="_Sales Forecast (plastic XX)1203_Copy of Tom OS ( Oct) new for LOG_Budget GC Other Form" xfId="16590"/>
    <cellStyle name="_Sales Forecast (plastic XX)0703_Copy of Tom OS ( Oct) new for LOG_Copy of X-BOX for line setup budget" xfId="16591"/>
    <cellStyle name="_Sales Forecast (plastic XX)1203_Copy of Tom OS ( Oct) new for LOG_Copy of X-BOX for line setup budget" xfId="16592"/>
    <cellStyle name="差_MB9月管審換線超時8d_2009MB KPI_MBO3F製造部hp0209-01 2 3 3" xfId="16593"/>
    <cellStyle name="_Sales Forecast (plastic XX)0703_Copy of Tom OS ( Oct) new for LOG_Forecast Template v4" xfId="16594"/>
    <cellStyle name="_Sales Forecast (plastic XX)1203_Copy of Tom OS ( Oct) new for LOG_Forecast Template v4" xfId="16595"/>
    <cellStyle name="差_Creak Pearl Reliability Fixture RFQ_2009 04 24_Creek  Pearl RFQ_May 12_Foxlink_Shadow RFQ NREUni BOM_12032009_Bolt RFQ Proposal_Foxlink_ (Pricing Summary) 2 25 2011" xfId="16596"/>
    <cellStyle name="_Sales Forecast (plastic XX)0703_Copy of Tom OS ( Oct) new for LOG_X-BOX BB" xfId="16597"/>
    <cellStyle name="_Sales Forecast (plastic XX)1203_Copy of Tom OS ( Oct) new for LOG_X-BOX BB" xfId="16598"/>
    <cellStyle name="差_HP  專案(設備&amp;治工具需夠買)update_Erie 效益分析 (Update)_Flow Chart&amp;設備治工具清單 " xfId="16599"/>
    <cellStyle name="_Z9 blueAnt ME BOM 0910_BlueAnt_Quotebook_V3_07SEP11_RFQ_River_BAFO_2008 0606_M1_Stream Quotebook(Submittal)_POC1_20080903" xfId="16600"/>
    <cellStyle name="_Sales Forecast (plastic XX)0703_Copy of Tom OS ( Oct) new for LOG_X-BOX Console line setup budget and Buyer list" xfId="16601"/>
    <cellStyle name="_Sales Forecast (plastic XX)1203_Copy of Tom OS ( Oct) new for LOG_X-BOX Console line setup budget and Buyer list" xfId="16602"/>
    <cellStyle name="好_RIO Trial run (Pre-PV 100PCS) QA Report-0610_Dolce   QA Report 2010_0902" xfId="16603"/>
    <cellStyle name="_Sales Forecast (plastic XX)0703_Internal Hourly Rate Q1 FY08 Version 06052007 Draft" xfId="16604"/>
    <cellStyle name="_Sales Forecast (plastic XX)1203_Internal Hourly Rate Q1 FY08 Version 06052007 Draft" xfId="16605"/>
    <cellStyle name="好_Creek EE BOM cost_20090425_Creek RFQ feedback 04_28_2009_FD Update_Foxlink_Shadow RFQ NREUni BOM_12032009_Bolt RFQ_Foxlink_03.1 2011_nego meeting@MACH 3" xfId="16606"/>
    <cellStyle name="_Sales Forecast (plastic XX)0703_Internal Hourly Rate Q1 FY08 Version 06142007 excl. Corporate Allocation" xfId="16607"/>
    <cellStyle name="_Sales Forecast (plastic XX)1203_Internal Hourly Rate Q1 FY08 Version 06142007 excl. Corporate Allocation" xfId="16608"/>
    <cellStyle name="差_HP Mouse 產能評估(上系統)_Erie 效益分析 (Update)_Jackson 效益分析 testing update_16th Jan111_Jackson 效益分析 (2-1 B0 上系統)_Leopard效益分析08-17" xfId="16609"/>
    <cellStyle name="_Sales Forecast (plastic XX)0703_PL Fcst Jul 06-updated G&amp;A Value" xfId="16610"/>
    <cellStyle name="_Sales Forecast (plastic XX)1203_PL Fcst Jul 06-updated G&amp;A Value" xfId="16611"/>
    <cellStyle name="好_治具工程課2009年KPI_KPI 1006 3 4" xfId="16612"/>
    <cellStyle name="_Sales Forecast (plastic XX)0703_PL Fcst Jul 06-updated G&amp;A Value_2009 xBOX ramp up budget code applicaiton" xfId="16613"/>
    <cellStyle name="_Sales Forecast (plastic XX)1203_PL Fcst Jul 06-updated G&amp;A Value_2009 xBOX ramp up budget code applicaiton" xfId="16614"/>
    <cellStyle name="Normal 29 2" xfId="16615"/>
    <cellStyle name="Normal 34 2" xfId="16616"/>
    <cellStyle name="好_River EE BOM_Creak Pearl Reliability Fixture RFQ_2009 04 24_Creek  Pearl RFQ_May 12_Squirrel UniBom-06.23.2010_update_internal_Bolt RFQ_Foxlink_03.1 2011 2 2" xfId="16617"/>
    <cellStyle name="Header2" xfId="16618"/>
    <cellStyle name="_Sales Forecast (plastic XX)0703_PL Fcst Jul 06-updated G&amp;A Value_2009 xBOX ramp up budget code applicaiton 300K --New May26 (3)" xfId="16619"/>
    <cellStyle name="_Sales Forecast (plastic XX)1203_PL Fcst Jul 06-updated G&amp;A Value_2009 xBOX ramp up budget code applicaiton 300K --New May26 (3)" xfId="16620"/>
    <cellStyle name="_Sales Forecast (plastic XX)0703_PL Fcst Jul 06-updated G&amp;A Value_Budget GC Other Form" xfId="16621"/>
    <cellStyle name="_Sales Forecast (plastic XX)1203_PL Fcst Jul 06-updated G&amp;A Value_Budget GC Other Form" xfId="16622"/>
    <cellStyle name="_Sales Forecast (plastic XX)0703_PL Fcst Jul 06-updated G&amp;A Value_Copy of Tom OS ( Oct) new for LOG" xfId="16623"/>
    <cellStyle name="_Sales Forecast (plastic XX)1203_PL Fcst Jul 06-updated G&amp;A Value_Copy of Tom OS ( Oct) new for LOG" xfId="16624"/>
    <cellStyle name="_Sales Forecast (plastic XX)0703_PL Fcst Jul 06-updated G&amp;A Value_Copy of Tom OS ( Oct) new for LOG_2009 xBOX ramp up budget code applicaiton 300K --New May26 (3)" xfId="16625"/>
    <cellStyle name="_Sales Forecast (plastic XX)1203_PL Fcst Jul 06-updated G&amp;A Value_Copy of Tom OS ( Oct) new for LOG_2009 xBOX ramp up budget code applicaiton 300K --New May26 (3)" xfId="16626"/>
    <cellStyle name="_Sales Forecast (plastic XX)0703_PL Fcst Jul 06-updated G&amp;A Value_Copy of Tom OS ( Oct) new for LOG_2009 xBOX ramp up budget code applicaiton 300K --New May27" xfId="16627"/>
    <cellStyle name="_Sales Forecast (plastic XX)1203_PL Fcst Jul 06-updated G&amp;A Value_Copy of Tom OS ( Oct) new for LOG_2009 xBOX ramp up budget code applicaiton 300K --New May27" xfId="16628"/>
    <cellStyle name="差_Creak Pearl Reliability Fixture RFQ_2009 04 24_Pearl RFQ(Submittal)ver2_05_12_2009 _Bolt RFQ_Foxlink_03.1 2011_nego meeting@MACH 2 3" xfId="16629"/>
    <cellStyle name="_Sales Forecast (plastic XX)0703_PL Fcst Jul 06-updated G&amp;A Value_Copy of Tom OS ( Oct) new for LOG_Budget GC Other Form" xfId="16630"/>
    <cellStyle name="_Sales Forecast (plastic XX)1203_PL Fcst Jul 06-updated G&amp;A Value_Copy of Tom OS ( Oct) new for LOG_Budget GC Other Form" xfId="16631"/>
    <cellStyle name="_Sales Forecast (plastic XX)0703_PL Fcst Jul 06-updated G&amp;A Value_Copy of Tom OS ( Oct) new for LOG_Copy of X-BOX for line setup budget" xfId="16632"/>
    <cellStyle name="_Sales Forecast (plastic XX)1203_PL Fcst Jul 06-updated G&amp;A Value_Copy of Tom OS ( Oct) new for LOG_Copy of X-BOX for line setup budget" xfId="16633"/>
    <cellStyle name="好_River EE BOM_Xl0000000_Leopard UniBom_Foxlink_6 21 2010-ME_nego_Bolt RFQ Proposal_Foxlink_ (Pricing Summary) 2 25 2011 2 2 3" xfId="16634"/>
    <cellStyle name="_Sales Forecast (plastic XX)0703_PL Fcst Jul 06-updated G&amp;A Value_Copy of Tom OS ( Oct) new for LOG_X-BOX BB" xfId="16635"/>
    <cellStyle name="_Sales Forecast (plastic XX)1203_PL Fcst Jul 06-updated G&amp;A Value_Copy of Tom OS ( Oct) new for LOG_X-BOX BB" xfId="16636"/>
    <cellStyle name="_Sales Forecast (plastic XX)0703_PL Fcst Jul 06-updated G&amp;A Value_Copy of Tom OS ( Oct) new for LOG_X-BOX Console line setup budget 20080414" xfId="16637"/>
    <cellStyle name="_Sales Forecast (plastic XX)1203_PL Fcst Jul 06-updated G&amp;A Value_Copy of Tom OS ( Oct) new for LOG_X-BOX Console line setup budget 20080414" xfId="16638"/>
    <cellStyle name="_Sales Forecast (plastic XX)0703_PL Fcst Jul 06-updated G&amp;A Value_Copy of X-BOX for line setup budget" xfId="16639"/>
    <cellStyle name="_Sales Forecast (plastic XX)1203_PL Fcst Jul 06-updated G&amp;A Value_Copy of X-BOX for line setup budget" xfId="16640"/>
    <cellStyle name="差_MB9月管審換線超時8d 3 2" xfId="16641"/>
    <cellStyle name="_Sales Forecast (plastic XX)0703_PL Fcst Jul 06-updated G&amp;A Value_Forecast Template v4" xfId="16642"/>
    <cellStyle name="_Sales Forecast (plastic XX)1203_PL Fcst Jul 06-updated G&amp;A Value_Forecast Template v4" xfId="16643"/>
    <cellStyle name="差_Creak Pearl Reliability Fixture RFQ_2009 04 24_Leopard_UniBOM_ME_0602-1_Bolt RFQ_Foxlink_03.1 2011 5" xfId="16644"/>
    <cellStyle name="_Sales Forecast (plastic XX)0703_PL Fcst Jul 06-updated G&amp;A Value_Internal Hourly Rate Q1 FY08 Version 06052007 Draft" xfId="16645"/>
    <cellStyle name="_Sales Forecast (plastic XX)1203_PL Fcst Jul 06-updated G&amp;A Value_Internal Hourly Rate Q1 FY08 Version 06052007 Draft" xfId="16646"/>
    <cellStyle name="差_Xl0000002_Squirrel UniBom-06.23.2010_update_internal_Bolt RFQ Proposal_Foxlink_ (Pricing Summary) 2 25 2011 4 3" xfId="16647"/>
    <cellStyle name="好_River EE BOM_Xl0000000_Leopard UniBom_Foxlink_6 21 2010-ME_nego 2" xfId="16648"/>
    <cellStyle name="好_River EE BOM_Creak Pearl Reliability Fixture RFQ_2009 04 24_Pearl RFQ(Submittal)ver2_05_12_2009 _Lemur RFQ ME BOM Costs-0623" xfId="16649"/>
    <cellStyle name="_Sales Forecast (plastic XX)0703_PL Fcst Jul 06-updated G&amp;A Value_Internal Hourly Rate Q1 FY08 Version 06142007 excl. Corporate Allocation" xfId="16650"/>
    <cellStyle name="_Sales Forecast (plastic XX)1203_PL Fcst Jul 06-updated G&amp;A Value_Internal Hourly Rate Q1 FY08 Version 06142007 excl. Corporate Allocation" xfId="16651"/>
    <cellStyle name="_Sales Forecast (plastic XX)0703_PL Fcst Jul 06-updated G&amp;A Value_Tom OS ( Oct)" xfId="16652"/>
    <cellStyle name="_Sales Forecast (plastic XX)1203_PL Fcst Jul 06-updated G&amp;A Value_Tom OS ( Oct)" xfId="16653"/>
    <cellStyle name="好_River EE BOM_Xl0000000_Leopard RFQ ME BOM Costs-0618-2_Bolt RFQ Proposal_Foxlink_ (Pricing Summary) 2 25 2011 5 2" xfId="16654"/>
    <cellStyle name="_Sales Forecast (plastic XX)0703_PL Fcst Jul 06-updated G&amp;A Value_Tom OS ( Oct)_2009 xBOX ramp up budget code applicaiton" xfId="16655"/>
    <cellStyle name="_Sales Forecast (plastic XX)1203_PL Fcst Jul 06-updated G&amp;A Value_Tom OS ( Oct)_2009 xBOX ramp up budget code applicaiton" xfId="16656"/>
    <cellStyle name="_Sales Forecast (plastic XX)0703_PL Fcst Jul 06-updated G&amp;A Value_Tom OS ( Oct)_2009 xBOX ramp up budget code applicaiton 300K --New May27" xfId="16657"/>
    <cellStyle name="_Sales Forecast (plastic XX)1203_PL Fcst Jul 06-updated G&amp;A Value_Tom OS ( Oct)_2009 xBOX ramp up budget code applicaiton 300K --New May27" xfId="16658"/>
    <cellStyle name="_Sales Forecast (plastic XX)0703_PL Fcst Jul 06-updated G&amp;A Value_Tom OS ( Oct)_Copy of X-BOX for line setup budget" xfId="16659"/>
    <cellStyle name="_Sales Forecast (plastic XX)1203_PL Fcst Jul 06-updated G&amp;A Value_Tom OS ( Oct)_Copy of X-BOX for line setup budget" xfId="16660"/>
    <cellStyle name="_Sales Forecast (plastic XX)0703_PL Fcst Jul 06-updated G&amp;A Value_Tom OS ( Oct)_X-BOX BB" xfId="16661"/>
    <cellStyle name="_Sales Forecast (plastic XX)1203_PL Fcst Jul 06-updated G&amp;A Value_Tom OS ( Oct)_X-BOX BB" xfId="16662"/>
    <cellStyle name="好_River EE BOM_Creak Pearl Reliability Fixture RFQ_2009 04 24_Foxlink_Shadow RFQ NREUni BOM_12032009_Bolt RFQ Proposal_Foxlink_ (Pricing Summary) 2 25 2011 3 3" xfId="16663"/>
    <cellStyle name="_Sales Forecast (plastic XX)0703_PL Fcst Jul 06-updated G&amp;A Value_Tom OS ( Oct)_X-BOX Console line setup budget and Buyer list" xfId="16664"/>
    <cellStyle name="_Sales Forecast (plastic XX)1203_PL Fcst Jul 06-updated G&amp;A Value_Tom OS ( Oct)_X-BOX Console line setup budget and Buyer list" xfId="16665"/>
    <cellStyle name="好_Creek EE BOM cost_20090425_Squirrel RFQ ME BOM Costs-0623_Bolt RFQ_Foxlink_03.1 2011_nego meeting@MACH 5" xfId="16666"/>
    <cellStyle name="_Sales Forecast (plastic XX)0703_PL Fcst Jul 06-updated G&amp;A Value_X-BOX BB" xfId="16667"/>
    <cellStyle name="_Sales Forecast (plastic XX)1203_PL Fcst Jul 06-updated G&amp;A Value_X-BOX BB" xfId="16668"/>
    <cellStyle name="_Sales Forecast (plastic XX)0703_PL Forecast by segment-most final 0806" xfId="16669"/>
    <cellStyle name="_Sales Forecast (plastic XX)1203_PL Forecast by segment-most final 0806" xfId="16670"/>
    <cellStyle name="_Sales Forecast (plastic XX)0703_PL Forecast by segment-most final 0806_2009 xBOX ramp up budget code applicaiton" xfId="16671"/>
    <cellStyle name="_Sales Forecast (plastic XX)1203_PL Forecast by segment-most final 0806_2009 xBOX ramp up budget code applicaiton" xfId="16672"/>
    <cellStyle name="好_Creek Assembly Fixture  Test Equipment RFQ_20090427_Leopard_UniBOM_ME_0531_Bolt RFQ_Foxlink_03.1 2011_Bolt_Cliff 3 2" xfId="16673"/>
    <cellStyle name="差_pq_Flow Chart&amp;設備治工具清單 _Jackson 效益分析 (2-1 B0 上系統)_squirrel效益分析08-17" xfId="16674"/>
    <cellStyle name="差_Creak Pearl Reliability Fixture RFQ_2009 04 24_Creek  Pearl RFQ_May 12_Squirrel RFQ ME BOM Costs-0623_Bolt RFQ_Foxlink_03.1 2011 2" xfId="16675"/>
    <cellStyle name="好_River EE BOM_Creak Pearl Reliability Fixture RFQ_2009 04 24_Leopard UniBom_Foxlink_6 21 2010-ME_nego_Bolt RFQ_Foxlink_03.1 2011_nego meeting@MACH 2 2" xfId="16676"/>
    <cellStyle name="壞_Creek Assembly Fixture  Test Equipment RFQ_20090427_Squirrel RFQ ME BOM Costs-0623_Bolt RFQ_Foxlink_03.1 2011_nego meeting@MACH 2" xfId="16677"/>
    <cellStyle name="_Sales Forecast (plastic XX)0703_PL Forecast by segment-most final 0806_2009 xBOX ramp up budget code applicaiton 300K --New May27" xfId="16678"/>
    <cellStyle name="_Sales Forecast (plastic XX)1203_PL Forecast by segment-most final 0806_2009 xBOX ramp up budget code applicaiton 300K --New May27" xfId="16679"/>
    <cellStyle name="40% - 强调文字颜色 3 5" xfId="16680"/>
    <cellStyle name="_Sales Forecast (plastic XX)0703_PL Forecast by segment-most final 0806_Budget GC Other Form" xfId="16681"/>
    <cellStyle name="_Sales Forecast (plastic XX)1203_PL Forecast by segment-most final 0806_Budget GC Other Form" xfId="16682"/>
    <cellStyle name="_Sales Forecast (plastic XX)0703_PL Forecast by segment-most final 0806_Copy of Tom OS ( Oct) new for LOG" xfId="16683"/>
    <cellStyle name="_Sales Forecast (plastic XX)1203_PL Forecast by segment-most final 0806_Copy of Tom OS ( Oct) new for LOG" xfId="16684"/>
    <cellStyle name="Normal 21 6" xfId="16685"/>
    <cellStyle name="_Sales Forecast (plastic XX)0703_PL Forecast by segment-most final 0806_Copy of Tom OS ( Oct) new for LOG_2009 xBOX ramp up budget code applicaiton" xfId="16686"/>
    <cellStyle name="_Sales Forecast (plastic XX)1203_PL Forecast by segment-most final 0806_Copy of Tom OS ( Oct) new for LOG_2009 xBOX ramp up budget code applicaiton" xfId="16687"/>
    <cellStyle name="_Sales Forecast (plastic XX)0703_PL Forecast by segment-most final 0806_Copy of Tom OS ( Oct) new for LOG_2009 xBOX ramp up budget code applicaiton 300K --New May26 (3)" xfId="16688"/>
    <cellStyle name="_Sales Forecast (plastic XX)1203_PL Forecast by segment-most final 0806_Copy of Tom OS ( Oct) new for LOG_2009 xBOX ramp up budget code applicaiton 300K --New May26 (3)" xfId="16689"/>
    <cellStyle name="_Sales Forecast (plastic XX)0703_PL Forecast by segment-most final 0806_Copy of Tom OS ( Oct) new for LOG_Budget GC Other Form" xfId="16690"/>
    <cellStyle name="_Sales Forecast (plastic XX)1203_PL Forecast by segment-most final 0806_Copy of Tom OS ( Oct) new for LOG_Budget GC Other Form" xfId="16691"/>
    <cellStyle name="_Sales Forecast (plastic XX)0703_PL Forecast by segment-most final 0806_Copy of Tom OS ( Oct) new for LOG_Copy of X-BOX for line setup budget" xfId="16692"/>
    <cellStyle name="_Sales Forecast (plastic XX)1203_PL Forecast by segment-most final 0806_Copy of Tom OS ( Oct) new for LOG_Copy of X-BOX for line setup budget" xfId="16693"/>
    <cellStyle name="_Sales Forecast (plastic XX)0703_PL Forecast by segment-most final 0806_Copy of Tom OS ( Oct) new for LOG_Forecast Template v4" xfId="16694"/>
    <cellStyle name="_Sales Forecast (plastic XX)1203_PL Forecast by segment-most final 0806_Copy of Tom OS ( Oct) new for LOG_Forecast Template v4" xfId="16695"/>
    <cellStyle name="好_River EE BOM_Creak Pearl Reliability Fixture RFQ_2009 04 24_Squirrel UniBom-06.23.2010_update_internal_Bolt RFQ Proposal_Foxlink_ (Pricing Summary) 2 25 2011 3" xfId="16696"/>
    <cellStyle name="_Sales Forecast (plastic XX)0703_PL Forecast by segment-most final 0806_Copy of Tom OS ( Oct) new for LOG_X-BOX BB" xfId="16697"/>
    <cellStyle name="_Sales Forecast (plastic XX)1203_PL Forecast by segment-most final 0806_Copy of Tom OS ( Oct) new for LOG_X-BOX BB" xfId="16698"/>
    <cellStyle name="差_dallas產能評估_Jackson 效益分析 testing update_16th Jan1" xfId="16699"/>
    <cellStyle name="好_River EE BOM_Creak Pearl Reliability Fixture RFQ_2009 04 24_Xl0000002_Leopard_UniBOM_ME_0531_Bolt RFQ Proposal_Foxlink_ (Pricing Summary) 2 25 2011 3 2" xfId="16700"/>
    <cellStyle name="_Sales Forecast (plastic XX)0703_PL Forecast by segment-most final 0806_Copy of Tom OS ( Oct) new for LOG_X-BOX Console line setup budget 20080414" xfId="16701"/>
    <cellStyle name="_Sales Forecast (plastic XX)1203_PL Forecast by segment-most final 0806_Copy of Tom OS ( Oct) new for LOG_X-BOX Console line setup budget 20080414" xfId="16702"/>
    <cellStyle name="差_Xl0000002_Leopard_UniBOM_ME_0602-1 3 3" xfId="16703"/>
    <cellStyle name="_Sales Forecast (plastic XX)0703_PL Forecast by segment-most final 0806_Copy of Tom OS ( Oct) new for LOG_X-BOX Console line setup budget and Buyer list" xfId="16704"/>
    <cellStyle name="_Sales Forecast (plastic XX)1203_PL Forecast by segment-most final 0806_Copy of Tom OS ( Oct) new for LOG_X-BOX Console line setup budget and Buyer list" xfId="16705"/>
    <cellStyle name="好_River EE BOM_Creak Pearl Reliability Fixture RFQ_2009 04 24_Xl0000002_Foxlink_Shadow RFQ NREUni BOM_12032009 2 4" xfId="16706"/>
    <cellStyle name="好_MB9月管審換線超時8d_HP" xfId="16707"/>
    <cellStyle name="_Sales Forecast (plastic XX)0703_PL Forecast by segment-most final 0806_Copy of X-BOX for line setup budget" xfId="16708"/>
    <cellStyle name="_Sales Forecast (plastic XX)1203_PL Forecast by segment-most final 0806_Copy of X-BOX for line setup budget" xfId="16709"/>
    <cellStyle name="Note 7" xfId="16710"/>
    <cellStyle name="_Sales Forecast (plastic XX)0703_PL Forecast by segment-most final 0806_Forecast Template v4" xfId="16711"/>
    <cellStyle name="_Sales Forecast (plastic XX)1203_PL Forecast by segment-most final 0806_Forecast Template v4" xfId="16712"/>
    <cellStyle name="_Sales Forecast (plastic XX)0703_PL Forecast by segment-most final 0806_Tom OS ( Oct)" xfId="16713"/>
    <cellStyle name="_Sales Forecast (plastic XX)1203_PL Forecast by segment-most final 0806_Tom OS ( Oct)" xfId="16714"/>
    <cellStyle name="好_Creek EE BOM cost_20090425_Creek RFQ feedback 04_28_2009_FD Update_Squirrel UniBom-06.23.2010_update_internal_Bolt RFQ Proposal_Foxlink_ (Pricing Summary) 2 25 2011 2 4" xfId="16715"/>
    <cellStyle name="_Sales Forecast (plastic XX)0703_PL Forecast by segment-most final 0806_Tom OS ( Oct)_2009 xBOX ramp up budget code applicaiton" xfId="16716"/>
    <cellStyle name="_Sales Forecast (plastic XX)1203_PL Forecast by segment-most final 0806_Tom OS ( Oct)_2009 xBOX ramp up budget code applicaiton" xfId="16717"/>
    <cellStyle name="_Sales Forecast (plastic XX)0703_PL Forecast by segment-most final 0806_Tom OS ( Oct)_2009 xBOX ramp up budget code applicaiton 300K --New May26 (3)" xfId="16718"/>
    <cellStyle name="_Sales Forecast (plastic XX)1203_PL Forecast by segment-most final 0806_Tom OS ( Oct)_2009 xBOX ramp up budget code applicaiton 300K --New May26 (3)" xfId="16719"/>
    <cellStyle name="_Sales Forecast (plastic XX)0703_PL Forecast by segment-most final 0806_Tom OS ( Oct)_Budget GC Other Form" xfId="16720"/>
    <cellStyle name="_Sales Forecast (plastic XX)1203_PL Forecast by segment-most final 0806_Tom OS ( Oct)_Budget GC Other Form" xfId="16721"/>
    <cellStyle name="差_Xl0000000_Leopard_UniBOM_ME_0603-2 3 2" xfId="16722"/>
    <cellStyle name="好_River EE BOM_Creak Pearl Reliability Fixture RFQ_2009 04 24_Creek RFQ feedback 04_28_2009_FD Update_Squirrel RFQ ME BOM Costs-0623_Bolt RFQ Proposal_Foxlink_ (Pricing Summary) 2 25 2011 4 3" xfId="16723"/>
    <cellStyle name="好_River EE BOM_Creak Pearl Reliability Fixture RFQ_2009 04 24_Pearl RFQ(Submittal)ver2_05_12_2009 _Squirrel RFQ ME BOM Costs-0623_Bolt RFQ_Foxlink_03.1 2011 2" xfId="16724"/>
    <cellStyle name="_Sales Forecast (plastic XX)0703_PL Forecast by segment-most final 0806_Tom OS ( Oct)_Copy of X-BOX for line setup budget" xfId="16725"/>
    <cellStyle name="_Sales Forecast (plastic XX)1203_PL Forecast by segment-most final 0806_Tom OS ( Oct)_Copy of X-BOX for line setup budget" xfId="16726"/>
    <cellStyle name="好_Creek EE BOM cost_20090425_Creek RFQ feedback 04_28_2009_FD Update_Leopard RFQ ME BOM Costs-0618_Bolt RFQ Proposal_Foxlink_ (Pricing Summary) 2 25 2011 6" xfId="16727"/>
    <cellStyle name="_Sales Forecast (plastic XX)0703_PL Forecast by segment-most final 0806_Tom OS ( Oct)_Forecast Template v4" xfId="16728"/>
    <cellStyle name="_Sales Forecast (plastic XX)1203_PL Forecast by segment-most final 0806_Tom OS ( Oct)_Forecast Template v4" xfId="16729"/>
    <cellStyle name="_Sales Forecast (plastic XX)0703_PL Forecast by segment-most final 0806_Tom OS ( Oct)_X-BOX BB" xfId="16730"/>
    <cellStyle name="_Sales Forecast (plastic XX)1203_PL Forecast by segment-most final 0806_Tom OS ( Oct)_X-BOX BB" xfId="16731"/>
    <cellStyle name="好_River EE BOM_Creak Pearl Reliability Fixture RFQ_2009 04 24_Xl0000002_Leopard RFQ ME BOM Costs-0618-2_Bolt RFQ Proposal_Foxlink_ (Pricing Summary) 2 25 2011 2 4" xfId="16732"/>
    <cellStyle name="差_Creak Pearl Reliability Fixture RFQ_2009 04 24_Creek RFQ feedback 04_28_2009_FD Update_Leopard UniBom_Foxlink_6 21 2010-ME_nego_Bolt RFQ Proposal_Foxlink_ (Pricing Summary) 2 25 2011 2 2 3" xfId="16733"/>
    <cellStyle name="差_Creak Pearl Reliability Fixture RFQ_2009 04 24_Creek  Pearl RFQ_May 12_Leopard Lemur Squirrel UniBom-06.22.2010_EE cost _update_internal_Bolt RFQ_Foxlink_03.1 2011_nego meeting@MACH 2 2" xfId="16734"/>
    <cellStyle name="_Sales Forecast (plastic XX)0703_PL Forecast by segment-most final 0806_Tom OS ( Oct)_X-BOX Console line setup budget 20080414" xfId="16735"/>
    <cellStyle name="_Sales Forecast (plastic XX)1203_PL Forecast by segment-most final 0806_Tom OS ( Oct)_X-BOX Console line setup budget 20080414" xfId="16736"/>
    <cellStyle name="好_River EE BOM_Creak Pearl Reliability Fixture RFQ_2009 04 24_Xl0000002_Foxlink_Shadow RFQ NREUni BOM_12032009" xfId="16737"/>
    <cellStyle name="_Sales Forecast (plastic XX)0703_PL Forecast by segment-most final 0806_Tom OS ( Oct)_X-BOX Console line setup budget and Buyer list" xfId="16738"/>
    <cellStyle name="_Sales Forecast (plastic XX)1203_PL Forecast by segment-most final 0806_Tom OS ( Oct)_X-BOX Console line setup budget and Buyer list" xfId="16739"/>
    <cellStyle name="差_F3   SMT設備明細_jupite r設備&amp;治工具LIST (總)_~3106354_Leopard Flowchart &amp; 產能評估" xfId="16740"/>
    <cellStyle name="_Sales Forecast (plastic XX)0703_PL Forecast by segment-most final 0806_X-BOX BB" xfId="16741"/>
    <cellStyle name="_Sales Forecast (plastic XX)1203_PL Forecast by segment-most final 0806_X-BOX BB" xfId="16742"/>
    <cellStyle name="差_HP Mouse 產能評估(上系統)_費用統計_Leopard效益分析08-17" xfId="16743"/>
    <cellStyle name="40% - Accent6 2 3" xfId="16744"/>
    <cellStyle name="_Sales Forecast (plastic XX)0703_Tom OS ( Oct)_2009 xBOX ramp up budget code applicaiton" xfId="16745"/>
    <cellStyle name="_Sales Forecast (plastic XX)1203_Tom OS ( Oct)_2009 xBOX ramp up budget code applicaiton" xfId="16746"/>
    <cellStyle name="好_MB9月管審換線超時8d_HP 2 2 3" xfId="16747"/>
    <cellStyle name="_Sales Forecast (plastic XX)0703_Tom OS ( Oct)_2009 xBOX ramp up budget code applicaiton 300K --New May26 (3)" xfId="16748"/>
    <cellStyle name="_Sales Forecast (plastic XX)1203_Tom OS ( Oct)_2009 xBOX ramp up budget code applicaiton 300K --New May26 (3)" xfId="16749"/>
    <cellStyle name="20% - Accent5 3 4" xfId="16750"/>
    <cellStyle name="_Sales Forecast (plastic XX)0703_Tom OS ( Oct)_X-BOX BB" xfId="16751"/>
    <cellStyle name="_Sales Forecast (plastic XX)1203_Tom OS ( Oct)_X-BOX BB" xfId="16752"/>
    <cellStyle name="差_Xl0000000_Leopard RFQ ME BOM Costs-0618_Bolt RFQ_Foxlink_03.1 2011_nego meeting@MACH 5" xfId="16753"/>
    <cellStyle name="差_Creak Pearl Reliability Fixture RFQ_2009 04 24_Creek  Pearl RFQ_May 12_Leopard_UniBOM_ME_0531_Bolt RFQ_Foxlink_03.1 2011 3" xfId="16754"/>
    <cellStyle name="_Sales Forecast (plastic XX)0703_Tom OS ( Oct)_X-BOX Console line setup budget and Buyer list" xfId="16755"/>
    <cellStyle name="_Sales Forecast (plastic XX)1203_Tom OS ( Oct)_X-BOX Console line setup budget and Buyer list" xfId="16756"/>
    <cellStyle name="_Sales Forecast (plastic XX)0703_Volume Fcst 1006 updated" xfId="16757"/>
    <cellStyle name="_Sales Forecast (plastic XX)1203_Volume Fcst 1006 updated" xfId="16758"/>
    <cellStyle name="好_Creek Assembly Fixture  Test Equipment RFQ_20090427_Leopard_UniBOM_ME_0531_Bolt RFQ_Foxlink_03.1 2011_nego meeting@MACH_Bolt_Cliff 6" xfId="16759"/>
    <cellStyle name="_Sales Forecast (plastic XX)0703_Volume Fcst 1006 updated_2009 xBOX ramp up budget code applicaiton" xfId="16760"/>
    <cellStyle name="_Sales Forecast (plastic XX)1203_Volume Fcst 1006 updated_2009 xBOX ramp up budget code applicaiton" xfId="16761"/>
    <cellStyle name="_Xenon Build Plan Flex 090605" xfId="16762"/>
    <cellStyle name="_Sales Forecast (plastic XX)0703_Volume Fcst 1006 updated_2009 xBOX ramp up budget code applicaiton 300K --New May26 (3)" xfId="16763"/>
    <cellStyle name="_Sales Forecast (plastic XX)1203_Volume Fcst 1006 updated_2009 xBOX ramp up budget code applicaiton 300K --New May26 (3)" xfId="16764"/>
    <cellStyle name="_Sales Forecast (plastic XX)0703_Volume Fcst 1006 updated_2009 xBOX ramp up budget code applicaiton 300K --New May27" xfId="16765"/>
    <cellStyle name="_Sales Forecast (plastic XX)1203_Volume Fcst 1006 updated_2009 xBOX ramp up budget code applicaiton 300K --New May27" xfId="16766"/>
    <cellStyle name="好_River EE BOM_Xl0000000_Leopard_UniBOM_ME_0602-1_Bolt RFQ_Foxlink_03.1 2011 2 2" xfId="16767"/>
    <cellStyle name="好_River EE BOM_Creak Pearl Reliability Fixture RFQ_2009 04 24_Creek  Pearl RFQ_May 12_Foxlink_Shadow RFQ NREUni BOM_12032009 3" xfId="16768"/>
    <cellStyle name="_Sales Forecast (plastic XX)0703_Volume Fcst 1006 updated_Budget GC Other Form" xfId="16769"/>
    <cellStyle name="_Sales Forecast (plastic XX)1203_Volume Fcst 1006 updated_Budget GC Other Form" xfId="16770"/>
    <cellStyle name="差_Creak Pearl Reliability Fixture RFQ_2009 04 24_Creek  Pearl RFQ_May 12 2 3" xfId="16771"/>
    <cellStyle name="_Sales Forecast (plastic XX)0703_Volume Fcst 1006 updated_Copy of Tom OS ( Oct) new for LOG" xfId="16772"/>
    <cellStyle name="_Sales Forecast (plastic XX)1203_Volume Fcst 1006 updated_Copy of Tom OS ( Oct) new for LOG" xfId="16773"/>
    <cellStyle name="好_Creek EE BOM cost_20090425_Creek RFQ feedback 04_28_2009_FD Update_Leopard UniBom_Foxlink_6 21 2010-ME_nego_Bolt RFQ Proposal_Foxlink_ (Pricing Summary) 2 25 2011 3 2" xfId="16774"/>
    <cellStyle name="_Sales Forecast (plastic XX)0703_Volume Fcst 1006 updated_Copy of Tom OS ( Oct) new for LOG_2009 xBOX ramp up budget code applicaiton" xfId="16775"/>
    <cellStyle name="_Sales Forecast (plastic XX)1203_Volume Fcst 1006 updated_Copy of Tom OS ( Oct) new for LOG_2009 xBOX ramp up budget code applicaiton" xfId="16776"/>
    <cellStyle name="_Sales Forecast (plastic XX)0703_Volume Fcst 1006 updated_Copy of Tom OS ( Oct) new for LOG_2009 xBOX ramp up budget code applicaiton 300K --New May26 (3)" xfId="16777"/>
    <cellStyle name="_Sales Forecast (plastic XX)1203_Volume Fcst 1006 updated_Copy of Tom OS ( Oct) new for LOG_2009 xBOX ramp up budget code applicaiton 300K --New May26 (3)" xfId="16778"/>
    <cellStyle name="_Sales Forecast (plastic XX)0703_Volume Fcst 1006 updated_Copy of Tom OS ( Oct) new for LOG_2009 xBOX ramp up budget code applicaiton 300K --New May27" xfId="16779"/>
    <cellStyle name="_Sales Forecast (plastic XX)1203_Volume Fcst 1006 updated_Copy of Tom OS ( Oct) new for LOG_2009 xBOX ramp up budget code applicaiton 300K --New May27" xfId="16780"/>
    <cellStyle name="_Sales Forecast (plastic XX)0703_Volume Fcst 1006 updated_Copy of Tom OS ( Oct) new for LOG_Budget GC Other Form" xfId="16781"/>
    <cellStyle name="_Sales Forecast (plastic XX)1203_Volume Fcst 1006 updated_Copy of Tom OS ( Oct) new for LOG_Budget GC Other Form" xfId="16782"/>
    <cellStyle name="差_F3   SMT設備明細_jupite r設備&amp;治工具LIST (總)_flow chart 2009.12.12_效益分析(總 12-28 Update)" xfId="16783"/>
    <cellStyle name="_Sales Forecast (plastic XX)0703_Volume Fcst 1006 updated_Copy of Tom OS ( Oct) new for LOG_Copy of X-BOX for line setup budget" xfId="16784"/>
    <cellStyle name="_Sales Forecast (plastic XX)1203_Volume Fcst 1006 updated_Copy of Tom OS ( Oct) new for LOG_Copy of X-BOX for line setup budget" xfId="16785"/>
    <cellStyle name="好_Creek Assembly Fixture  Test Equipment RFQ_20090427_Leopard RFQ ME BOM Costs-0618-2_Bolt RFQ_Foxlink_03.1 2011_nego meeting@MACH 4" xfId="16786"/>
    <cellStyle name="_Sales Forecast (plastic XX)0703_Volume Fcst 1006 updated_Copy of Tom OS ( Oct) new for LOG_Forecast Template v4" xfId="16787"/>
    <cellStyle name="_Sales Forecast (plastic XX)1203_Volume Fcst 1006 updated_Copy of Tom OS ( Oct) new for LOG_Forecast Template v4" xfId="16788"/>
    <cellStyle name="_Sales Forecast (plastic XX)0703_Volume Fcst 1006 updated_Copy of Tom OS ( Oct) new for LOG_X-BOX BB" xfId="16789"/>
    <cellStyle name="_Sales Forecast (plastic XX)1203_Volume Fcst 1006 updated_Copy of Tom OS ( Oct) new for LOG_X-BOX BB" xfId="16790"/>
    <cellStyle name="差_Creak Pearl Reliability Fixture RFQ_2009 04 24_Xl0000002_Foxlink_Shadow RFQ NREUni BOM_12032009_Bolt RFQ_Foxlink_03.1 2011 3" xfId="16791"/>
    <cellStyle name="_Sales Forecast (plastic XX)0703_Volume Fcst 1006 updated_Copy of Tom OS ( Oct) new for LOG_X-BOX Console line setup budget 20080414" xfId="16792"/>
    <cellStyle name="_Sales Forecast (plastic XX)1203_Volume Fcst 1006 updated_Copy of Tom OS ( Oct) new for LOG_X-BOX Console line setup budget 20080414" xfId="16793"/>
    <cellStyle name="一般 3 2 3 3" xfId="16794"/>
    <cellStyle name="_Z9 blueAnt ME BOM 0910_Stream RFQ Unibom--0626-1756_Stream Quotebook (Submittal)_POC2_20081117-1" xfId="16795"/>
    <cellStyle name="_Sales Forecast (plastic XX)0703_Volume Fcst 1006 updated_Copy of Tom OS ( Oct) new for LOG_X-BOX Console line setup budget and Buyer list" xfId="16796"/>
    <cellStyle name="_Sales Forecast (plastic XX)1203_Volume Fcst 1006 updated_Copy of Tom OS ( Oct) new for LOG_X-BOX Console line setup budget and Buyer list" xfId="16797"/>
    <cellStyle name="_Sales Forecast (plastic XX)0703_Volume Fcst 1006 updated_Copy of X-BOX for line setup budget" xfId="16798"/>
    <cellStyle name="_Sales Forecast (plastic XX)1203_Volume Fcst 1006 updated_Copy of X-BOX for line setup budget" xfId="16799"/>
    <cellStyle name="差_MB9月管審誤判超標 8D 3 2" xfId="16800"/>
    <cellStyle name="差_HP  專案(設備&amp;治工具需夠買)update_MS Bolt wireless mouse FixtureEquipment Cost_A5_2010_02_21_Bolt RFQ_Foxlink_03.1 2011 3 3" xfId="16801"/>
    <cellStyle name="_Sales Forecast (plastic XX)0703_Volume Fcst 1006 updated_X-BOX BB" xfId="16802"/>
    <cellStyle name="_Sales Forecast (plastic XX)1203_Volume Fcst 1006 updated_X-BOX BB" xfId="16803"/>
    <cellStyle name="_Sales Forecast (plastic XX)0703_Volume Fcst Jul 06-update HP " xfId="16804"/>
    <cellStyle name="_Sales Forecast (plastic XX)1203_Volume Fcst Jul 06-update HP " xfId="16805"/>
    <cellStyle name="_Sales Forecast (plastic XX)0703_Volume Fcst Jul 06-update HP _2009 xBOX ramp up budget code applicaiton" xfId="16806"/>
    <cellStyle name="_Sales Forecast (plastic XX)1203_Volume Fcst Jul 06-update HP _2009 xBOX ramp up budget code applicaiton" xfId="16807"/>
    <cellStyle name="差_Creek RFQ feedback 04_28_2009_FD Update_Squirrel UniBom-06.23.2010_update_internal_Bolt RFQ Proposal_Foxlink_ (Pricing Summary) 2 25 2011 4" xfId="16808"/>
    <cellStyle name="40% - 强调文字颜色 3 3 2" xfId="16809"/>
    <cellStyle name="壞_Creek Assembly Fixture  Test Equipment RFQ_20090427_Xl0000002_Leopard_UniBOM_ME_0602-1_Bolt RFQ Proposal_Foxlink_ (Pricing Summary) 2 25 2011 4 2" xfId="16810"/>
    <cellStyle name="差_Xl0000000_Squirrel UniBom-06.23.2010_update_internal 3 3" xfId="16811"/>
    <cellStyle name="Normal 3 3 2 3" xfId="16812"/>
    <cellStyle name="_Sales Forecast (plastic XX)0703_Volume Fcst Jul 06-update HP _2009 xBOX ramp up budget code applicaiton 300K --New May26 (3)" xfId="16813"/>
    <cellStyle name="_Sales Forecast (plastic XX)1203_Volume Fcst Jul 06-update HP _2009 xBOX ramp up budget code applicaiton 300K --New May26 (3)" xfId="16814"/>
    <cellStyle name="好_River EE BOM_Xl0000002_Squirrel RFQ ME BOM Costs-0623_Bolt RFQ Proposal_Foxlink_ (Pricing Summary) 2 25 2011 4 2" xfId="16815"/>
    <cellStyle name="_Sales Forecast (plastic XX)0703_Volume Fcst Jul 06-update HP _Copy of Tom OS ( Oct) new for LOG" xfId="16816"/>
    <cellStyle name="_Sales Forecast (plastic XX)1203_Volume Fcst Jul 06-update HP _Copy of Tom OS ( Oct) new for LOG" xfId="16817"/>
    <cellStyle name="_Sales Forecast (plastic XX)0703_Volume Fcst Jul 06-update HP _Copy of Tom OS ( Oct) new for LOG_2009 xBOX ramp up budget code applicaiton" xfId="16818"/>
    <cellStyle name="_Sales Forecast (plastic XX)0703_Volume Fcst Jul 06-update HP _Copy of Tom OS ( Oct) new for LOG_2009 xBOX ramp up budget code applicaiton 300K --New May26 (3)" xfId="16819"/>
    <cellStyle name="_Sales Forecast (plastic XX)1203_Volume Fcst Jul 06-update HP _Copy of Tom OS ( Oct) new for LOG_2009 xBOX ramp up budget code applicaiton 300K --New May26 (3)" xfId="16820"/>
    <cellStyle name="_Sales Forecast (plastic XX)0703_Volume Fcst Jul 06-update HP _Copy of Tom OS ( Oct) new for LOG_2009 xBOX ramp up budget code applicaiton 300K --New May27" xfId="16821"/>
    <cellStyle name="_Sales Forecast (plastic XX)1203_Volume Fcst Jul 06-update HP _Copy of Tom OS ( Oct) new for LOG_2009 xBOX ramp up budget code applicaiton 300K --New May27" xfId="16822"/>
    <cellStyle name="_Sales Forecast (plastic XX)0703_Volume Fcst Jul 06-update HP _Copy of Tom OS ( Oct) new for LOG_Budget GC Other Form" xfId="16823"/>
    <cellStyle name="_Sales Forecast (plastic XX)1203_Volume Fcst Jul 06-update HP _Copy of Tom OS ( Oct) new for LOG_Budget GC Other Form" xfId="16824"/>
    <cellStyle name="_Sales Forecast (plastic XX)0703_Volume Fcst Jul 06-update HP _Copy of Tom OS ( Oct) new for LOG_X-BOX Console line setup budget 20080414" xfId="16825"/>
    <cellStyle name="_Sales Forecast (plastic XX)1203_Volume Fcst Jul 06-update HP _Copy of Tom OS ( Oct) new for LOG_X-BOX Console line setup budget 20080414" xfId="16826"/>
    <cellStyle name="_Sales Forecast (plastic XX)0703_Volume Fcst Jul 06-update HP _Copy of Tom OS ( Oct) new for LOG_X-BOX Console line setup budget and Buyer list" xfId="16827"/>
    <cellStyle name="_Sales Forecast (plastic XX)1203_Volume Fcst Jul 06-update HP _Copy of Tom OS ( Oct) new for LOG_X-BOX Console line setup budget and Buyer list" xfId="16828"/>
    <cellStyle name="Normal 11 3 2" xfId="16829"/>
    <cellStyle name="_Sales Forecast (plastic XX)0703_Volume Fcst Jul 06-update HP _Internal Hourly Rate Q1 FY08 Version 06052007 Draft" xfId="16830"/>
    <cellStyle name="_Sales Forecast (plastic XX)1203_Volume Fcst Jul 06-update HP _Internal Hourly Rate Q1 FY08 Version 06052007 Draft" xfId="16831"/>
    <cellStyle name="_Sales Forecast (plastic XX)0703_Volume Fcst Jul 06-update HP _Internal Hourly Rate Q1 FY08 Version 06142007 excl. Corporate Allocation" xfId="16832"/>
    <cellStyle name="_Sales Forecast (plastic XX)1203_Volume Fcst Jul 06-update HP _Internal Hourly Rate Q1 FY08 Version 06142007 excl. Corporate Allocation" xfId="16833"/>
    <cellStyle name="好_River EE BOM_Creak Pearl Reliability Fixture RFQ_2009 04 24_Pearl RFQ(Submittal)ver2_05_12_2009 _Leopard Lemur Squirrel UniBom-06.22.2010_EE cost _update_internal_Bolt RFQ_Foxlink_03.1 2011_nego meeting@MACH 5" xfId="16834"/>
    <cellStyle name="_Sales Forecast (plastic XX)0703_Volume Fcst Jul 06-update HP _Tom OS ( Oct)" xfId="16835"/>
    <cellStyle name="_Sales Forecast (plastic XX)1203_Volume Fcst Jul 06-update HP _Tom OS ( Oct)" xfId="16836"/>
    <cellStyle name="差_Creak Pearl Reliability Fixture RFQ_2009 04 24_Creek RFQ feedback 04_28_2009_FD Update_Squirrel RFQ ME BOM Costs-0623_Bolt RFQ Proposal_Foxlink_ (Pricing Summary) 2 25 2011 4" xfId="16837"/>
    <cellStyle name="_Sales Forecast (plastic XX)0703_Volume Fcst Jul 06-update HP _Tom OS ( Oct)_2009 xBOX ramp up budget code applicaiton 300K --New May26 (3)" xfId="16838"/>
    <cellStyle name="_Sales Forecast (plastic XX)1203_Volume Fcst Jul 06-update HP _Tom OS ( Oct)_2009 xBOX ramp up budget code applicaiton 300K --New May26 (3)" xfId="16839"/>
    <cellStyle name="_Sales Forecast (plastic XX)0703_Volume Fcst Jul 06-update HP _Tom OS ( Oct)_Budget GC Other Form" xfId="16840"/>
    <cellStyle name="_Sales Forecast (plastic XX)1203_Volume Fcst Jul 06-update HP _Tom OS ( Oct)_Budget GC Other Form" xfId="16841"/>
    <cellStyle name="_Z9 blueAnt ME BOM 0910 final_Internal RFQ River Standalone  Bundle Unibom_v1 2_20080603_EJ 2" xfId="16842"/>
    <cellStyle name="_Sales Forecast (plastic XX)0703_Volume Fcst Jul 06-update HP _Tom OS ( Oct)_Copy of X-BOX for line setup budget" xfId="16843"/>
    <cellStyle name="_Sales Forecast (plastic XX)1203_Volume Fcst Jul 06-update HP _Tom OS ( Oct)_Copy of X-BOX for line setup budget" xfId="16844"/>
    <cellStyle name="_Sales Forecast (plastic XX)0703_Volume Fcst Jul 06-update HP _Tom OS ( Oct)_Forecast Template v4" xfId="16845"/>
    <cellStyle name="_Sales Forecast (plastic XX)1203_Volume Fcst Jul 06-update HP _Tom OS ( Oct)_Forecast Template v4" xfId="16846"/>
    <cellStyle name="好_River EE BOM_Creak Pearl Reliability Fixture RFQ_2009 04 24_Pearl RFQ(Submittal)ver2_05_12_2009 _Leopard_UniBOM_ME_0602-1_Bolt RFQ_Foxlink_03.1 2011 4" xfId="16847"/>
    <cellStyle name="_Sales Forecast (plastic XX)0703_Volume Fcst Jul 06-update HP _Tom OS ( Oct)_X-BOX BB" xfId="16848"/>
    <cellStyle name="_Sales Forecast (plastic XX)1203_Volume Fcst Jul 06-update HP _Tom OS ( Oct)_X-BOX BB" xfId="16849"/>
    <cellStyle name="60% - 强调文字颜色 1 2 2" xfId="16850"/>
    <cellStyle name="_Sales Forecast (plastic XX)0703_Volume Fcst Jul 06-update HP _Tom OS ( Oct)_X-BOX Console line setup budget 20080414" xfId="16851"/>
    <cellStyle name="_Sales Forecast (plastic XX)1203_Volume Fcst Jul 06-update HP _Tom OS ( Oct)_X-BOX Console line setup budget 20080414" xfId="16852"/>
    <cellStyle name="壞_Creek Assembly Fixture  Test Equipment RFQ_20090427_Leopard_UniBOM_ME_0603-2_Bolt RFQ_Foxlink_03.1 2011 2" xfId="16853"/>
    <cellStyle name="好_River EE BOM_Creak Pearl Reliability Fixture RFQ_2009 04 24_Creek RFQ feedback 04_28_2009_FD Update_Leopard_UniBOM_ME_0602-1_Bolt RFQ_Foxlink_03.1 2011 5" xfId="16854"/>
    <cellStyle name="好_River EE BOM_Creak Pearl Reliability Fixture RFQ_2009 04 24_Xl0000002_Leopard RFQ ME BOM Costs-0618_Bolt RFQ_Foxlink_03.1 2011_nego meeting@MACH 3 3" xfId="16855"/>
    <cellStyle name="_Sales Forecast (plastic XX)0703_Volume Fcst Jul 06-update HP _Tom OS ( Oct)_X-BOX Console line setup budget and Buyer list" xfId="16856"/>
    <cellStyle name="_Sales Forecast (plastic XX)1203_Volume Fcst Jul 06-update HP _Tom OS ( Oct)_X-BOX Console line setup budget and Buyer list" xfId="16857"/>
    <cellStyle name="好_River EE BOM_Creek RFQ feedback 04_28_2009_FD Update_Leopard RFQ ME BOM Costs-0618_Bolt RFQ_Foxlink_03.1 2011_nego meeting@MACH 3 2" xfId="16858"/>
    <cellStyle name="差_Flow Chart&amp;PQ分析(12-1)_Flow chart and Fixture(1-4)" xfId="16859"/>
    <cellStyle name="_Sales Forecast (plastic XX)0703_Volume Fcst Jul 06-update HP _X-BOX Console line setup budget 20080414" xfId="16860"/>
    <cellStyle name="_Sales Forecast (plastic XX)1203_Volume Fcst Jul 06-update HP _X-BOX Console line setup budget 20080414" xfId="16861"/>
    <cellStyle name="_Sales Forecast (plastic XX)0703_Volume Fcst Jul 06-update HP _X-BOX Console line setup budget and Buyer list" xfId="16862"/>
    <cellStyle name="_Sales Forecast (plastic XX)1203_Volume Fcst Jul 06-update HP _X-BOX Console line setup budget and Buyer list" xfId="16863"/>
    <cellStyle name="Normal 4 5 2 6" xfId="16864"/>
    <cellStyle name="_Sales Forecast (plastic XX)0703_X-BOX BB" xfId="16865"/>
    <cellStyle name="_Sales Forecast (plastic XX)1203_X-BOX BB" xfId="16866"/>
    <cellStyle name="_Sales Forecast (plastic XX)0703_X-BOX Console line setup budget and Buyer list" xfId="16867"/>
    <cellStyle name="_Sales Forecast (plastic XX)1203_X-BOX Console line setup budget and Buyer list" xfId="16868"/>
    <cellStyle name="Normal 4 9 3" xfId="16869"/>
    <cellStyle name="_Sales_Cost_PPV 2wire" xfId="16870"/>
    <cellStyle name="_Scepter RFP work book 0721" xfId="16871"/>
    <cellStyle name="_Seagate FLAGSHIP DESKTOP ME bom cost_Rev.A2" xfId="16872"/>
    <cellStyle name="好_River EE BOM_Creak Pearl Reliability Fixture RFQ_2009 04 24_Creek RFQ feedback 04_28_2009_FD Update_Leopard_UniBOM_ME_0603-2_Bolt RFQ Proposal_Foxlink_ (Pricing Summary) 2 25 2011 7" xfId="16873"/>
    <cellStyle name="_Seagate FLAGSHIP DESKTOP ME bom cost_Rev.A2 (1)" xfId="16874"/>
    <cellStyle name="_Seagate FLAGSHIP DESKTOP ME bom cost_Rev.A2 (1) 2" xfId="16875"/>
    <cellStyle name="_Seagate FLAGSHIP DESKTOP ME bom cost_Rev.A2 12" xfId="16876"/>
    <cellStyle name="_Seagate FLAGSHIP DESKTOP ME bom cost_Rev.A2 13" xfId="16877"/>
    <cellStyle name="_Seagate FLAGSHIP DESKTOP ME bom cost_Rev.A2 14" xfId="16878"/>
    <cellStyle name="_Seagate FLAGSHIP DESKTOP ME bom cost_Rev.A2 15" xfId="16879"/>
    <cellStyle name="_Seagate FLAGSHIP DESKTOP ME bom cost_Rev.A2 20" xfId="16880"/>
    <cellStyle name="Normal 36 2 2" xfId="16881"/>
    <cellStyle name="Normal 41 2 2" xfId="16882"/>
    <cellStyle name="_Seagate FLAGSHIP DESKTOP ME bom cost_Rev.A2 16" xfId="16883"/>
    <cellStyle name="_Seagate FLAGSHIP DESKTOP ME bom cost_Rev.A2 21" xfId="16884"/>
    <cellStyle name="Normal 36 2 4" xfId="16885"/>
    <cellStyle name="Normal 41 2 4" xfId="16886"/>
    <cellStyle name="_Seagate FLAGSHIP DESKTOP ME bom cost_Rev.A2 18" xfId="16887"/>
    <cellStyle name="_Seagate FLAGSHIP DESKTOP ME bom cost_Rev.A2 23" xfId="16888"/>
    <cellStyle name="_Seagate FLAGSHIP DESKTOP ME bom cost_Rev.A2 19" xfId="16889"/>
    <cellStyle name="_Seagate FLAGSHIP DESKTOP ME bom cost_Rev.A2 24" xfId="16890"/>
    <cellStyle name="差_Creak Pearl Reliability Fixture RFQ_2009 04 24_Squirrel UniBom_Foxlink_7.27.2010" xfId="16891"/>
    <cellStyle name="_Seagate FLAGSHIP DESKTOP ME bom cost_Rev.A2 2" xfId="16892"/>
    <cellStyle name="_Seagate FLAGSHIP DESKTOP ME bom cost_Rev.A2 25" xfId="16893"/>
    <cellStyle name="_Seagate FLAGSHIP DESKTOP ME bom cost_Rev.A2 30" xfId="16894"/>
    <cellStyle name="_Seagate FLAGSHIP DESKTOP ME bom cost_Rev.A2 26" xfId="16895"/>
    <cellStyle name="_Seagate FLAGSHIP DESKTOP ME bom cost_Rev.A2 31" xfId="16896"/>
    <cellStyle name="_Seagate FLAGSHIP DESKTOP ME bom cost_Rev.A2 27" xfId="16897"/>
    <cellStyle name="_Seagate FLAGSHIP DESKTOP ME bom cost_Rev.A2 32" xfId="16898"/>
    <cellStyle name="_Volume Fcst Jul 06-update HP _Copy of Tom OS ( Oct) new for LOG_X-BOX Console line setup budget 20080414" xfId="16899"/>
    <cellStyle name="_Seagate FLAGSHIP DESKTOP ME bom cost_Rev.A2 29" xfId="16900"/>
    <cellStyle name="_Seagate FLAGSHIP DESKTOP ME bom cost_Rev.A2 34" xfId="16901"/>
    <cellStyle name="_Seagate FLAGSHIP DESKTOP ME bom cost_Rev.A2 3" xfId="16902"/>
    <cellStyle name="_Seagate FLAGSHIP DESKTOP ME bom cost_Rev.A2 35" xfId="16903"/>
    <cellStyle name="_Seagate FLAGSHIP DESKTOP ME bom cost_Rev.A2 40" xfId="16904"/>
    <cellStyle name="差_Creak Pearl Reliability Fixture RFQ_2009 04 24_Creek  Pearl RFQ_May 12_Leopard_UniBOM_ME_0603-2_Bolt RFQ_Foxlink_03.1 2011 3 2" xfId="16905"/>
    <cellStyle name="差_Creak Pearl Reliability Fixture RFQ_2009 04 24_Xl0000002_Leopard UniBom_Foxlink_6 21 2010-ME_nego 2" xfId="16906"/>
    <cellStyle name="_Seagate FLAGSHIP DESKTOP ME bom cost_Rev.A2 36" xfId="16907"/>
    <cellStyle name="_Seagate FLAGSHIP DESKTOP ME bom cost_Rev.A2 41" xfId="16908"/>
    <cellStyle name="差_Creak Pearl Reliability Fixture RFQ_2009 04 24_Creek  Pearl RFQ_May 12_Leopard_UniBOM_ME_0603-2_Bolt RFQ_Foxlink_03.1 2011 3 3" xfId="16909"/>
    <cellStyle name="差_Creak Pearl Reliability Fixture RFQ_2009 04 24_Xl0000002_Leopard UniBom_Foxlink_6 21 2010-ME_nego 3" xfId="16910"/>
    <cellStyle name="_Seagate FLAGSHIP DESKTOP ME bom cost_Rev.A2 37" xfId="16911"/>
    <cellStyle name="_Seagate FLAGSHIP DESKTOP ME bom cost_Rev.A2 42" xfId="16912"/>
    <cellStyle name="_Seagate FLAGSHIP DESKTOP ME bom cost_Rev.A2 38" xfId="16913"/>
    <cellStyle name="_Seagate FLAGSHIP DESKTOP ME bom cost_Rev.A2 43" xfId="16914"/>
    <cellStyle name="_Seagate FLAGSHIP DESKTOP ME bom cost_Rev.A2 4" xfId="16915"/>
    <cellStyle name="好_River EE BOM_Creek RFQ feedback 04_28_2009_FD Update_Leopard RFQ ME BOM Costs-0618_Bolt RFQ_Foxlink_03.1 2011_nego meeting@MACH 2 2" xfId="16916"/>
    <cellStyle name="差_Creek RFQ feedback 04_28_2009_FD Update_Leopard UniBom_Foxlink_6 21 2010-ME_nego_Bolt RFQ Proposal_Foxlink_ (Pricing Summary) 2 25 2011 3 3" xfId="16917"/>
    <cellStyle name="_Seagate FLAGSHIP DESKTOP ME bom cost_Rev.A2 45" xfId="16918"/>
    <cellStyle name="_Seagate FLAGSHIP DESKTOP ME bom cost_Rev.A2 50" xfId="16919"/>
    <cellStyle name="差_Creak Pearl Reliability Fixture RFQ_2009 04 24_Leopard_UniBOM_ME_0602-1_Bolt RFQ Proposal_Foxlink_ (Pricing Summary) 2 25 2011 3 2" xfId="16920"/>
    <cellStyle name="_Seagate FLAGSHIP DESKTOP ME bom cost_Rev.A2 46" xfId="16921"/>
    <cellStyle name="_Seagate FLAGSHIP DESKTOP ME bom cost_Rev.A2 51" xfId="16922"/>
    <cellStyle name="差_Creak Pearl Reliability Fixture RFQ_2009 04 24_Leopard_UniBOM_ME_0602-1_Bolt RFQ Proposal_Foxlink_ (Pricing Summary) 2 25 2011 3 3" xfId="16923"/>
    <cellStyle name="_Seagate FLAGSHIP DESKTOP ME bom cost_Rev.A2 47" xfId="16924"/>
    <cellStyle name="_Seagate FLAGSHIP DESKTOP ME bom cost_Rev.A2 52" xfId="16925"/>
    <cellStyle name="_Seagate FLAGSHIP DESKTOP ME bom cost_Rev.A2 48" xfId="16926"/>
    <cellStyle name="_Seagate FLAGSHIP DESKTOP ME bom cost_Rev.A2 53" xfId="16927"/>
    <cellStyle name="_Seagate FLAGSHIP DESKTOP ME bom cost_Rev.A2 49" xfId="16928"/>
    <cellStyle name="_Seagate FLAGSHIP DESKTOP ME bom cost_Rev.A2 54" xfId="16929"/>
    <cellStyle name="差_dallas產能評估_Dallas flow chart&amp;設備&amp;治工具清單(12-8 A0)_Jackson 效益分析 (2-1 B0 上系統)_Leopard Flowchart &amp; 產能評估" xfId="16930"/>
    <cellStyle name="_Seagate FLAGSHIP DESKTOP ME bom cost_Rev.A2 55" xfId="16931"/>
    <cellStyle name="_Seagate FLAGSHIP DESKTOP ME bom cost_Rev.A2 60" xfId="16932"/>
    <cellStyle name="_Seagate FLAGSHIP DESKTOP ME bom cost_Rev.A2 56" xfId="16933"/>
    <cellStyle name="_Seagate FLAGSHIP DESKTOP ME bom cost_Rev.A2 61" xfId="16934"/>
    <cellStyle name="_Seagate FLAGSHIP DESKTOP ME bom cost_Rev.A2 57" xfId="16935"/>
    <cellStyle name="_Seagate FLAGSHIP DESKTOP ME bom cost_Rev.A2 62" xfId="16936"/>
    <cellStyle name="差_Erie Trial run  QA Report-1105_Xl0000010" xfId="16937"/>
    <cellStyle name="好_River EE BOM_Creak Pearl Reliability Fixture RFQ_2009 04 24_Creek RFQ feedback 04_28_2009_FD Update_Leopard_UniBOM_ME_0602_Bolt RFQ Proposal_Foxlink_ (Pricing Summary) 2 25 2011 3" xfId="16938"/>
    <cellStyle name="_Seagate FLAGSHIP DESKTOP ME bom cost_Rev.A2 59" xfId="16939"/>
    <cellStyle name="_Seagate FLAGSHIP DESKTOP ME bom cost_Rev.A2 64" xfId="16940"/>
    <cellStyle name="Normal 5 17 3" xfId="16941"/>
    <cellStyle name="_Seagate FLAGSHIP DESKTOP ME bom cost_Rev.A2 6" xfId="16942"/>
    <cellStyle name="好_River EE BOM_Creak Pearl Reliability Fixture RFQ_2009 04 24_Creek RFQ feedback 04_28_2009_FD Update_Leopard_UniBOM_ME_0602_Bolt RFQ Proposal_Foxlink_ (Pricing Summary) 2 25 2011 4" xfId="16943"/>
    <cellStyle name="_Seagate FLAGSHIP DESKTOP ME bom cost_Rev.A2 65" xfId="16944"/>
    <cellStyle name="_Seagate FLAGSHIP DESKTOP ME bom cost_Rev.A2 70" xfId="16945"/>
    <cellStyle name="好_River EE BOM_Creak Pearl Reliability Fixture RFQ_2009 04 24_Creek RFQ feedback 04_28_2009_FD Update_Leopard_UniBOM_ME_0602_Bolt RFQ Proposal_Foxlink_ (Pricing Summary) 2 25 2011 5" xfId="16946"/>
    <cellStyle name="Normal 36 3 2" xfId="16947"/>
    <cellStyle name="Normal 41 3 2" xfId="16948"/>
    <cellStyle name="_Seagate FLAGSHIP DESKTOP ME bom cost_Rev.A2 66" xfId="16949"/>
    <cellStyle name="_Seagate FLAGSHIP DESKTOP ME bom cost_Rev.A2 71" xfId="16950"/>
    <cellStyle name="差_F3   SMT設備明細_效益分析_Flow Chart&amp;設備治工具清單 _Jackson 效益分析 (2-1 B0 上系統)_Leopard效益分析08-17" xfId="16951"/>
    <cellStyle name="好_River EE BOM_Creak Pearl Reliability Fixture RFQ_2009 04 24_Creek RFQ feedback 04_28_2009_FD Update_Leopard_UniBOM_ME_0602_Bolt RFQ Proposal_Foxlink_ (Pricing Summary) 2 25 2011 6" xfId="16952"/>
    <cellStyle name="_Seagate FLAGSHIP DESKTOP ME bom cost_Rev.A2 67" xfId="16953"/>
    <cellStyle name="_Seagate FLAGSHIP DESKTOP ME bom cost_Rev.A2 72" xfId="16954"/>
    <cellStyle name="差_Creak Pearl Reliability Fixture RFQ_2009 04 24_Creek  Pearl RFQ_May 12_Squirrel UniBom-06.23.2010_update_internal_Bolt RFQ Proposal_Foxlink_ (Pricing Summary) 2 25 2011 2" xfId="16955"/>
    <cellStyle name="好_River EE BOM_Creak Pearl Reliability Fixture RFQ_2009 04 24_Creek RFQ feedback 04_28_2009_FD Update_Leopard_UniBOM_ME_0602_Bolt RFQ Proposal_Foxlink_ (Pricing Summary) 2 25 2011 7" xfId="16956"/>
    <cellStyle name="_Seagate FLAGSHIP DESKTOP ME bom cost_Rev.A2 68" xfId="16957"/>
    <cellStyle name="_Seagate FLAGSHIP DESKTOP ME bom cost_Rev.A2 73" xfId="16958"/>
    <cellStyle name="差_Creak Pearl Reliability Fixture RFQ_2009 04 24_Creek  Pearl RFQ_May 12_Squirrel UniBom-06.23.2010_update_internal_Bolt RFQ Proposal_Foxlink_ (Pricing Summary) 2 25 2011 3" xfId="16959"/>
    <cellStyle name="_Seagate FLAGSHIP DESKTOP ME bom cost_Rev.A2 69" xfId="16960"/>
    <cellStyle name="_Seagate FLAGSHIP DESKTOP ME bom cost_Rev.A2 74" xfId="16961"/>
    <cellStyle name="差_Creak Pearl Reliability Fixture RFQ_2009 04 24_Creek  Pearl RFQ_May 12_Squirrel UniBom-06.23.2010_update_internal_Bolt RFQ Proposal_Foxlink_ (Pricing Summary) 2 25 2011 4" xfId="16962"/>
    <cellStyle name="_Seagate FLAGSHIP DESKTOP ME bom cost_Rev.A2 75" xfId="16963"/>
    <cellStyle name="_Seagate FLAGSHIP DESKTOP ME bom cost_Rev.A2 80" xfId="16964"/>
    <cellStyle name="差_Creak Pearl Reliability Fixture RFQ_2009 04 24_Creek  Pearl RFQ_May 12_Squirrel UniBom-06.23.2010_update_internal_Bolt RFQ Proposal_Foxlink_ (Pricing Summary) 2 25 2011 6" xfId="16965"/>
    <cellStyle name="_Seagate FLAGSHIP DESKTOP ME bom cost_Rev.A2 77" xfId="16966"/>
    <cellStyle name="_Seagate FLAGSHIP DESKTOP ME bom cost_Rev.A2 82" xfId="16967"/>
    <cellStyle name="_Seagate FLAGSHIP DESKTOP ME bom cost_Rev.A2 8" xfId="16968"/>
    <cellStyle name="好_Creek EE BOM cost_20090425_Creek RFQ feedback 04_28_2009_FD Update_Foxlink_Shadow RFQ NREUni BOM_12032009_Bolt RFQ_Foxlink_03.1 2011_nego meeting@MACH 2 3" xfId="16969"/>
    <cellStyle name="_Seagate FLAGSHIP DESKTOP ME bom cost_Rev.A2 85" xfId="16970"/>
    <cellStyle name="_Seagate FLAGSHIP DESKTOP ME bom cost_Rev.A2 90" xfId="16971"/>
    <cellStyle name="差_HP Mouse 產能評估(Forecast更改後)_M1 SuedeFixtureEquipment Cost_A0_2010_10_15_Bolt RFQ Proposal_Foxlink_ (Pricing Summary) 2 25 2011 2" xfId="16972"/>
    <cellStyle name="_Seagate FLAGSHIP DESKTOP ME bom cost_Rev.A2 86" xfId="16973"/>
    <cellStyle name="_Seagate FLAGSHIP DESKTOP ME bom cost_Rev.A2 91" xfId="16974"/>
    <cellStyle name="差_HP Mouse 產能評估(Forecast更改後)_M1 SuedeFixtureEquipment Cost_A0_2010_10_15_Bolt RFQ Proposal_Foxlink_ (Pricing Summary) 2 25 2011 3" xfId="16975"/>
    <cellStyle name="_Seagate FLAGSHIP DESKTOP ME bom cost_Rev.A2 87" xfId="16976"/>
    <cellStyle name="_Seagate FLAGSHIP DESKTOP ME bom cost_Rev.A2 92" xfId="16977"/>
    <cellStyle name="_Seagate FLAGSHIP DESKTOP ME bom cost_Rev.A2 9" xfId="16978"/>
    <cellStyle name="差_HP Mouse 產能評估(Forecast更改後)_M1 SuedeFixtureEquipment Cost_A0_2010_10_15_Bolt RFQ Proposal_Foxlink_ (Pricing Summary) 2 25 2011 6" xfId="16979"/>
    <cellStyle name="差_Creek RFQ feedback 04_28_2009_FD Update_Leopard UniBom_Foxlink_6 21 2010-ME_nego_Bolt RFQ Proposal_Foxlink_ (Pricing Summary) 2 25 2011 4 3" xfId="16980"/>
    <cellStyle name="_Seagate FLAGSHIP DESKTOP ME bom cost_Rev.A2 95" xfId="16981"/>
    <cellStyle name="_Seagate ME BOM cost" xfId="16982"/>
    <cellStyle name="差_HP Mouse 產能評估(上系統) 2 3" xfId="16983"/>
    <cellStyle name="壞_Creek Assembly Fixture  Test Equipment RFQ_20090427_Xl0000002_Leopard_UniBOM_ME_0603-2 3 3" xfId="16984"/>
    <cellStyle name="_Seagate ME BOM cost 2" xfId="16985"/>
    <cellStyle name="_Volume Fcst Jul 06-update HP _Tom OS ( Oct)_Copy of X-BOX for line setup budget" xfId="16986"/>
    <cellStyle name="_Seagate ME BOM cost_Russ_060706 2" xfId="16987"/>
    <cellStyle name="壞_Creek Assembly Fixture  Test Equipment RFQ_20090427_Xl0000002_Leopard_UniBOM_ME_0602-1_Bolt RFQ Proposal_Foxlink_ (Pricing Summary) 2 25 2011 2" xfId="16988"/>
    <cellStyle name="_SE-P" xfId="16989"/>
    <cellStyle name="差_Creak Pearl Reliability Fixture RFQ_2009 04 24_Xl0000002_Leopard RFQ ME BOM Costs-0618-2_Bolt RFQ Proposal_Foxlink_ (Pricing Summary) 2 25 2011 6" xfId="16990"/>
    <cellStyle name="差_Xl0000002_Leopard_UniBOM_ME_0531_Bolt RFQ Proposal_Foxlink_ (Pricing Summary) 2 25 2011 4 2" xfId="16991"/>
    <cellStyle name="差_HP  專案(設備&amp;治工具需夠買)update_M1 SuedeFixtureEquipment Cost_A0_2010_10_15_Bolt RFQ Proposal_Foxlink_ (Pricing Summary) 2 25 2011 4" xfId="16992"/>
    <cellStyle name="_Sept BOM details" xfId="16993"/>
    <cellStyle name="差_效益分析&amp;產能評估_Bolt RFQ Proposal_Foxlink_ (Pricing Summary) 2 25 2011 2 2" xfId="16994"/>
    <cellStyle name="差_Creak Pearl Reliability Fixture RFQ_2009 04 24_Pearl RFQ(Submittal)ver2_05_12_2009 _Leopard_UniBOM_ME_0602_Bolt RFQ Proposal_Foxlink_ (Pricing Summary) 2 25 2011 6" xfId="16995"/>
    <cellStyle name="_September Forecast - Peripherals - v2 (with comments)" xfId="16996"/>
    <cellStyle name="好_River EE BOM_Creek RFQ feedback 04_28_2009_FD Update_Squirrel UniBom-06.23.2010_update_internal_Bolt RFQ Proposal_Foxlink_ (Pricing Summary) 2 25 2011 4" xfId="16997"/>
    <cellStyle name="_SFF Cost Analysis_113005 v1.2 temp" xfId="16998"/>
    <cellStyle name="好_River EE BOM_Xl0000000_Leopard RFQ ME BOM Costs-0618_Bolt RFQ Proposal_Foxlink_ (Pricing Summary) 2 25 2011 2 2 3" xfId="16999"/>
    <cellStyle name="好_River EE BOM_Creek RFQ feedback 04_28_2009_FD Update_Squirrel UniBom-06.23.2010_update_internal_Bolt RFQ Proposal_Foxlink_ (Pricing Summary) 2 25 2011 4 2" xfId="17000"/>
    <cellStyle name="_SFF Cost Analysis_113005 v1.2 temp 2" xfId="17001"/>
    <cellStyle name="_Shark dev  HC" xfId="17002"/>
    <cellStyle name="差_Creak Pearl Reliability Fixture RFQ_2009 04 24_Xl0000002_Leopard_UniBOM_ME_0603-2_Bolt RFQ_Foxlink_03.1 2011 2 2" xfId="17003"/>
    <cellStyle name="_Sheet1" xfId="17004"/>
    <cellStyle name="好_River EE BOM_Xl0000000_Leopard UniBom_Foxlink_6 21 2010-ME_nego_Bolt RFQ_Foxlink_03.1 2011_nego meeting@MACH 3 3" xfId="17005"/>
    <cellStyle name="_新增Microsoft Excel 工作表2" xfId="17006"/>
    <cellStyle name="_Sheet1 2" xfId="17007"/>
    <cellStyle name="_Sheet1_0535周DT客訴周報" xfId="17008"/>
    <cellStyle name="_Sheet1_0540周DT周報" xfId="17009"/>
    <cellStyle name="2" xfId="17010"/>
    <cellStyle name="好_River EE BOM_Xl0000000_Squirrel UniBom-06.23.2010_update_internal 3" xfId="17011"/>
    <cellStyle name="_Sheet1_0541周DT周報" xfId="17012"/>
    <cellStyle name="差_0842周 顯卡報廢超標8D_2009MB KPI_MBO3F製造部hp0209-01 5 4" xfId="17013"/>
    <cellStyle name="_Sheet1_0541週週管審" xfId="17014"/>
    <cellStyle name="_Sheet1_0828周報-1" xfId="17015"/>
    <cellStyle name="Normal 14 2 2 3" xfId="17016"/>
    <cellStyle name="差_Creak Pearl Reliability Fixture RFQ_2009 04 24_Xl0000002_Leopard UniBom_Foxlink_6 21 2010-ME_nego_Bolt RFQ_Foxlink_03.1 2011 3" xfId="17017"/>
    <cellStyle name="_Sheet1_1" xfId="17018"/>
    <cellStyle name="Normal 5 2 4 4" xfId="17019"/>
    <cellStyle name="_Sheet1_Book5" xfId="17020"/>
    <cellStyle name="差_Xl0000002 2 4" xfId="17021"/>
    <cellStyle name="_Sheet1_CopyOfP6 Waynea review" xfId="17022"/>
    <cellStyle name="_Sheet1_Flex Proposal Recovery Plan" xfId="17023"/>
    <cellStyle name="差_F3   SMT設備明細_jupite r設備&amp;治工具LIST (總)_Dallas flow chart&amp;設備&amp;治工具清單(12-8 A0)_效益分析(總 12-28 Update)_Leopard效益分析08-17" xfId="17024"/>
    <cellStyle name="好_Creek Assembly Fixture  Test Equipment RFQ_20090427_Leopard_UniBOM_ME_0602 2 4" xfId="17025"/>
    <cellStyle name="_Sheet1_FY06 P8 CM Consigned RM" xfId="17026"/>
    <cellStyle name="PrePop Currency (0) 3" xfId="17027"/>
    <cellStyle name="_Sheet1_P2 Waynea review" xfId="17028"/>
    <cellStyle name="_Sheet1_P6 Si Ops review" xfId="17029"/>
    <cellStyle name="好_River EE BOM_Creek RFQ feedback 04_28_2009_FD Update_Leopard Lemur Squirrel UniBom-06.22.2010_EE cost _update_internal_Bolt RFQ Proposal_Foxlink_ (Pricing Summary) 2 25 2011 5 3" xfId="17030"/>
    <cellStyle name="好_River EE BOM_Creak Pearl Reliability Fixture RFQ_2009 04 24_Creek  Pearl RFQ_May 12_Squirrel RFQ ME BOM Costs-0623_Bolt RFQ_Foxlink_03.1 2011 5" xfId="17031"/>
    <cellStyle name="好_River EE BOM_Creak Pearl Reliability Fixture RFQ_2009 04 24_Leopard Lemur Squirrel UniBom-06.22.2010_EE cost _update_internal_Bolt RFQ Proposal_Foxlink_ (Pricing Summary) 2 25 2011 2 4" xfId="17032"/>
    <cellStyle name="_Sheet1_P6 Si Ops review (2)" xfId="17033"/>
    <cellStyle name="_Sheet1_P6 Waynea review" xfId="17034"/>
    <cellStyle name="_Sheet1_Scenario 1 of recovery until 1102" xfId="17035"/>
    <cellStyle name="_Sheet1_Scenario 1 of recovery until 1102_Tester Demand Plan 062707" xfId="17036"/>
    <cellStyle name="好_River EE BOM_Creak Pearl Reliability Fixture RFQ_2009 04 24_Creek  Pearl RFQ_May 12_Squirrel UniBom-06.23.2010_update_internal_Bolt RFQ_Foxlink_03.1 2011_nego meeting@MACH 2" xfId="17037"/>
    <cellStyle name="_Sheet1_Scenario 2 of recovery until 1116" xfId="17038"/>
    <cellStyle name="_Sheet1_Scenario 2 of recovery until 1116_Tester Demand Plan 062707" xfId="17039"/>
    <cellStyle name="_Zune RF Transmitter_RET Plan  Cost_Draft_20070327 2" xfId="17040"/>
    <cellStyle name="_Sheet1_Tester Demand Plan 062807" xfId="17041"/>
    <cellStyle name="_Sheet1_Tester Demand Plan_Tester Demand Plan 062707" xfId="17042"/>
    <cellStyle name="好_River EE BOM_Xl0000002_Squirrel RFQ ME BOM Costs-0623_Bolt RFQ Proposal_Foxlink_ (Pricing Summary) 2 25 2011 2 4" xfId="17043"/>
    <cellStyle name="_Sheet1_xbox Console Line Transition Plan 2008" xfId="17044"/>
    <cellStyle name="好_River EE BOM_Creak Pearl Reliability Fixture RFQ_2009 04 24_Creek RFQ feedback 04_28_2009_FD Update_Squirrel UniBom-06.23.2010_update_internal_Bolt RFQ Proposal_Foxlink_ (Pricing Summary) 2 25 2011 7" xfId="17045"/>
    <cellStyle name="好_River EE BOM_Creak Pearl Reliability Fixture RFQ_2009 04 24_Creek RFQ feedback 04_28_2009_FD Update_Leopard_UniBOM_ME_0603-2_Bolt RFQ_Foxlink_03.1 2011 3" xfId="17046"/>
    <cellStyle name="_Sheet1_人力評估表小組驗證OK" xfId="17047"/>
    <cellStyle name="差_HP Mouse 產能評估(Forecast更改後)_Bolt RFQ Proposal_Foxlink_ (Pricing Summary) 2 25 2011" xfId="17048"/>
    <cellStyle name="_Sheet2_Book5" xfId="17049"/>
    <cellStyle name="9_Revised AP DPO Oct 04 v2_PL Forecast by segment-most final 0806_Tom OS ( Oct)_X-BOX Console line setup budget and Buyer list" xfId="17050"/>
    <cellStyle name="_Sheet2_Copy of Pending MRB 01 27 06 (2)" xfId="17051"/>
    <cellStyle name="_Sheet2_FY06 P4 CM Consigned RM" xfId="17052"/>
    <cellStyle name="_Sheet2_FY06 P7 CM Consigned RM" xfId="17053"/>
    <cellStyle name="好_River EE BOM_Creek RFQ feedback 04_28_2009_FD Update_Leopard_UniBOM_ME_0602_Bolt RFQ_Foxlink_03.1 2011 3" xfId="17054"/>
    <cellStyle name="_Sheet2_FY06 P7 XBox 360 Mfg Var - Close Pack" xfId="17055"/>
    <cellStyle name="_Sheet2_FY06 P8 CM Consigned RM" xfId="17056"/>
    <cellStyle name="_Sheet2_P6 Si Ops review" xfId="17057"/>
    <cellStyle name="好_River EE BOM_Xl0000002_Leopard_UniBOM_ME_0602-1_Bolt RFQ Proposal_Foxlink_ (Pricing Summary) 2 25 2011 3 3" xfId="17058"/>
    <cellStyle name="_Sheet2_P6 Si Ops review (2)" xfId="17059"/>
    <cellStyle name="_Sheet3" xfId="17060"/>
    <cellStyle name="_Sheet4" xfId="17061"/>
    <cellStyle name="_Sheet5" xfId="17062"/>
    <cellStyle name="好_Creek EE BOM cost_20090425_Creek RFQ feedback 04_28_2009_FD Update 2 2" xfId="17063"/>
    <cellStyle name="_ship plan  MB 0910 for material and capacity" xfId="17064"/>
    <cellStyle name="好_River EE BOM_Creak Pearl Reliability Fixture RFQ_2009 04 24_Xl0000002_Leopard RFQ ME BOM Costs-0618-2_Bolt RFQ_Foxlink_03.1 2011_nego meeting@MACH 4" xfId="17065"/>
    <cellStyle name="_Simon RFQ d061124" xfId="17066"/>
    <cellStyle name="_Simon RFQ d061211 with Tool update for Bill 070207" xfId="17067"/>
    <cellStyle name="_simplifiecd clean sheet ideas_v2" xfId="17068"/>
    <cellStyle name="差_Creak Pearl Reliability Fixture RFQ_2009 04 24_Pearl RFQ(Submittal)ver2_05_12_2009 _Squirrel RFQ ME BOM Costs-0623_Bolt RFQ Proposal_Foxlink_ (Pricing Summary) 2 25 2011 3" xfId="17069"/>
    <cellStyle name="_simplifiecd clean sheet ideas_v2_Book1 (1)" xfId="17070"/>
    <cellStyle name="Comma 2 16" xfId="17071"/>
    <cellStyle name="Comma 2 21" xfId="17072"/>
    <cellStyle name="差_HP Mouse 產能評估(上系統)_M1 Bolt wireless mouse FixtureEquipment Cost_A2_2010_12_07_Bolt RFQ Proposal_Foxlink_ (Pricing Summary) 2 25 2011 2 2" xfId="17073"/>
    <cellStyle name="好_River EE BOM_Creak Pearl Reliability Fixture RFQ_2009 04 24_Creek  Pearl RFQ_May 12_Squirrel UniBom-06.23.2010_update_internal_Bolt RFQ Proposal_Foxlink_ (Pricing Summary) 2 25 2011 3" xfId="17074"/>
    <cellStyle name="9_Revised AP DPO Oct 04 v2_Tom OS ( Oct)_Forecast Template v4" xfId="17075"/>
    <cellStyle name="_Sinatra - DC-DC contingency 2" xfId="17076"/>
    <cellStyle name="差_Xl0000002_Leopard_UniBOM_ME_0603-2_Bolt RFQ_Foxlink_03.1 2011 3 3" xfId="17077"/>
    <cellStyle name="_Sinatra BOM w Laser (2)" xfId="17078"/>
    <cellStyle name="_SMT Process Flow" xfId="17079"/>
    <cellStyle name="差_Creak Pearl Reliability Fixture RFQ_2009 04 24_Pearl RFQ(Submittal)ver2_05_12_2009 _Leopard_UniBOM_ME_0603-2_Bolt RFQ_Foxlink_03.1 2011 2 3" xfId="17080"/>
    <cellStyle name="_SMT 生產課組織圖080730" xfId="17081"/>
    <cellStyle name="_SOP_A_PTH" xfId="17082"/>
    <cellStyle name="好_LLS_EV2_DVE_Plan_20101119" xfId="17083"/>
    <cellStyle name="_SOP問題點討論會議記錄" xfId="17084"/>
    <cellStyle name="_Summary Fcast v Budget" xfId="17085"/>
    <cellStyle name="Normal 5 4 2 3 3" xfId="17086"/>
    <cellStyle name="_Summary Fcast v Budget_accessories spc 1 0 slide" xfId="17087"/>
    <cellStyle name="_Summary Fcast v Budget_Book1" xfId="17088"/>
    <cellStyle name="_Summary Fcast v Budget_Book5" xfId="17089"/>
    <cellStyle name="_Summary Fcast v Budget_CopyOfP6 Waynea review" xfId="17090"/>
    <cellStyle name="差_Oslo Quark Certification 20100312" xfId="17091"/>
    <cellStyle name="_Summary Fcast v Budget_FY06 P5 XBox 360 Mfg Var - Close Pack" xfId="17092"/>
    <cellStyle name="_Summary Fcast v Budget_FY06 P8 CM Consigned RM" xfId="17093"/>
    <cellStyle name="差_Creak Pearl Reliability Fixture RFQ_2009 04 24_Xl0000002_Bolt RFQ_Foxlink_03.1 2011 2 3" xfId="17094"/>
    <cellStyle name="_Summary Fcast v Budget_P2 Waynea review" xfId="17095"/>
    <cellStyle name="_Summary Fcast v Budget_P6 Si Ops review" xfId="17096"/>
    <cellStyle name="_Summary Fcast v Budget_P6 Si Ops review (2)" xfId="17097"/>
    <cellStyle name="_Summary Fcast v Budget_P6 Waynea review" xfId="17098"/>
    <cellStyle name="_Summary Fcast v Budget_Sheet1" xfId="17099"/>
    <cellStyle name="_Summary slides for the RickDe deck 6-7-00" xfId="17100"/>
    <cellStyle name="_Summary slides for the RickDe deck 6-7-00_FY06 P4 CM Consigned RM" xfId="17101"/>
    <cellStyle name="好_River EE BOM_Creak Pearl Reliability Fixture RFQ_2009 04 24_Pearl RFQ(Submittal)ver2_05_12_2009 _Leopard_UniBOM_ME_0531_Bolt RFQ Proposal_Foxlink_ (Pricing Summary) 2 25 2011 6" xfId="17102"/>
    <cellStyle name="_Summary slides for the RickDe deck 6-7-00_FY06 P6 CM Consigned RM" xfId="17103"/>
    <cellStyle name="_Summary slides for the RickDe deck 6-7-00_FY06 P7 CM Consigned RM" xfId="17104"/>
    <cellStyle name="_Summary slides for the RickDe deck 6-7-00_FY06 Xenon Console Other Mfg Costs Forecast - january v1" xfId="17105"/>
    <cellStyle name="好_Creek Assembly Fixture  Test Equipment RFQ_20090427_Xl0000002_Leopard RFQ ME BOM Costs-0618-2_Bolt RFQ Proposal_Foxlink_ (Pricing Summary) 2 25 2011 3" xfId="17106"/>
    <cellStyle name="_Summary slides for the RickDe deck 6-7-00_P2 Waynea review" xfId="17107"/>
    <cellStyle name="好_River EE BOM_Creak Pearl Reliability Fixture RFQ_2009 04 24_Foxlink_Shadow RFQ NREUni BOM_12032009_Bolt RFQ_Foxlink_03.1 2011_nego meeting@MACH 2" xfId="17108"/>
    <cellStyle name="_Summary slides for the RickDe deck 6-8-00" xfId="17109"/>
    <cellStyle name="_Summary slides for the RickDe deck 6-8-00_FY06 P4 CM Consigned RM" xfId="17110"/>
    <cellStyle name="_Summary slides for the RickDe deck 6-8-00_FY06 P6 CM Consigned RM" xfId="17111"/>
    <cellStyle name="差_MB9月管審換線超時8d_HP 2 3" xfId="17112"/>
    <cellStyle name="差_Creak Pearl Reliability Fixture RFQ_2009 04 24_Pearl RFQ(Submittal)ver2_05_12_2009 _Squirrel UniBom-06.23.2010_update_internal_Bolt RFQ Proposal_Foxlink_ (Pricing Summary) 2 25 2011 2" xfId="17113"/>
    <cellStyle name="_Summary slides for the RickDe deck 6-8-00_FY06 P6 XBox 360 Mfg Var - Close Pack" xfId="17114"/>
    <cellStyle name="_Summary slides for the RickDe deck 6-8-00_FY06 P7 CM Consigned RM" xfId="17115"/>
    <cellStyle name="_Summary slides for the RickDe deck 6-8-00_P2 Waynea review" xfId="17116"/>
    <cellStyle name="Total 8" xfId="17117"/>
    <cellStyle name="_Summary-Pluto-Plastics Worksheet-01262006" xfId="17118"/>
    <cellStyle name="差_Creak Pearl Reliability Fixture RFQ_2009 04 24_Leopard UniBom_true cost_6.23.2010" xfId="17119"/>
    <cellStyle name="好_River EE BOM_Creak Pearl Reliability Fixture RFQ_2009 04 24_Creek RFQ feedback 04_28_2009_FD Update_Leopard UniBom_Foxlink_6 21 2010-ME_nego 2 3" xfId="17120"/>
    <cellStyle name="Total 8 2" xfId="17121"/>
    <cellStyle name="_Summary-Pluto-Plastics Worksheet-01262006 2" xfId="17122"/>
    <cellStyle name="_supplier contact way (2)" xfId="17123"/>
    <cellStyle name="20% - 强调文字颜色 6 3 2 3" xfId="17124"/>
    <cellStyle name="_supplier contact way (2)_Copy of MOST Std - S1300 F2lines" xfId="17125"/>
    <cellStyle name="汇总 3 2 2 2" xfId="17126"/>
    <cellStyle name="Normal 3 35" xfId="17127"/>
    <cellStyle name="_supplier contact way (2)_FMTQCI-MIS3H064-P027(01)Nazca Copy Exact Flow chart" xfId="17128"/>
    <cellStyle name="壞_Creek EE BOM cost_20090425_Squirrel UniBom-06.23.2010_update_internal_Bolt RFQ_Foxlink_03.1 2011 3" xfId="17129"/>
    <cellStyle name="_supplier contact way (2)_MOST Std - Project A BB Line" xfId="17130"/>
    <cellStyle name="差_Xl0000002_Leopard RFQ ME BOM Costs-0618_Bolt RFQ Proposal_Foxlink_ (Pricing Summary) 2 25 2011 5" xfId="17131"/>
    <cellStyle name="好_River EE BOM_Xl0000002_Leopard RFQ ME BOM Costs-0618_Bolt RFQ_Foxlink_03.1 2011 5" xfId="17132"/>
    <cellStyle name="_supplier contact way (2)_MOST Std - Project A BB Line_FMTQCI-MIS3H064-P027(01)Nazca Copy Exact Flow chart" xfId="17133"/>
    <cellStyle name="好_River EE BOM_Creak Pearl Reliability Fixture RFQ_2009 04 24_Creek  Pearl RFQ_May 12_Leopard RFQ ME BOM Costs-0618-2_Bolt RFQ_Foxlink_03.1 2011 3" xfId="17134"/>
    <cellStyle name="好_Creek Assembly Fixture  Test Equipment RFQ_20090427_Bolt RFQ_Foxlink_03.1 2011 2" xfId="17135"/>
    <cellStyle name="_supplier contact way (2)_MOST Std - Project A BB Line_Nazca copy exact flow chart 2012313" xfId="17136"/>
    <cellStyle name="_W522 4 Mulan Edge EP0 CTB_MOST Std - S1300 F2lines_Nazca copy exact flow chart 20120409" xfId="17137"/>
    <cellStyle name="_supplier contact way (2)_MOST Std - S1300 F2lines" xfId="17138"/>
    <cellStyle name="好_River EE BOM_Xl0000000_Leopard Lemur Squirrel UniBom-06.22.2010_EE cost _update_internal_Bolt RFQ Proposal_Foxlink_ (Pricing Summary) 2 25 2011 3 2" xfId="17139"/>
    <cellStyle name="_supplier contact way (2)_MOST Std - S1300 F2lines_FMTQCI-MIS3H064-P027(01)Nazca Copy Exact Flow chart" xfId="17140"/>
    <cellStyle name="差_Creak Pearl Reliability Fixture RFQ_2009 04 24_Xl0000002_Leopard RFQ ME BOM Costs-0618 2" xfId="17141"/>
    <cellStyle name="_supplier contact way (2)_MOST Std - S1300 F2lines_Nazca copy exact flow chart 20120409" xfId="17142"/>
    <cellStyle name="_supplier contact way (2)_MOST Std - S1300 F2lines_Nazca copy exact flow chart 2012313" xfId="17143"/>
    <cellStyle name="差_MB9月管審換線超時8d_HP 3 2 2" xfId="17144"/>
    <cellStyle name="好_River EE BOM_Xl0000002_Jackson and Shadow BOM cost_mainfile_2010 0324 rev.1_Bristol UniBom_Foxlink_02082011 RevA" xfId="17145"/>
    <cellStyle name="_supplier contact way (2)_Nazca copy exact flow chart 2012313" xfId="17146"/>
    <cellStyle name="60% - 强调文字颜色 2 6" xfId="17147"/>
    <cellStyle name="_Support Plan - 7Mar06" xfId="17148"/>
    <cellStyle name="好_River EE BOM_Creak Pearl Reliability Fixture RFQ_2009 04 24_Leopard UniBom_Foxlink_6 21 2010-ME_nego_Bolt RFQ_Foxlink_03.1 2011_nego meeting@MACH" xfId="17149"/>
    <cellStyle name="_Support Plan - 9Mar06 rev 1" xfId="17150"/>
    <cellStyle name="_Support Plan - 9Mar06 rev 2" xfId="17151"/>
    <cellStyle name="_SWCT 08W14 銷貨金額預測表" xfId="17152"/>
    <cellStyle name="_SYN1505A簽呈資料附件" xfId="17153"/>
    <cellStyle name="_Tazbot  ship paln" xfId="17154"/>
    <cellStyle name="_TC Model" xfId="17155"/>
    <cellStyle name="差_Creek RFQ feedback 04_28_2009_FD Update_Squirrel RFQ ME BOM Costs-0623 3" xfId="17156"/>
    <cellStyle name="_TC Model_Book1" xfId="17157"/>
    <cellStyle name="_TC Model_Book5" xfId="17158"/>
    <cellStyle name="_TC Model_CopyOfP6 Waynea review" xfId="17159"/>
    <cellStyle name="差_jupite r設備&amp;治工具LIST (總)_flow chart 2009.12.12_~5631336_Jackson 效益分析 (2-1 B0 上系統)_squirrel效益分析08-17" xfId="17160"/>
    <cellStyle name="_TC Model_FY06 P06 360Periphs SPC" xfId="17161"/>
    <cellStyle name="好_Creek Assembly Fixture  Test Equipment RFQ_20090427_Xl0000002_Squirrel RFQ ME BOM Costs-0623_Bolt RFQ_Foxlink_03.1 2011_nego meeting@MACH 2 2" xfId="17162"/>
    <cellStyle name="好_Erie Assembly Fixture  Test Equip Cost_20090716_Foxlink_Shadow RFQ NREUni BOM_12032009_Bolt RFQ Proposal_Foxlink_ (Pricing Summary) 2 25 2011 3 2" xfId="17163"/>
    <cellStyle name="_TC Model_FY06 P5 XBox 360 Mfg Var - Close Pack" xfId="17164"/>
    <cellStyle name="_TC Model_FY06 P7 XBox 360 Mfg Var - Close Pack" xfId="17165"/>
    <cellStyle name="_TC Model_FY06 P7 XBox Mfg Var - Close Pack" xfId="17166"/>
    <cellStyle name="好_River EE BOM_Creak Pearl Reliability Fixture RFQ_2009 04 24_Creek  Pearl RFQ_May 12_Leopard_UniBOM_ME_0531 2" xfId="17167"/>
    <cellStyle name="_TC Model_FY06 P8 CM Consigned RM" xfId="17168"/>
    <cellStyle name="差_Xl0000000_Leopard UniBom_Foxlink_6 21 2010-ME_nego 2 4" xfId="17169"/>
    <cellStyle name="_TC Model_P2 Waynea review" xfId="17170"/>
    <cellStyle name="差_Creak Pearl Reliability Fixture RFQ_2009 04 24_Pearl RFQ(Submittal)ver2_05_12_2009 _Squirrel UniBom-06.23.2010_update_internal_Bolt RFQ Proposal_Foxlink_ (Pricing Summary) 2 25 2011 7" xfId="17171"/>
    <cellStyle name="好_River EE BOM_Creek RFQ feedback 04_28_2009_FD Update_Squirrel UniBom-06.23.2010_update_internal 2 3" xfId="17172"/>
    <cellStyle name="_TC Model_P6 Si Ops review" xfId="17173"/>
    <cellStyle name="_TC Model_Sheet1" xfId="17174"/>
    <cellStyle name="_Template for DV PV MP Yield Reports_Updated" xfId="17175"/>
    <cellStyle name="好_River EE BOM_Xl0000000_Leopard UniBom_Foxlink_6 21 2010-ME_nego_Bolt RFQ Proposal_Foxlink_ (Pricing Summary) 2 25 2011 3 3" xfId="17176"/>
    <cellStyle name="_Template for DV PV MP Yield Reports_Updated_AllErrorCodes" xfId="17177"/>
    <cellStyle name="差_Xl0000000_Leopard RFQ ME BOM Costs-0618 3 2" xfId="17178"/>
    <cellStyle name="一般 2 3" xfId="17179"/>
    <cellStyle name="_Template for DV PV MP Yield Reports_Updated_Test Time" xfId="17180"/>
    <cellStyle name="壞_複本 Erie_EE and ME BOM_Quotation update by factory_20090716" xfId="17181"/>
    <cellStyle name="_Template for DV PV MP Yield Reports_Updated_TestMedia" xfId="17182"/>
    <cellStyle name="_Template for DV PV MP Yield Reports_Updated_TS3 80 6 Yield Tracking 0502 update" xfId="17183"/>
    <cellStyle name="_Template for DV PV MP Yield Reports_Updated_Update yield report for DEV02342(7.6) " xfId="17184"/>
    <cellStyle name="差_Xl0000000_Squirrel UniBom-06.23.2010_update_internal_Bolt RFQ Proposal_Foxlink_ (Pricing Summary) 2 25 2011 2 2 2" xfId="17185"/>
    <cellStyle name="_Template for DV PV MP Yield Reports_Updated_yield report for DEV02342" xfId="17186"/>
    <cellStyle name="_Template for DV PV MP Yield Reports_Updated_yield report for DEV0xxxx " xfId="17187"/>
    <cellStyle name="差_Creak Pearl Reliability Fixture RFQ_2009 04 24_Bolt RFQ_Foxlink_03.1 2011 5" xfId="17188"/>
    <cellStyle name="_Test Time" xfId="17189"/>
    <cellStyle name="_tester damand for GC (Rev03 --200k&amp;240K)" xfId="17190"/>
    <cellStyle name="60% - Accent3 6" xfId="17191"/>
    <cellStyle name="_TestMedia" xfId="17192"/>
    <cellStyle name="差_Creak Pearl Reliability Fixture RFQ_2009 04 24_Pearl RFQ(Submittal)ver2_05_12_2009 _Leopard RFQ ME BOM Costs-0618-2_Bolt RFQ Proposal_Foxlink_ (Pricing Summary) 2 25 2011 2 2 2" xfId="17193"/>
    <cellStyle name="差_MB9月管審誤判超標 8D_2009MB KPI_MBO3F製造部hp0209-01 3 3" xfId="17194"/>
    <cellStyle name="Accent2 - 20%" xfId="17195"/>
    <cellStyle name="_The time study of thrust plaste assembly machine(new)" xfId="17196"/>
    <cellStyle name="_Title" xfId="17197"/>
    <cellStyle name="_Tom OnLine Forecast Template PCBA_Computing Dec 2006 V4 ( update on OS allocation)_2009 xBOX ramp up budget code applicaiton 300K --New May26 (3)" xfId="17198"/>
    <cellStyle name="好_River EE BOM_Xl0000000_Leopard Lemur Squirrel UniBom-06.22.2010_EE cost _update_internal_Bolt RFQ_Foxlink_03.1 2011" xfId="17199"/>
    <cellStyle name="_Tom OnLine Forecast Template PCBA_Computing Dec 2006 V4 ( update on OS allocation)_2009 xBOX ramp up budget code applicaiton 300K --New May27" xfId="17200"/>
    <cellStyle name="好_Creek Assembly Fixture  Test Equipment RFQ_20090427_Leopard_UniBOM_ME_0531_Bolt_Cliff 5" xfId="17201"/>
    <cellStyle name="_Tom OnLine Forecast Template PCBA_Computing Dec 2006 V4 ( update on OS allocation)_Copy of X-BOX for line setup budget" xfId="17202"/>
    <cellStyle name="_Tom OnLine Forecast Template PCBA_Computing Dec 2006 V4 ( update on OS allocation)_Forecast Template v4" xfId="17203"/>
    <cellStyle name="差_Squirrel UniBom-06.23.2010_update_internal_Bolt RFQ_Foxlink_03.1 2011 5" xfId="17204"/>
    <cellStyle name="_Tom OnLine Forecast Template PCBA_Computing Dec 2006 V4 ( update on OS allocation)_X-BOX Console line setup budget 20080414" xfId="17205"/>
    <cellStyle name="_Tom OnLine Forecast Template PCBA_Computing Dec 2006 V4 ( update on OS allocation)_X-BOX Console line setup budget and Buyer list" xfId="17206"/>
    <cellStyle name="_Tom OS ( Oct)" xfId="17207"/>
    <cellStyle name="_Tom OS ( Oct)_2009 xBOX ramp up budget code applicaiton 300K --New May26 (3)" xfId="17208"/>
    <cellStyle name="_Tom OS ( Oct)_2009 xBOX ramp up budget code applicaiton 300K --New May27" xfId="17209"/>
    <cellStyle name="_Tom OS ( Oct)_Budget GC Other Form" xfId="17210"/>
    <cellStyle name="_Tom OS ( Oct)_Copy of X-BOX for line setup budget" xfId="17211"/>
    <cellStyle name="_Tom OS ( Oct)_Forecast Template v4" xfId="17212"/>
    <cellStyle name="_Tom OS ( Oct)_X-BOX BB" xfId="17213"/>
    <cellStyle name="差_Creak Pearl Reliability Fixture RFQ_2009 04 24_Xl0000002_Leopard RFQ ME BOM Costs-0618 2 4" xfId="17214"/>
    <cellStyle name="Calculation 3_Bristol RFQ response _20101102_internal (4)" xfId="17215"/>
    <cellStyle name="_Tom OS ( Oct)_X-BOX Console line setup budget 20080414" xfId="17216"/>
    <cellStyle name="_Tom OS ( Oct)_X-BOX Console line setup budget and Buyer list" xfId="17217"/>
    <cellStyle name="Output 2 2 3" xfId="17218"/>
    <cellStyle name="_Tooling capacity 0702'07" xfId="17219"/>
    <cellStyle name="_Tooling capacity 0702'07 2" xfId="17220"/>
    <cellStyle name="差_Creek RFQ feedback 04_28_2009_FD Update_Leopard Lemur Squirrel UniBom-06.22.2010_EE cost _update_internal_Bolt RFQ_Foxlink_03.1 2011 2 3" xfId="17221"/>
    <cellStyle name="_Tooling NRE cost for Monaco EV3 build" xfId="17222"/>
    <cellStyle name="_Total Indus Plan - 10Mar06 - Rev G" xfId="17223"/>
    <cellStyle name="_Total Indus Plan - 12Mar06 - Rev G" xfId="17224"/>
    <cellStyle name="差_F3   SMT設備明細_jupite r設備&amp;治工具LIST (總)_Dallas flow chart&amp;設備&amp;治工具清單(12-8 A0)_Jackson 效益分析 (2-1 B0 上系統)" xfId="17225"/>
    <cellStyle name="_Total Indus Plan - 17Feb06 - Rev G" xfId="17226"/>
    <cellStyle name="_Total Indus Plan - 17Feb06 - Rev G2" xfId="17227"/>
    <cellStyle name="60% - Accent3 12" xfId="17228"/>
    <cellStyle name="_Transportation Charges from DM to Huizhou" xfId="17229"/>
    <cellStyle name="Note 3 2 3" xfId="17230"/>
    <cellStyle name="_Transportation Charges from DM to Huizhou_Lenovo PACK  Packing Proposal" xfId="17231"/>
    <cellStyle name="差_HP Mouse 產能評估(Forecast更改後)_Bolt RFQ_Foxlink_03.1 2011 5" xfId="17232"/>
    <cellStyle name="差_Creak Pearl Reliability Fixture RFQ_2009 04 24_Xl0000002_Leopard_UniBOM_ME_0531_Bolt RFQ_Foxlink_03.1 2011 3 3" xfId="17233"/>
    <cellStyle name="_Transportation Charges from DM to Huizhou_Lenovo Park Format_July 07 05V2" xfId="17234"/>
    <cellStyle name="_trentt - P4 RR Reporting" xfId="17235"/>
    <cellStyle name="Normal 38 2 2" xfId="17236"/>
    <cellStyle name="Normal 43 2 2" xfId="17237"/>
    <cellStyle name="_trentt - P4 RR Reporting_P6 Si Ops review" xfId="17238"/>
    <cellStyle name="_trentt - P4 RR Reporting_P6 Si Ops review (2)" xfId="17239"/>
    <cellStyle name="_trentt - P4 RR Reporting_P6 Waynea review" xfId="17240"/>
    <cellStyle name="_trentt - P4 RR Reporting_SiOps P6 Close Pack" xfId="17241"/>
    <cellStyle name="_Trinity PV Riskbuy list 20091116 update" xfId="17242"/>
    <cellStyle name="_Trt-KX864-CDC-DM-HK-Futian" xfId="17243"/>
    <cellStyle name="好_River EE BOM_Creak Pearl Reliability Fixture RFQ_2009 04 24_Creek  Pearl RFQ_May 12_Leopard_UniBOM_ME_0602_Bolt RFQ Proposal_Foxlink_ (Pricing Summary) 2 25 2011 7" xfId="17244"/>
    <cellStyle name="_Trt-KX864-CDC-DM-HK-Futian_Lenovo PACK  Packing Proposal" xfId="17245"/>
    <cellStyle name="好_Creek EE BOM cost_20090425_Creek RFQ feedback 04_28_2009_FD Update_Leopard_UniBOM_ME_0603-2_Bolt RFQ_Foxlink_03.1 2011_nego meeting@MACH 5" xfId="17246"/>
    <cellStyle name="_Trt-KX864-CDC-DM-HK-Futian_Lenovo Park Format_July 07 05" xfId="17247"/>
    <cellStyle name="_Trt-KX864-CDC-DM-HK-Futian_Lenovo Park Format_July 07 05V2" xfId="17248"/>
    <cellStyle name="_TS3 80 6 Yield Tracking 0502 update" xfId="17249"/>
    <cellStyle name="_Underfill-Kalia&amp;Tamao&amp;Cora-redo" xfId="17250"/>
    <cellStyle name="差_Creak Pearl Reliability Fixture RFQ_2009 04 24_Squirrel RFQ ME BOM Costs-0624" xfId="17251"/>
    <cellStyle name="_Underfill-Kalia&amp;Tamao&amp;Cora-redo_Copy of MOST Std - S1300 F2lines" xfId="17252"/>
    <cellStyle name="好_Creek Assembly Fixture  Test Equipment RFQ_20090427_Leopard_UniBOM_ME_0603-2_Bolt RFQ Proposal_Foxlink_ (Pricing Summary) 2 25 2011 3 2" xfId="17253"/>
    <cellStyle name="Italic,10pt" xfId="17254"/>
    <cellStyle name="_Underfill-Kalia&amp;Tamao&amp;Cora-redo_MOST Std - Project A BB Line" xfId="17255"/>
    <cellStyle name="_Underfill-Kalia&amp;Tamao&amp;Cora-redo_MOST Std - S1300 F2lines" xfId="17256"/>
    <cellStyle name="_Uni BOM v1" xfId="17257"/>
    <cellStyle name="60% - 强调文字颜色 3 5 2" xfId="17258"/>
    <cellStyle name="_UNI_BOM-LF Liberty Veloce TBird Miata - 0823" xfId="17259"/>
    <cellStyle name="好_Creek Assembly Fixture  Test Equipment RFQ_20090427_Leopard_UniBOM_ME_0602-1_Bolt RFQ_Foxlink_03.1 2011 5" xfId="17260"/>
    <cellStyle name="_UniBom_Oakley V1.1" xfId="17261"/>
    <cellStyle name="_UniBom_Oakley V1.1 2" xfId="17262"/>
    <cellStyle name="_UniBom_Oakley V1.1_KYE Glacier Uni_BOM Update after negotiation 07272007" xfId="17263"/>
    <cellStyle name="_UniBom_Oakley V1.1_KYE Glacier Uni_BOM Update after negotiation 07272007 2" xfId="17264"/>
    <cellStyle name="_uPad-D ME BOM Cost_Rev A3-20080424" xfId="17265"/>
    <cellStyle name="_uPad-D Tooling Cost Rev A3-20080424" xfId="17266"/>
    <cellStyle name="好_Creek Assembly Fixture  Test Equipment RFQ_20090427_Squirrel UniBom-06.23.2010_update_internal_Bolt RFQ_Foxlink_03.1 2011 2 3" xfId="17267"/>
    <cellStyle name="_uPad-D_USB+EMI+RET Tests Cost_Draft_20080425" xfId="17268"/>
    <cellStyle name="_update" xfId="17269"/>
    <cellStyle name="_update forecast for Feb'06_Rev02" xfId="17270"/>
    <cellStyle name="DivCount" xfId="17271"/>
    <cellStyle name="好_River EE BOM_Creak Pearl Reliability Fixture RFQ_2009 04 24_Leopard_UniBOM_ME_0602_Bolt RFQ Proposal_Foxlink_ (Pricing Summary) 2 25 2011 4 3" xfId="17272"/>
    <cellStyle name="_update forecast for Jan'06(0103)" xfId="17273"/>
    <cellStyle name="好_Creek EE BOM cost_20090425_Creek RFQ feedback 04_28_2009_FD Update_Squirrel UniBom-06.23.2010_update_internal_Bolt RFQ Proposal_Foxlink_ (Pricing Summary) 2 25 2011 5" xfId="17274"/>
    <cellStyle name="_update forecast for Jan'06(0103) - Revised" xfId="17275"/>
    <cellStyle name="Monetario" xfId="17276"/>
    <cellStyle name="_Update yield report for DEV02342(7.6) " xfId="17277"/>
    <cellStyle name="_Updated Hourly Rate" xfId="17278"/>
    <cellStyle name="_Updated machine hourly cost" xfId="17279"/>
    <cellStyle name="好_River EE BOM_Xl0000002_Squirrel RFQ ME BOM Costs-0623_Bolt RFQ Proposal_Foxlink_ (Pricing Summary) 2 25 2011 5" xfId="17280"/>
    <cellStyle name="好_Erie Assembly Fixture  Test Equip Cost_20090716_Foxlink_Shadow RFQ NREUni BOM_12032009 2 2 3" xfId="17281"/>
    <cellStyle name="好_0842周 顯卡報廢超標8D_2009MB KPI_MBO3F製造部hp0209-01 3 4" xfId="17282"/>
    <cellStyle name="_URC_CobraDragon_ActionTracker_MoM_001" xfId="17283"/>
    <cellStyle name="_USDM - Galaxy 1C (SATA) Master Cost - v5(BB) 2" xfId="17284"/>
    <cellStyle name="好_River EE BOM_Creak Pearl Reliability Fixture RFQ_2009 04 24_Creek RFQ feedback 04_28_2009_FD Update_Bolt RFQ Proposal_Foxlink_ (Pricing Summary) 2 25 2011 2" xfId="17285"/>
    <cellStyle name="差_Creak Pearl Reliability Fixture RFQ_2009 04 24_Xl0000002_Leopard_UniBOM_ME_0602-1 3 3" xfId="17286"/>
    <cellStyle name="好_River EE BOM_Xl0000002_Leopard UniBom_Foxlink_6 21 2010-ME_nego" xfId="17287"/>
    <cellStyle name="好_River EE BOM_Creek RFQ feedback 04_28_2009_FD Update_Squirrel UniBom-06.23.2010_update_internal_Bolt RFQ_Foxlink_03.1 2011_nego meeting@MACH 2 2" xfId="17288"/>
    <cellStyle name="好_River EE BOM_Creak Pearl Reliability Fixture RFQ_2009 04 24_Creek  Pearl RFQ_May 12_Leopard RFQ ME BOM Costs-0618-2_Bolt RFQ Proposal_Foxlink_ (Pricing Summary) 2 25 2011 2 2 3" xfId="17289"/>
    <cellStyle name="_UULC RFQ  Cost Template 6-1-06" xfId="17290"/>
    <cellStyle name="_Variance of Aug'06_Rev00" xfId="17291"/>
    <cellStyle name="_Z9 blueAnt ME BOM 0910 final_Internal RFQ River Standalone  Bundle Unibom_v1 2_20080603_EJ" xfId="17292"/>
    <cellStyle name="_Variance of July'06_Rev01" xfId="17293"/>
    <cellStyle name="_Variance of June'06_Rev00 (2)" xfId="17294"/>
    <cellStyle name="好_River EE BOM_Creak Pearl Reliability Fixture RFQ_2009 04 24_Squirrel RFQ ME BOM Costs-0623 2 4" xfId="17295"/>
    <cellStyle name="_Variance of Oct'06_Rev00" xfId="17296"/>
    <cellStyle name="好_River EE BOM_Creak Pearl Reliability Fixture RFQ_2009 04 24_Xl0000002_Leopard RFQ ME BOM Costs-0618_Bolt RFQ_Foxlink_03.1 2011 2 2" xfId="17297"/>
    <cellStyle name="Calculation 12 2 3" xfId="17298"/>
    <cellStyle name="20% - Accent1 2 4 2" xfId="17299"/>
    <cellStyle name="_Variance of Sept'06_Rev01" xfId="17300"/>
    <cellStyle name="差_pq_~5631336_Jackson 效益分析 (2-1 B0 上系統)_squirrel效益分析08-17" xfId="17301"/>
    <cellStyle name="_VARIANT_RFQ_BT_FEB02 (2)" xfId="17302"/>
    <cellStyle name="好_Creek Assembly Fixture  Test Equipment RFQ_20090427_Xl0000002_Leopard Lemur Squirrel UniBom-06.22.2010_EE cost _update_internal_Bolt RFQ_Foxlink_03.1 2011_nego meeting@MACH 2" xfId="17303"/>
    <cellStyle name="_VARIANT_RFQ_BT_FEB02 (JQ Prop)" xfId="17304"/>
    <cellStyle name="好_River EE BOM_Creak Pearl Reliability Fixture RFQ_2009 04 24_Xl0000002_Bolt RFQ_Foxlink_03.1 2011 2 3" xfId="17305"/>
    <cellStyle name="_Volume Fcst 1006 updated" xfId="17306"/>
    <cellStyle name="好_0842周 顯卡報廢超標8D_2009MB KPI_MBO3F製造部hp0209-01 4" xfId="17307"/>
    <cellStyle name="_Volume Fcst 1006 updated_2009 xBOX ramp up budget code applicaiton 300K --New May26 (3)" xfId="17308"/>
    <cellStyle name="_Volume Fcst 1006 updated_Budget GC Other Form" xfId="17309"/>
    <cellStyle name="差_Creak Pearl Reliability Fixture RFQ_2009 04 24_Creek RFQ feedback 04_28_2009_FD Update_Leopard_UniBOM_ME_0602-1_Bolt RFQ_Foxlink_03.1 2011_nego meeting@MACH 2" xfId="17310"/>
    <cellStyle name="差_HP Mouse 產能評估(上系統)_MS Bolt wireless mouse FixtureEquipment Cost_A5_2010_02_21_Bolt RFQ Proposal_Foxlink_ (Pricing Summary) 2 25 2011 4" xfId="17311"/>
    <cellStyle name="_Volume Fcst 1006 updated_Copy of Tom OS ( Oct) new for LOG" xfId="17312"/>
    <cellStyle name="_Volume Fcst 1006 updated_Copy of Tom OS ( Oct) new for LOG_2009 xBOX ramp up budget code applicaiton 300K --New May26 (3)" xfId="17313"/>
    <cellStyle name="_Volume Fcst 1006 updated_Copy of Tom OS ( Oct) new for LOG_2009 xBOX ramp up budget code applicaiton 300K --New May27" xfId="17314"/>
    <cellStyle name="_Volume Fcst 1006 updated_Copy of Tom OS ( Oct) new for LOG_Budget GC Other Form" xfId="17315"/>
    <cellStyle name="好_River EE BOM_Creak Pearl Reliability Fixture RFQ_2009 04 24_Xl0000002_Leopard_UniBOM_ME_0603-2 2 2 3" xfId="17316"/>
    <cellStyle name="Normal 5 3 2 3" xfId="17317"/>
    <cellStyle name="Normal 29 2 4" xfId="17318"/>
    <cellStyle name="Normal 34 2 4" xfId="17319"/>
    <cellStyle name="强调 3" xfId="17320"/>
    <cellStyle name="好_Creek Assembly Fixture  Test Equipment RFQ_20090427_Leopard RFQ ME BOM Costs-0618-2_Bolt_Cliff 6" xfId="17321"/>
    <cellStyle name="_Volume Fcst 1006 updated_Copy of Tom OS ( Oct) new for LOG_Copy of X-BOX for line setup budget" xfId="17322"/>
    <cellStyle name="_Volume Fcst 1006 updated_Copy of Tom OS ( Oct) new for LOG_X-BOX Console line setup budget 20080414" xfId="17323"/>
    <cellStyle name="_Volume Fcst 1006 updated_Copy of Tom OS ( Oct) new for LOG_X-BOX Console line setup budget and Buyer list" xfId="17324"/>
    <cellStyle name="输入 3 2 4" xfId="17325"/>
    <cellStyle name="_Volume Fcst 1006 updated_Copy of X-BOX for line setup budget" xfId="17326"/>
    <cellStyle name="_Volume Fcst 1006 updated_Forecast Template v4" xfId="17327"/>
    <cellStyle name="_Volume Fcst 1006 updated_Tom OS ( Oct)_2009 xBOX ramp up budget code applicaiton 300K --New May27" xfId="17328"/>
    <cellStyle name="差_Xl0000002_Leopard RFQ ME BOM Costs-0618-2 2" xfId="17329"/>
    <cellStyle name="_Volume Fcst 1006 updated_Tom OS ( Oct)_Budget GC Other Form" xfId="17330"/>
    <cellStyle name="60% - 强调文字颜色 2 2 2 2" xfId="17331"/>
    <cellStyle name="_Volume Fcst 1006 updated_Tom OS ( Oct)_Copy of X-BOX for line setup budget" xfId="17332"/>
    <cellStyle name="_Volume Fcst 1006 updated_Tom OS ( Oct)_Forecast Template v4" xfId="17333"/>
    <cellStyle name="_Volume Fcst 1006 updated_Tom OS ( Oct)_X-BOX BB" xfId="17334"/>
    <cellStyle name="好_River EE BOM_Creak Pearl Reliability Fixture RFQ_2009 04 24_Creek  Pearl RFQ_May 12_Squirrel RFQ ME BOM Costs-0623_Bolt RFQ Proposal_Foxlink_ (Pricing Summary) 2 25 2011 3 2" xfId="17335"/>
    <cellStyle name="_Volume Fcst 1006 updated_Tom OS ( Oct)_X-BOX Console line setup budget 20080414" xfId="17336"/>
    <cellStyle name="_Volume Fcst 1006 updated_X-BOX Console line setup budget 20080414" xfId="17337"/>
    <cellStyle name="好_Creek EE BOM cost_20090425_Creek RFQ feedback 04_28_2009_FD Update_Leopard_UniBOM_ME_0603-2_Bolt RFQ_Foxlink_03.1 2011_nego meeting@MACH 4" xfId="17338"/>
    <cellStyle name="_Volume Fcst 1006 updated_X-BOX Console line setup budget and Buyer list" xfId="17339"/>
    <cellStyle name="_Volume Fcst Jul 06-update HP _2009 xBOX ramp up budget code applicaiton 300K --New May26 (3)" xfId="17340"/>
    <cellStyle name="好_Creek Assembly Fixture  Test Equipment RFQ_20090427_Leopard_UniBOM_ME_0602-1_Bolt RFQ_Foxlink_03.1 2011 2 2" xfId="17341"/>
    <cellStyle name="_Volume Fcst Jul 06-update HP _Copy of Tom OS ( Oct) new for LOG_2009 xBOX ramp up budget code applicaiton 300K --New May26 (3)" xfId="17342"/>
    <cellStyle name="_Volume Fcst Jul 06-update HP _Copy of Tom OS ( Oct) new for LOG_2009 xBOX ramp up budget code applicaiton 300K --New May27" xfId="17343"/>
    <cellStyle name="好_Suede QA report for EV3_20110412" xfId="17344"/>
    <cellStyle name="Currency 13" xfId="17345"/>
    <cellStyle name="_Volume Fcst Jul 06-update HP _Copy of Tom OS ( Oct) new for LOG_Copy of X-BOX for line setup budget" xfId="17346"/>
    <cellStyle name="好_River EE BOM_Xl0000000_Jackson and Shadow BOM cost_mainfile_2010 0324 rev.1_Leopard UniBom_Foxlink_12272010 RevF_shirley" xfId="17347"/>
    <cellStyle name="好_Creek Assembly Fixture  Test Equipment RFQ_20090427_Leopard UniBom_Foxlink_6 21 2010-ME_nego_Bolt_Cliff" xfId="17348"/>
    <cellStyle name="_Volume Fcst Jul 06-update HP _Copy of Tom OS ( Oct) new for LOG_X-BOX BB" xfId="17349"/>
    <cellStyle name="差_jupite r設備&amp;治工具LIST (總)_pq_Flow Chart&amp;設備治工具清單 _Jackson 效益分析 (2-1 B0 上系統)" xfId="17350"/>
    <cellStyle name="_Volume Fcst Jul 06-update HP _Copy of Tom OS ( Oct) new for LOG_X-BOX Console line setup budget and Buyer list" xfId="17351"/>
    <cellStyle name="好_Creek EE BOM cost_20090425_Creek RFQ feedback 04_28_2009_FD Update_Bolt RFQ_Foxlink_03.1 2011 3" xfId="17352"/>
    <cellStyle name="好_River EE BOM_Xl0000000_Leopard_UniBOM_ME_0603-2_Bolt RFQ Proposal_Foxlink_ (Pricing Summary) 2 25 2011 2 2" xfId="17353"/>
    <cellStyle name="_Volume Fcst Jul 06-update HP _Copy of X-BOX for line setup budget" xfId="17354"/>
    <cellStyle name="_Volume Fcst Jul 06-update HP _Internal Hourly Rate Q1 FY08 Version 06052007 Draft" xfId="17355"/>
    <cellStyle name="_Volume Fcst Jul 06-update HP _Tom OS ( Oct)_2009 xBOX ramp up budget code applicaiton 300K --New May26 (3)" xfId="17356"/>
    <cellStyle name="壞_Creek EE BOM cost_20090425_Creek RFQ feedback 04_28_2009_FD Update_Leopard_UniBOM_ME_0603-2_Bolt RFQ Proposal_Foxlink_ (Pricing Summary) 2 25 2011 5 3" xfId="17357"/>
    <cellStyle name="_Volume Fcst Jul 06-update HP _Tom OS ( Oct)_2009 xBOX ramp up budget code applicaiton 300K --New May27" xfId="17358"/>
    <cellStyle name="_Volume Fcst Jul 06-update HP _Tom OS ( Oct)_Budget GC Other Form" xfId="17359"/>
    <cellStyle name="_Volume Fcst Jul 06-update HP _Tom OS ( Oct)_Forecast Template v4" xfId="17360"/>
    <cellStyle name="好_River EE BOM_Creak Pearl Reliability Fixture RFQ_2009 04 24_Xl0000002_Leopard UniBom_Foxlink_6 21 2010-ME_nego_Bolt RFQ Proposal_Foxlink_ (Pricing Summary) 2 25 2011 6" xfId="17361"/>
    <cellStyle name="差_Xl0000000_Leopard_UniBOM_ME_0531_Bolt RFQ_Foxlink_03.1 2011" xfId="17362"/>
    <cellStyle name="_Volume Fcst Jul 06-update HP _Tom OS ( Oct)_X-BOX BB" xfId="17363"/>
    <cellStyle name="好_River EE BOM_Creak Pearl Reliability Fixture RFQ_2009 04 24_Creek  Pearl RFQ_May 12 2 2 3" xfId="17364"/>
    <cellStyle name="差_MS Bolt wireless mouse FixtureEquipment Cost_A5_2010_02_21_Bolt RFQ Proposal_Foxlink_ (Pricing Summary) 2 25 2011 6" xfId="17365"/>
    <cellStyle name="好_River EE BOM_Creak Pearl Reliability Fixture RFQ_2009 04 24_Pearl RFQ(Submittal)ver2_05_12_2009 _Leopard RFQ ME BOM Costs-0618-2_Bolt RFQ Proposal_Foxlink_ (Pricing Summary) 2 25 2011 3" xfId="17366"/>
    <cellStyle name="Currency 16 5" xfId="17367"/>
    <cellStyle name="好_Creek Assembly Fixture  Test Equipment RFQ_20090427_Leopard_UniBOM_ME_0602-1_Bolt RFQ_Foxlink_03.1 2011_nego meeting@MACH_Bolt_Cliff" xfId="17368"/>
    <cellStyle name="_Volume Fcst Jul 06-update HP _Tom OS ( Oct)_X-BOX Console line setup budget 20080414" xfId="17369"/>
    <cellStyle name="_Volume Fcst Jul 06-update HP _Tom OS ( Oct)_X-BOX Console line setup budget and Buyer list" xfId="17370"/>
    <cellStyle name="_Volume Fcst Jul 06-update HP _X-BOX BB" xfId="17371"/>
    <cellStyle name="_Volume Fcst Jul 06-update HP _X-BOX Console line setup budget 20080414" xfId="17372"/>
    <cellStyle name="_Volume Fcst Jul 06-update HP _X-BOX Console line setup budget and Buyer list" xfId="17373"/>
    <cellStyle name="好_River EE BOM_Xl0000000_Leopard_UniBOM_ME_0602_Bolt RFQ_Foxlink_03.1 2011" xfId="17374"/>
    <cellStyle name="_w15.4 C54206-001CLX Hotlist" xfId="17375"/>
    <cellStyle name="_W521 5 Mulan Edge KRH _FSA comments " xfId="17376"/>
    <cellStyle name="好_River EE BOM_Creak Pearl Reliability Fixture RFQ_2009 04 24_Pearl RFQ(Submittal)ver2_05_12_2009 _Leopard_UniBOM_ME_0602-1_Bolt RFQ Proposal_Foxlink_ (Pricing Summary) 2 25 2011 4 3" xfId="17377"/>
    <cellStyle name="_W521 5 Mulan Edge KRH _FSA comments _Copy of MOST Std - S1300 F2lines_FMTQCI-MIS3H064-P027(01)Nazca Copy Exact Flow chart" xfId="17378"/>
    <cellStyle name="差_Xl0000000_Bolt RFQ_Foxlink_03.1 2011" xfId="17379"/>
    <cellStyle name="_W521 5 Mulan Edge KRH _FSA comments _Copy of MOST Std - S1300 F2lines_Nazca copy exact flow chart 20120409" xfId="17380"/>
    <cellStyle name="好_Creek Assembly Fixture  Test Equipment RFQ_20090427_Xl0000002_Leopard_UniBOM_ME_0602_Bolt RFQ_Foxlink_03.1 2011_nego meeting@MACH 4" xfId="17381"/>
    <cellStyle name="_W521 5 Mulan Edge KRH _FSA comments _Copy of MOST Std - S1300 F2lines_Nazca copy exact flow chart 2012313" xfId="17382"/>
    <cellStyle name="_W521 5 Mulan Edge KRH _FSA comments _FMTQCI-MIS3H064-P027(01)Nazca Copy Exact Flow chart" xfId="17383"/>
    <cellStyle name="40% - Accent5 5" xfId="17384"/>
    <cellStyle name="_W521 5 Mulan Edge KRH _FSA comments _MOST Std - Project A BB Line" xfId="17385"/>
    <cellStyle name="_W521 5 Mulan Edge KRH _FSA comments _MOST Std - Project A BB Line_FMTQCI-MIS3H064-P027(01)Nazca Copy Exact Flow chart" xfId="17386"/>
    <cellStyle name="_W521 5 Mulan Edge KRH _FSA comments _MOST Std - Project A BB Line_Nazca copy exact flow chart 20120409" xfId="17387"/>
    <cellStyle name="_W521 5 Mulan Edge KRH _FSA comments _MOST Std - Project A BB Line_Nazca copy exact flow chart 2012313" xfId="17388"/>
    <cellStyle name="_W521 5 Mulan Edge KRH _FSA comments _MOST Std - S1300 F2lines_FMTQCI-MIS3H064-P027(01)Nazca Copy Exact Flow chart" xfId="17389"/>
    <cellStyle name="_W521 5 Mulan Edge KRH _FSA comments _MOST Std - S1300 F2lines_Nazca copy exact flow chart 20120409" xfId="17390"/>
    <cellStyle name="Normal 5 4 5 2" xfId="17391"/>
    <cellStyle name="_W521 5 Mulan Edge KRH _FSA comments _MOST Std - S1300 F2lines_Nazca copy exact flow chart 2012313" xfId="17392"/>
    <cellStyle name="好_River EE BOM_Creak Pearl Reliability Fixture RFQ_2009 04 24_Creek RFQ feedback 04_28_2009_FD Update_Foxlink_Shadow RFQ NREUni BOM_12032009_Bolt RFQ_Foxlink_03.1 2011_nego meeting@MACH 5" xfId="17393"/>
    <cellStyle name="_W521 5 Mulan Edge KRH _FSA comments _Nazca copy exact flow chart 2012313" xfId="17394"/>
    <cellStyle name="Percent 22 3 3" xfId="17395"/>
    <cellStyle name="_W522 4 Mulan Edge EP0 CTB" xfId="17396"/>
    <cellStyle name="Red" xfId="17397"/>
    <cellStyle name="_W522 4 Mulan Edge EP0 CTB_Copy of MOST Std - S1300 F2lines_Nazca copy exact flow chart 20120409" xfId="17398"/>
    <cellStyle name="差_治具工程課2009年KPI_KPI 1006 2 4" xfId="17399"/>
    <cellStyle name="差_Creak Pearl Reliability Fixture RFQ_2009 04 24_Leopard RFQ ME BOM Costs-0618_Bolt RFQ_Foxlink_03.1 2011 4" xfId="17400"/>
    <cellStyle name="_W522 4 Mulan Edge EP0 CTB_FMTQCI-MIS3H064-P027(01)Nazca Copy Exact Flow chart" xfId="17401"/>
    <cellStyle name="好_Creek EE BOM cost_20090425_Creek RFQ feedback 04_28_2009_FD Update_Leopard RFQ ME BOM Costs-0618 2 2" xfId="17402"/>
    <cellStyle name="_W522 4 Mulan Edge EP0 CTB_MOST Std - Project A BB Line" xfId="17403"/>
    <cellStyle name="差_jupite r設備&amp;治工具LIST (總)_Dallas flow chart&amp;設備&amp;治工具清單(12-8 A0)_Flow chart and Fixture(Jackson)_A1_Jackson 效益分析 (2-1 B0 上系統)_Leopard Flowchart &amp; 產能評估" xfId="17404"/>
    <cellStyle name="_W522 4 Mulan Edge EP0 CTB_MOST Std - Project A BB Line_FMTQCI-MIS3H064-P027(01)Nazca Copy Exact Flow chart" xfId="17405"/>
    <cellStyle name="好_River EE BOM_Xl0000002_Leopard_UniBOM_ME_0602 2" xfId="17406"/>
    <cellStyle name="好_Creek EE BOM cost_20090425_Creek RFQ feedback 04_28_2009_FD Update_Squirrel UniBom-06.23.2010_update_internal_Bolt RFQ_Foxlink_03.1 2011_nego meeting@MACH 3 2" xfId="17407"/>
    <cellStyle name="_W522 4 Mulan Edge EP0 CTB_MOST Std - Project A BB Line_Nazca copy exact flow chart 2012313" xfId="17408"/>
    <cellStyle name="_W522 4 Mulan Edge EP0 CTB_MOST Std - S1300 F2lines" xfId="17409"/>
    <cellStyle name="差_jupite r設備&amp;治工具LIST (總)_Flow Chart&amp;設備治工具清單 _~1159284" xfId="17410"/>
    <cellStyle name="_W522 4 Mulan Edge EP0 CTB_Nazca copy exact flow chart 20120409" xfId="17411"/>
    <cellStyle name="_W522 4 Mulan Edge EP0 CTB_Nazca copy exact flow chart 2012313" xfId="17412"/>
    <cellStyle name="差_Creak Pearl Reliability Fixture RFQ_2009 04 24_Xl0000002_Squirrel UniBom-06.23.2010_update_internal_Bolt RFQ Proposal_Foxlink_ (Pricing Summary) 2 25 2011 2 2" xfId="17413"/>
    <cellStyle name="_W528 5 CTB_Mulan-EDGE_ROA1281693 FXC" xfId="17414"/>
    <cellStyle name="_W528 5 CTB_Mulan-EDGE_ROA1281693 FXC_Copy of MOST Std - S1300 F2lines" xfId="17415"/>
    <cellStyle name="差_Creak Pearl Reliability Fixture RFQ_2009 04 24_Xl0000002_Bolt RFQ_Foxlink_03.1 2011" xfId="17416"/>
    <cellStyle name="_W528 5 CTB_Mulan-EDGE_ROA1281693 FXC_Copy of MOST Std - S1300 F2lines_FMTQCI-MIS3H064-P027(01)Nazca Copy Exact Flow chart" xfId="17417"/>
    <cellStyle name="差_Creak Pearl Reliability Fixture RFQ_2009 04 24_Xl0000002_Leopard RFQ ME BOM Costs-0618_Bolt RFQ Proposal_Foxlink_ (Pricing Summary) 2 25 2011 4 2" xfId="17418"/>
    <cellStyle name="_W528 5 CTB_Mulan-EDGE_ROA1281693 FXC_Copy of MOST Std - S1300 F2lines_Nazca copy exact flow chart 20120409" xfId="17419"/>
    <cellStyle name="60% - 强调文字颜色 1 3 4" xfId="17420"/>
    <cellStyle name="_W528 5 CTB_Mulan-EDGE_ROA1281693 FXC_Copy of MOST Std - S1300 F2lines_Nazca copy exact flow chart 2012313" xfId="17421"/>
    <cellStyle name="_W528 5 CTB_Mulan-EDGE_ROA1281693 FXC_FMTQCI-MIS3H064-P027(01)Nazca Copy Exact Flow chart" xfId="17422"/>
    <cellStyle name="_W528 5 CTB_Mulan-EDGE_ROA1281693 FXC_MOST Std - Project A BB Line_FMTQCI-MIS3H064-P027(01)Nazca Copy Exact Flow chart" xfId="17423"/>
    <cellStyle name="差_Xl0000000_Leopard_UniBOM_ME_0531_Bolt RFQ_Foxlink_03.1 2011_nego meeting@MACH 3 3" xfId="17424"/>
    <cellStyle name="差_Creek RFQ feedback 04_28_2009_FD Update_Leopard RFQ ME BOM Costs-0618_Bolt RFQ_Foxlink_03.1 2011_nego meeting@MACH" xfId="17425"/>
    <cellStyle name="输出 4 2 2" xfId="17426"/>
    <cellStyle name="_W528 5 CTB_Mulan-EDGE_ROA1281693 FXC_MOST Std - S1300 F2lines" xfId="17427"/>
    <cellStyle name="差_Creak Pearl Reliability Fixture RFQ_2009 04 24_Creek RFQ feedback 04_28_2009_FD Update_Squirrel UniBom-06.23.2010_update_internal_Bolt RFQ Proposal_Foxlink_ (Pricing Summary) 2 25 2011 7" xfId="17428"/>
    <cellStyle name="_W528 5 CTB_Mulan-EDGE_ROA1281693 FXC_MOST Std - S1300 F2lines_Nazca copy exact flow chart 20120409" xfId="17429"/>
    <cellStyle name="好_Erie Assembly Fixture  Test Equip Cost_20090716 2 2 2" xfId="17430"/>
    <cellStyle name="_W528 5 CTB_Mulan-EDGE_ROA1281693 FXC_MOST Std - S1300 F2lines_Nazca copy exact flow chart 2012313" xfId="17431"/>
    <cellStyle name="_W52庫存分析表(12.30)" xfId="17432"/>
    <cellStyle name="_WD UULC_RET Test Matrix &amp; Cost_20060712" xfId="17433"/>
    <cellStyle name="好_River EE BOM_Creak Pearl Reliability Fixture RFQ_2009 04 24_Pearl RFQ(Submittal)ver2_05_12_2009 _Squirrel RFQ ME BOM Costs-0623_Bolt RFQ Proposal_Foxlink_ (Pricing Summary) 2 25 2011 4 2" xfId="17434"/>
    <cellStyle name="_weekly  Report0651wPE xsl" xfId="17435"/>
    <cellStyle name="计算 2 2 4" xfId="17436"/>
    <cellStyle name="_Weekly Headcount Summary (06-07-07)" xfId="17437"/>
    <cellStyle name="_weekly report 04272007" xfId="17438"/>
    <cellStyle name="_weekly report ww06" xfId="17439"/>
    <cellStyle name="好_Creek Assembly Fixture  Test Equipment RFQ_20090427_Leopard RFQ ME BOM Costs-0618_Bolt RFQ_Foxlink_03.1 2011_nego meeting@MACH_Bolt_Cliff 7" xfId="17440"/>
    <cellStyle name="_Weekly Update 0425-A" xfId="17441"/>
    <cellStyle name="60% - 强调文字颜色 2 5 3" xfId="17442"/>
    <cellStyle name="Normal 5 7 2 2 2" xfId="17443"/>
    <cellStyle name="_Weekly Update 0425-A_2010-05 費用分析0604" xfId="17444"/>
    <cellStyle name="_Weekly Update 0425-A_2010銷售明細實績-201006" xfId="17445"/>
    <cellStyle name="_White" xfId="17446"/>
    <cellStyle name="_White 2" xfId="17447"/>
    <cellStyle name="_White 2 2" xfId="17448"/>
    <cellStyle name="_White 2 2 2" xfId="17449"/>
    <cellStyle name="_White 2 2 3" xfId="17450"/>
    <cellStyle name="_White 3 2" xfId="17451"/>
    <cellStyle name="_Wistron True-Up File (May)_FY06 P4 CM Consigned RM" xfId="17452"/>
    <cellStyle name="壞_Creek EE BOM cost_20090425_Foxlink_Shadow RFQ NREUni BOM_12032009_Bolt RFQ_Foxlink_03.1 2011 2" xfId="17453"/>
    <cellStyle name="差_Creek RFQ feedback 04_28_2009_FD Update_Leopard RFQ ME BOM Costs-0618_Bolt RFQ_Foxlink_03.1 2011_nego meeting@MACH 2 3" xfId="17454"/>
    <cellStyle name="_Wistron True-Up File (May)_FY06 P6 CM Consigned RM" xfId="17455"/>
    <cellStyle name="_Wistron Xenon True-Up File (May)_FY06 P4 CM Consigned RM" xfId="17456"/>
    <cellStyle name="_Wistron Xenon True-Up File (May)_FY06 P6 CM Consigned RM" xfId="17457"/>
    <cellStyle name="Date" xfId="17458"/>
    <cellStyle name="_Wistron Xenon True-Up File (May)_FY06 P7 CM Consigned RM" xfId="17459"/>
    <cellStyle name="_Wistron Xenon True-Up File (May)_P2 Waynea review" xfId="17460"/>
    <cellStyle name="差_Creak Pearl Reliability Fixture RFQ_2009 04 24_Pearl RFQ(Submittal)ver2_05_12_2009 _Leopard Lemur Squirrel UniBom-06.22.2010_EE cost _update_internal_Bolt RFQ Proposal_Foxlink_ (Pricing Summary) 2 25 2011 2 3" xfId="17461"/>
    <cellStyle name="好_River EE BOM_Xl0000000_Squirrel RFQ ME BOM Costs-0624" xfId="17462"/>
    <cellStyle name="_WK13呆滯料" xfId="17463"/>
    <cellStyle name="_WK14呆滯料" xfId="17464"/>
    <cellStyle name="_WK15呆滯料" xfId="17465"/>
    <cellStyle name="差_Foxlink_Shadow RFQ NREUni BOM_12032009_Bolt RFQ Proposal_Foxlink_ (Pricing Summary) 2 25 2011 3" xfId="17466"/>
    <cellStyle name="_WK16呆滯料" xfId="17467"/>
    <cellStyle name="_WK20呆滯料明細" xfId="17468"/>
    <cellStyle name="_WK30呆滯料明細1" xfId="17469"/>
    <cellStyle name="_WK45呆滯料" xfId="17470"/>
    <cellStyle name="_WK50呆滯料" xfId="17471"/>
    <cellStyle name="好_Creek EE BOM cost_20090425_Creek RFQ feedback 04_28_2009_FD Update_Leopard RFQ ME BOM Costs-0618_Bolt RFQ Proposal_Foxlink_ (Pricing Summary) 2 25 2011 3 3" xfId="17472"/>
    <cellStyle name="_WK46呆滯料" xfId="17473"/>
    <cellStyle name="差_MS Bolt wireless mouse FixtureEquipment Cost_A5_2010_02_21_Bolt RFQ_Foxlink_03.1 2011" xfId="17474"/>
    <cellStyle name="_WL-170n 站別" xfId="17475"/>
    <cellStyle name="_WW20" xfId="17476"/>
    <cellStyle name="_WWF FY02 Budget REV &amp; FE" xfId="17477"/>
    <cellStyle name="_WWF FY02 Budget REV &amp; FE_accessories spc 1 0 slide" xfId="17478"/>
    <cellStyle name="_WWF FY02 Budget REV &amp; FE_Book5" xfId="17479"/>
    <cellStyle name="_WWF FY02 Budget REV &amp; FE_CopyOfP6 Waynea review" xfId="17480"/>
    <cellStyle name="_WWF FY02 Budget REV &amp; FE_FY06 P06 360Periphs SPC" xfId="17481"/>
    <cellStyle name="好_River EE BOM_Creak Pearl Reliability Fixture RFQ_2009 04 24_Pearl RFQ(Submittal)ver2_05_12_2009 _Leopard RFQ ME BOM Costs-0618-2_Bolt RFQ Proposal_Foxlink_ (Pricing Summary) 2 25 2011 2 2 2" xfId="17482"/>
    <cellStyle name="_WWF FY02 Budget REV &amp; FE_FY06 P4 CM Consigned RM" xfId="17483"/>
    <cellStyle name="_WWF FY02 Budget REV &amp; FE_FY06 P5 XBox 360 Mfg Var - Close Pack" xfId="17484"/>
    <cellStyle name="好_River EE BOM_Xl0000002_Leopard Lemur Squirrel UniBom-06.22.2010_EE cost _update_internal_Bolt RFQ_Foxlink_03.1 2011_nego meeting@MACH" xfId="17485"/>
    <cellStyle name="好_River EE BOM_Creak Pearl Reliability Fixture RFQ_2009 04 24_Creek RFQ feedback 04_28_2009_FD Update_Jackson and Shadow BOM cost_mainfile_2010 0324 rev.1_Bristol UniBom_Foxlink_02082011 RevA" xfId="17486"/>
    <cellStyle name="_WWF FY02 Budget REV &amp; FE_FY06 P7 CM Consigned RM" xfId="17487"/>
    <cellStyle name="Link Units (1) 4" xfId="17488"/>
    <cellStyle name="_WWF FY02 Budget REV &amp; FE_FY06 P7 XBox 360 Mfg Var - Close Pack" xfId="17489"/>
    <cellStyle name="_WWF FY02 Budget REV &amp; FE_FY06 P7 XBox Mfg Var - Close Pack" xfId="17490"/>
    <cellStyle name="差_F3   SMT設備明細_jupite r設備&amp;治工具LIST (總)_pq_Jackson 效益分析 (2-1 B0 上系統)_Leopard效益分析08-17" xfId="17491"/>
    <cellStyle name="_WWF FY02 Budget REV &amp; FE_P2 Waynea review" xfId="17492"/>
    <cellStyle name="Heading 2 4" xfId="17493"/>
    <cellStyle name="_WWF FY02 Budget REV &amp; FE_P6 Si Ops review" xfId="17494"/>
    <cellStyle name="差_Creak Pearl Reliability Fixture RFQ_2009 04 24_Leopard_UniBOM_ME_0602-1_Bolt RFQ_Foxlink_03.1 2011_nego meeting@MACH 3 2" xfId="17495"/>
    <cellStyle name="_WWF FY02 Budget REV &amp; FE_P6 Si Ops review (2)" xfId="17496"/>
    <cellStyle name="差_Creak Pearl Reliability Fixture RFQ_2009 04 24_Xl0000002_Leopard RFQ ME BOM Costs-0618_Bolt RFQ Proposal_Foxlink_ (Pricing Summary) 2 25 2011 2 2 2" xfId="17497"/>
    <cellStyle name="_WWF FY02 Budget REV &amp; FE_P6 Waynea review" xfId="17498"/>
    <cellStyle name="_X802678-001 Xenon Commodity Costed BOM (3)_4 27_to MS" xfId="17499"/>
    <cellStyle name="_XboxWeeklyFlowPlan_10_31 4" xfId="17500"/>
    <cellStyle name="差_F3   SMT設備明細_Jackson 效益分析 (2-1 B0 上系統)" xfId="17501"/>
    <cellStyle name="_X802678-001 Xenon Commodity Costed BOM (3)_4 27_to MS_Line transition plan to B17 rev 5_Tester Demand Plan 062707" xfId="17502"/>
    <cellStyle name="差_HP  專案(設備&amp;治工具需夠買)update_Erie 效益分析 (Update)_Flow Chart&amp;設備治工具清單 _Jackson 效益分析 (2-1 B0 上系統)" xfId="17503"/>
    <cellStyle name="_X802678-001 Xenon Commodity Costed BOM (3)_4 27_to MS_Nazca copy exact flow chart 20120409" xfId="17504"/>
    <cellStyle name="_X802678-001 Xenon Commodity Costed BOM (3)_4 27_to MS_Nazca copy exact flow chart 2012313" xfId="17505"/>
    <cellStyle name="_X802678-001 Xenon Commodity Costed BOM (3)_4 27_to MS_Scenario 1 of recovery until 1102" xfId="17506"/>
    <cellStyle name="_X802678-001 Xenon Commodity Costed BOM (3)_4 27_to MS_Scenario 1 of recovery until 1102_Tester Demand Plan 062707" xfId="17507"/>
    <cellStyle name="_X802678-001 Xenon Commodity Costed BOM (3)_4 27_to MS_Scenario 2 of recovery until 1116" xfId="17508"/>
    <cellStyle name="_X802678-001 Xenon Commodity Costed BOM (3)_4 27_to MS_Scenario 2 of recovery until 1116_Tester Demand Plan 062707" xfId="17509"/>
    <cellStyle name="_X802678-001 Xenon Commodity Costed BOM (3)_4 27_to MS_Tester Demand Plan" xfId="17510"/>
    <cellStyle name="_X802678-001 Xenon Commodity Costed BOM (3)_4 27_to MS_Tester Demand Plan 062807" xfId="17511"/>
    <cellStyle name="好_River EE BOM_Xl0000000_Leopard_UniBOM_ME_0602-1_Bolt RFQ_Foxlink_03.1 2011 2 3" xfId="17512"/>
    <cellStyle name="好_Creek Assembly Fixture  Test Equipment RFQ_20090427_Leopard_UniBOM_ME_0531_Bolt RFQ_Foxlink_03.1 2011_nego meeting@MACH_Bolt_Cliff 5 2" xfId="17513"/>
    <cellStyle name="_X802678-001 Xenon Commodity Costed BOM (3)_4 27_to MS_Tester Demand Plan_Tester Demand Plan 062707" xfId="17514"/>
    <cellStyle name="好_Creek Assembly Fixture  Test Equipment RFQ_20090427_Leopard RFQ ME BOM Costs-0618-2_Bolt RFQ_Foxlink_03.1 2011_nego meeting@MACH_Bolt_Cliff 2" xfId="17515"/>
    <cellStyle name="_x810385-004 shortage analysis report" xfId="17516"/>
    <cellStyle name="_XB" xfId="17517"/>
    <cellStyle name="_xBOX  HC Rlease result 0626 for all" xfId="17518"/>
    <cellStyle name="_Xbox 360 Build Plan Flex 121905" xfId="17519"/>
    <cellStyle name="_Xbox 360 Build Plan Wistron 121205" xfId="17520"/>
    <cellStyle name="Normal 20 2 2 2" xfId="17521"/>
    <cellStyle name="_X-BOX BB" xfId="17522"/>
    <cellStyle name="_Xbox Build Plan 08 01 05-Wistron xls (POR) (2)" xfId="17523"/>
    <cellStyle name="_Xbox Build Plan_102705 - Mfg Cap 2" xfId="17524"/>
    <cellStyle name="_Xbox Build Plan_102705 - Mfg Cap 3" xfId="17525"/>
    <cellStyle name="_Xbox Capacity ramp plan  for 2008" xfId="17526"/>
    <cellStyle name="好_River EE BOM_Creak Pearl Reliability Fixture RFQ_2009 04 24_Leopard_UniBOM_ME_0602_Bolt RFQ Proposal_Foxlink_ (Pricing Summary) 2 25 2011 2" xfId="17527"/>
    <cellStyle name="好_River EE BOM_Creak Pearl Reliability Fixture RFQ_2009 04 24_Creek  Pearl RFQ_May 12_Leopard_UniBOM_ME_0531_Bolt RFQ Proposal_Foxlink_ (Pricing Summary) 2 25 2011 2 4" xfId="17528"/>
    <cellStyle name="_Xbox Capacity ramp plan  for 2008 (5)" xfId="17529"/>
    <cellStyle name="差_Xl0000000_Leopard_UniBOM_ME_0602-1_Bolt RFQ_Foxlink_03.1 2011_nego meeting@MACH 2 2" xfId="17530"/>
    <cellStyle name="60% - 强调文字颜色 4 2 5" xfId="17531"/>
    <cellStyle name="_Xbox Capacity ramp plan  for 2008 Rev5" xfId="17532"/>
    <cellStyle name="_Xbox Capacity ramp plan  for 2008 Rev8" xfId="17533"/>
    <cellStyle name="差_MB9月管審換線超時8d_2009MB KPI_MBO3F製造部hp0209-01 5 2" xfId="17534"/>
    <cellStyle name="_Xbox Capacity ramp plan for 2008 Rev14(Internal)" xfId="17535"/>
    <cellStyle name="_xbox live-Rene" xfId="17536"/>
    <cellStyle name="_xbox live-Rene_FY06 P4 CM Consigned RM" xfId="17537"/>
    <cellStyle name="_XBOX Manpower and Forecast (2)" xfId="17538"/>
    <cellStyle name="_XBOX MB repair &amp; refurbish freight cost_Lenovo PACK  Packing Proposal" xfId="17539"/>
    <cellStyle name="_XBOX MB RR Transport Cost - Air  Express 040506R1" xfId="17540"/>
    <cellStyle name="_XBOX MB RR Transport Cost - Air  Express 040506R1_Lenovo PACK  Packing Proposal" xfId="17541"/>
    <cellStyle name="_XBOX MB RR Transport Cost - Air  Express 040506R1_Lenovo Park Format_July 07 05V2" xfId="17542"/>
    <cellStyle name="_XBOX MB RR Transport Cost - Air &amp; Express 040506R1_Lenovo Park Format_July 07 05" xfId="17543"/>
    <cellStyle name="差_Erie Trial run  QA Report-1103_Dolce   QA Report 2010_0902" xfId="17544"/>
    <cellStyle name="_XBOX MB RR Transport Cost - Air &amp; Express 040506R1_Lenovo Park Format_July 07 05V2" xfId="17545"/>
    <cellStyle name="_Xbox November COGS Close Pack_360 Tooling  Test" xfId="17546"/>
    <cellStyle name="好_River EE BOM_Creek RFQ feedback 04_28_2009_FD Update_Squirrel RFQ ME BOM Costs-0623_Bolt RFQ Proposal_Foxlink_ (Pricing Summary) 2 25 2011" xfId="17547"/>
    <cellStyle name="好_Creek EE BOM cost_20090425_Creek RFQ feedback 04_28_2009_FD Update_Leopard RFQ ME BOM Costs-0618-2 3 3" xfId="17548"/>
    <cellStyle name="_Xbox November COGS Close Pack_accessories spc 1 0 slide" xfId="17549"/>
    <cellStyle name="_Xbox November COGS Close Pack_Book1" xfId="17550"/>
    <cellStyle name="_Xbox November COGS Close Pack_Book5" xfId="17551"/>
    <cellStyle name="_Xbox November COGS Close Pack_CopyOfP6 Waynea review" xfId="17552"/>
    <cellStyle name="好_River EE BOM_Creak Pearl Reliability Fixture RFQ_2009 04 24_Creek RFQ feedback 04_28_2009_FD Update_Leopard_UniBOM_ME_0603-2_Bolt RFQ Proposal_Foxlink_ (Pricing Summary) 2 25 2011 6" xfId="17553"/>
    <cellStyle name="_Xbox November COGS Close Pack_FY06 P4 CM Consigned RM" xfId="17554"/>
    <cellStyle name="_Xbox November COGS Close Pack_FY06 P5 XBox 360 Mfg Var - Close Pack" xfId="17555"/>
    <cellStyle name="_Xbox November COGS Close Pack_FY06 P7 CM Consigned RM" xfId="17556"/>
    <cellStyle name="好_River EE BOM_Creak Pearl Reliability Fixture RFQ_2009 04 24_Xl0000002_Leopard_UniBOM_ME_0531_Bolt RFQ Proposal_Foxlink_ (Pricing Summary) 2 25 2011 5" xfId="17557"/>
    <cellStyle name="Text Indent B 4" xfId="17558"/>
    <cellStyle name="_Xbox November COGS Close Pack_FY06 P7 XBox 360 Mfg Var - Close Pack" xfId="17559"/>
    <cellStyle name="差_HP Mouse 產能評估(上系統)_M1 SuedeFixtureEquipment Cost_A0_2010_10_15_Bolt RFQ_Foxlink_03.1 2011 2 3" xfId="17560"/>
    <cellStyle name="_Xbox November COGS Close Pack_FY06 P7 XBox Mfg Var - Close Pack" xfId="17561"/>
    <cellStyle name="_Xbox November COGS Close Pack_FY06 P8 CM Consigned RM" xfId="17562"/>
    <cellStyle name="_Xbox November COGS Close Pack_P2 Waynea review" xfId="17563"/>
    <cellStyle name="Normal 59 4" xfId="17564"/>
    <cellStyle name="_Xbox November COGS Close Pack_P6 Si Ops review (2)" xfId="17565"/>
    <cellStyle name="_Xbox November COGS Close Pack_P6 Waynea review" xfId="17566"/>
    <cellStyle name="_Xbox project Namelist (3)" xfId="17567"/>
    <cellStyle name="差_F3   SMT設備明細_M1 Bolt wireless mouse FixtureEquipment Cost_A2_2010_12_07 2 3" xfId="17568"/>
    <cellStyle name="好_Creek EE BOM cost_20090425_Leopard UniBom_Foxlink_6 21 2010-ME_nego" xfId="17569"/>
    <cellStyle name="Normal 4 3 4" xfId="17570"/>
    <cellStyle name="_Xbox SPC's" xfId="17571"/>
    <cellStyle name="好_River EE BOM_Creak Pearl Reliability Fixture RFQ_2009 04 24_Leopard UniBom_Foxlink_12272010 RevF_shirley" xfId="17572"/>
    <cellStyle name="_XBOX-Accessories and Fly tiger manpower summary" xfId="17573"/>
    <cellStyle name="_XboxWeeklyFlowPlan_10_31" xfId="17574"/>
    <cellStyle name="差_Creak Pearl Reliability Fixture RFQ_2009 04 24_Leopard UniBom_Foxlink_6 21 2010-ME_nego" xfId="17575"/>
    <cellStyle name="_XboxWeeklyFlowPlan_10_31 2" xfId="17576"/>
    <cellStyle name="_XboxWeeklyFlowPlan_10_31 3" xfId="17577"/>
    <cellStyle name="Normal 18 2 2 3" xfId="17578"/>
    <cellStyle name="Normal 23 2 2 3" xfId="17579"/>
    <cellStyle name="_Xe COGP" xfId="17580"/>
    <cellStyle name="Normal 7 2 2 2" xfId="17581"/>
    <cellStyle name="_Xe COGP_FY06 P4 CM Consigned RM" xfId="17582"/>
    <cellStyle name="_Xe COGP_FY06 P6 CM Consigned RM" xfId="17583"/>
    <cellStyle name="AFE" xfId="17584"/>
    <cellStyle name="_Xe COGP_FY06 P7 CM Consigned RM" xfId="17585"/>
    <cellStyle name="60% - Accent5 6" xfId="17586"/>
    <cellStyle name="_XE46-00009 BOM Status ( 04-21-05)" xfId="17587"/>
    <cellStyle name="_Xenon Build Plan 040705 xls 2M" xfId="17588"/>
    <cellStyle name="Calculation 13" xfId="17589"/>
    <cellStyle name="_Xenon Build Plan Celestica 092805" xfId="17590"/>
    <cellStyle name="_Xenon Build Plan Flex 072505" xfId="17591"/>
    <cellStyle name="好_Creek Assembly Fixture  Test Equipment RFQ_20090427_Xl0000002_Leopard UniBom_Foxlink_12092010 RevD-jen" xfId="17592"/>
    <cellStyle name="_Xenon Build Plan Flex 083005" xfId="17593"/>
    <cellStyle name="_Xenon Build Plan Wistron 082605" xfId="17594"/>
    <cellStyle name="差_jupite r設備&amp;治工具LIST (總)_Flow Chart(shadow)-b (1-4 Update)_Leopard Flowchart &amp; 產能評估" xfId="17595"/>
    <cellStyle name="_Xenon Build Plan Wistron 090205" xfId="17596"/>
    <cellStyle name="好_Creek EE BOM cost_20090425_Creek RFQ feedback 04_28_2009_FD Update_Foxlink_Shadow RFQ NREUni BOM_12032009_Bolt RFQ Proposal_Foxlink_ (Pricing Summary) 2 25 2011 3 3" xfId="17597"/>
    <cellStyle name="_Xenon controllers ramp up plan (Feb 28th 2005)" xfId="17598"/>
    <cellStyle name="Percent 5" xfId="17599"/>
    <cellStyle name="_Xenon controllers ramp up plan (Feb 28th 2005)_FY06 P4 CM Consigned RM" xfId="17600"/>
    <cellStyle name="差_jupite r設備&amp;治工具LIST (總)_Dallas效益分析&amp;投資回收期 (12-2 A1)_效益分析(總 12-28 Update)_Leopard效益分析08-17" xfId="17601"/>
    <cellStyle name="一般 38 3 6 2 2" xfId="17602"/>
    <cellStyle name="Normal 27 6" xfId="17603"/>
    <cellStyle name="Normal 32 6" xfId="17604"/>
    <cellStyle name="_Xenon controllers ramp up plan (Feb 28th 2005)_FY06 P6 CM Consigned RM" xfId="17605"/>
    <cellStyle name="壞_Creek Assembly Fixture  Test Equipment RFQ_20090427_Xl0000002_Leopard_UniBOM_ME_0603-2_Bolt RFQ Proposal_Foxlink_ (Pricing Summary) 2 25 2011 2 3" xfId="17606"/>
    <cellStyle name="_Xenon controllers ramp up plan (Feb 28th 2005)_FY06 P7 CM Consigned RM" xfId="17607"/>
    <cellStyle name="_Xenon controllers ramp up plan (Feb 28th 2005)_P2 Waynea review" xfId="17608"/>
    <cellStyle name="_Xenon Models 1-4 Combined 6.8.04" xfId="17609"/>
    <cellStyle name="好_Erie Assembly Fixture  Test Equip Cost_20090716_Foxlink_Shadow RFQ NREUni BOM_12032009_Bolt RFQ_Foxlink_03.1 2011_nego meeting@MACH 2 3" xfId="17610"/>
    <cellStyle name="_XGX-00059 Checklist" xfId="17611"/>
    <cellStyle name="_XLSTestErrorCodes_Test Time" xfId="17612"/>
    <cellStyle name="_XLSTestErrorCodes_TS3 80 6 Yield Tracking 0502 update" xfId="17613"/>
    <cellStyle name="Normal 5 4 2 5" xfId="17614"/>
    <cellStyle name="4_V-SD  Jazz Dell proposed plan 0612" xfId="17615"/>
    <cellStyle name="差_F3   SMT設備明細_效益分析_Leopard效益分析08-17" xfId="17616"/>
    <cellStyle name="_XLSTestErrorCodes_Update yield report for DEV02342(7.6) " xfId="17617"/>
    <cellStyle name="_XLSTestErrorCodes_yield report for DEV0xxxx(Jasper DV2) " xfId="17618"/>
    <cellStyle name="差_~5631336_Jackson 效益分析 (2-1 B0 上系統)_Leopard Flowchart &amp; 產能評估" xfId="17619"/>
    <cellStyle name="_XLSTestErrorCodes_Yield report for Jasper DV 0610" xfId="17620"/>
    <cellStyle name="_Yellow" xfId="17621"/>
    <cellStyle name="_YellowLight" xfId="17622"/>
    <cellStyle name="_YellowLight 2 2" xfId="17623"/>
    <cellStyle name="_YellowLight 2 2 2" xfId="17624"/>
    <cellStyle name="_YellowLight 2 2 3" xfId="17625"/>
    <cellStyle name="差_jupite r設備&amp;治工具LIST (總)_Dallas flow chart&amp;設備&amp;治工具清單(12-8 A0)_Jackson 效益分析 testing update_16th Jan1_Jackson 效益分析 (2-1 B0 上系統)_Leopard Flowchart &amp; 產能評估" xfId="17626"/>
    <cellStyle name="_YellowLight 3 3" xfId="17627"/>
    <cellStyle name="Text Indent C 2" xfId="17628"/>
    <cellStyle name="_YellowLight_Cyclone Marketing Sheet - FG" xfId="17629"/>
    <cellStyle name="千分位 3" xfId="17630"/>
    <cellStyle name="_YellowMed" xfId="17631"/>
    <cellStyle name="_Yi Deng Computing MOH" xfId="17632"/>
    <cellStyle name="差_Xl0000000_Leopard_UniBOM_ME_0531_Bolt RFQ_Foxlink_03.1 2011 2 2" xfId="17633"/>
    <cellStyle name="好_Creek Assembly Fixture  Test Equipment RFQ_20090427_Xl0000002_Squirrel RFQ ME BOM Costs-0623_Bolt RFQ_Foxlink_03.1 2011 4" xfId="17634"/>
    <cellStyle name="_Yield report for Dev01975 (3)" xfId="17635"/>
    <cellStyle name="差_Creak Pearl Reliability Fixture RFQ_2009 04 24_Pearl RFQ(Submittal)ver2_05_12_2009 _Bolt RFQ Proposal_Foxlink_ (Pricing Summary) 2 25 2011 4 3" xfId="17636"/>
    <cellStyle name="好_River EE BOM_Creak Pearl Reliability Fixture RFQ_2009 04 24_Creek  Pearl RFQ_May 12_Leopard RFQ ME BOM Costs-0618-2 3" xfId="17637"/>
    <cellStyle name="_yield report for DEV02342" xfId="17638"/>
    <cellStyle name="好_Creek EE BOM cost_20090425_Creek RFQ feedback 04_28_2009_FD Update_Leopard_UniBOM_ME_0602-1_Bolt RFQ_Foxlink_03.1 2011" xfId="17639"/>
    <cellStyle name="差_Xl0000000 3" xfId="17640"/>
    <cellStyle name="好_Creek Assembly Fixture  Test Equipment RFQ_20090427_Leopard RFQ ME BOM Costs-0618_Bolt_Cliff 2 3" xfId="17641"/>
    <cellStyle name="_yield report for DEV0xxxx " xfId="17642"/>
    <cellStyle name="好_River EE BOM_Xl0000000_Leopard_UniBOM_ME_0602_Bolt RFQ Proposal_Foxlink_ (Pricing Summary) 2 25 2011 6" xfId="17643"/>
    <cellStyle name="_yield report for DEV0xxxx(Jasper DV2) " xfId="17644"/>
    <cellStyle name="_Yield Report for PR21227 (2)" xfId="17645"/>
    <cellStyle name="_Yield report for S13 LineQual" xfId="17646"/>
    <cellStyle name="好_River EE BOM_Creak Pearl Reliability Fixture RFQ_2009 04 24_Xl0000002_Squirrel RFQ ME BOM Costs-0623" xfId="17647"/>
    <cellStyle name="好_Creek EE BOM cost_20090425_Leopard RFQ ME BOM Costs-0618_Bolt RFQ_Foxlink_03.1 2011 4" xfId="17648"/>
    <cellStyle name="_Z9 blueAnt ME BOM 0910" xfId="17649"/>
    <cellStyle name="_Z9 blueAnt ME BOM 0910 final_BlueAnt_Quotebook_V3_07SEP11_Internal RFQ River Standalone  Bundle Unibom_v1 2_20080603_EJ" xfId="17650"/>
    <cellStyle name="_Z9 blueAnt ME BOM 0910 final_BlueAnt_Quotebook_V3_07SEP11_Internal RFQ River Standalone  Bundle Unibom_v1 2_20080603_EJ 2" xfId="17651"/>
    <cellStyle name="_Z9 blueAnt ME BOM 0910 final_BlueAnt_Quotebook_V3_07SEP11_Internal RFQ River Standalone  Bundle Unibom_v1 2_20080603_EJ_Stream Package Quotation_20090311" xfId="17652"/>
    <cellStyle name="_Z9 blueAnt ME BOM 0910 final_BlueAnt_Quotebook_V3_07SEP11_Internal RFQ River Standalone  Bundle Unibom_v1 2_20080603_EJ_Stream Quotebook (Submittal)_POC2_20081117-1" xfId="17653"/>
    <cellStyle name="好_River EE BOM_Creek RFQ feedback 04_28_2009_FD Update_Leopard Lemur Squirrel UniBom-06.22.2010_EE cost _update_internal 2 4" xfId="17654"/>
    <cellStyle name="_Z9 blueAnt ME BOM 0910 final_BlueAnt_Quotebook_V3_07SEP11_Internal RFQ River Standalone  Bundle Unibom_v1 2_20080603_EJ_Stream Quotebook(Submittal)_POC1_20080903" xfId="17655"/>
    <cellStyle name="差_Xl0000002_Leopard_UniBOM_ME_0531_Bolt RFQ_Foxlink_03.1 2011_nego meeting@MACH 3" xfId="17656"/>
    <cellStyle name="_Z9 blueAnt ME BOM 0910 final_BlueAnt_Quotebook_V3_07SEP11_Internal RFQ River Standalone  Bundle Unibom_v1 2_20080603_EJ_Stream Quotebook(Submittal)_POC1_20080903 2" xfId="17657"/>
    <cellStyle name="_Z9 blueAnt ME BOM 0910 final_BlueAnt_Quotebook_V3_07SEP11_RFQ_River_BAFO_2008 0606_M1" xfId="17658"/>
    <cellStyle name="_Z9 blueAnt ME BOM 0910 final_BlueAnt_Quotebook_V3_07SEP11_RFQ_River_BAFO_2008 0606_M1 2" xfId="17659"/>
    <cellStyle name="_Z9 blueAnt ME BOM 0910 final_BlueAnt_Quotebook_V3_07SEP11_RFQ_River_BAFO_2008 0606_M1_Stream Package Quotation_20090311" xfId="17660"/>
    <cellStyle name="差_HP Mouse 產能評估(Forecast更改後)_MS Bolt wireless mouse FixtureEquipment Cost_A5_2010_02_21 5" xfId="17661"/>
    <cellStyle name="_Z9 blueAnt ME BOM 0910 final_BlueAnt_Quotebook_V3_07SEP11_RFQ_River_BAFO_2008 0606_M1_Stream Quotebook (Submittal)_POC2_20081117-1" xfId="17662"/>
    <cellStyle name="Normal 3 2 3 3" xfId="17663"/>
    <cellStyle name="_Z9 blueAnt ME BOM 0910 final_BlueAnt_Quotebook_V3_07SEP11_RFQ_River_BAFO_2008 0606_M1_Stream Quotebook(Submittal)_POC1_20080903" xfId="17664"/>
    <cellStyle name="_Z9 blueAnt ME BOM 0910 final_BlueAnt_Quotebook_V3_07SEP11_Stream RFQ Unibom--0626-1756" xfId="17665"/>
    <cellStyle name="好_River EE BOM_Squirrel UniBom-06.23.2010_update_internal_Bolt RFQ Proposal_Foxlink_ (Pricing Summary) 2 25 2011 3 3" xfId="17666"/>
    <cellStyle name="好_Creek Assembly Fixture  Test Equipment RFQ_20090427_Foxlink_Shadow RFQ NREUni BOM_12032009_Bolt RFQ_Foxlink_03.1 2011_nego meeting@MACH_Bolt_Cliff 4" xfId="17667"/>
    <cellStyle name="差_HP Mouse 產能評估(上系統) 2 4" xfId="17668"/>
    <cellStyle name="好_Creek Assembly Fixture  Test Equipment RFQ_20090427_Foxlink_Shadow RFQ NREUni BOM_12032009_Bolt RFQ_Foxlink_03.1 2011_nego meeting@MACH_Bolt_Cliff 4 2" xfId="17669"/>
    <cellStyle name="_Z9 blueAnt ME BOM 0910 final_BlueAnt_Quotebook_V3_07SEP11_Stream RFQ Unibom--0626-1756 2" xfId="17670"/>
    <cellStyle name="_Z9 blueAnt ME BOM 0910 final_BlueAnt_Quotebook_V3_07SEP11_Stream RFQ Unibom--0626-1756_Stream Quotebook (Submittal)_POC2_20081117-1" xfId="17671"/>
    <cellStyle name="_Z9 blueAnt ME BOM 0910 final_BlueAnt_Quotebook_V3_07SEP11_Stream RFQ Unibom--0626-1756_Stream Quotebook(Submittal)_POC1_20080903 2" xfId="17672"/>
    <cellStyle name="_Z9 blueAnt ME BOM 0910 final_Internal RFQ River Standalone  Bundle Unibom_v1 2_20080603_EJ_Stream Package Quotation_20090311" xfId="17673"/>
    <cellStyle name="_Z9 blueAnt ME BOM 0910 final_Internal RFQ River Standalone  Bundle Unibom_v1 2_20080603_EJ_Stream Quotebook (Submittal)_POC2_20081117-1" xfId="17674"/>
    <cellStyle name="_Z9 blueAnt ME BOM 0910 final_Internal RFQ River Standalone  Bundle Unibom_v1 2_20080603_EJ_Stream Quotebook(Submittal)_POC1_20080903 2" xfId="17675"/>
    <cellStyle name="_Z9 blueAnt ME BOM 0910 final_RFQ_River_BAFO_2008 0606_M1" xfId="17676"/>
    <cellStyle name="_Z9 blueAnt ME BOM 0910 final_RFQ_River_BAFO_2008 0606_M1 2" xfId="17677"/>
    <cellStyle name="好_Creek EE BOM cost_20090425_Creek RFQ feedback 04_28_2009_FD Update_Leopard RFQ ME BOM Costs-0618 3 3" xfId="17678"/>
    <cellStyle name="_Z9 blueAnt ME BOM 0910 final_RFQ_River_BAFO_2008 0606_M1_Stream Package Quotation_20090311" xfId="17679"/>
    <cellStyle name="_Z9 blueAnt ME BOM 0910 final_RFQ_River_BAFO_2008 0606_M1_Stream Quotebook (Submittal)_POC2_20081117-1" xfId="17680"/>
    <cellStyle name="差_Creak Pearl Reliability Fixture RFQ_2009 04 24_Creek RFQ feedback 04_28_2009_FD Update_Squirrel UniBom-06.23.2010_update_internal_Bolt RFQ Proposal_Foxlink_ (Pricing Summary) 2 25 2011 3 2" xfId="17681"/>
    <cellStyle name="_Z9 blueAnt ME BOM 0910 final_RFQ_River_BAFO_2008 0606_M1_Stream Quotebook(Submittal)_POC1_20080903" xfId="17682"/>
    <cellStyle name="_Z9 blueAnt ME BOM 0910 final_RFQ_River_BAFO_2008 0606_M1_Stream Quotebook(Submittal)_POC1_20080903 2" xfId="17683"/>
    <cellStyle name="20% - 强调文字颜色 5 2 5" xfId="17684"/>
    <cellStyle name="_Z9 blueAnt ME BOM 0910 final_Stream RFQ Unibom--0626-1756 2" xfId="17685"/>
    <cellStyle name="_Z9 blueAnt ME BOM 0910 final_Stream RFQ Unibom--0626-1756_Stream Quotebook (Submittal)_POC2_20081117-1" xfId="17686"/>
    <cellStyle name="_Z9 blueAnt ME BOM 0910 final_Stream RFQ Unibom--0626-1756_Stream Quotebook(Submittal)_POC1_20080903" xfId="17687"/>
    <cellStyle name="壞_Creek Assembly Fixture  Test Equipment RFQ_20090427_Xl0000002_Bolt RFQ Proposal_Foxlink_ (Pricing Summary) 2 25 2011 6" xfId="17688"/>
    <cellStyle name="_Z9 blueAnt ME BOM 0910_BlueAnt_Quotebook_V3_07SEP11 2" xfId="17689"/>
    <cellStyle name="Normal 4 6" xfId="17690"/>
    <cellStyle name="_Z9 blueAnt ME BOM 0910_BlueAnt_Quotebook_V3_07SEP11_Internal RFQ River Standalone  Bundle Unibom_v1 2_20080603_EJ" xfId="17691"/>
    <cellStyle name="_Z9 blueAnt ME BOM 0910_BlueAnt_Quotebook_V3_07SEP11_Internal RFQ River Standalone  Bundle Unibom_v1 2_20080603_EJ 2" xfId="17692"/>
    <cellStyle name="好_Creek Assembly Fixture  Test Equipment RFQ_20090427_Leopard_UniBOM_ME_0603-2_Bolt RFQ Proposal_Foxlink_ (Pricing Summary) 2 25 2011 3" xfId="17693"/>
    <cellStyle name="_Z9 blueAnt ME BOM 0910_BlueAnt_Quotebook_V3_07SEP11_Internal RFQ River Standalone  Bundle Unibom_v1 2_20080603_EJ_Stream Package Quotation_20090311" xfId="17694"/>
    <cellStyle name="_Z9 blueAnt ME BOM 0910_BlueAnt_Quotebook_V3_07SEP11_Internal RFQ River Standalone  Bundle Unibom_v1 2_20080603_EJ_Stream Quotebook (Submittal)_POC2_20081117-1" xfId="17695"/>
    <cellStyle name="_Z9 blueAnt ME BOM 0910_BlueAnt_Quotebook_V3_07SEP11_Internal RFQ River Standalone  Bundle Unibom_v1 2_20080603_EJ_Stream Quotebook(Submittal)_POC1_20080903" xfId="17696"/>
    <cellStyle name="_Z9 blueAnt ME BOM 0910_BlueAnt_Quotebook_V3_07SEP11_RFQ_River_BAFO_2008 0606_M1 2" xfId="17697"/>
    <cellStyle name="_Z9 blueAnt ME BOM 0910_BlueAnt_Quotebook_V3_07SEP11_RFQ_River_BAFO_2008 0606_M1_Stream Package Quotation_20090311" xfId="17698"/>
    <cellStyle name="_Z9 blueAnt ME BOM 0910_BlueAnt_Quotebook_V3_07SEP11_RFQ_River_BAFO_2008 0606_M1_Stream Quotebook(Submittal)_POC1_20080903 2" xfId="17699"/>
    <cellStyle name="_Z9 blueAnt ME BOM 0910_BlueAnt_Quotebook_V3_07SEP11_Stream RFQ Unibom--0626-1756" xfId="17700"/>
    <cellStyle name="差_Creak Pearl Reliability Fixture RFQ_2009 04 24_Xl0000002_Squirrel RFQ ME BOM Costs-0623_Bolt RFQ_Foxlink_03.1 2011" xfId="17701"/>
    <cellStyle name="_Z9 blueAnt ME BOM 0910_BlueAnt_Quotebook_V3_07SEP11_Stream RFQ Unibom--0626-1756_Stream Quotebook (Submittal)_POC2_20081117-1" xfId="17702"/>
    <cellStyle name="好_Creek EE BOM cost_20090425_Leopard_UniBOM_ME_0602-1_Bolt RFQ Proposal_Foxlink_ (Pricing Summary) 2 25 2011 2 2 3" xfId="17703"/>
    <cellStyle name="差_F3   SMT設備明細_~5631336_Jackson 效益分析 (2-1 B0 上系統)_Leopard效益分析08-17" xfId="17704"/>
    <cellStyle name="差_Creek RFQ feedback 04_28_2009_FD Update_Foxlink_Shadow RFQ NREUni BOM_12032009_Bolt RFQ_Foxlink_03.1 2011 3" xfId="17705"/>
    <cellStyle name="_Z9 blueAnt ME BOM 0910_BlueAnt_Quotebook_V3_07SEP11_Stream RFQ Unibom--0626-1756_Stream Quotebook(Submittal)_POC1_20080903 2" xfId="17706"/>
    <cellStyle name="_Z9 blueAnt ME BOM 0910_Internal RFQ River Standalone  Bundle Unibom_v1 2_20080603_EJ 2" xfId="17707"/>
    <cellStyle name="_Z9 blueAnt ME BOM 0910_Internal RFQ River Standalone  Bundle Unibom_v1 2_20080603_EJ_Stream Package Quotation_20090311" xfId="17708"/>
    <cellStyle name="_Z9 blueAnt ME BOM 0910_Internal RFQ River Standalone  Bundle Unibom_v1 2_20080603_EJ_Stream Quotebook(Submittal)_POC1_20080903" xfId="17709"/>
    <cellStyle name="_Z9 blueAnt ME BOM 0910_Internal RFQ River Standalone  Bundle Unibom_v1 2_20080603_EJ_Stream Quotebook(Submittal)_POC1_20080903 2" xfId="17710"/>
    <cellStyle name="差_Creek RFQ feedback 04_28_2009_FD Update_Foxlink_Shadow RFQ NREUni BOM_12032009_Bolt RFQ Proposal_Foxlink_ (Pricing Summary) 2 25 2011 2 4" xfId="17711"/>
    <cellStyle name="_Z9 blueAnt ME BOM 0910_RFQ_River_BAFO_2008 0606_M1" xfId="17712"/>
    <cellStyle name="_Z9 blueAnt ME BOM 0910_RFQ_River_BAFO_2008 0606_M1 2" xfId="17713"/>
    <cellStyle name="差_Creek RFQ feedback 04_28_2009_FD Update_Leopard_UniBOM_ME_0602_Bolt RFQ_Foxlink_03.1 2011 3 3" xfId="17714"/>
    <cellStyle name="_Z9 blueAnt ME BOM 0910_RFQ_River_BAFO_2008 0606_M1_Stream Package Quotation_20090311" xfId="17715"/>
    <cellStyle name="_Z9 blueAnt ME BOM 0910_RFQ_River_BAFO_2008 0606_M1_Stream Quotebook(Submittal)_POC1_20080903" xfId="17716"/>
    <cellStyle name="_Z9 blueAnt ME BOM 0910_RFQ_River_BAFO_2008 0606_M1_Stream Quotebook(Submittal)_POC1_20080903 2" xfId="17717"/>
    <cellStyle name="_Z9 blueAnt ME BOM 0910_Stream RFQ Unibom--0626-1756 2" xfId="17718"/>
    <cellStyle name="Normal 28 3 2 3" xfId="17719"/>
    <cellStyle name="Normal 33 3 2 3" xfId="17720"/>
    <cellStyle name="_Z9 blueAnt ME BOM 0910_Stream RFQ Unibom--0626-1756_Stream Package Quotation_20090311" xfId="17721"/>
    <cellStyle name="差_Creak Pearl Reliability Fixture RFQ_2009 04 24_Pearl RFQ(Submittal)ver2_05_12_2009 _Foxlink_Shadow RFQ NREUni BOM_12032009_Bolt RFQ Proposal_Foxlink_ (Pricing Summary) 2 25 2011 3" xfId="17722"/>
    <cellStyle name="_Z9 blueAnt ME BOM 0910_Stream RFQ Unibom--0626-1756_Stream Quotebook(Submittal)_POC1_20080903" xfId="17723"/>
    <cellStyle name="差_Creak Pearl Reliability Fixture RFQ_2009 04 24_Pearl RFQ(Submittal)ver2_05_12_2009 _Foxlink_Shadow RFQ NREUni BOM_12032009_Bolt RFQ Proposal_Foxlink_ (Pricing Summary) 2 25 2011 3 2" xfId="17724"/>
    <cellStyle name="_Z9 blueAnt ME BOM 0910_Stream RFQ Unibom--0626-1756_Stream Quotebook(Submittal)_POC1_20080903 2" xfId="17725"/>
    <cellStyle name="_Z9i_Quotebook_(Worksheet)_V4" xfId="17726"/>
    <cellStyle name="好_MB9月管審換線超時8d_2009MB KPI_MBO3F製造部hp0209-01 5" xfId="17727"/>
    <cellStyle name="好_Creek EE BOM cost_20090425_Creek RFQ feedback 04_28_2009_FD Update_Leopard UniBom_Foxlink_6 21 2010-ME_nego_Bolt RFQ Proposal_Foxlink_ (Pricing Summary) 2 25 2011 4" xfId="17728"/>
    <cellStyle name="_Z9i_Quotebook_(Worksheet)_V4_RFQ_River_BAFO_2008 0606_M1" xfId="17729"/>
    <cellStyle name="差_Creak Pearl Reliability Fixture RFQ_2009 04 24_Creek  Pearl RFQ_May 12 3 3" xfId="17730"/>
    <cellStyle name="好_Creek EE BOM cost_20090425_Creek RFQ feedback 04_28_2009_FD Update_Leopard UniBom_Foxlink_6 21 2010-ME_nego_Bolt RFQ Proposal_Foxlink_ (Pricing Summary) 2 25 2011 4 2" xfId="17731"/>
    <cellStyle name="好_River EE BOM_Creak Pearl Reliability Fixture RFQ_2009 04 24_Creek  Pearl RFQ_May 12_Leopard_UniBOM_ME_0603-2_Bolt RFQ Proposal_Foxlink_ (Pricing Summary) 2 25 2011 2 2 3" xfId="17732"/>
    <cellStyle name="好_MB9月管審換線超時8d_2009MB KPI_MBO3F製造部hp0209-01 5 2" xfId="17733"/>
    <cellStyle name="_Z9i_Quotebook_(Worksheet)_V4_RFQ_River_BAFO_2008 0606_M1 2" xfId="17734"/>
    <cellStyle name="_Z9i_Quotebook_(Worksheet)_V4_RFQ_River_BAFO_2008 0606_M1_Stream Package Quotation_20090311" xfId="17735"/>
    <cellStyle name="差_Creek RFQ feedback 04_28_2009_FD Update_Leopard_UniBOM_ME_0531_Bolt RFQ Proposal_Foxlink_ (Pricing Summary) 2 25 2011" xfId="17736"/>
    <cellStyle name="好_Creek Assembly Fixture  Test Equipment RFQ_20090427_Xl0000002_Leopard RFQ ME BOM Costs-0618_Bolt RFQ Proposal_Foxlink_ (Pricing Summary) 2 25 2011 5 2" xfId="17737"/>
    <cellStyle name="_Z9i_Quotebook_(Worksheet)_V4_RFQ_River_BAFO_2008 0606_M1_Stream Quotebook (Submittal)_POC2_20081117-1" xfId="17738"/>
    <cellStyle name="_Z9i_Quotebook_(Worksheet)_V4_RFQ_River_BAFO_2008 0606_M1_Stream Quotebook(Submittal)_POC1_20080903" xfId="17739"/>
    <cellStyle name="_Z9i_Quotebook_(Worksheet)_V4_RFQ_River_BAFO_2008 0606_M1_Stream Quotebook(Submittal)_POC1_20080903 2" xfId="17740"/>
    <cellStyle name="_Z9i_Quotebook_(Worksheet)_V4_Stream RFQ Unibom--0626-1756" xfId="17741"/>
    <cellStyle name="Output 12" xfId="17742"/>
    <cellStyle name="_Z9i_Quotebook_(Worksheet)_V4_Stream RFQ Unibom--0626-1756_Stream Package Quotation_20090311" xfId="17743"/>
    <cellStyle name="_Z9i_Quotebook_(Worksheet)_V4_Stream RFQ Unibom--0626-1756_Stream Quotebook (Submittal)_POC2_20081117-1" xfId="17744"/>
    <cellStyle name="_Z9i_Quotebook_(Worksheet)_V4_Stream RFQ Unibom--0626-1756_Stream Quotebook(Submittal)_POC1_20080903" xfId="17745"/>
    <cellStyle name="_Z9i_Quotebook_(Worksheet)_V4_Stream RFQ Unibom--0626-1756_Stream Quotebook(Submittal)_POC1_20080903 2" xfId="17746"/>
    <cellStyle name="_Zune MP Manpower List--Rev4 (2)" xfId="17747"/>
    <cellStyle name="_Zune RF Transmitter_RET Plan  Cost_Draft_20070327_Internal RFQ River Standalone  Bundle Unibom_v1 2_20080603_EJ" xfId="17748"/>
    <cellStyle name="_Zune RF Transmitter_RET Plan  Cost_Draft_20070327_Internal RFQ River Standalone  Bundle Unibom_v1 2_20080603_EJ 2" xfId="17749"/>
    <cellStyle name="好_Creek EE BOM cost_20090425_Leopard RFQ ME BOM Costs-0618_Bolt RFQ_Foxlink_03.1 2011 2 3" xfId="17750"/>
    <cellStyle name="_Zune RF Transmitter_RET Plan  Cost_Draft_20070327_Internal RFQ River Standalone  Bundle Unibom_v1 2_20080603_EJ_Stream Package Quotation_20090311" xfId="17751"/>
    <cellStyle name="好_River EE BOM_Creak Pearl Reliability Fixture RFQ_2009 04 24_Creek RFQ feedback 04_28_2009_FD Update_Leopard RFQ ME BOM Costs-0618-2 3 2" xfId="17752"/>
    <cellStyle name="_Zune RF Transmitter_RET Plan  Cost_Draft_20070327_Internal RFQ River Standalone  Bundle Unibom_v1 2_20080603_EJ_Stream Quotebook (Submittal)_POC2_20081117-1" xfId="17753"/>
    <cellStyle name="_Zune RF Transmitter_RET Plan  Cost_Draft_20070327_Internal RFQ River Standalone  Bundle Unibom_v1 2_20080603_EJ_Stream Quotebook(Submittal)_POC1_20080903" xfId="17754"/>
    <cellStyle name="好_Creek Assembly Fixture  Test Equipment RFQ_20090427_Xl0000002_Leopard Lemur Squirrel UniBom-06.22.2010_EE cost _update_internal_Bolt RFQ_Foxlink_03.1 2011 3" xfId="17755"/>
    <cellStyle name="_Zune RF Transmitter_RET Plan  Cost_Draft_20070327_Internal RFQ River Standalone  Bundle Unibom_v1 2_20080603_EJ_Stream Quotebook(Submittal)_POC1_20080903 2" xfId="17756"/>
    <cellStyle name="好_Creek Assembly Fixture  Test Equipment RFQ_20090427_Xl0000002_Leopard Lemur Squirrel UniBom-06.22.2010_EE cost _update_internal_Bolt RFQ_Foxlink_03.1 2011 3 2" xfId="17757"/>
    <cellStyle name="Normal 5 4 4 2 2" xfId="17758"/>
    <cellStyle name="_Zune RF Transmitter_RET Plan  Cost_Draft_20070327_RFQ_River_BAFO_2008 0606_M1 2" xfId="17759"/>
    <cellStyle name="_Zune RF Transmitter_RET Plan  Cost_Draft_20070327_RFQ_River_BAFO_2008 0606_M1_Stream Quotebook (Submittal)_POC2_20081117-1" xfId="17760"/>
    <cellStyle name="Currency 17 2" xfId="17761"/>
    <cellStyle name="_Zune RF Transmitter_RET Plan  Cost_Draft_20070327_RFQ_River_BAFO_2008 0606_M1_Stream Quotebook(Submittal)_POC1_20080903" xfId="17762"/>
    <cellStyle name="Currency 17 2 2" xfId="17763"/>
    <cellStyle name="_Zune RF Transmitter_RET Plan  Cost_Draft_20070327_RFQ_River_BAFO_2008 0606_M1_Stream Quotebook(Submittal)_POC1_20080903 2" xfId="17764"/>
    <cellStyle name="_Zune RF Transmitter_RET Plan  Cost_Draft_20070327_Stream RFQ Unibom--0626-1756" xfId="17765"/>
    <cellStyle name="_Zune RF Transmitter_RET Plan  Cost_Draft_20070327_Stream RFQ Unibom--0626-1756 2" xfId="17766"/>
    <cellStyle name="_Zune RF Transmitter_RET Plan  Cost_Draft_20070327_Stream RFQ Unibom--0626-1756_Stream Package Quotation_20090311" xfId="17767"/>
    <cellStyle name="差_Creak Pearl Reliability Fixture RFQ_2009 04 24_Pearl RFQ(Submittal)ver2_05_12_2009 _Foxlink_Shadow RFQ NREUni BOM_12032009_Bolt RFQ_Foxlink_03.1 2011_nego meeting@MACH 5" xfId="17768"/>
    <cellStyle name="_Zune RF Transmitter_RET Plan  Cost_Draft_20070327_Stream RFQ Unibom--0626-1756_Stream Quotebook (Submittal)_POC2_20081117-1" xfId="17769"/>
    <cellStyle name="_Zune RF Transmitter_RET Plan  Cost_Draft_20070327_Stream RFQ Unibom--0626-1756_Stream Quotebook(Submittal)_POC1_20080903" xfId="17770"/>
    <cellStyle name="Normal 5 6 3 2 2" xfId="17771"/>
    <cellStyle name="_七廠制造加工課" xfId="17772"/>
    <cellStyle name="_二廠HP daily quality meeting12 02 (2)" xfId="17773"/>
    <cellStyle name="_人力編制  " xfId="17774"/>
    <cellStyle name="好_Creek Assembly Fixture  Test Equipment RFQ_20090427_Leopard UniBom_Foxlink_6 21 2010-ME_nego_Bolt RFQ_Foxlink_03.1 2011_Bolt_Cliff 2 2 2" xfId="17775"/>
    <cellStyle name="_八月夜班檢出率" xfId="17776"/>
    <cellStyle name="Normal_~6507295" xfId="17777"/>
    <cellStyle name="_八廠巡檢規範" xfId="17778"/>
    <cellStyle name="差_HP Mouse 產能評估(上系統)_M1 SuedeFixtureEquipment Cost_A0_2010_10_15_Wedge_ME_BOM-v00-11v0630" xfId="17779"/>
    <cellStyle name="_工作中心3 20" xfId="17780"/>
    <cellStyle name="_工作中心3.20" xfId="17781"/>
    <cellStyle name="差_Creak Pearl Reliability Fixture RFQ_2009 04 24_Creek RFQ feedback 04_28_2009_FD Update_Leopard Lemur Squirrel UniBom-06.22.2010_EE cost _update_internal_Bolt RFQ Proposal_Foxlink_ (Pricing Summary) 2 25 2011 4 3" xfId="17782"/>
    <cellStyle name="40% - Accent3 2 3 2" xfId="17783"/>
    <cellStyle name="_工作表 在 ~0471048" xfId="17784"/>
    <cellStyle name="_工作表 在 0904月月報" xfId="17785"/>
    <cellStyle name="好_River EE BOM_Creak Pearl Reliability Fixture RFQ_2009 04 24_Creek  Pearl RFQ_May 12_Leopard_UniBOM_ME_0531 3 2" xfId="17786"/>
    <cellStyle name="_工作表 在 0905月月報" xfId="17787"/>
    <cellStyle name="差_Creak Pearl Reliability Fixture RFQ_2009 04 24_Leopard_UniBOM_ME_0602 2 3" xfId="17788"/>
    <cellStyle name="好_Creek Assembly Fixture  Test Equipment RFQ_20090427_Xl0000002_Bolt RFQ Proposal_Foxlink_ (Pricing Summary) 2 25 2011 2 3" xfId="17789"/>
    <cellStyle name="_工作表 在 0907月月報" xfId="17790"/>
    <cellStyle name="_工作表 在 1001月月報-費用分析" xfId="17791"/>
    <cellStyle name="_工作表 在 1004月月報-費用分析" xfId="17792"/>
    <cellStyle name="_工作表 在 11月月報_12月費用分析" xfId="17793"/>
    <cellStyle name="差_Creak Pearl Reliability Fixture RFQ_2009 04 24_Creek RFQ feedback 04_28_2009_FD Update_Leopard RFQ ME BOM Costs-0618_Bolt RFQ_Foxlink_03.1 2011 2 3" xfId="17794"/>
    <cellStyle name="好_Creek EE BOM cost_20090425_Leopard UniBom_Foxlink_6 21 2010-ME_nego_Bolt RFQ Proposal_Foxlink_ (Pricing Summary) 2 25 2011 2 3" xfId="17795"/>
    <cellStyle name="_工作表 在 11月月報_工作表 在 Weekly report (W07)" xfId="17796"/>
    <cellStyle name="_工作表 在 11月月報_費用查核" xfId="17797"/>
    <cellStyle name="_工作表 在 Weekly report (W07)" xfId="17798"/>
    <cellStyle name="差_Creek RFQ feedback 04_28_2009_FD Update_Leopard_UniBOM_ME_0603-2 2 3" xfId="17799"/>
    <cellStyle name="_工作表 在 Weekly report (W18) 2" xfId="17800"/>
    <cellStyle name="_工作表 在 Weekly report (W32)" xfId="17801"/>
    <cellStyle name="差_Creak Pearl Reliability Fixture RFQ_2009 04 24_Xl0000002_Squirrel RFQ ME BOM Costs-0623 2 3" xfId="17802"/>
    <cellStyle name="差_Creak Pearl Reliability Fixture RFQ_2009 04 24_Lemur RFQ ME BOM Costs-0623" xfId="17803"/>
    <cellStyle name="_工作表 在 Weekly report (W44)2008.10" xfId="17804"/>
    <cellStyle name="Normal 21 3 2 3" xfId="17805"/>
    <cellStyle name="_工作表 在 Weekly report (W45)2008.11" xfId="17806"/>
    <cellStyle name="差_Creak Pearl Reliability Fixture RFQ_2009 04 24 3 3" xfId="17807"/>
    <cellStyle name="_工作表 在 Weekly report (W45)2008.11_12月費用分析" xfId="17808"/>
    <cellStyle name="好_River EE BOM_Creek RFQ feedback 04_28_2009_FD Update_Squirrel RFQ ME BOM Costs-0623 3" xfId="17809"/>
    <cellStyle name="好_River EE BOM_Creak Pearl Reliability Fixture RFQ_2009 04 24_Creek RFQ feedback 04_28_2009_FD Update_Leopard_UniBOM_ME_0602-1_Bolt RFQ_Foxlink_03.1 2011_nego meeting@MACH 4" xfId="17810"/>
    <cellStyle name="_工作表 在 Weekly report (W45)2008.11_工作表 在 Weekly report (W07)" xfId="17811"/>
    <cellStyle name="差_jupite r設備&amp;治工具LIST (總)_Dallas flow chart&amp;設備&amp;治工具清單(12-8 A0)_Flow Chart&amp;設備治工具清單 _Jackson 效益分析 (2-1 B0 上系統)_Leopard Flowchart &amp; 產能評估" xfId="17812"/>
    <cellStyle name="差_MS Bolt wireless mouse FixtureEquipment Cost_A5_2010_02_21_Bolt RFQ_Foxlink_03.1 2011_nego meeting@MACH 2" xfId="17813"/>
    <cellStyle name="好_River EE BOM_Creak Pearl Reliability Fixture RFQ_2009 04 24_Leopard UniBom_Foxlink_6 21 2010-ME_nego_Bolt RFQ Proposal_Foxlink_ (Pricing Summary) 2 25 2011 6" xfId="17814"/>
    <cellStyle name="_工作表 在 Weekly report (W45)2008.11_費用查核" xfId="17815"/>
    <cellStyle name="_工作表 在 Weekly report (W46)2008.11" xfId="17816"/>
    <cellStyle name="好_River EE BOM_Creak Pearl Reliability Fixture RFQ_2009 04 24_Leopard_UniBOM_ME_0602-1_Bolt RFQ Proposal_Foxlink_ (Pricing Summary) 2 25 2011 2 3" xfId="17817"/>
    <cellStyle name="_工作理念原則調查1221" xfId="17818"/>
    <cellStyle name="_工廠報告參考格式" xfId="17819"/>
    <cellStyle name="差_Creak Pearl Reliability Fixture RFQ_2009 04 24_Bolt RFQ Proposal_Foxlink_ (Pricing Summary) 2 25 2011 3 3" xfId="17820"/>
    <cellStyle name="_不良明細" xfId="17821"/>
    <cellStyle name="好_River EE BOM_Xl0000002_Squirrel UniBom-06 23 2010_update_internal" xfId="17822"/>
    <cellStyle name="_不良明細_空焊明細" xfId="17823"/>
    <cellStyle name="_不良明細_短路明細" xfId="17824"/>
    <cellStyle name="好_Erie Assembly Fixture  Test Equip Cost_20090716_Foxlink_Shadow RFQ NREUni BOM_12032009 3 3" xfId="17825"/>
    <cellStyle name="_不良總明細" xfId="17826"/>
    <cellStyle name="_不良總明細_0538周周管審--FINl" xfId="17827"/>
    <cellStyle name="百分比 2 2" xfId="17828"/>
    <cellStyle name="差_Creak Pearl Reliability Fixture RFQ_2009 04 24_Creek  Pearl RFQ_May 12_Leopard_UniBOM_ME_0602_Bolt RFQ Proposal_Foxlink_ (Pricing Summary) 2 25 2011 4 3" xfId="17829"/>
    <cellStyle name="好_Creek Assembly Fixture  Test Equipment RFQ_20090427_Squirrel UniBom-06.23.2010_update_internal_Bolt RFQ_Foxlink_03.1 2011_nego meeting@MACH 2 2" xfId="17830"/>
    <cellStyle name="_不良總明細_0538周周管審--FINl_複本 0541周周管審" xfId="17831"/>
    <cellStyle name="_不良總明細_0540周直通率8D1" xfId="17832"/>
    <cellStyle name="百分比 2" xfId="17833"/>
    <cellStyle name="好_Creek Assembly Fixture  Test Equipment RFQ_20090427_Squirrel UniBom-06.23.2010_update_internal_Bolt RFQ_Foxlink_03.1 2011_nego meeting@MACH 2" xfId="17834"/>
    <cellStyle name="_不良總明細_0540周直通率8D1_複本 0541周周管審" xfId="17835"/>
    <cellStyle name="_不良總明細_0541周周報" xfId="17836"/>
    <cellStyle name="差_F3   SMT設備明細_jupite r設備&amp;治工具LIST (總)_~3106354_Jackson 效益分析 (2-1 B0 上系統)_squirrel效益分析08-17" xfId="17837"/>
    <cellStyle name="_不良總明細_0541周直通率8D" xfId="17838"/>
    <cellStyle name="_不良總明細_Book1" xfId="17839"/>
    <cellStyle name="差_HP Mouse 產能評估(上系統)_M1 Bolt wireless mouse FixtureEquipment Cost_A2_2010_12_07 5" xfId="17840"/>
    <cellStyle name="好_River EE BOM_Creak Pearl Reliability Fixture RFQ_2009 04 24_Xl0000002_Squirrel RFQ ME BOM Costs-0623_Bolt RFQ_Foxlink_03.1 2011 4" xfId="17841"/>
    <cellStyle name="_不良總明細_九月月報" xfId="17842"/>
    <cellStyle name="_不良總明細_八月月報2_0538周周管審--FINl" xfId="17843"/>
    <cellStyle name="差_Creak Pearl Reliability Fixture RFQ_2009 04 24_Leopard RFQ ME BOM Costs-0618-2 2" xfId="17844"/>
    <cellStyle name="好_Creek Assembly Fixture  Test Equipment RFQ_20090427_Xl0000002_Leopard_UniBOM_ME_0602_Bolt RFQ Proposal_Foxlink_ (Pricing Summary) 2 25 2011 4 2" xfId="17845"/>
    <cellStyle name="_不良總明細_八月月報2_0538周周管審--FINl_複本 0541周周管審" xfId="17846"/>
    <cellStyle name="_不良總明細_八月月報2_0540周直通率8D1_複本 0541周周管審" xfId="17847"/>
    <cellStyle name="壞_Creek Assembly Fixture  Test Equipment RFQ_20090427_Leopard_UniBOM_ME_0603-2_Bolt RFQ Proposal_Foxlink_ (Pricing Summary) 2 25 2011 2 4" xfId="17848"/>
    <cellStyle name="好_0842周 顯卡報廢超標8D_HP 2 3 2" xfId="17849"/>
    <cellStyle name="_不良總明細_八月月報2_0541周直通率8D" xfId="17850"/>
    <cellStyle name="_不良總明細_八月月報2_Book1" xfId="17851"/>
    <cellStyle name="_不良總明細_八月月報2_Book1_複本 0541周周管審" xfId="17852"/>
    <cellStyle name="差_jupite r設備&amp;治工具LIST (總)_Dallas效益分析&amp;投資回收期 (12-2 A1)_Jackson 效益分析 (2-1 B0 上系統)" xfId="17853"/>
    <cellStyle name="_不良總明細_八月月報2_複本 0541周周管審" xfId="17854"/>
    <cellStyle name="_不良總明細_複本 0541周周管審" xfId="17855"/>
    <cellStyle name="_公告1102" xfId="17856"/>
    <cellStyle name="_月份夜班津貼及生產獎金1" xfId="17857"/>
    <cellStyle name="_月管審1" xfId="17858"/>
    <cellStyle name="_代工工時" xfId="17859"/>
    <cellStyle name="差_RIO Trial run (Pre-PV 100PCS) QA Report-0610_Rio QA Report-8.12_Dolce   QA Report 2010_0902_~7519239" xfId="17860"/>
    <cellStyle name="_外包產能1011會後資料" xfId="17861"/>
    <cellStyle name="好_River EE BOM_Xl0000000_Leopard RFQ ME BOM Costs-0618 2" xfId="17862"/>
    <cellStyle name="好_Creek EE BOM cost_20090425_Creek RFQ feedback 04_28_2009_FD Update_Leopard_UniBOM_ME_0602-1_Bolt RFQ_Foxlink_03.1 2011 2 3" xfId="17863"/>
    <cellStyle name="_本日換線及校驗排程" xfId="17864"/>
    <cellStyle name="_生管原因柏拉圖(含CTQ2) 2" xfId="17865"/>
    <cellStyle name="_各線檢出率" xfId="17866"/>
    <cellStyle name="_合理加班12 (2)" xfId="17867"/>
    <cellStyle name="_合理加班jf" xfId="17868"/>
    <cellStyle name="_成本分攤基礎-MBA-0810" xfId="17869"/>
    <cellStyle name="_防 盜Close meeting資料0715" xfId="17870"/>
    <cellStyle name="差_Creak Pearl Reliability Fixture RFQ_2009 04 24_Creek  Pearl RFQ_May 12_Foxlink_Shadow RFQ NREUni BOM_12032009_Bolt RFQ Proposal_Foxlink_ (Pricing Summary) 2 25 2011 3 2" xfId="17871"/>
    <cellStyle name="差_0842周 顯卡報廢超標8D_HP 2 2 3" xfId="17872"/>
    <cellStyle name="_防盜Close meeting資料0707" xfId="17873"/>
    <cellStyle name="好_River EE BOM_Creak Pearl Reliability Fixture RFQ_2009 04 24_Creek  Pearl RFQ_May 12_Leopard UniBom_Foxlink_6 21 2010-ME_nego 3" xfId="17874"/>
    <cellStyle name="_兩期分析表4月" xfId="17875"/>
    <cellStyle name="差_HP Mouse 產能評估(Forecast更改後) 2 4" xfId="17876"/>
    <cellStyle name="差_F3   SMT設備明細_Erie 效益分析 (Update)_Jackson 效益分析 testing update_16th Jan111" xfId="17877"/>
    <cellStyle name="_制一&amp;二单片人员工时1-3" xfId="17878"/>
    <cellStyle name="_制程課組織圖0713" xfId="17879"/>
    <cellStyle name="壞_Creek Assembly Fixture  Test Equipment RFQ_20090427_Leopard Lemur Squirrel UniBom-06.22.2010_EE cost _update_internal_Bolt RFQ_Foxlink_03.1 2011_nego meeting@MACH 3 3" xfId="17880"/>
    <cellStyle name="好_Creek Assembly Fixture  Test Equipment RFQ_20090427_Leopard Lemur Squirrel UniBom-06.22.2010_EE cost _update_internal_Bolt RFQ Proposal_Foxlink_ (Pricing Summary) 2 25 2011 5 2" xfId="17881"/>
    <cellStyle name="_周月產量" xfId="17882"/>
    <cellStyle name="_物控" xfId="17883"/>
    <cellStyle name="差_Creak Pearl Reliability Fixture RFQ_2009 04 24_Xl0000002_Leopard_UniBOM_ME_0602-1_Bolt RFQ Proposal_Foxlink_ (Pricing Summary) 2 25 2011 2 4" xfId="17884"/>
    <cellStyle name="_空焊明細" xfId="17885"/>
    <cellStyle name="好_River EE BOM_Creak Pearl Reliability Fixture RFQ_2009 04 24_Pearl RFQ(Submittal)ver2_05_12_2009 _Leopard_UniBOM_ME_0602-1_Bolt RFQ Proposal_Foxlink_ (Pricing Summary) 2 25 2011 3 3" xfId="17886"/>
    <cellStyle name="_空焊明細_0538周周管審--FINl" xfId="17887"/>
    <cellStyle name="好_River EE BOM_Xl0000000_Leopard_UniBOM_ME_0531_Bolt RFQ Proposal_Foxlink_ (Pricing Summary) 2 25 2011 2 4" xfId="17888"/>
    <cellStyle name="_空焊明細_0540周直通率8D1" xfId="17889"/>
    <cellStyle name="_空焊明細_0540周直通率8D1_複本 0541周周管審" xfId="17890"/>
    <cellStyle name="_空焊明細_0541周周報" xfId="17891"/>
    <cellStyle name="9_Revised AP DPO Oct 04 v2_X-BOX Console line setup budget 20080414" xfId="17892"/>
    <cellStyle name="_空焊明細_0541周直通率8D" xfId="17893"/>
    <cellStyle name="差_Creek RFQ feedback 04_28_2009_FD Update_Leopard_UniBOM_ME_0602-1_Bolt RFQ Proposal_Foxlink_ (Pricing Summary) 2 25 2011 4" xfId="17894"/>
    <cellStyle name="好_Creek Assembly Fixture  Test Equipment RFQ_20090427_Xl0000002_Leopard_UniBOM_ME_0602-1_Bolt RFQ Proposal_Foxlink_ (Pricing Summary) 2 25 2011 4 2" xfId="17895"/>
    <cellStyle name="_空焊明細_Book1_複本 0541周周管審" xfId="17896"/>
    <cellStyle name="F8" xfId="17897"/>
    <cellStyle name="Title 13" xfId="17898"/>
    <cellStyle name="Output 5" xfId="17899"/>
    <cellStyle name="_空焊明細_九月月報" xfId="17900"/>
    <cellStyle name="_空焊明細_八月月報2" xfId="17901"/>
    <cellStyle name="_空焊明細_八月月報2_0540周直通率8D1" xfId="17902"/>
    <cellStyle name="_空焊明細_八月月報2_0540周直通率8D1_複本 0541周周管審" xfId="17903"/>
    <cellStyle name="_空焊明細_八月月報2_0541周直通率8D" xfId="17904"/>
    <cellStyle name="_空焊明細_八月月報2_Book1" xfId="17905"/>
    <cellStyle name="差_F3   SMT設備明細_jupite r設備&amp;治工具LIST (總)_Flow Chart&amp;PQ分析(12-1)_Jackson 效益分析 testing update_16th Jan111_Jackson 效益分析 (2-1 B0 上系統)_squirrel效益分析08-17" xfId="17906"/>
    <cellStyle name="好_River EE BOM_Creak Pearl Reliability Fixture RFQ_2009 04 24_Creek RFQ feedback 04_28_2009_FD Update_Squirrel RFQ ME BOM Costs-0623" xfId="17907"/>
    <cellStyle name="_空焊明細_八月月報2_複本 0541周周管審" xfId="17908"/>
    <cellStyle name="差_F3   SMT設備明細_jupite r設備&amp;治工具LIST (總)_pq_Flow chart and Fixture(Jackson)_A1_Jackson 效益分析 (2-1 B0 上系統)_Leopard效益分析08-17" xfId="17909"/>
    <cellStyle name="_空焊明細_複本 0541周周管審" xfId="17910"/>
    <cellStyle name="差_Creak Pearl Reliability Fixture RFQ_2009 04 24_Xl0000002_Leopard_UniBOM_ME_0603-2_Bolt RFQ Proposal_Foxlink_ (Pricing Summary) 2 25 2011 3" xfId="17911"/>
    <cellStyle name="_x0004__附件三-7系列設備清單 (2)" xfId="17912"/>
    <cellStyle name="差_HP Mouse 產能評估(Forecast更改後)_M1 Bolt wireless mouse FixtureEquipment Cost_A2_2010_12_07" xfId="17913"/>
    <cellStyle name="_客訴list FPM" xfId="17914"/>
    <cellStyle name="_标准工时" xfId="17915"/>
    <cellStyle name="_背焊線需求計算060313" xfId="17916"/>
    <cellStyle name="_背焊線需求計算0603132" xfId="17917"/>
    <cellStyle name="_背焊線需求計算060327" xfId="17918"/>
    <cellStyle name="差_Creak Pearl Reliability Fixture RFQ_2009 04 24_Creek RFQ feedback 04_28_2009_FD Update_Leopard Lemur Squirrel UniBom-06.22.2010_EE cost _update_internal_Bolt RFQ Proposal_Foxlink_ (Pricing Summary) 2 25 2011 5 2" xfId="17919"/>
    <cellStyle name="_背焊線需求計算0604031" xfId="17920"/>
    <cellStyle name="_庫存05.8.291" xfId="17921"/>
    <cellStyle name="_校驗架線小組KPI更新" xfId="17922"/>
    <cellStyle name="_租金管理費統計_v2_20081227_2010銷售明細實績-201006" xfId="17923"/>
    <cellStyle name="_產線產能格式04 V1xls " xfId="17924"/>
    <cellStyle name="_組效部0702 KPI summary" xfId="17925"/>
    <cellStyle name="_組效部KPI summary1 (2)" xfId="17926"/>
    <cellStyle name="好_Erie 效益分析 (Update)_效益分析(總 12-28 Update)_Leopard Flowchart &amp; 產能評估" xfId="17927"/>
    <cellStyle name="_組織圖" xfId="17928"/>
    <cellStyle name="好_Creek Assembly Fixture  Test Equipment RFQ_20090427_Xl0000002_Leopard RFQ ME BOM Costs-0618_Bolt RFQ Proposal_Foxlink_ (Pricing Summary) 2 25 2011 6" xfId="17929"/>
    <cellStyle name="Explanatory Text 9" xfId="17930"/>
    <cellStyle name="差_dallas產能評估_Flow Chart&amp;設備治工具清單 " xfId="17931"/>
    <cellStyle name="Enter Currency (0) 3" xfId="17932"/>
    <cellStyle name="_組織圖(3)" xfId="17933"/>
    <cellStyle name="差_jupite r設備&amp;治工具LIST (總)_flow chart 2009.12.12_Flow Chart&amp;設備治工具清單 " xfId="17934"/>
    <cellStyle name="好_Creek Assembly Fixture  Test Equipment RFQ_20090427_Leopard RFQ ME BOM Costs-0618_Bolt RFQ_Foxlink_03.1 2011 3 3" xfId="17935"/>
    <cellStyle name="_軟板Sales review_04242009 v1" xfId="17936"/>
    <cellStyle name="好_River EE BOM_Creek RFQ feedback 04_28_2009_FD Update_Squirrel UniBom-06.23.2010_update_internal_Bolt RFQ_Foxlink_03.1 2011_nego meeting@MACH 5" xfId="17937"/>
    <cellStyle name="_備品管理20050829" xfId="17938"/>
    <cellStyle name="_報價明細" xfId="17939"/>
    <cellStyle name="差_foxlink Bristol for 10063D-2010-10-11_Bristol RFQ response _20101102_internal (4)_Bristol TC Estimate Update 08012011" xfId="17940"/>
    <cellStyle name="40% - 强调文字颜色 3 2 2 2 3" xfId="17941"/>
    <cellStyle name="_提案流程" xfId="17942"/>
    <cellStyle name="_最新手測工時" xfId="17943"/>
    <cellStyle name="Date_#A5203 DELL CORVETTE 062403 Doumen" xfId="17944"/>
    <cellStyle name="_短路明細_0538周周管審--FINl_複本 0541周周管審" xfId="17945"/>
    <cellStyle name="差_F3   SMT設備明細_Bolt RFQ_Foxlink_03.1 2011 5" xfId="17946"/>
    <cellStyle name="Normal 35 6" xfId="17947"/>
    <cellStyle name="Normal 40 6" xfId="17948"/>
    <cellStyle name="_短路明細_0540周直通率8D1" xfId="17949"/>
    <cellStyle name="_短路明細_0540周直通率8D1_複本 0541周周管審" xfId="17950"/>
    <cellStyle name="_短路明細_0541周周報" xfId="17951"/>
    <cellStyle name="好_River EE BOM_Xl0000002_Squirrel UniBom-06.23.2010_update_internal_Bolt RFQ_Foxlink_03.1 2011 2 3" xfId="17952"/>
    <cellStyle name="_短路明細_0541周直通率8D" xfId="17953"/>
    <cellStyle name="_短路明細_1" xfId="17954"/>
    <cellStyle name="汇总 4 2 5" xfId="17955"/>
    <cellStyle name="好_Erie 效益分析 (Update)_Jackson 效益分析 testing update_16th Jan111_Jackson 效益分析 (2-1 B0 上系統)_squirrel效益分析08-17" xfId="17956"/>
    <cellStyle name="_短路明細_Book1" xfId="17957"/>
    <cellStyle name="_短路明細_Book1_複本 0541周周管審" xfId="17958"/>
    <cellStyle name="好_River EE BOM_Xl0000002_Leopard Lemur Squirrel UniBom-06.22.2010_EE cost _update_internal 3" xfId="17959"/>
    <cellStyle name="_短路明細_九月月報" xfId="17960"/>
    <cellStyle name="_短路明細_八月月報2_0538周周管審--FINl" xfId="17961"/>
    <cellStyle name="好_Creek EE BOM cost_20090425_Bolt RFQ Proposal_Foxlink_ (Pricing Summary) 2 25 2011" xfId="17962"/>
    <cellStyle name="好_效益分析&amp;產能評估_M1 SuedeFixtureEquipment Cost_A0_2010_10_15 2 2" xfId="17963"/>
    <cellStyle name="_短路明細_八月月報2_0540周直通率8D1" xfId="17964"/>
    <cellStyle name="_短路明細_八月月報2_0540周直通率8D1_複本 0541周周管審" xfId="17965"/>
    <cellStyle name="差_Xl0000000_Leopard RFQ ME BOM Costs-0618" xfId="17966"/>
    <cellStyle name="差_Xl0000000_Leopard RFQ ME BOM Costs-0623" xfId="17967"/>
    <cellStyle name="差_Creak Pearl Reliability Fixture RFQ_2009 04 24_Creek RFQ feedback 04_28_2009_FD Update_Leopard_UniBOM_ME_0531 2 3" xfId="17968"/>
    <cellStyle name="_短路明細_八月月報2_0541周直通率8D" xfId="17969"/>
    <cellStyle name="_短路明細_八月月報2_Book1" xfId="17970"/>
    <cellStyle name="_短路明細_八月月報2_複本 0541周周管審" xfId="17971"/>
    <cellStyle name="_費用查核" xfId="17972"/>
    <cellStyle name="差_jupite r設備&amp;治工具LIST (總)_~3106354_~1159284" xfId="17973"/>
    <cellStyle name="好_River EE BOM_Foxlink_Shadow RFQ NREUni BOM_12032009_Bolt RFQ Proposal_Foxlink_ (Pricing Summary) 2 25 2011 4 2" xfId="17974"/>
    <cellStyle name="_進口物料申請表奇美sample" xfId="17975"/>
    <cellStyle name="差_Creak Pearl Reliability Fixture RFQ_2009 04 24_Creek RFQ feedback 04_28_2009_FD Update_Leopard UniBom_Foxlink_6 21 2010-ME_nego_Bolt RFQ_Foxlink_03.1 2011_nego meeting@MACH 2 2" xfId="17976"/>
    <cellStyle name="_量產機種" xfId="17977"/>
    <cellStyle name="_新增Microsoft Excel 工作表" xfId="17978"/>
    <cellStyle name="_新增Microsoft Excel 工作表111" xfId="17979"/>
    <cellStyle name="_節電專案" xfId="17980"/>
    <cellStyle name="_電費統計_v2_20081223" xfId="17981"/>
    <cellStyle name="Linked Cell 2" xfId="17982"/>
    <cellStyle name="_電費統計_v2_20081223_2010銷售明細實績-201006" xfId="17983"/>
    <cellStyle name="差_Creak Pearl Reliability Fixture RFQ_2009 04 24_Creek  Pearl RFQ_May 12_Bolt RFQ_Foxlink_03.1 2011_nego meeting@MACH 2" xfId="17984"/>
    <cellStyle name="好_River EE BOM_Creek RFQ feedback 04_28_2009_FD Update_Bolt RFQ_Foxlink_03.1 2011_nego meeting@MACH 2 2" xfId="17985"/>
    <cellStyle name="_劃款申請單    LCM" xfId="17986"/>
    <cellStyle name="差_Creak Pearl Reliability Fixture RFQ_2009 04 24_Pearl RFQ(Submittal)ver2_05_12_2009 _Squirrel RFQ ME BOM Costs-0623_Bolt RFQ_Foxlink_03.1 2011 2" xfId="17987"/>
    <cellStyle name="_嘉薇" xfId="17988"/>
    <cellStyle name="_圖書借閱08W16" xfId="17989"/>
    <cellStyle name="好_Creek EE BOM cost_20090425_Creek RFQ feedback 04_28_2009_FD Update_Squirrel UniBom-06.23.2010_update_internal_Bolt RFQ Proposal_Foxlink_ (Pricing Summary) 2 25 2011 3 3" xfId="17990"/>
    <cellStyle name="_圖書借閱---08W17" xfId="17991"/>
    <cellStyle name="_圖書借閱08W19" xfId="17992"/>
    <cellStyle name="差_dallas產能評估_Jackson 效益分析 testing update_16th Jan111_Jackson 效益分析 (2-1 B0 上系統)" xfId="17993"/>
    <cellStyle name="_圖書借閱08W20" xfId="17994"/>
    <cellStyle name="好_Creek EE BOM cost_20090425_Creek RFQ feedback 04_28_2009_FD Update_Squirrel UniBom-06.23.2010_update_internal_Bolt RFQ Proposal_Foxlink_ (Pricing Summary) 2 25 2011 3 2" xfId="17995"/>
    <cellStyle name="20% - 强调文字颜色 4 2 3 3" xfId="17996"/>
    <cellStyle name="_圖書借閱海報" xfId="17997"/>
    <cellStyle name="好_Creek EE BOM cost_20090425_Leopard_UniBOM_ME_0531_Bolt RFQ Proposal_Foxlink_ (Pricing Summary) 2 25 2011 3 2" xfId="17998"/>
    <cellStyle name="_實習生分佈狀況--0514～" xfId="17999"/>
    <cellStyle name="Normal 8 14" xfId="18000"/>
    <cellStyle name="_緊急應變組織 (4)" xfId="18001"/>
    <cellStyle name="差_Creak Pearl Reliability Fixture RFQ_2009 04 24_Leopard Lemur Squirrel UniBom-06.22.2010_EE cost _update_internal_Bolt RFQ Proposal_Foxlink_ (Pricing Summary) 2 25 2011 3" xfId="18002"/>
    <cellStyle name="_價值流程分析3.9" xfId="18003"/>
    <cellStyle name="_廠區5S巡檢辦法050520" xfId="18004"/>
    <cellStyle name="_廠區5S責任區域050629" xfId="18005"/>
    <cellStyle name="_標準工時-Card Sample-CP" xfId="18006"/>
    <cellStyle name="_標準工時-Intel wireless2006.01to 永哲1" xfId="18007"/>
    <cellStyle name="差_MB9月管審誤判超標 8D_HP 2 2 2 2" xfId="18008"/>
    <cellStyle name="_複本 MBO PMC ORG" xfId="18009"/>
    <cellStyle name="_複本 每日預換線統計9 9" xfId="18010"/>
    <cellStyle name="_複本 架線統計 (2)1" xfId="18011"/>
    <cellStyle name="20% - Accent1 5" xfId="18012"/>
    <cellStyle name="_銷售" xfId="18013"/>
    <cellStyle name="好_River EE BOM_Xl0000002_Leopard RFQ ME BOM Costs-0618-2_Bolt RFQ_Foxlink_03.1 2011_nego meeting@MACH 5" xfId="18014"/>
    <cellStyle name="_錫爐profile測量" xfId="18015"/>
    <cellStyle name="_轉出附屬品1" xfId="18016"/>
    <cellStyle name="_轉出附屬品new" xfId="18017"/>
    <cellStyle name="差_Creak Pearl Reliability Fixture RFQ_2009 04 24_Xl0000002_Leopard RFQ ME BOM Costs-0618_Bolt RFQ Proposal_Foxlink_ (Pricing Summary) 2 25 2011 3 2" xfId="18018"/>
    <cellStyle name="60% - 强调文字颜色 1 2 4" xfId="18019"/>
    <cellStyle name="¡EW?_report399" xfId="18020"/>
    <cellStyle name="’Ê‰Ý_16X" xfId="18021"/>
    <cellStyle name="差_Creak Pearl Reliability Fixture RFQ_2009 04 24_Creek RFQ feedback 04_28_2009_FD Update_Leopard_UniBOM_ME_0602 2" xfId="18022"/>
    <cellStyle name="¤d¤À¦ì[0]_laroux" xfId="18023"/>
    <cellStyle name="好_River EE BOM_Creak Pearl Reliability Fixture RFQ_2009 04 24_Creek  Pearl RFQ_May 12_Leopard_UniBOM_ME_0603-2_Bolt RFQ Proposal_Foxlink_ (Pricing Summary) 2 25 2011 5 3" xfId="18024"/>
    <cellStyle name="=C:\WINDOWS\SYSTEM32\COMMAND.COM" xfId="18025"/>
    <cellStyle name="差_MB9月管審誤判超標 8D 5 4" xfId="18026"/>
    <cellStyle name="=C:\WINNT\SYSTEM32\COMMAND.COM 11" xfId="18027"/>
    <cellStyle name="=C:\WINNT\SYSTEM32\COMMAND.COM 12" xfId="18028"/>
    <cellStyle name="差_Creak Pearl Reliability Fixture RFQ_2009 04 24_Leopard_UniBOM_ME_0602-1_Bolt RFQ_Foxlink_03.1 2011 3 2" xfId="18029"/>
    <cellStyle name="=C:\WINNT\SYSTEM32\COMMAND.COM 13" xfId="18030"/>
    <cellStyle name="差_Creak Pearl Reliability Fixture RFQ_2009 04 24_Leopard_UniBOM_ME_0602-1_Bolt RFQ_Foxlink_03.1 2011 3 3" xfId="18031"/>
    <cellStyle name="=C:\WINNT\SYSTEM32\COMMAND.COM 14" xfId="18032"/>
    <cellStyle name="=C:\WINNT\SYSTEM32\COMMAND.COM 15" xfId="18033"/>
    <cellStyle name="=C:\WINNT\SYSTEM32\COMMAND.COM 20" xfId="18034"/>
    <cellStyle name="=C:\WINNT\SYSTEM32\COMMAND.COM 16" xfId="18035"/>
    <cellStyle name="=C:\WINNT\SYSTEM32\COMMAND.COM 21" xfId="18036"/>
    <cellStyle name="好_River EE BOM_Creak Pearl Reliability Fixture RFQ_2009 04 24_Pearl RFQ(Submittal)ver2_05_12_2009 _Leopard UniBom_Foxlink_6 21 2010-ME_nego_Bolt RFQ Proposal_Foxlink_ (Pricing Summary) 2 25 2011 2 2 2" xfId="18037"/>
    <cellStyle name="=C:\WINNT\SYSTEM32\COMMAND.COM 17" xfId="18038"/>
    <cellStyle name="=C:\WINNT\SYSTEM32\COMMAND.COM 22" xfId="18039"/>
    <cellStyle name="好_River EE BOM_Creak Pearl Reliability Fixture RFQ_2009 04 24_Pearl RFQ(Submittal)ver2_05_12_2009 _Leopard UniBom_Foxlink_6 21 2010-ME_nego_Bolt RFQ Proposal_Foxlink_ (Pricing Summary) 2 25 2011 2 2 3" xfId="18040"/>
    <cellStyle name="=C:\WINNT\SYSTEM32\COMMAND.COM 18" xfId="18041"/>
    <cellStyle name="=C:\WINNT\SYSTEM32\COMMAND.COM 23" xfId="18042"/>
    <cellStyle name="=C:\WINNT\SYSTEM32\COMMAND.COM 19" xfId="18043"/>
    <cellStyle name="=C:\WINNT\SYSTEM32\COMMAND.COM 24" xfId="18044"/>
    <cellStyle name="=C:\WINNT\SYSTEM32\COMMAND.COM 2" xfId="18045"/>
    <cellStyle name="好_River EE BOM_Creak Pearl Reliability Fixture RFQ_2009 04 24_Pearl RFQ(Submittal)ver2_05_12_2009 _Leopard_UniBOM_ME_0531 2 2" xfId="18046"/>
    <cellStyle name="=C:\WINNT\SYSTEM32\COMMAND.COM 26" xfId="18047"/>
    <cellStyle name="=C:\WINNT\SYSTEM32\COMMAND.COM 31" xfId="18048"/>
    <cellStyle name="好_River EE BOM_Creak Pearl Reliability Fixture RFQ_2009 04 24_Pearl RFQ(Submittal)ver2_05_12_2009 _Leopard_UniBOM_ME_0531 2 3" xfId="18049"/>
    <cellStyle name="=C:\WINNT\SYSTEM32\COMMAND.COM 27" xfId="18050"/>
    <cellStyle name="=C:\WINNT\SYSTEM32\COMMAND.COM 32" xfId="18051"/>
    <cellStyle name="差_Creak Pearl Reliability Fixture RFQ_2009 04 24_Creek RFQ feedback 04_28_2009_FD Update_Leopard_UniBOM_ME_0603-2_Bolt RFQ_Foxlink_03.1 2011 2 2" xfId="18052"/>
    <cellStyle name="好_River EE BOM_Creak Pearl Reliability Fixture RFQ_2009 04 24_Pearl RFQ(Submittal)ver2_05_12_2009 _Leopard_UniBOM_ME_0531 2 4" xfId="18053"/>
    <cellStyle name="=C:\WINNT\SYSTEM32\COMMAND.COM 28" xfId="18054"/>
    <cellStyle name="=C:\WINNT\SYSTEM32\COMMAND.COM 33" xfId="18055"/>
    <cellStyle name="差_Creak Pearl Reliability Fixture RFQ_2009 04 24_Creek RFQ feedback 04_28_2009_FD Update_Leopard_UniBOM_ME_0603-2_Bolt RFQ_Foxlink_03.1 2011 2 3" xfId="18056"/>
    <cellStyle name="=C:\WINNT\SYSTEM32\COMMAND.COM 29" xfId="18057"/>
    <cellStyle name="=C:\WINNT\SYSTEM32\COMMAND.COM 34" xfId="18058"/>
    <cellStyle name="=C:\WINNT\SYSTEM32\COMMAND.COM 3" xfId="18059"/>
    <cellStyle name="好_0842周 顯卡報廢超標8D_2009MB KPI_MBO3F製造部hp0209-01 2 2" xfId="18060"/>
    <cellStyle name="=C:\WINNT\SYSTEM32\COMMAND.COM 4" xfId="18061"/>
    <cellStyle name="好_0842周 顯卡報廢超標8D_2009MB KPI_MBO3F製造部hp0209-01 2 3" xfId="18062"/>
    <cellStyle name="=C:\WINNT\SYSTEM32\COMMAND.COM 5" xfId="18063"/>
    <cellStyle name="好_0842周 顯卡報廢超標8D_2009MB KPI_MBO3F製造部hp0209-01 2 4" xfId="18064"/>
    <cellStyle name="=C:\WINNT\SYSTEM32\COMMAND.COM 6" xfId="18065"/>
    <cellStyle name="好_0842周 顯卡報廢超標8D_2009MB KPI_MBO3F製造部hp0209-01 2 5" xfId="18066"/>
    <cellStyle name="=C:\WINNT\SYSTEM32\COMMAND.COM 7" xfId="18067"/>
    <cellStyle name="=C:\WINNT\SYSTEM32\COMMAND.COM 8" xfId="18068"/>
    <cellStyle name="•W_16X" xfId="18069"/>
    <cellStyle name="æØè [0.00]_Comdata" xfId="18070"/>
    <cellStyle name="40% - Accent5 3 4" xfId="18071"/>
    <cellStyle name="æØè_Comdata" xfId="18072"/>
    <cellStyle name="ÊÝ [0.00]_Comdata" xfId="18073"/>
    <cellStyle name="差_Creak Pearl Reliability Fixture RFQ_2009 04 24_Creek  Pearl RFQ_May 12_Leopard_UniBOM_ME_0602-1_Bolt RFQ Proposal_Foxlink_ (Pricing Summary) 2 25 2011" xfId="18074"/>
    <cellStyle name="差_HP Mouse 產能評估(Forecast更改後)_M1 Bolt wireless mouse FixtureEquipment Cost_A2_2010_12_07_Bolt RFQ Proposal_Foxlink_ (Pricing Summary) 2 25 2011 5" xfId="18075"/>
    <cellStyle name="ÊÝ_Comdata" xfId="18076"/>
    <cellStyle name="W_MIDASB" xfId="18077"/>
    <cellStyle name="Comma 2 35" xfId="18078"/>
    <cellStyle name="0,0_x000a__x000a_NA_x000a__x000a_" xfId="18079"/>
    <cellStyle name="0,0_x000a__x000a_NA_x000a__x000a_ 2" xfId="18080"/>
    <cellStyle name="好_River EE BOM_Creak Pearl Reliability Fixture RFQ_2009 04 24_Creek  Pearl RFQ_May 12_Leopard RFQ ME BOM Costs-0618_Bolt RFQ_Foxlink_03.1 2011 4" xfId="18081"/>
    <cellStyle name="0,0_x000d__x000a_NA_x000d__x000a_" xfId="18082"/>
    <cellStyle name="0,0_x000d__x000a_NA_x000d__x000a_ 2" xfId="18083"/>
    <cellStyle name="0,0_x000d__x000a_NA_x000d__x000a_ 2 2" xfId="18084"/>
    <cellStyle name="差_Creak Pearl Reliability Fixture RFQ_2009 04 24_Foxlink_Shadow RFQ NREUni BOM_12032009_Bolt RFQ_Foxlink_03.1 2011_nego meeting@MACH 3 2" xfId="18085"/>
    <cellStyle name="0,0_x000d__x000d_NA_x000d__x000d_" xfId="18086"/>
    <cellStyle name="差_F3   SMT設備明細_~1159284" xfId="18087"/>
    <cellStyle name="1" xfId="18088"/>
    <cellStyle name="19990216" xfId="18089"/>
    <cellStyle name="19990216 2" xfId="18090"/>
    <cellStyle name="¹éºÐÀ²_±âÅ¸" xfId="18091"/>
    <cellStyle name="好_K TEST 2 2 4" xfId="18092"/>
    <cellStyle name="intel - intel por style" xfId="18093"/>
    <cellStyle name="20% - Accent1" xfId="18094"/>
    <cellStyle name="好_River EE BOM_Creak Pearl Reliability Fixture RFQ_2009 04 24_Xl0000002_Leopard_UniBOM_ME_0603-2_Bolt RFQ_Foxlink_03.1 2011 5" xfId="18095"/>
    <cellStyle name="Note 3 3" xfId="18096"/>
    <cellStyle name="20% - Accent1 10" xfId="18097"/>
    <cellStyle name="20% - Accent1 11" xfId="18098"/>
    <cellStyle name="20% - Accent1 13" xfId="18099"/>
    <cellStyle name="20% - Accent1 14" xfId="18100"/>
    <cellStyle name="60% - Accent4 14" xfId="18101"/>
    <cellStyle name="20% - Accent1 15 2" xfId="18102"/>
    <cellStyle name="差_HP Mouse 產能評估(上系統)_M1 SuedeFixtureEquipment Cost_A0_2010_10_15 3 2" xfId="18103"/>
    <cellStyle name="60% - Accent4 15" xfId="18104"/>
    <cellStyle name="20% - Accent1 15 3" xfId="18105"/>
    <cellStyle name="20% - 强调文字颜色 1 3 3" xfId="18106"/>
    <cellStyle name="20% - Accent1 2 3" xfId="18107"/>
    <cellStyle name="20% - Accent1 2 3 2" xfId="18108"/>
    <cellStyle name="20% - Accent1 2 3 3" xfId="18109"/>
    <cellStyle name="好_River EE BOM_Creak Pearl Reliability Fixture RFQ_2009 04 24_Xl0000002_Leopard RFQ ME BOM Costs-0618_Bolt RFQ_Foxlink_03.1 2011 2" xfId="18110"/>
    <cellStyle name="20% - 强调文字颜色 1 3 4" xfId="18111"/>
    <cellStyle name="20% - Accent1 2 4" xfId="18112"/>
    <cellStyle name="好_River EE BOM_Creak Pearl Reliability Fixture RFQ_2009 04 24_Xl0000002_Leopard RFQ ME BOM Costs-0618_Bolt RFQ_Foxlink_03.1 2011 2 3" xfId="18113"/>
    <cellStyle name="20% - Accent1 2 4 3" xfId="18114"/>
    <cellStyle name="好_River EE BOM_Creak Pearl Reliability Fixture RFQ_2009 04 24_Xl0000002_Leopard RFQ ME BOM Costs-0618_Bolt RFQ_Foxlink_03.1 2011 4" xfId="18115"/>
    <cellStyle name="20% - Accent1 2 6" xfId="18116"/>
    <cellStyle name="20% - 强调文字颜色 1 4" xfId="18117"/>
    <cellStyle name="20% - Accent1 3" xfId="18118"/>
    <cellStyle name="差_jupite r設備&amp;治工具LIST (總)_Flow Chart&amp;PQ分析(12-1)_Flow Chart&amp;設備治工具清單 _Jackson 效益分析 (2-1 B0 上系統)_squirrel效益分析08-17" xfId="18119"/>
    <cellStyle name="差_Jackson 效益分析 testing update_16th Jan111_Jackson 效益分析 (2-1 B0 上系統)_Leopard Flowchart &amp; 產能評估" xfId="18120"/>
    <cellStyle name="20% - Accent1 3 2" xfId="18121"/>
    <cellStyle name="20% - Accent1 3 2 3" xfId="18122"/>
    <cellStyle name="20% - Accent1 3 3" xfId="18123"/>
    <cellStyle name="差_HP Mouse 產能評估(上系統)_Erie 效益分析 (Update)_Flow chart and Fixture(Jackson)_A1" xfId="18124"/>
    <cellStyle name="20% - Accent1 3 5" xfId="18125"/>
    <cellStyle name="差_Creak Pearl Reliability Fixture RFQ_2009 04 24_Pearl RFQ(Submittal)ver2_05_12_2009 _Squirrel RFQ ME BOM Costs-0623_Bolt RFQ Proposal_Foxlink_ (Pricing Summary) 2 25 2011 2 2 2" xfId="18126"/>
    <cellStyle name="20% - Accent1 6" xfId="18127"/>
    <cellStyle name="Normal 37 2 2" xfId="18128"/>
    <cellStyle name="Normal 42 2 2" xfId="18129"/>
    <cellStyle name="20% - Accent1 8" xfId="18130"/>
    <cellStyle name="好_Yeti CR QA Daily report-03-11" xfId="18131"/>
    <cellStyle name="Normal 5 6 2 2" xfId="18132"/>
    <cellStyle name="Normal 37 2 3" xfId="18133"/>
    <cellStyle name="Normal 42 2 3" xfId="18134"/>
    <cellStyle name="20% - Accent1 9" xfId="18135"/>
    <cellStyle name="20% - Accent2" xfId="18136"/>
    <cellStyle name="好_Creek EE BOM cost_20090425_Creek RFQ feedback 04_28_2009_FD Update_Leopard_UniBOM_ME_0531_Bolt RFQ Proposal_Foxlink_ (Pricing Summary) 2 25 2011 7" xfId="18137"/>
    <cellStyle name="20% - Accent2 12" xfId="18138"/>
    <cellStyle name="差_jupite r設備&amp;治工具LIST (總)_Dallas flow chart&amp;設備&amp;治工具清單(12-8 A0)_squirrel效益分析08-17" xfId="18139"/>
    <cellStyle name="差_Creak Pearl Reliability Fixture RFQ_2009 04 24_Creek RFQ feedback 04_28_2009_FD Update_Bolt RFQ_Foxlink_03.1 2011 3 2" xfId="18140"/>
    <cellStyle name="20% - Accent2 13" xfId="18141"/>
    <cellStyle name="20% - Accent2 15 2" xfId="18142"/>
    <cellStyle name="20% - 强调文字颜色 2 3" xfId="18143"/>
    <cellStyle name="20% - Accent2 2" xfId="18144"/>
    <cellStyle name="20% - 强调文字颜色 2 3 2" xfId="18145"/>
    <cellStyle name="20% - Accent2 2 2" xfId="18146"/>
    <cellStyle name="20% - 强调文字颜色 2 3 3" xfId="18147"/>
    <cellStyle name="好_Creek Assembly Fixture  Test Equipment RFQ_20090427_Leopard Lemur Squirrel UniBom-06.22.2010_EE cost _update_internal 2 2 2" xfId="18148"/>
    <cellStyle name="20% - Accent2 2 3" xfId="18149"/>
    <cellStyle name="好_Creek Assembly Fixture  Test Equipment RFQ_20090427_Leopard_UniBOM_ME_0531_Bolt RFQ_Foxlink_03.1 2011 3 3" xfId="18150"/>
    <cellStyle name="20% - Accent2 2 3 2" xfId="18151"/>
    <cellStyle name="20% - Accent2 2 3 3" xfId="18152"/>
    <cellStyle name="20% - 强调文字颜色 2 3 4" xfId="18153"/>
    <cellStyle name="好_Creek Assembly Fixture  Test Equipment RFQ_20090427_Leopard Lemur Squirrel UniBom-06.22.2010_EE cost _update_internal 2 2 3" xfId="18154"/>
    <cellStyle name="20% - Accent2 2 4" xfId="18155"/>
    <cellStyle name="20% - Accent2 2 4 2" xfId="18156"/>
    <cellStyle name="差_Flow Chart&amp;PQ分析(12-1)_Leopard Flowchart &amp; 產能評估" xfId="18157"/>
    <cellStyle name="好_River EE BOM_Creak Pearl Reliability Fixture RFQ_2009 04 24_Bolt RFQ_Foxlink_03.1 2011 2 3" xfId="18158"/>
    <cellStyle name="20% - Accent2 2 4 3" xfId="18159"/>
    <cellStyle name="Unprot_All BOMS Metro" xfId="18160"/>
    <cellStyle name="20% - Accent2 2 6" xfId="18161"/>
    <cellStyle name="20% - Accent2 3" xfId="18162"/>
    <cellStyle name="好_River EE BOM_Stream Package Quotation_20090311_Bolt EE tracker 20110421" xfId="18163"/>
    <cellStyle name="20% - 强调文字颜色 2 4" xfId="18164"/>
    <cellStyle name="20% - Accent2 3 2 2" xfId="18165"/>
    <cellStyle name="20% - Accent2 3 5" xfId="18166"/>
    <cellStyle name="20% - 强调文字颜色 2 5" xfId="18167"/>
    <cellStyle name="20% - Accent2 4" xfId="18168"/>
    <cellStyle name="20% - Accent2 5" xfId="18169"/>
    <cellStyle name="20% - Accent2 6" xfId="18170"/>
    <cellStyle name="20% - Accent2 7" xfId="18171"/>
    <cellStyle name="20% - Accent3" xfId="18172"/>
    <cellStyle name="20% - Accent3 11" xfId="18173"/>
    <cellStyle name="20% - Accent3 12" xfId="18174"/>
    <cellStyle name="差_Xl0000000_Leopard_UniBOM_ME_0603-2" xfId="18175"/>
    <cellStyle name="差_dallas產能評估_flow chart 2009.12.12_Flow Chart&amp;設備治工具清單 _Jackson 效益分析 (2-1 B0 上系統)_Leopard Flowchart &amp; 產能評估" xfId="18176"/>
    <cellStyle name="20% - Accent3 14" xfId="18177"/>
    <cellStyle name="20% - Accent3 15" xfId="18178"/>
    <cellStyle name="好_Creek EE BOM cost_20090425_Creek RFQ feedback 04_28_2009_FD Update_Leopard Lemur Squirrel UniBom-06.22.2010_EE cost _update_internal_Bolt RFQ Proposal_Foxlink_ (Pricing Summary) 2 25 2011 3" xfId="18179"/>
    <cellStyle name="差_Squirrel UniBom-06.23.2010_update_internal_Bolt RFQ Proposal_Foxlink_ (Pricing Summary) 2 25 2011" xfId="18180"/>
    <cellStyle name="好_River EE BOM_Xl0000002_Foxlink_Shadow RFQ NREUni BOM_12032009_Bolt RFQ_Foxlink_03.1 2011 5" xfId="18181"/>
    <cellStyle name="20% - Accent3 15 2" xfId="18182"/>
    <cellStyle name="20% - 强调文字颜色 3 3" xfId="18183"/>
    <cellStyle name="20% - Accent3 2" xfId="18184"/>
    <cellStyle name="20% - 强调文字颜色 3 3 3" xfId="18185"/>
    <cellStyle name="20% - Accent3 2 3" xfId="18186"/>
    <cellStyle name="20% - Accent3 2 3 2" xfId="18187"/>
    <cellStyle name="20% - Accent3 2 3 3" xfId="18188"/>
    <cellStyle name="好_River EE BOM_Creak Pearl Reliability Fixture RFQ_2009 04 24_Creek RFQ feedback 04_28_2009_FD Update_Leopard UniBom_Foxlink_6 21 2010-ME_nego_Bolt RFQ_Foxlink_03.1 2011_nego meeting@MACH" xfId="18189"/>
    <cellStyle name="20% - 强调文字颜色 3 3 4" xfId="18190"/>
    <cellStyle name="20% - Accent3 2 4" xfId="18191"/>
    <cellStyle name="好_River EE BOM_Creak Pearl Reliability Fixture RFQ_2009 04 24_Creek RFQ feedback 04_28_2009_FD Update_Leopard UniBom_Foxlink_6 21 2010-ME_nego_Bolt RFQ_Foxlink_03.1 2011_nego meeting@MACH 3" xfId="18192"/>
    <cellStyle name="20% - Accent3 2 4 3" xfId="18193"/>
    <cellStyle name="好_River EE BOM_Xl0000002_Leopard Lemur Squirrel UniBom-06.22.2010_EE cost _update_internal 3 2" xfId="18194"/>
    <cellStyle name="20% - Accent3 2 5" xfId="18195"/>
    <cellStyle name="20% - 强调文字颜色 3 4" xfId="18196"/>
    <cellStyle name="20% - Accent3 3" xfId="18197"/>
    <cellStyle name="20% - Accent3 3 2" xfId="18198"/>
    <cellStyle name="20% - Accent3 3 2 2" xfId="18199"/>
    <cellStyle name="20% - Accent3 3 2 3" xfId="18200"/>
    <cellStyle name="差_Creak Pearl Reliability Fixture RFQ_2009 04 24_Creek  Pearl RFQ_May 12_Leopard_UniBOM_ME_0602 2 2" xfId="18201"/>
    <cellStyle name="20% - Accent3 3 3" xfId="18202"/>
    <cellStyle name="差_Creak Pearl Reliability Fixture RFQ_2009 04 24_Creek  Pearl RFQ_May 12_Leopard_UniBOM_ME_0602 2 2 2" xfId="18203"/>
    <cellStyle name="20% - Accent3 3 3 2" xfId="18204"/>
    <cellStyle name="差_Creak Pearl Reliability Fixture RFQ_2009 04 24_Creek  Pearl RFQ_May 12_Leopard_UniBOM_ME_0602 2 2 3" xfId="18205"/>
    <cellStyle name="20% - Accent3 3 3 3" xfId="18206"/>
    <cellStyle name="差_Creak Pearl Reliability Fixture RFQ_2009 04 24_Creek  Pearl RFQ_May 12_Leopard_UniBOM_ME_0602 2 3" xfId="18207"/>
    <cellStyle name="20% - Accent3 3 4" xfId="18208"/>
    <cellStyle name="20% - Accent3 6" xfId="18209"/>
    <cellStyle name="Normal 5 6 4 2" xfId="18210"/>
    <cellStyle name="Normal 37 4 3" xfId="18211"/>
    <cellStyle name="Normal 42 4 3" xfId="18212"/>
    <cellStyle name="20% - Accent3 9" xfId="18213"/>
    <cellStyle name="差_HP Mouse 產能評估(上系統)_費用統計_squirrel效益分析08-17" xfId="18214"/>
    <cellStyle name="20% - Accent4 10" xfId="18215"/>
    <cellStyle name="20% - Accent4 11" xfId="18216"/>
    <cellStyle name="好_River EE BOM_Creak Pearl Reliability Fixture RFQ_2009 04 24_Xl0000002_Leopard RFQ ME BOM Costs-0618-2_Bolt RFQ Proposal_Foxlink_ (Pricing Summary) 2 25 2011 3 2" xfId="18217"/>
    <cellStyle name="20% - Accent4 12" xfId="18218"/>
    <cellStyle name="好_River EE BOM_Creak Pearl Reliability Fixture RFQ_2009 04 24_Xl0000002_Leopard RFQ ME BOM Costs-0618-2_Bolt RFQ Proposal_Foxlink_ (Pricing Summary) 2 25 2011 3 3" xfId="18219"/>
    <cellStyle name="20% - Accent4 13" xfId="18220"/>
    <cellStyle name="差_Creak Pearl Reliability Fixture RFQ_2009 04 24_Xl0000002_Bristol UniBom_Foxlink_02082011 RevA" xfId="18221"/>
    <cellStyle name="計算" xfId="18222"/>
    <cellStyle name="20% - Accent4 14" xfId="18223"/>
    <cellStyle name="差_HP Mouse 產能評估(Forecast更改後)_費用統計_Jackson 效益分析 (2-1 B0 上系統)_Leopard效益分析08-17" xfId="18224"/>
    <cellStyle name="差_dallas產能評估_Dallas效益分析&amp;投資回收期 (12-2 A1)_Jackson 效益分析 testing update_16th Jan111_Jackson 效益分析 (2-1 B0 上系統)_Leopard Flowchart &amp; 產能評估" xfId="18225"/>
    <cellStyle name="20% - Accent4 15 2" xfId="18226"/>
    <cellStyle name="20% - 强调文字颜色 4 3" xfId="18227"/>
    <cellStyle name="20% - Accent4 2" xfId="18228"/>
    <cellStyle name="好_River EE BOM_Xl0000000_Leopard Lemur Squirrel UniBom-06.22.2010_EE cost _update_internal_Bolt RFQ Proposal_Foxlink_ (Pricing Summary) 2 25 2011" xfId="18229"/>
    <cellStyle name="20% - 强调文字颜色 4 3 3" xfId="18230"/>
    <cellStyle name="20% - Accent4 2 3" xfId="18231"/>
    <cellStyle name="好_River EE BOM_Xl0000000_Leopard Lemur Squirrel UniBom-06.22.2010_EE cost _update_internal_Bolt RFQ Proposal_Foxlink_ (Pricing Summary) 2 25 2011 3" xfId="18232"/>
    <cellStyle name="好_Creek Assembly Fixture  Test Equipment RFQ_20090427_Leopard UniBom_Foxlink_6 21 2010-ME_nego_Bolt RFQ_Foxlink_03.1 2011_Bolt_Cliff 6" xfId="18233"/>
    <cellStyle name="20% - Accent4 2 3 3" xfId="18234"/>
    <cellStyle name="20% - 强调文字颜色 4 3 4" xfId="18235"/>
    <cellStyle name="20% - Accent4 2 4" xfId="18236"/>
    <cellStyle name="20% - Accent4 2 4 2" xfId="18237"/>
    <cellStyle name="20% - Accent4 2 4 3" xfId="18238"/>
    <cellStyle name="20% - 强调文字颜色 4 4" xfId="18239"/>
    <cellStyle name="20% - Accent4 3" xfId="18240"/>
    <cellStyle name="20% - Accent4 3 2" xfId="18241"/>
    <cellStyle name="20% - Accent4 3 2 2" xfId="18242"/>
    <cellStyle name="20% - Accent4 3 2 3" xfId="18243"/>
    <cellStyle name="20% - Accent4 3 3" xfId="18244"/>
    <cellStyle name="20% - Accent4 3 3 3" xfId="18245"/>
    <cellStyle name="好_Creek Assembly Fixture  Test Equipment RFQ_20090427_Xl0000002_Leopard_UniBOM_ME_0603-2_Bolt RFQ Proposal_Foxlink_ (Pricing Summary) 2 25 2011 2 2" xfId="18246"/>
    <cellStyle name="20% - Accent4 3 4" xfId="18247"/>
    <cellStyle name="差_Creak Pearl Reliability Fixture RFQ_2009 04 24_Pearl RFQ(Submittal)ver2_05_12_2009 _Foxlink_Shadow RFQ NREUni BOM_12032009_Bolt RFQ_Foxlink_03.1 2011 3 2" xfId="18248"/>
    <cellStyle name="20% - Accent4 3 5" xfId="18249"/>
    <cellStyle name="20% - 强调文字颜色 4 5" xfId="18250"/>
    <cellStyle name="20% - Accent4 4" xfId="18251"/>
    <cellStyle name="20% - Accent4 5" xfId="18252"/>
    <cellStyle name="20% - Accent4 6" xfId="18253"/>
    <cellStyle name="20% - Accent4 7" xfId="18254"/>
    <cellStyle name="Percent 26 2" xfId="18255"/>
    <cellStyle name="20% - Accent5" xfId="18256"/>
    <cellStyle name="好_River EE BOM_Creak Pearl Reliability Fixture RFQ_2009 04 24_Pearl RFQ(Submittal)ver2_05_12_2009 _Leopard RFQ ME BOM Costs-0618_Bolt RFQ Proposal_Foxlink_ (Pricing Summary) 2 25 2011 5 2" xfId="18257"/>
    <cellStyle name="20% - Accent5 10" xfId="18258"/>
    <cellStyle name="差_HP Mouse 產能評估(上系統)_Erie 效益分析 (Update)_~5631336_Jackson 效益分析 (2-1 B0 上系統)_Leopard效益分析08-17" xfId="18259"/>
    <cellStyle name="好_River EE BOM_Creak Pearl Reliability Fixture RFQ_2009 04 24_Pearl RFQ(Submittal)ver2_05_12_2009 _Leopard RFQ ME BOM Costs-0618_Bolt RFQ Proposal_Foxlink_ (Pricing Summary) 2 25 2011 5 3" xfId="18260"/>
    <cellStyle name="20% - Accent5 11" xfId="18261"/>
    <cellStyle name="20% - Accent5 12" xfId="18262"/>
    <cellStyle name="差_Xl0000002_Squirrel UniBom-06.23.2010_update_internal_Bolt RFQ_Foxlink_03.1 2011" xfId="18263"/>
    <cellStyle name="20% - Accent5 14" xfId="18264"/>
    <cellStyle name="20% - Accent5 15" xfId="18265"/>
    <cellStyle name="20% - Accent5 15 2" xfId="18266"/>
    <cellStyle name="20% - Accent5 15 3" xfId="18267"/>
    <cellStyle name="Percent 26 2 2" xfId="18268"/>
    <cellStyle name="20% - 强调文字颜色 5 3" xfId="18269"/>
    <cellStyle name="20% - Accent5 2" xfId="18270"/>
    <cellStyle name="20% - 强调文字颜色 5 3 3" xfId="18271"/>
    <cellStyle name="20% - Accent5 2 3" xfId="18272"/>
    <cellStyle name="20% - Accent5 2 3 2" xfId="18273"/>
    <cellStyle name="20% - Accent5 2 3 3" xfId="18274"/>
    <cellStyle name="20% - 强调文字颜色 5 3 4" xfId="18275"/>
    <cellStyle name="20% - Accent5 2 4" xfId="18276"/>
    <cellStyle name="20% - Accent5 2 4 2" xfId="18277"/>
    <cellStyle name="20% - Accent5 2 4 3" xfId="18278"/>
    <cellStyle name="20% - Accent5 2 5" xfId="18279"/>
    <cellStyle name="好_River EE BOM_Creek RFQ feedback 04_28_2009_FD Update_Leopard RFQ ME BOM Costs-0618-2_Bolt RFQ_Foxlink_03.1 2011 2" xfId="18280"/>
    <cellStyle name="20% - Accent5 2 6" xfId="18281"/>
    <cellStyle name="好_River EE BOM_Creek RFQ feedback 04_28_2009_FD Update_Leopard RFQ ME BOM Costs-0618-2_Bolt RFQ_Foxlink_03.1 2011 3" xfId="18282"/>
    <cellStyle name="20% - 强调文字颜色 5 4" xfId="18283"/>
    <cellStyle name="20% - Accent5 3" xfId="18284"/>
    <cellStyle name="20% - Accent5 3 2" xfId="18285"/>
    <cellStyle name="20% - Accent5 3 2 2" xfId="18286"/>
    <cellStyle name="20% - Accent5 3 3 2" xfId="18287"/>
    <cellStyle name="20% - Accent5 3 5" xfId="18288"/>
    <cellStyle name="20% - 强调文字颜色 5 5" xfId="18289"/>
    <cellStyle name="20% - Accent5 4" xfId="18290"/>
    <cellStyle name="好_Creek Assembly Fixture  Test Equipment RFQ_20090427_Foxlink_Shadow RFQ NREUni BOM_12032009_Bolt RFQ_Foxlink_03.1 2011_Bolt_Cliff 5" xfId="18291"/>
    <cellStyle name="20% - Accent5 9" xfId="18292"/>
    <cellStyle name="20% - Accent6" xfId="18293"/>
    <cellStyle name="20% - Accent6 11" xfId="18294"/>
    <cellStyle name="好_River EE BOM_Creak Pearl Reliability Fixture RFQ_2009 04 24_Leopard UniBom_Foxlink_6 21 2010-ME_nego_Bolt RFQ_Foxlink_03.1 2011 2 3" xfId="18295"/>
    <cellStyle name="20% - Accent6 13" xfId="18296"/>
    <cellStyle name="20% - Accent6 14" xfId="18297"/>
    <cellStyle name="20% - Accent6 15" xfId="18298"/>
    <cellStyle name="20% - Accent6 15 2" xfId="18299"/>
    <cellStyle name="20% - Accent6 15 3" xfId="18300"/>
    <cellStyle name="20% - 强调文字颜色 6 3 2" xfId="18301"/>
    <cellStyle name="20% - Accent6 2 2" xfId="18302"/>
    <cellStyle name="no dec" xfId="18303"/>
    <cellStyle name="20% - 强调文字颜色 6 3 3" xfId="18304"/>
    <cellStyle name="20% - Accent6 2 3" xfId="18305"/>
    <cellStyle name="20% - Accent6 2 3 2" xfId="18306"/>
    <cellStyle name="20% - Accent6 2 3 3" xfId="18307"/>
    <cellStyle name="差_Xl0000000_Leopard RFQ ME BOM Costs-0618-2_Bolt RFQ_Foxlink_03.1 2011 2 3" xfId="18308"/>
    <cellStyle name="20% - Accent6 2 4 2" xfId="18309"/>
    <cellStyle name="差_效益分析&amp;產能評估_M1 SuedeFixtureEquipment Cost_A0_2010_10_15_Bolt RFQ Proposal_Foxlink_ (Pricing Summary) 2 25 2011 2 2 2" xfId="18310"/>
    <cellStyle name="20% - Accent6 2 4 3" xfId="18311"/>
    <cellStyle name="差_Xl0000000_Leopard_UniBOM_ME_0602-1 2" xfId="18312"/>
    <cellStyle name="20% - Accent6 2 6" xfId="18313"/>
    <cellStyle name="20% - Accent6 3 2" xfId="18314"/>
    <cellStyle name="20% - Accent6 3 2 2" xfId="18315"/>
    <cellStyle name="20% - Accent6 3 2 3" xfId="18316"/>
    <cellStyle name="20% - Accent6 3 3 2" xfId="18317"/>
    <cellStyle name="20% - Accent6 3 4" xfId="18318"/>
    <cellStyle name="20% - Accent6 3 5" xfId="18319"/>
    <cellStyle name="20% - Accent6 5" xfId="18320"/>
    <cellStyle name="差_F3   SMT設備明細_Bolt RFQ_Foxlink_03.1 2011_nego meeting@MACH 2" xfId="18321"/>
    <cellStyle name="20% - Accent6 6" xfId="18322"/>
    <cellStyle name="差_F3   SMT設備明細_Bolt RFQ_Foxlink_03.1 2011_nego meeting@MACH 3" xfId="18323"/>
    <cellStyle name="20% - Accent6 7" xfId="18324"/>
    <cellStyle name="差_F3   SMT設備明細_Bolt RFQ_Foxlink_03.1 2011_nego meeting@MACH 4" xfId="18325"/>
    <cellStyle name="20% - Accent6 8" xfId="18326"/>
    <cellStyle name="差_F3   SMT設備明細_Bolt RFQ_Foxlink_03.1 2011_nego meeting@MACH 5" xfId="18327"/>
    <cellStyle name="20% - Accent6 9" xfId="18328"/>
    <cellStyle name="20% - アクセント 1" xfId="18329"/>
    <cellStyle name="20% - アクセント 2" xfId="18330"/>
    <cellStyle name="好_效益分析&amp;產能評估_Bolt RFQ_Foxlink_03.1 2011_nego meeting@MACH 2" xfId="18331"/>
    <cellStyle name="20% - アクセント 3" xfId="18332"/>
    <cellStyle name="好_效益分析&amp;產能評估_Bolt RFQ_Foxlink_03.1 2011_nego meeting@MACH 3" xfId="18333"/>
    <cellStyle name="好_River EE BOM_Xl0000000_Leopard UniBom_Foxlink_6 21 2010-ME_nego_Bolt RFQ_Foxlink_03.1 2011_nego meeting@MACH 2" xfId="18334"/>
    <cellStyle name="20% - アクセント 4" xfId="18335"/>
    <cellStyle name="好_效益分析&amp;產能評估_Bolt RFQ_Foxlink_03.1 2011_nego meeting@MACH 4" xfId="18336"/>
    <cellStyle name="好_River EE BOM_Xl0000000_Leopard UniBom_Foxlink_6 21 2010-ME_nego_Bolt RFQ_Foxlink_03.1 2011_nego meeting@MACH 3" xfId="18337"/>
    <cellStyle name="好_Dolce build QA daily report_ 2011.2.21" xfId="18338"/>
    <cellStyle name="20% - アクセント 5" xfId="18339"/>
    <cellStyle name="好_效益分析&amp;產能評估_Bolt RFQ_Foxlink_03.1 2011_nego meeting@MACH 5" xfId="18340"/>
    <cellStyle name="好_River EE BOM_Xl0000000_Leopard UniBom_Foxlink_6 21 2010-ME_nego_Bolt RFQ_Foxlink_03.1 2011_nego meeting@MACH 4" xfId="18341"/>
    <cellStyle name="好_Dolce build QA daily report_ 2011.2.22" xfId="18342"/>
    <cellStyle name="20% - アクセント 6" xfId="18343"/>
    <cellStyle name="好_Creek EE BOM cost_20090425_Creek RFQ feedback 04_28_2009_FD Update_Squirrel RFQ ME BOM Costs-0623_Bolt RFQ_Foxlink_03.1 2011_nego meeting@MACH 3 2" xfId="18344"/>
    <cellStyle name="20% - 强调文字颜色 1 2" xfId="18345"/>
    <cellStyle name="好_Creek Assembly Fixture  Test Equipment RFQ_20090427_Leopard RFQ ME BOM Costs-0618-2_Bolt RFQ_Foxlink_03.1 2011_Bolt_Cliff" xfId="18346"/>
    <cellStyle name="20% - 强调文字颜色 1 2 2" xfId="18347"/>
    <cellStyle name="好_Erie Assembly Fixture  Test Equip Cost_20090716_Bolt RFQ_Foxlink_03.1 2011_nego meeting@MACH 2 3" xfId="18348"/>
    <cellStyle name="差_F3   SMT設備明細_效益分析_Flow Chart(shadow)-b (1-4 Update)_Leopard Flowchart &amp; 產能評估" xfId="18349"/>
    <cellStyle name="好_River QA Report- 8.23_Dolce   QA Report 2010_0902_~7519239" xfId="18350"/>
    <cellStyle name="好_Creek Assembly Fixture  Test Equipment RFQ_20090427_Leopard RFQ ME BOM Costs-0618-2_Bolt RFQ_Foxlink_03.1 2011_Bolt_Cliff 2" xfId="18351"/>
    <cellStyle name="20% - 强调文字颜色 1 2 2 2" xfId="18352"/>
    <cellStyle name="好_Creek Assembly Fixture  Test Equipment RFQ_20090427_Leopard RFQ ME BOM Costs-0618-2_Bolt RFQ_Foxlink_03.1 2011_Bolt_Cliff 2 2" xfId="18353"/>
    <cellStyle name="20% - 强调文字颜色 1 2 2 2 2" xfId="18354"/>
    <cellStyle name="好_River EE BOM_Creak Pearl Reliability Fixture RFQ_2009 04 24_Creek  Pearl RFQ_May 12_Leopard_UniBOM_ME_0531_Bolt RFQ_Foxlink_03.1 2011 3 2" xfId="18355"/>
    <cellStyle name="好_Creek Assembly Fixture  Test Equipment RFQ_20090427_Leopard RFQ ME BOM Costs-0618-2_Bolt RFQ_Foxlink_03.1 2011_Bolt_Cliff 2 3" xfId="18356"/>
    <cellStyle name="Normal 18 3 2" xfId="18357"/>
    <cellStyle name="Normal 23 3 2" xfId="18358"/>
    <cellStyle name="20% - 强调文字颜色 1 2 2 2 3" xfId="18359"/>
    <cellStyle name="好_Creek Assembly Fixture  Test Equipment RFQ_20090427_Leopard RFQ ME BOM Costs-0618-2_Bolt RFQ_Foxlink_03.1 2011_Bolt_Cliff 3" xfId="18360"/>
    <cellStyle name="好_River EE BOM_Creak Pearl Reliability Fixture RFQ_2009 04 24_Pearl RFQ(Submittal)ver2_05_12_2009 _Squirrel UniBom-06.23.2010_update_internal_Bolt RFQ_Foxlink_03.1 2011" xfId="18361"/>
    <cellStyle name="20% - 强调文字颜色 1 2 2 3" xfId="18362"/>
    <cellStyle name="20% - 强调文字颜色 1 2 3" xfId="18363"/>
    <cellStyle name="好_Erie Assembly Fixture  Test Equip Cost_20090716_Bolt RFQ_Foxlink_03.1 2011_nego meeting@MACH 3 3" xfId="18364"/>
    <cellStyle name="20% - 强调文字颜色 1 2 3 2" xfId="18365"/>
    <cellStyle name="20% - 强调文字颜色 1 2 3 3" xfId="18366"/>
    <cellStyle name="20% - 强调文字颜色 1 2 4" xfId="18367"/>
    <cellStyle name="20% - 强调文字颜色 1 2 5" xfId="18368"/>
    <cellStyle name="好_Creek Assembly Fixture  Test Equipment RFQ_20090427_Leopard Lemur Squirrel UniBom-06.22.2010_EE cost _update_internal_Bolt_Cliff 3" xfId="18369"/>
    <cellStyle name="20% - 强调文字颜色 1 3 2 2" xfId="18370"/>
    <cellStyle name="好_Creek Assembly Fixture  Test Equipment RFQ_20090427_Leopard Lemur Squirrel UniBom-06.22.2010_EE cost _update_internal_Bolt_Cliff 4" xfId="18371"/>
    <cellStyle name="20% - 强调文字颜色 1 3 2 3" xfId="18372"/>
    <cellStyle name="20% - 强调文字颜色 2 2" xfId="18373"/>
    <cellStyle name="20% - 强调文字颜色 2 2 2" xfId="18374"/>
    <cellStyle name="20% - 强调文字颜色 2 2 2 2" xfId="18375"/>
    <cellStyle name="20% - 强调文字颜色 2 2 2 2 3" xfId="18376"/>
    <cellStyle name="好_Creek Assembly Fixture  Test Equipment RFQ_20090427_Leopard UniBom_Foxlink_6 21 2010-ME_nego_Bolt_Cliff 5 2" xfId="18377"/>
    <cellStyle name="20% - 强调文字颜色 2 2 2 4" xfId="18378"/>
    <cellStyle name="åÖãÊêÿÇË_report3" xfId="18379"/>
    <cellStyle name="20% - 强调文字颜色 2 2 3" xfId="18380"/>
    <cellStyle name="20% - 强调文字颜色 2 2 3 2" xfId="18381"/>
    <cellStyle name="20% - 强调文字颜色 2 2 3 3" xfId="18382"/>
    <cellStyle name="好_River EE BOM_Creak Pearl Reliability Fixture RFQ_2009 04 24_Xl0000002_Leopard_UniBOM_ME_0531 2 4" xfId="18383"/>
    <cellStyle name="好_Creek Assembly Fixture  Test Equipment RFQ_20090427_Leopard_UniBOM_ME_0531_Bolt RFQ_Foxlink_03.1 2011 2 3" xfId="18384"/>
    <cellStyle name="20% - 强调文字颜色 2 3 2 2" xfId="18385"/>
    <cellStyle name="好_Creek Assembly Fixture  Test Equipment RFQ_20090427_Leopard RFQ ME BOM Costs-0618-2 3" xfId="18386"/>
    <cellStyle name="差_Creak Pearl Reliability Fixture RFQ_2009 04 24_Xl0000002_Leopard Lemur Squirrel UniBom-06.22.2010_EE cost _update_internal_Bolt RFQ Proposal_Foxlink_ (Pricing Summary) 2 25 2011" xfId="18387"/>
    <cellStyle name="20% - 强调文字颜色 2 5 2" xfId="18388"/>
    <cellStyle name="20% - 强调文字颜色 2 5 3" xfId="18389"/>
    <cellStyle name="差_jupite r設備&amp;治工具LIST (總)_flow chart 2009.12.12_~5631336_Jackson 效益分析 (2-1 B0 上系統)_Leopard Flowchart &amp; 產能評估" xfId="18390"/>
    <cellStyle name="20% - 强调文字颜色 3 2" xfId="18391"/>
    <cellStyle name="20% - 强调文字颜色 3 2 2" xfId="18392"/>
    <cellStyle name="20% - 强调文字颜色 3 2 2 2" xfId="18393"/>
    <cellStyle name="差_效益分析(總 12-28 Update)_Jackson 效益分析 (2-1 B0 上系統)_squirrel效益分析08-17" xfId="18394"/>
    <cellStyle name="20% - 强调文字颜色 3 2 2 2 2" xfId="18395"/>
    <cellStyle name="差_MS Bolt wireless mouse FixtureEquipment Cost_A5_2010_02_21_Bolt RFQ Proposal_Foxlink_ (Pricing Summary) 2 25 2011" xfId="18396"/>
    <cellStyle name="20% - 强调文字颜色 3 2 2 2 3" xfId="18397"/>
    <cellStyle name="20% - 强调文字颜色 3 2 2 3" xfId="18398"/>
    <cellStyle name="20% - 强调文字颜色 3 2 2 4" xfId="18399"/>
    <cellStyle name="好_River EE BOM_Creak Pearl Reliability Fixture RFQ_2009 04 24_Leopard Lemur Squirrel UniBom-06.22.2010_EE cost _update_internal 2" xfId="18400"/>
    <cellStyle name="20% - 强调文字颜色 3 2 3 2" xfId="18401"/>
    <cellStyle name="好_River EE BOM_Creak Pearl Reliability Fixture RFQ_2009 04 24_Leopard Lemur Squirrel UniBom-06.22.2010_EE cost _update_internal 3" xfId="18402"/>
    <cellStyle name="20% - 强调文字颜色 3 2 3 3" xfId="18403"/>
    <cellStyle name="好_River EE BOM_Xl0000002_Leopard Lemur Squirrel UniBom-06.22.2010_EE cost _update_internal 2 2" xfId="18404"/>
    <cellStyle name="20% - 强调文字颜色 3 2 5" xfId="18405"/>
    <cellStyle name="20% - 强调文字颜色 3 3 2 2" xfId="18406"/>
    <cellStyle name="20% - 强调文字颜色 3 3 2 3" xfId="18407"/>
    <cellStyle name="好_River EE BOM_Creek RFQ feedback 04_28_2009_FD Update_Bolt RFQ Proposal_Foxlink_ (Pricing Summary) 2 25 2011 7" xfId="18408"/>
    <cellStyle name="20% - 强调文字颜色 3 5 2" xfId="18409"/>
    <cellStyle name="好_River EE BOM_Creak Pearl Reliability Fixture RFQ_2009 04 24_Pearl RFQ(Submittal)ver2_05_12_2009 _Leopard UniBom_Foxlink_6 21 2010-ME_nego_Bolt RFQ_Foxlink_03.1 2011" xfId="18410"/>
    <cellStyle name="差_Creak Pearl Reliability Fixture RFQ_2009 04 24_Creek  Pearl RFQ_May 12_Leopard_UniBOM_ME_0602 3 2" xfId="18411"/>
    <cellStyle name="20% - 强调文字颜色 3 5 3" xfId="18412"/>
    <cellStyle name="20% - 强调文字颜色 4 2 2" xfId="18413"/>
    <cellStyle name="20% - 强调文字颜色 4 2 2 2" xfId="18414"/>
    <cellStyle name="好_Creek EE BOM cost_20090425_Leopard_UniBOM_ME_0602-1" xfId="18415"/>
    <cellStyle name="差_治具工程課2009年KPI_KPI 1006 2 5" xfId="18416"/>
    <cellStyle name="差_Creak Pearl Reliability Fixture RFQ_2009 04 24_Leopard RFQ ME BOM Costs-0618_Bolt RFQ_Foxlink_03.1 2011 5" xfId="18417"/>
    <cellStyle name="差_F3   SMT設備明細_MS Bolt wireless mouse FixtureEquipment Cost_A5_2010_02_21_Bolt RFQ Proposal_Foxlink_ (Pricing Summary) 2 25 2011" xfId="18418"/>
    <cellStyle name="20% - 强调文字颜色 4 2 2 2 2" xfId="18419"/>
    <cellStyle name="好_River EE BOM_Xl0000002_Leopard Lemur Squirrel UniBom-06.22.2010_EE cost _update_internal_Bolt RFQ_Foxlink_03.1 2011_nego meeting@MACH 3 2" xfId="18420"/>
    <cellStyle name="20% - 强调文字颜色 4 2 2 2 3" xfId="18421"/>
    <cellStyle name="20% - 强调文字颜色 4 2 2 3" xfId="18422"/>
    <cellStyle name="差_F3   SMT設備明細_jupite r設備&amp;治工具LIST (總)_Flow Chart&amp;PQ分析(12-1)_Jackson 效益分析 testing update_16th Jan1" xfId="18423"/>
    <cellStyle name="20% - 强调文字颜色 4 2 3" xfId="18424"/>
    <cellStyle name="差_Erie mouse 效益分析( 11-19 A1)_Flow chart and Fixture(1-4)_Jackson 效益分析 (2-1 B0 上系統)_Leopard Flowchart &amp; 產能評估" xfId="18425"/>
    <cellStyle name="20% - 强调文字颜色 4 2 5" xfId="18426"/>
    <cellStyle name="差_F3   SMT設備明細_jupite r設備&amp;治工具LIST (總)_flow chart 2009.12.12_Flow Chart&amp;設備治工具清單 _Leopard Flowchart &amp; 產能評估" xfId="18427"/>
    <cellStyle name="20% - 强调文字颜色 4 3 2 2" xfId="18428"/>
    <cellStyle name="20% - 强调文字颜色 4 3 2 3" xfId="18429"/>
    <cellStyle name="差_HP Mouse 產能評估(Forecast更改後)_Bolt RFQ Proposal_Foxlink_ (Pricing Summary) 2 25 2011 7" xfId="18430"/>
    <cellStyle name="20% - 强调文字颜色 4 5 2" xfId="18431"/>
    <cellStyle name="20% - 强调文字颜色 4 5 3" xfId="18432"/>
    <cellStyle name="差_F3   SMT設備明細_jupite r設備&amp;治工具LIST (總)_Dallas flow chart&amp;設備&amp;治工具清單(12-8 A0)_Flow Chart&amp;設備治工具清單 _Jackson 效益分析 (2-1 B0 上系統)_Leopard效益分析08-17" xfId="18433"/>
    <cellStyle name="20% - 强调文字颜色 5 2" xfId="18434"/>
    <cellStyle name="20% - 强调文字颜色 5 2 2" xfId="18435"/>
    <cellStyle name="20% - 强调文字颜色 5 2 2 2" xfId="18436"/>
    <cellStyle name="20% - 强调文字颜色 5 2 2 2 2" xfId="18437"/>
    <cellStyle name="20% - 强调文字颜色 5 2 2 2 3" xfId="18438"/>
    <cellStyle name="20% - 强调文字颜色 5 2 2 3" xfId="18439"/>
    <cellStyle name="20% - 强调文字颜色 5 2 2 4" xfId="18440"/>
    <cellStyle name="差_HP Mouse 產能評估(Forecast更改後)_M1 SuedeFixtureEquipment Cost_A0_2010_10_15_Wedge_ME_BOM-v00-11v0630 2 2" xfId="18441"/>
    <cellStyle name="20% - 强调文字颜色 5 2 3" xfId="18442"/>
    <cellStyle name="20% - 强调文字颜色 5 2 3 2" xfId="18443"/>
    <cellStyle name="差_Creak Pearl Reliability Fixture RFQ_2009 04 24_Creek RFQ feedback 04_28_2009_FD Update_Leopard RFQ ME BOM Costs-0618 2 2" xfId="18444"/>
    <cellStyle name="20% - 强调文字颜色 5 2 3 3" xfId="18445"/>
    <cellStyle name="好_Erie 效益分析 (Update)_~5631336" xfId="18446"/>
    <cellStyle name="20% - 强调文字颜色 5 3 2 2" xfId="18447"/>
    <cellStyle name="20% - 强调文字颜色 5 3 2 3" xfId="18448"/>
    <cellStyle name="20% - 强调文字颜色 5 5 2" xfId="18449"/>
    <cellStyle name="20% - 强调文字颜色 5 5 3" xfId="18450"/>
    <cellStyle name="20% - 强调文字颜色 6 2 2" xfId="18451"/>
    <cellStyle name="20% - 强调文字颜色 6 2 2 2" xfId="18452"/>
    <cellStyle name="差_dallas產能評估_Dallas flow chart&amp;設備&amp;治工具清單(12-8 A0)_Jackson 效益分析 (2-1 B0 上系統)" xfId="18453"/>
    <cellStyle name="20% - 强调文字颜色 6 2 2 2 2" xfId="18454"/>
    <cellStyle name="20% - 强调文字颜色 6 2 2 2 3" xfId="18455"/>
    <cellStyle name="差_Creek RFQ feedback 04_28_2009_FD Update_Leopard RFQ ME BOM Costs-0618-2_Bolt RFQ_Foxlink_03.1 2011 3 2" xfId="18456"/>
    <cellStyle name="20% - 强调文字颜色 6 2 2 4" xfId="18457"/>
    <cellStyle name="20% - 强调文字颜色 6 2 3" xfId="18458"/>
    <cellStyle name="20% - 强调文字颜色 6 2 3 2" xfId="18459"/>
    <cellStyle name="20% - 强调文字颜色 6 2 3 3" xfId="18460"/>
    <cellStyle name="20% - 强调文字颜色 6 2 4" xfId="18461"/>
    <cellStyle name="20% - 强调文字颜色 6 2 5" xfId="18462"/>
    <cellStyle name="差_Creak Pearl Reliability Fixture RFQ_2009 04 24_Creek RFQ feedback 04_28_2009_FD Update_Leopard_UniBOM_ME_0603-2_Bolt RFQ_Foxlink_03.1 2011_nego meeting@MACH 2" xfId="18463"/>
    <cellStyle name="差_dallas產能評估_Flow Chart(shadow)-b (1-4 Update)_squirrel效益分析08-17" xfId="18464"/>
    <cellStyle name="20% - 强调文字颜色 6 5 2" xfId="18465"/>
    <cellStyle name="20% - 强调文字颜色 6 5 3" xfId="18466"/>
    <cellStyle name="差_MB9月管審換線超時8d_HP 2 2 4" xfId="18467"/>
    <cellStyle name="20% - 輔色2 2" xfId="18468"/>
    <cellStyle name="差_Creak Pearl Reliability Fixture RFQ_2009 04 24_Pearl RFQ(Submittal)ver2_05_12_2009 _Squirrel UniBom-06.23.2010_update_internal_Bolt RFQ Proposal_Foxlink_ (Pricing Summary) 2 25 2011 2 4" xfId="18469"/>
    <cellStyle name="20% - 輔色3 2" xfId="18470"/>
    <cellStyle name="20% - 輔色4 2" xfId="18471"/>
    <cellStyle name="2line" xfId="18472"/>
    <cellStyle name="3" xfId="18473"/>
    <cellStyle name="³f¹ô [0]_PLDT" xfId="18474"/>
    <cellStyle name="³f¹ô_laroux" xfId="18475"/>
    <cellStyle name="好_Creek EE BOM cost_20090425_Squirrel UniBom-06.23.2010_update_internal_Bolt RFQ Proposal_Foxlink_ (Pricing Summary) 2 25 2011 3 2" xfId="18476"/>
    <cellStyle name="4" xfId="18477"/>
    <cellStyle name="4_C139 CCM 12181" xfId="18478"/>
    <cellStyle name="Heading 3 5" xfId="18479"/>
    <cellStyle name="4_Dell ASUS NV28GL NPI 10-11-021" xfId="18480"/>
    <cellStyle name="4_Dell ASUS NV28GL NPI 10-24-02B" xfId="18481"/>
    <cellStyle name="差_jupite r設備&amp;治工具LIST (總)_flow chart 2009.12.12_Flow Chart&amp;設備治工具清單 _~1159284" xfId="18482"/>
    <cellStyle name="4_Dell ASUS NV28GL NPI 10-25-021" xfId="18483"/>
    <cellStyle name="4_Dell ASUS NV28GL NPI 11-13-02" xfId="18484"/>
    <cellStyle name="Normal 4 7 2 4 2" xfId="18485"/>
    <cellStyle name="4_Dell ASUS NV28GL NPI 11-19-02" xfId="18486"/>
    <cellStyle name="4_Dell ASUS NV28GL NPI 12-18-02" xfId="18487"/>
    <cellStyle name="4_P139 CCM 1107" xfId="18488"/>
    <cellStyle name="差_Creak Pearl Reliability Fixture RFQ_2009 04 24_Leopard_UniBOM_ME_0602" xfId="18489"/>
    <cellStyle name="好_Creek Assembly Fixture  Test Equipment RFQ_20090427_Xl0000002_Bolt RFQ Proposal_Foxlink_ (Pricing Summary) 2 25 2011" xfId="18490"/>
    <cellStyle name="4_P139 CCM 1129" xfId="18491"/>
    <cellStyle name="4_Phoenix2_NPI_0409" xfId="18492"/>
    <cellStyle name="壞_Creek EE BOM cost_20090425_Squirrel UniBom-06.23.2010_update_internal_Bolt RFQ_Foxlink_03.1 2011 3 2" xfId="18493"/>
    <cellStyle name="差_Xl0000002_Leopard RFQ ME BOM Costs-0618_Bolt RFQ Proposal_Foxlink_ (Pricing Summary) 2 25 2011 5 2" xfId="18494"/>
    <cellStyle name="差_Creek RFQ feedback 04_28_2009_FD Update_Leopard_UniBOM_ME_0603-2" xfId="18495"/>
    <cellStyle name="4_Vesuvius-CR NPI tracker0606-US" xfId="18496"/>
    <cellStyle name="40% - Accent1" xfId="18497"/>
    <cellStyle name="好_MB9月管審誤判超標 8D_2009MB KPI_MBO3F製造部hp0209-01 2 4" xfId="18498"/>
    <cellStyle name="好_Creek Assembly Fixture  Test Equipment RFQ_20090427_Xl0000002_Squirrel RFQ ME BOM Costs-0623_Bolt RFQ Proposal_Foxlink_ (Pricing Summary) 2 25 2011 5 3" xfId="18499"/>
    <cellStyle name="40% - Accent1 11" xfId="18500"/>
    <cellStyle name="好_MB9月管審誤判超標 8D_2009MB KPI_MBO3F製造部hp0209-01 2 5" xfId="18501"/>
    <cellStyle name="40% - Accent1 12" xfId="18502"/>
    <cellStyle name="40% - Accent1 13" xfId="18503"/>
    <cellStyle name="好_HP Mouse 產能評估(Forecast更改後)" xfId="18504"/>
    <cellStyle name="40% - Accent1 14" xfId="18505"/>
    <cellStyle name="40% - Accent1 15" xfId="18506"/>
    <cellStyle name="40% - Accent1 15 2" xfId="18507"/>
    <cellStyle name="40% - Accent1 15 3" xfId="18508"/>
    <cellStyle name="40% - Accent1 2" xfId="18509"/>
    <cellStyle name="40% - Accent1 2 2" xfId="18510"/>
    <cellStyle name="40% - Accent1 2 3" xfId="18511"/>
    <cellStyle name="好_River EE BOM_Creek RFQ feedback 04_28_2009_FD Update_Bolt RFQ Proposal_Foxlink_ (Pricing Summary) 2 25 2011 2 2 2" xfId="18512"/>
    <cellStyle name="40% - Accent1 2 3 2" xfId="18513"/>
    <cellStyle name="40% - Accent1 2 3 3" xfId="18514"/>
    <cellStyle name="40% - Accent1 2 4" xfId="18515"/>
    <cellStyle name="好_River EE BOM_Creek RFQ feedback 04_28_2009_FD Update_Bolt RFQ Proposal_Foxlink_ (Pricing Summary) 2 25 2011 2 2 3" xfId="18516"/>
    <cellStyle name="40% - Accent1 2 4 2" xfId="18517"/>
    <cellStyle name="40% - Accent1 2 4 3" xfId="18518"/>
    <cellStyle name="40% - Accent1 2 5" xfId="18519"/>
    <cellStyle name="40% - Accent1 2 6" xfId="18520"/>
    <cellStyle name="好_River EE BOM_Xl0000002_Leopard UniBom_Foxlink_6 21 2010-ME_nego_Bolt RFQ Proposal_Foxlink_ (Pricing Summary) 2 25 2011 3 2" xfId="18521"/>
    <cellStyle name="40% - Accent1 3" xfId="18522"/>
    <cellStyle name="40% - Accent1 3 2" xfId="18523"/>
    <cellStyle name="差_Xl0000002_Leopard_UniBOM_ME_0602-1_Bolt RFQ_Foxlink_03.1 2011_nego meeting@MACH 3 3" xfId="18524"/>
    <cellStyle name="好_River EE BOM_Creak Pearl Reliability Fixture RFQ_2009 04 24_Creek RFQ feedback 04_28_2009_FD Update_Jackson and Shadow BOM cost_mainfile_2010 0324 rev.1" xfId="18525"/>
    <cellStyle name="40% - Accent1 3 2 2" xfId="18526"/>
    <cellStyle name="40% - Accent1 3 2 3" xfId="18527"/>
    <cellStyle name="40% - Accent1 3 3 2" xfId="18528"/>
    <cellStyle name="40% - Accent1 3 3 3" xfId="18529"/>
    <cellStyle name="40% - Accent1 3 4" xfId="18530"/>
    <cellStyle name="40% - Accent1 3 5" xfId="18531"/>
    <cellStyle name="好_River EE BOM_Xl0000002_Leopard UniBom_Foxlink_6 21 2010-ME_nego_Bolt RFQ Proposal_Foxlink_ (Pricing Summary) 2 25 2011 3 3" xfId="18532"/>
    <cellStyle name="40% - Accent1 4" xfId="18533"/>
    <cellStyle name="40% - Accent1 5" xfId="18534"/>
    <cellStyle name="差_效益分析&amp;產能評估_M1 SuedeFixtureEquipment Cost_A0_2010_10_15_Bolt RFQ_Foxlink_03.1 2011 2" xfId="18535"/>
    <cellStyle name="40% - Accent2 10" xfId="18536"/>
    <cellStyle name="40% - Accent1 6" xfId="18537"/>
    <cellStyle name="差_效益分析&amp;產能評估_M1 SuedeFixtureEquipment Cost_A0_2010_10_15_Bolt RFQ_Foxlink_03.1 2011 5" xfId="18538"/>
    <cellStyle name="40% - Accent2 13" xfId="18539"/>
    <cellStyle name="40% - Accent1 9" xfId="18540"/>
    <cellStyle name="40% - Accent2" xfId="18541"/>
    <cellStyle name="Grey" xfId="18542"/>
    <cellStyle name="40% - Accent2 14" xfId="18543"/>
    <cellStyle name="40% - Accent2 15 2" xfId="18544"/>
    <cellStyle name="40% - Accent2 15 3" xfId="18545"/>
    <cellStyle name="差_dallas產能評估_Dallas效益分析&amp;投資回收期 (12-2 A1)_Flow Chart&amp;設備治工具清單 " xfId="18546"/>
    <cellStyle name="40% - Accent2 2" xfId="18547"/>
    <cellStyle name="40% - Accent2 2 2" xfId="18548"/>
    <cellStyle name="好_River EE BOM_Creak Pearl Reliability Fixture RFQ_2009 04 24_Xl0000002_Leopard UniBom_Foxlink_6 21 2010-ME_nego_Bolt RFQ Proposal_Foxlink_ (Pricing Summary) 2 25 2011 3 2" xfId="18549"/>
    <cellStyle name="好_River EE BOM_Creak Pearl Reliability Fixture RFQ_2009 04 24_Pearl RFQ(Submittal)ver2_05_12_2009 _Leopard_UniBOM_ME_0602-1 2" xfId="18550"/>
    <cellStyle name="40% - Accent2 2 3" xfId="18551"/>
    <cellStyle name="好_River EE BOM_Creak Pearl Reliability Fixture RFQ_2009 04 24_Pearl RFQ(Submittal)ver2_05_12_2009 _Leopard_UniBOM_ME_0602-1 2 3" xfId="18552"/>
    <cellStyle name="好_River EE BOM_Xl0000002_Leopard Lemur Squirrel UniBom-06.22.2010_EE cost _update_internal_Bolt RFQ_Foxlink_03.1 2011_nego meeting@MACH 5" xfId="18553"/>
    <cellStyle name="40% - Accent2 2 3 3" xfId="18554"/>
    <cellStyle name="好_River EE BOM_Creak Pearl Reliability Fixture RFQ_2009 04 24_Leopard RFQ ME BOM Costs-0618_Bolt RFQ_Foxlink_03.1 2011 2 2" xfId="18555"/>
    <cellStyle name="40% - Accent2 2 5" xfId="18556"/>
    <cellStyle name="好_Creek Assembly Fixture  Test Equipment RFQ_20090427_Xl0000002_Squirrel RFQ ME BOM Costs-0623_Bolt RFQ Proposal_Foxlink_ (Pricing Summary) 2 25 2011 4 2" xfId="18557"/>
    <cellStyle name="40% - Accent2 2 6" xfId="18558"/>
    <cellStyle name="好_Creek Assembly Fixture  Test Equipment RFQ_20090427_Xl0000002_Squirrel RFQ ME BOM Costs-0623_Bolt RFQ Proposal_Foxlink_ (Pricing Summary) 2 25 2011 4 3" xfId="18559"/>
    <cellStyle name="好_River EE BOM_Xl0000002_Leopard UniBom_Foxlink_6 21 2010-ME_nego_Bolt RFQ Proposal_Foxlink_ (Pricing Summary) 2 25 2011 4 2" xfId="18560"/>
    <cellStyle name="40% - Accent2 3" xfId="18561"/>
    <cellStyle name="40% - Accent2 3 2" xfId="18562"/>
    <cellStyle name="40% - Accent2 3 2 3" xfId="18563"/>
    <cellStyle name="好_River EE BOM_Creak Pearl Reliability Fixture RFQ_2009 04 24_Xl0000002_Leopard UniBom_Foxlink_6 21 2010-ME_nego_Bolt RFQ Proposal_Foxlink_ (Pricing Summary) 2 25 2011 4 2" xfId="18564"/>
    <cellStyle name="40% - Accent2 3 3" xfId="18565"/>
    <cellStyle name="好_效益分析&amp;產能評估_Bolt RFQ_Foxlink_03.1 2011" xfId="18566"/>
    <cellStyle name="40% - Accent2 3 3 2" xfId="18567"/>
    <cellStyle name="好_River EE BOM_Foxlink_Shadow RFQ NREUni BOM_12032009_Squirrel UniBom_Foxlink_6 28 2010" xfId="18568"/>
    <cellStyle name="40% - Accent2 3 3 3" xfId="18569"/>
    <cellStyle name="差_dallas產能評估_flow chart 2009.12.12_Flow Chart&amp;設備治工具清單 _Leopard Flowchart &amp; 產能評估" xfId="18570"/>
    <cellStyle name="好_River EE BOM_Creak Pearl Reliability Fixture RFQ_2009 04 24_Xl0000002_Leopard UniBom_Foxlink_6 21 2010-ME_nego_Bolt RFQ Proposal_Foxlink_ (Pricing Summary) 2 25 2011 4 3" xfId="18571"/>
    <cellStyle name="好_MB9月管審誤判超標 8D_2009MB KPI_MBO3F製造部hp0209-01 2 2" xfId="18572"/>
    <cellStyle name="40% - Accent2 3 4" xfId="18573"/>
    <cellStyle name="Accent1 - 40%" xfId="18574"/>
    <cellStyle name="好_River EE BOM_Xl0000002_Leopard UniBom_Foxlink_6 21 2010-ME_nego_Bolt RFQ Proposal_Foxlink_ (Pricing Summary) 2 25 2011 4 3" xfId="18575"/>
    <cellStyle name="40% - Accent2 4" xfId="18576"/>
    <cellStyle name="40% - Accent2 5" xfId="18577"/>
    <cellStyle name="40% - Accent2 6" xfId="18578"/>
    <cellStyle name="壞_Creek Assembly Fixture  Test Equipment RFQ_20090427_Xl0000002 2 4" xfId="18579"/>
    <cellStyle name="好_River EE BOM_Xl0000002_Leopard UniBom_Foxlink_6 21 2010-ME_nego_Bolt RFQ Proposal_Foxlink_ (Pricing Summary) 2 25 2011 2" xfId="18580"/>
    <cellStyle name="40% - Accent2 7" xfId="18581"/>
    <cellStyle name="好_River EE BOM_Xl0000002_Leopard UniBom_Foxlink_6 21 2010-ME_nego_Bolt RFQ Proposal_Foxlink_ (Pricing Summary) 2 25 2011 3" xfId="18582"/>
    <cellStyle name="40% - Accent2 8" xfId="18583"/>
    <cellStyle name="40% - Accent6 6" xfId="18584"/>
    <cellStyle name="40% - Accent3 10" xfId="18585"/>
    <cellStyle name="40% - Accent6 8" xfId="18586"/>
    <cellStyle name="40% - Accent3 12" xfId="18587"/>
    <cellStyle name="40% - Accent6 9" xfId="18588"/>
    <cellStyle name="40% - Accent3 13" xfId="18589"/>
    <cellStyle name="40% - Accent3 15" xfId="18590"/>
    <cellStyle name="40% - Accent3 15 2" xfId="18591"/>
    <cellStyle name="40% - Accent3 15 3" xfId="18592"/>
    <cellStyle name="差_HP  專案(設備&amp;治工具需夠買)update_Erie 效益分析 (Update)_Flow chart and Fixture(Jackson)_A1" xfId="18593"/>
    <cellStyle name="40% - Accent3 2" xfId="18594"/>
    <cellStyle name="差_dallas產能評估_Dallas flow chart&amp;設備&amp;治工具清單(12-8 A0)_Flow chart and Fixture(Jackson)_A1_Jackson 效益分析 (2-1 B0 上系統)_squirrel效益分析08-17" xfId="18595"/>
    <cellStyle name="40% - Accent3 2 3" xfId="18596"/>
    <cellStyle name="40% - Accent3 2 3 3" xfId="18597"/>
    <cellStyle name="40% - Accent3 2 4" xfId="18598"/>
    <cellStyle name="差_Creak Pearl Reliability Fixture RFQ_2009 04 24_Creek RFQ feedback 04_28_2009_FD Update_Leopard Lemur Squirrel UniBom-06.22.2010_EE cost _update_internal_Bolt RFQ Proposal_Foxlink_ (Pricing Summary) 2 25 2011 5 3" xfId="18599"/>
    <cellStyle name="40% - Accent3 2 4 2" xfId="18600"/>
    <cellStyle name="40% - Accent3 2 5" xfId="18601"/>
    <cellStyle name="40% - Accent3 2 6" xfId="18602"/>
    <cellStyle name="好_River EE BOM_Xl0000002_Leopard UniBom_Foxlink_6 21 2010-ME_nego_Bolt RFQ Proposal_Foxlink_ (Pricing Summary) 2 25 2011 5 2" xfId="18603"/>
    <cellStyle name="40% - Accent3 3" xfId="18604"/>
    <cellStyle name="好_Erie 效益分析 (Update)_Leopard效益分析08-17" xfId="18605"/>
    <cellStyle name="40% - Accent3 3 2" xfId="18606"/>
    <cellStyle name="40% - Accent3 3 2 2" xfId="18607"/>
    <cellStyle name="40% - Accent3 3 2 3" xfId="18608"/>
    <cellStyle name="好_River EE BOM_Creak Pearl Reliability Fixture RFQ_2009 04 24_Pearl RFQ(Submittal)ver2_05_12_2009 _Leopard_UniBOM_ME_0603-2 2" xfId="18609"/>
    <cellStyle name="40% - Accent3 3 3" xfId="18610"/>
    <cellStyle name="好_River EE BOM_Creak Pearl Reliability Fixture RFQ_2009 04 24_Pearl RFQ(Submittal)ver2_05_12_2009 _Leopard_UniBOM_ME_0603-2 2 3" xfId="18611"/>
    <cellStyle name="40% - Accent3 3 3 3" xfId="18612"/>
    <cellStyle name="好_River EE BOM_Creak Pearl Reliability Fixture RFQ_2009 04 24_Pearl RFQ(Submittal)ver2_05_12_2009 _Leopard_UniBOM_ME_0603-2 3" xfId="18613"/>
    <cellStyle name="40% - Accent3 3 4" xfId="18614"/>
    <cellStyle name="差_Creak Pearl Reliability Fixture RFQ_2009 04 24_Creek  Pearl RFQ_May 12_Foxlink_Shadow RFQ NREUni BOM_12032009_Bolt RFQ Proposal_Foxlink_ (Pricing Summary) 2 25 2011 2" xfId="18615"/>
    <cellStyle name="40% - Accent6 10" xfId="18616"/>
    <cellStyle name="40% - Accent3 3 5" xfId="18617"/>
    <cellStyle name="差_F3   SMT設備明細_效益分析_flow chart 2009.12.12_效益分析(總 12-28 Update)_~1159284" xfId="18618"/>
    <cellStyle name="40% - Accent3 5" xfId="18619"/>
    <cellStyle name="40% - Accent3 6" xfId="18620"/>
    <cellStyle name="40% - Accent3 7" xfId="18621"/>
    <cellStyle name="40% - Accent3 8" xfId="18622"/>
    <cellStyle name="好_River EE BOM_Creak Pearl Reliability Fixture RFQ_2009 04 24_Creek RFQ feedback 04_28_2009_FD Update_Leopard Lemur Squirrel UniBom-06.22.2010_EE cost _update_internal_Bolt RFQ Proposal_Foxlink_ (Pricing Summary) 2 25 2011 2 2 2" xfId="18623"/>
    <cellStyle name="差_Foxlink_Shadow RFQ NREUni BOM_12032009_Wedge_ME_BOM-v00-11v0715" xfId="18624"/>
    <cellStyle name="40% - Accent3 9" xfId="18625"/>
    <cellStyle name="好_River EE BOM_Creak Pearl Reliability Fixture RFQ_2009 04 24_Creek RFQ feedback 04_28_2009_FD Update_Leopard Lemur Squirrel UniBom-06.22.2010_EE cost _update_internal_Bolt RFQ Proposal_Foxlink_ (Pricing Summary) 2 25 2011 2 2 3" xfId="18626"/>
    <cellStyle name="差_Xl0000000_Squirrel UniBom-06.23.2010_update_internal_Bolt RFQ_Foxlink_03.1 2011_nego meeting@MACH" xfId="18627"/>
    <cellStyle name="好_River EE BOM_Creak Pearl Reliability Fixture RFQ_2009 04 24_Leopard_UniBOM_ME_0602-1_Bolt RFQ_Foxlink_03.1 2011 2 2" xfId="18628"/>
    <cellStyle name="40% - Accent4" xfId="18629"/>
    <cellStyle name="40% - Accent4 10" xfId="18630"/>
    <cellStyle name="40% - Accent4 11" xfId="18631"/>
    <cellStyle name="40% - Accent4 15" xfId="18632"/>
    <cellStyle name="差_Xl0000000_Squirrel UniBom-06.23.2010_update_internal_Bolt RFQ_Foxlink_03.1 2011_nego meeting@MACH 2 2" xfId="18633"/>
    <cellStyle name="40% - Accent4 2 2" xfId="18634"/>
    <cellStyle name="差_Xl0000000_Squirrel UniBom-06.23.2010_update_internal_Bolt RFQ_Foxlink_03.1 2011_nego meeting@MACH 2 3" xfId="18635"/>
    <cellStyle name="40% - Accent4 2 3" xfId="18636"/>
    <cellStyle name="40% - Accent4 2 3 2" xfId="18637"/>
    <cellStyle name="好_River EE BOM_Xl0000000_Leopard RFQ ME BOM Costs-0618-2 2 4" xfId="18638"/>
    <cellStyle name="差_F3   SMT設備明細_jupite r設備&amp;治工具LIST (總)_Dallas效益分析&amp;投資回收期 (12-2 A1)_Jackson 效益分析 testing update_16th Jan1_Jackson 效益分析 (2-1 B0 上系統)_Leopard Flowchart &amp; 產能評估" xfId="18639"/>
    <cellStyle name="差_Xl0000000_Leopard_UniBOM_ME_0531_Bolt RFQ Proposal_Foxlink_ (Pricing Summary) 2 25 2011 5 2" xfId="18640"/>
    <cellStyle name="60% - Accent6 2" xfId="18641"/>
    <cellStyle name="40% - Accent4 2 4" xfId="18642"/>
    <cellStyle name="好_River EE BOM_Creak Pearl Reliability Fixture RFQ_2009 04 24_Pearl RFQ(Submittal)ver2_05_12_2009 _Leopard_UniBOM_ME_0603-2_Bolt RFQ Proposal_Foxlink_ (Pricing Summary) 2 25 2011 2 2 3" xfId="18643"/>
    <cellStyle name="60% - Accent6 2 2" xfId="18644"/>
    <cellStyle name="40% - Accent4 2 4 2" xfId="18645"/>
    <cellStyle name="差_F3   SMT設備明細_效益分析_Flow chart and Fixture(Jackson)_A1" xfId="18646"/>
    <cellStyle name="差_Xl0000000_Squirrel UniBom-06.23.2010_update_internal_Bolt RFQ_Foxlink_03.1 2011_nego meeting@MACH 3" xfId="18647"/>
    <cellStyle name="40% - Accent4 3" xfId="18648"/>
    <cellStyle name="40% - Accent4 3 2 2" xfId="18649"/>
    <cellStyle name="差_Creak Pearl Reliability Fixture RFQ_2009 04 24_Creek RFQ feedback 04_28_2009_FD Update_Leopard RFQ ME BOM Costs-0618-2_Bolt RFQ_Foxlink_03.1 2011 3 3" xfId="18650"/>
    <cellStyle name="差_Xl0000000_Squirrel UniBom-06.23.2010_update_internal_Bolt RFQ_Foxlink_03.1 2011_nego meeting@MACH 3 3" xfId="18651"/>
    <cellStyle name="40% - Accent4 3 3" xfId="18652"/>
    <cellStyle name="40% - Accent4 3 3 2" xfId="18653"/>
    <cellStyle name="40% - Accent4 3 3 3" xfId="18654"/>
    <cellStyle name="40% - Accent4 3 4" xfId="18655"/>
    <cellStyle name="40% - Accent4 3 5" xfId="18656"/>
    <cellStyle name="差_Xl0000000_Squirrel UniBom-06.23.2010_update_internal_Bolt RFQ_Foxlink_03.1 2011_nego meeting@MACH 5" xfId="18657"/>
    <cellStyle name="40% - Accent4 5" xfId="18658"/>
    <cellStyle name="40% - Accent4 8" xfId="18659"/>
    <cellStyle name="好_River EE BOM_Creak Pearl Reliability Fixture RFQ_2009 04 24_Squirrel RFQ ME BOM Costs-0623_Bolt RFQ Proposal_Foxlink_ (Pricing Summary) 2 25 2011 3 2" xfId="18660"/>
    <cellStyle name="好_River EE BOM_Creak Pearl Reliability Fixture RFQ_2009 04 24_Leopard_UniBOM_ME_0602-1_Bolt RFQ_Foxlink_03.1 2011 2 3" xfId="18661"/>
    <cellStyle name="好_Creek EE BOM cost_20090425_Creek RFQ feedback 04_28_2009_FD Update_Leopard_UniBOM_ME_0602_Bolt RFQ Proposal_Foxlink_ (Pricing Summary) 2 25 2011 4 2" xfId="18662"/>
    <cellStyle name="40% - Accent5" xfId="18663"/>
    <cellStyle name="40% - Accent5 10" xfId="18664"/>
    <cellStyle name="40% - Accent5 11" xfId="18665"/>
    <cellStyle name="40% - Accent5 12" xfId="18666"/>
    <cellStyle name="差_Foxlink_Shadow RFQ NREUni BOM_12032009_Bolt RFQ_Foxlink_03.1 2011_nego meeting@MACH 2" xfId="18667"/>
    <cellStyle name="40% - Accent5 13" xfId="18668"/>
    <cellStyle name="差_Foxlink_Shadow RFQ NREUni BOM_12032009_Bolt RFQ_Foxlink_03.1 2011_nego meeting@MACH 3" xfId="18669"/>
    <cellStyle name="40% - Accent5 14" xfId="18670"/>
    <cellStyle name="差_Xl0000000_Leopard UniBom_Foxlink_6 21 2010-ME_nego_Bolt RFQ_Foxlink_03.1 2011 3 3" xfId="18671"/>
    <cellStyle name="40% - Accent5 2" xfId="18672"/>
    <cellStyle name="差_Creek RFQ feedback 04_28_2009_FD Update_Leopard RFQ ME BOM Costs-0618_Bolt RFQ Proposal_Foxlink_ (Pricing Summary) 2 25 2011 5 3" xfId="18673"/>
    <cellStyle name="好_效益分析&amp;產能評估_MS Bolt wireless mouse FixtureEquipment Cost_A5_2010_02_21 3 3" xfId="18674"/>
    <cellStyle name="40% - Accent5 2 2" xfId="18675"/>
    <cellStyle name="40% - Accent5 2 3" xfId="18676"/>
    <cellStyle name="40% - Accent5 2 3 2" xfId="18677"/>
    <cellStyle name="40% - Accent5 2 4" xfId="18678"/>
    <cellStyle name="40% - Accent5 2 4 3" xfId="18679"/>
    <cellStyle name="好_River EE BOM_Creak Pearl Reliability Fixture RFQ_2009 04 24_Creek  Pearl RFQ_May 12_Squirrel UniBom-06.23.2010_update_internal_Bolt RFQ_Foxlink_03.1 2011 3 2" xfId="18680"/>
    <cellStyle name="40% - Accent5 2 5" xfId="18681"/>
    <cellStyle name="好_River EE BOM_Creak Pearl Reliability Fixture RFQ_2009 04 24_Creek  Pearl RFQ_May 12_Squirrel UniBom-06.23.2010_update_internal_Bolt RFQ_Foxlink_03.1 2011 3 3" xfId="18682"/>
    <cellStyle name="40% - Accent5 2 6" xfId="18683"/>
    <cellStyle name="40% - Accent5 3" xfId="18684"/>
    <cellStyle name="40% - Accent5 3 2 3" xfId="18685"/>
    <cellStyle name="40% - Accent5 3 3" xfId="18686"/>
    <cellStyle name="40% - Accent5 6" xfId="18687"/>
    <cellStyle name="40% - Accent5 7" xfId="18688"/>
    <cellStyle name="40% - Accent5 8" xfId="18689"/>
    <cellStyle name="好_River EE BOM_Creak Pearl Reliability Fixture RFQ_2009 04 24_Squirrel RFQ ME BOM Costs-0623_Bolt RFQ Proposal_Foxlink_ (Pricing Summary) 2 25 2011 3 3" xfId="18690"/>
    <cellStyle name="好_Creek EE BOM cost_20090425_Creek RFQ feedback 04_28_2009_FD Update_Leopard_UniBOM_ME_0602_Bolt RFQ Proposal_Foxlink_ (Pricing Summary) 2 25 2011 4 3" xfId="18691"/>
    <cellStyle name="40% - Accent6" xfId="18692"/>
    <cellStyle name="差_HP Mouse 產能評估(Forecast更改後)_MS Bolt wireless mouse FixtureEquipment Cost_A5_2010_02_21_Bolt RFQ_Foxlink_03.1 2011 2 2" xfId="18693"/>
    <cellStyle name="差_Creak Pearl Reliability Fixture RFQ_2009 04 24_Creek  Pearl RFQ_May 12_Foxlink_Shadow RFQ NREUni BOM_12032009_Bolt RFQ Proposal_Foxlink_ (Pricing Summary) 2 25 2011 3" xfId="18694"/>
    <cellStyle name="40% - Accent6 11" xfId="18695"/>
    <cellStyle name="差_HP Mouse 產能評估(Forecast更改後)_MS Bolt wireless mouse FixtureEquipment Cost_A5_2010_02_21_Bolt RFQ_Foxlink_03.1 2011 2 3" xfId="18696"/>
    <cellStyle name="差_Creak Pearl Reliability Fixture RFQ_2009 04 24_Creek  Pearl RFQ_May 12_Foxlink_Shadow RFQ NREUni BOM_12032009_Bolt RFQ Proposal_Foxlink_ (Pricing Summary) 2 25 2011 4" xfId="18697"/>
    <cellStyle name="好_效益分析&amp;產能評估_MS Bolt wireless mouse FixtureEquipment Cost_A5_2010_02_21_Bolt RFQ Proposal_Foxlink_ (Pricing Summary) 2 25 2011 2 2" xfId="18698"/>
    <cellStyle name="40% - Accent6 12" xfId="18699"/>
    <cellStyle name="差_Creak Pearl Reliability Fixture RFQ_2009 04 24_Creek  Pearl RFQ_May 12_Foxlink_Shadow RFQ NREUni BOM_12032009_Bolt RFQ Proposal_Foxlink_ (Pricing Summary) 2 25 2011 6" xfId="18700"/>
    <cellStyle name="好_效益分析&amp;產能評估_MS Bolt wireless mouse FixtureEquipment Cost_A5_2010_02_21_Bolt RFQ Proposal_Foxlink_ (Pricing Summary) 2 25 2011 2 4" xfId="18701"/>
    <cellStyle name="40% - Accent6 14" xfId="18702"/>
    <cellStyle name="好_River EE BOM_Xl0000002_Foxlink_Shadow RFQ NREUni BOM_12032009_Bolt RFQ Proposal_Foxlink_ (Pricing Summary) 2 25 2011 2" xfId="18703"/>
    <cellStyle name="差_Creak Pearl Reliability Fixture RFQ_2009 04 24_Creek  Pearl RFQ_May 12_Foxlink_Shadow RFQ NREUni BOM_12032009_Bolt RFQ Proposal_Foxlink_ (Pricing Summary) 2 25 2011 7" xfId="18704"/>
    <cellStyle name="40% - Accent6 15" xfId="18705"/>
    <cellStyle name="差_Creak Pearl Reliability Fixture RFQ_2009 04 24_Creek RFQ feedback 04_28_2009_FD Update_Squirrel UniBom-06.23.2010_update_internal_Bolt RFQ Proposal_Foxlink_ (Pricing Summary) 2 25 2011 4" xfId="18706"/>
    <cellStyle name="好_River EE BOM_Xl0000002_Foxlink_Shadow RFQ NREUni BOM_12032009_Bolt RFQ Proposal_Foxlink_ (Pricing Summary) 2 25 2011 2 2" xfId="18707"/>
    <cellStyle name="40% - Accent6 15 2" xfId="18708"/>
    <cellStyle name="差_Creak Pearl Reliability Fixture RFQ_2009 04 24_Creek RFQ feedback 04_28_2009_FD Update_Squirrel UniBom-06.23.2010_update_internal_Bolt RFQ Proposal_Foxlink_ (Pricing Summary) 2 25 2011 5" xfId="18709"/>
    <cellStyle name="好_River EE BOM_Xl0000002_Foxlink_Shadow RFQ NREUni BOM_12032009_Bolt RFQ Proposal_Foxlink_ (Pricing Summary) 2 25 2011 2 3" xfId="18710"/>
    <cellStyle name="40% - Accent6 15 3" xfId="18711"/>
    <cellStyle name="40% - Accent6 2" xfId="18712"/>
    <cellStyle name="40% - Accent6 2 2" xfId="18713"/>
    <cellStyle name="40% - Accent6 2 4" xfId="18714"/>
    <cellStyle name="差_Creak Pearl Reliability Fixture RFQ_2009 04 24_Creek RFQ feedback 04_28_2009_FD Update_Leopard RFQ ME BOM Costs-0618-2_Bolt RFQ_Foxlink_03.1 2011_nego meeting@MACH 2 2" xfId="18715"/>
    <cellStyle name="40% - Accent6 2 4 3" xfId="18716"/>
    <cellStyle name="40% - Accent6 2 5" xfId="18717"/>
    <cellStyle name="好_Creek Assembly Fixture  Test Equipment RFQ_20090427_Xl0000002_Leopard UniBom_Foxlink_6 21 2010-ME_nego_Bolt RFQ_Foxlink_03.1 2011 2 2" xfId="18718"/>
    <cellStyle name="40% - Accent6 2 6" xfId="18719"/>
    <cellStyle name="好_Creek Assembly Fixture  Test Equipment RFQ_20090427_Bolt RFQ_Foxlink_03.1 2011_nego meeting@MACH_Bolt_Cliff 4 3" xfId="18720"/>
    <cellStyle name="40% - Accent6 3 2 2" xfId="18721"/>
    <cellStyle name="差_Foxlink_Shadow RFQ NREUni BOM_12032009_Wedge_ME_BOM-v00-11v0630 2 3" xfId="18722"/>
    <cellStyle name="40% - Accent6 3 3" xfId="18723"/>
    <cellStyle name="好_Creek Assembly Fixture  Test Equipment RFQ_20090427_Bolt RFQ_Foxlink_03.1 2011_nego meeting@MACH_Bolt_Cliff 5 3" xfId="18724"/>
    <cellStyle name="40% - Accent6 3 3 2" xfId="18725"/>
    <cellStyle name="40% - Accent6 3 4" xfId="18726"/>
    <cellStyle name="40% - Accent6 4" xfId="18727"/>
    <cellStyle name="差_Creak Pearl Reliability Fixture RFQ_2009 04 24_Leopard_UniBOM_ME_0531_Bolt RFQ_Foxlink_03.1 2011_nego meeting@MACH" xfId="18728"/>
    <cellStyle name="40% - Accent6 5" xfId="18729"/>
    <cellStyle name="差_Foxlink_Shadow RFQ NREUni BOM_12032009_Bolt RFQ Proposal_Foxlink_ (Pricing Summary) 2 25 2011 7" xfId="18730"/>
    <cellStyle name="40% - アクセント 1" xfId="18731"/>
    <cellStyle name="好_Creek Assembly Fixture  Test Equipment RFQ_20090427_Xl0000002_Leopard_UniBOM_ME_0602-1_Bolt RFQ Proposal_Foxlink_ (Pricing Summary) 2 25 2011 5" xfId="18732"/>
    <cellStyle name="差_Creak Pearl Reliability Fixture RFQ_2009 04 24_Pearl RFQ(Submittal)ver2_05_12_2009 _Leopard Lemur Squirrel UniBom-06.22.2010_EE cost _update_internal_Bolt RFQ Proposal_Foxlink_ (Pricing Summary) 2 25 2011 2 2 2" xfId="18733"/>
    <cellStyle name="好_River EE BOM_Xl0000000_Squirrel RFQ ME BOM Costs-0623 2" xfId="18734"/>
    <cellStyle name="40% - アクセント 3" xfId="18735"/>
    <cellStyle name="好_Creek Assembly Fixture  Test Equipment RFQ_20090427_Xl0000002_Leopard_UniBOM_ME_0602-1_Bolt RFQ Proposal_Foxlink_ (Pricing Summary) 2 25 2011 7" xfId="18736"/>
    <cellStyle name="差_Creak Pearl Reliability Fixture RFQ_2009 04 24_Pearl RFQ(Submittal)ver2_05_12_2009 _Leopard Lemur Squirrel UniBom-06.22.2010_EE cost _update_internal_Bolt RFQ Proposal_Foxlink_ (Pricing Summary) 2 25 2011 2 2 3" xfId="18737"/>
    <cellStyle name="好_River EE BOM_Xl0000000_Squirrel RFQ ME BOM Costs-0623 3" xfId="18738"/>
    <cellStyle name="40% - アクセント 4" xfId="18739"/>
    <cellStyle name="好_River EE BOM_Creak Pearl Reliability Fixture RFQ_2009 04 24_Leopard_UniBOM_ME_0531 2 2" xfId="18740"/>
    <cellStyle name="40% - アクセント 6" xfId="18741"/>
    <cellStyle name="差_Creak Pearl Reliability Fixture RFQ_2009 04 24_Squirrel UniBom-06.23.2010_update_internal_Bolt RFQ Proposal_Foxlink_ (Pricing Summary) 2 25 2011" xfId="18742"/>
    <cellStyle name="Normal 3 3 3 2" xfId="18743"/>
    <cellStyle name="40% - 强调文字颜色 1 2 2" xfId="18744"/>
    <cellStyle name="差_Creak Pearl Reliability Fixture RFQ_2009 04 24_Squirrel UniBom-06.23.2010_update_internal_Bolt RFQ Proposal_Foxlink_ (Pricing Summary) 2 25 2011 2" xfId="18745"/>
    <cellStyle name="Normal 3 3 3 2 2" xfId="18746"/>
    <cellStyle name="40% - 强调文字颜色 1 2 2 2" xfId="18747"/>
    <cellStyle name="差_Creak Pearl Reliability Fixture RFQ_2009 04 24_Squirrel UniBom-06.23.2010_update_internal_Bolt RFQ Proposal_Foxlink_ (Pricing Summary) 2 25 2011 2 2" xfId="18748"/>
    <cellStyle name="40% - 强调文字颜色 1 2 2 2 2" xfId="18749"/>
    <cellStyle name="差_Creak Pearl Reliability Fixture RFQ_2009 04 24_Squirrel UniBom-06.23.2010_update_internal_Bolt RFQ Proposal_Foxlink_ (Pricing Summary) 2 25 2011 2 3" xfId="18750"/>
    <cellStyle name="40% - 强调文字颜色 1 2 2 2 3" xfId="18751"/>
    <cellStyle name="差_Creak Pearl Reliability Fixture RFQ_2009 04 24_Squirrel UniBom-06.23.2010_update_internal_Bolt RFQ Proposal_Foxlink_ (Pricing Summary) 2 25 2011 3" xfId="18752"/>
    <cellStyle name="Normal 3 3 3 2 3" xfId="18753"/>
    <cellStyle name="40% - 强调文字颜色 1 2 2 3" xfId="18754"/>
    <cellStyle name="差_Creak Pearl Reliability Fixture RFQ_2009 04 24_Squirrel UniBom-06.23.2010_update_internal_Bolt RFQ Proposal_Foxlink_ (Pricing Summary) 2 25 2011 4" xfId="18755"/>
    <cellStyle name="Normal 3 3 3 2 4" xfId="18756"/>
    <cellStyle name="40% - 强调文字颜色 1 2 2 4" xfId="18757"/>
    <cellStyle name="Normal 3 3 3 3" xfId="18758"/>
    <cellStyle name="40% - 强调文字颜色 1 2 3" xfId="18759"/>
    <cellStyle name="40% - 强调文字颜色 1 2 3 2" xfId="18760"/>
    <cellStyle name="Normal 3 3 3 4" xfId="18761"/>
    <cellStyle name="40% - 强调文字颜色 1 2 4" xfId="18762"/>
    <cellStyle name="差_Xl0000000_Squirrel UniBom-06.23.2010_update_internal 5" xfId="18763"/>
    <cellStyle name="Normal 3 3 4" xfId="18764"/>
    <cellStyle name="40% - 强调文字颜色 1 3" xfId="18765"/>
    <cellStyle name="好_Creek Assembly Fixture  Test Equipment RFQ_20090427_Leopard UniBom_Foxlink_6 21 2010-ME_nego" xfId="18766"/>
    <cellStyle name="Normal 3 3 4 2" xfId="18767"/>
    <cellStyle name="40% - 强调文字颜色 1 3 2" xfId="18768"/>
    <cellStyle name="好_Creek Assembly Fixture  Test Equipment RFQ_20090427_Leopard UniBom_Foxlink_6 21 2010-ME_nego 2" xfId="18769"/>
    <cellStyle name="好_River EE BOM_Creak Pearl Reliability Fixture RFQ_2009 04 24_Creek  Pearl RFQ_May 12_Leopard RFQ ME BOM Costs-0618 3 3" xfId="18770"/>
    <cellStyle name="40% - 强调文字颜色 1 3 2 2" xfId="18771"/>
    <cellStyle name="好_Creek Assembly Fixture  Test Equipment RFQ_20090427_Leopard UniBom_Foxlink_6 21 2010-ME_nego 3" xfId="18772"/>
    <cellStyle name="40% - 强调文字颜色 1 3 2 3" xfId="18773"/>
    <cellStyle name="好_River EE BOM_Creek RFQ feedback 04_28_2009_FD Update_Leopard_UniBOM_ME_0531" xfId="18774"/>
    <cellStyle name="Normal 3 3 4 3" xfId="18775"/>
    <cellStyle name="40% - 强调文字颜色 1 3 3" xfId="18776"/>
    <cellStyle name="Normal 3 3 5" xfId="18777"/>
    <cellStyle name="Heading 3 10" xfId="18778"/>
    <cellStyle name="40% - 强调文字颜色 1 4" xfId="18779"/>
    <cellStyle name="好_River EE BOM_Creak Pearl Reliability Fixture RFQ_2009 04 24_Pearl RFQ(Submittal)ver2_05_12_2009 _Leopard_UniBOM_ME_0602-1_Bolt RFQ Proposal_Foxlink_ (Pricing Summary) 2 25 2011 2" xfId="18780"/>
    <cellStyle name="Normal 3 3 6" xfId="18781"/>
    <cellStyle name="Heading 3 11" xfId="18782"/>
    <cellStyle name="40% - 强调文字颜色 1 5" xfId="18783"/>
    <cellStyle name="差_Xl0000002_Foxlink_Shadow RFQ NREUni BOM_12032009 2 3" xfId="18784"/>
    <cellStyle name="好_River EE BOM_Creak Pearl Reliability Fixture RFQ_2009 04 24_Pearl RFQ(Submittal)ver2_05_12_2009 _Leopard_UniBOM_ME_0602-1_Bolt RFQ Proposal_Foxlink_ (Pricing Summary) 2 25 2011 2 2" xfId="18785"/>
    <cellStyle name="40% - 强调文字颜色 1 5 2" xfId="18786"/>
    <cellStyle name="好_River EE BOM_Creek RFQ feedback 04_28_2009_FD Update_Foxlink_Shadow RFQ NREUni BOM_12032009 2" xfId="18787"/>
    <cellStyle name="Normal 3 4 3" xfId="18788"/>
    <cellStyle name="40% - 强调文字颜色 2 2" xfId="18789"/>
    <cellStyle name="好_River EE BOM_Creek RFQ feedback 04_28_2009_FD Update_Foxlink_Shadow RFQ NREUni BOM_12032009 2 2 2" xfId="18790"/>
    <cellStyle name="40% - 强调文字颜色 2 2 2 2" xfId="18791"/>
    <cellStyle name="pricing 3" xfId="18792"/>
    <cellStyle name="40% - 强调文字颜色 2 2 2 2 2" xfId="18793"/>
    <cellStyle name="好_River EE BOM_Xl0000002_Jackson and Shadow BOM cost_mainfile_2010 0324 rev.1_Leopard UniBom_Foxlink_12272010 RevF_shirley" xfId="18794"/>
    <cellStyle name="40% - 强调文字颜色 2 2 2 2 3" xfId="18795"/>
    <cellStyle name="好_River EE BOM_Creek RFQ feedback 04_28_2009_FD Update_Foxlink_Shadow RFQ NREUni BOM_12032009 2 2 3" xfId="18796"/>
    <cellStyle name="40% - 强调文字颜色 2 2 2 3" xfId="18797"/>
    <cellStyle name="40% - 强调文字颜色 2 2 2 4" xfId="18798"/>
    <cellStyle name="差_Creak Pearl Reliability Fixture RFQ_2009 04 24_Pearl RFQ(Submittal)ver2_05_12_2009 _Leopard RFQ ME BOM Costs-0618-2_Bolt RFQ Proposal_Foxlink_ (Pricing Summary) 2 25 2011 2 4" xfId="18799"/>
    <cellStyle name="好_River EE BOM_Creak Pearl Reliability Fixture RFQ_2009 04 24_Creek  Pearl RFQ_May 12_Leopard RFQ ME BOM Costs-0618-2_Bolt RFQ Proposal_Foxlink_ (Pricing Summary) 2 25 2011 2" xfId="18800"/>
    <cellStyle name="40% - 强调文字颜色 2 2 3 2" xfId="18801"/>
    <cellStyle name="好_River EE BOM_Creak Pearl Reliability Fixture RFQ_2009 04 24_Creek  Pearl RFQ_May 12_Leopard RFQ ME BOM Costs-0618-2_Bolt RFQ Proposal_Foxlink_ (Pricing Summary) 2 25 2011 3" xfId="18802"/>
    <cellStyle name="40% - 强调文字颜色 2 2 3 3" xfId="18803"/>
    <cellStyle name="40% - 强调文字颜色 2 2 5" xfId="18804"/>
    <cellStyle name="好_River EE BOM_Creek RFQ feedback 04_28_2009_FD Update_Foxlink_Shadow RFQ NREUni BOM_12032009 3 2" xfId="18805"/>
    <cellStyle name="40% - 强调文字颜色 2 3 2" xfId="18806"/>
    <cellStyle name="40% - 强调文字颜色 2 3 2 2" xfId="18807"/>
    <cellStyle name="40% - 强调文字颜色 2 3 2 3" xfId="18808"/>
    <cellStyle name="好_River EE BOM_Creek RFQ feedback 04_28_2009_FD Update_Foxlink_Shadow RFQ NREUni BOM_12032009 3 3" xfId="18809"/>
    <cellStyle name="差_Jackson and Shadow test cost update _7th Feb 2010 (2)_Bristol TC Estimate Update 08042011_MS" xfId="18810"/>
    <cellStyle name="差_F3   SMT設備明細_jupite r設備&amp;治工具LIST (總)_Flow chart and Fixture(Jackson)_A1" xfId="18811"/>
    <cellStyle name="40% - 强调文字颜色 2 3 3" xfId="18812"/>
    <cellStyle name="40% - 强调文字颜色 2 3 4" xfId="18813"/>
    <cellStyle name="好_Creek EE BOM cost_20090425_Leopard_UniBOM_ME_0602_Bolt RFQ_Foxlink_03.1 2011 3" xfId="18814"/>
    <cellStyle name="40% - 强调文字颜色 2 5" xfId="18815"/>
    <cellStyle name="好_Creek EE BOM cost_20090425_Leopard_UniBOM_ME_0602_Bolt RFQ_Foxlink_03.1 2011 3 2" xfId="18816"/>
    <cellStyle name="40% - 强调文字颜色 2 5 2" xfId="18817"/>
    <cellStyle name="好_Creek Assembly Fixture  Test Equipment RFQ_20090427_Squirrel RFQ ME BOM Costs-0623 2 2" xfId="18818"/>
    <cellStyle name="Normal 3 5 3" xfId="18819"/>
    <cellStyle name="40% - 强调文字颜色 3 2" xfId="18820"/>
    <cellStyle name="好_Creek Assembly Fixture  Test Equipment RFQ_20090427_Squirrel RFQ ME BOM Costs-0623 2 2 2" xfId="18821"/>
    <cellStyle name="Currency 2 10" xfId="18822"/>
    <cellStyle name="40% - 强调文字颜色 3 2 2" xfId="18823"/>
    <cellStyle name="40% - 强调文字颜色 3 2 2 3" xfId="18824"/>
    <cellStyle name="40% - 强调文字颜色 3 2 2 4" xfId="18825"/>
    <cellStyle name="40% - 强调文字颜色 3 2 3 3" xfId="18826"/>
    <cellStyle name="40% - 强调文字颜色 3 2 5" xfId="18827"/>
    <cellStyle name="差_pq_Jackson 效益分析 testing update_16th Jan111_Jackson 效益分析 (2-1 B0 上系統)_Leopard效益分析08-17" xfId="18828"/>
    <cellStyle name="Currency 2 13" xfId="18829"/>
    <cellStyle name="好_Creek Assembly Fixture  Test Equipment RFQ_20090427_Squirrel RFQ ME BOM Costs-0623 2 3" xfId="18830"/>
    <cellStyle name="Normal 3 5 4" xfId="18831"/>
    <cellStyle name="40% - 强调文字颜色 3 3" xfId="18832"/>
    <cellStyle name="差_Creek RFQ feedback 04_28_2009_FD Update_Squirrel UniBom-06.23.2010_update_internal_Bolt RFQ Proposal_Foxlink_ (Pricing Summary) 2 25 2011 4 2" xfId="18833"/>
    <cellStyle name="40% - 强调文字颜色 3 3 2 2" xfId="18834"/>
    <cellStyle name="好_Creek Assembly Fixture  Test Equipment RFQ_20090427_Leopard_UniBOM_ME_0602_Bolt RFQ Proposal_Foxlink_ (Pricing Summary) 2 25 2011" xfId="18835"/>
    <cellStyle name="差_Creek RFQ feedback 04_28_2009_FD Update_Squirrel UniBom-06.23.2010_update_internal_Bolt RFQ Proposal_Foxlink_ (Pricing Summary) 2 25 2011 4 3" xfId="18836"/>
    <cellStyle name="40% - 强调文字颜色 3 3 2 3" xfId="18837"/>
    <cellStyle name="差_Creek RFQ feedback 04_28_2009_FD Update_Squirrel UniBom-06.23.2010_update_internal_Bolt RFQ Proposal_Foxlink_ (Pricing Summary) 2 25 2011 5" xfId="18838"/>
    <cellStyle name="40% - 强调文字颜色 3 3 3" xfId="18839"/>
    <cellStyle name="好_Creek Assembly Fixture  Test Equipment RFQ_20090427_Squirrel RFQ ME BOM Costs-0623 2 4" xfId="18840"/>
    <cellStyle name="PrePop Units (0)" xfId="18841"/>
    <cellStyle name="40% - 强调文字颜色 3 4" xfId="18842"/>
    <cellStyle name="40% - 强调文字颜色 3 5 2" xfId="18843"/>
    <cellStyle name="40% - 强调文字颜色 3 5 3" xfId="18844"/>
    <cellStyle name="好_Creek Assembly Fixture  Test Equipment RFQ_20090427_Squirrel RFQ ME BOM Costs-0623 3 2" xfId="18845"/>
    <cellStyle name="40% - 强调文字颜色 4 2" xfId="18846"/>
    <cellStyle name="40% - 强调文字颜色 4 2 2" xfId="18847"/>
    <cellStyle name="好_River EE BOM_Xl0000002_Leopard_UniBOM_ME_0531_Bolt RFQ_Foxlink_03.1 2011_nego meeting@MACH 3 3" xfId="18848"/>
    <cellStyle name="40% - 强调文字颜色 4 2 2 2" xfId="18849"/>
    <cellStyle name="差_jupite r設備&amp;治工具LIST (總)_flow chart 2009.12.12" xfId="18850"/>
    <cellStyle name="40% - 强调文字颜色 4 2 2 2 2" xfId="18851"/>
    <cellStyle name="40% - 强调文字颜色 4 2 2 3" xfId="18852"/>
    <cellStyle name="好_River EE BOM_Xl0000002_Leopard_UniBOM_ME_0531_Bolt RFQ_Foxlink_03.1 2011_nego meeting@MACH" xfId="18853"/>
    <cellStyle name="40% - 强调文字颜色 4 2 2 4" xfId="18854"/>
    <cellStyle name="差_jupite r設備&amp;治工具LIST (總)_pq_Leopard效益分析08-17" xfId="18855"/>
    <cellStyle name="40% - 强调文字颜色 4 2 3" xfId="18856"/>
    <cellStyle name="40% - 强调文字颜色 4 2 3 2" xfId="18857"/>
    <cellStyle name="好_River EE BOM_Creak Pearl Reliability Fixture RFQ_2009 04 24_Pearl RFQ(Submittal)ver2_05_12_2009 _Squirrel RFQ ME BOM Costs-0623_Bolt RFQ_Foxlink_03.1 2011_nego meeting@MACH 2 2" xfId="18858"/>
    <cellStyle name="好_0842周 顯卡報廢超標8D 2 2 2" xfId="18859"/>
    <cellStyle name="40% - 强调文字颜色 4 2 4" xfId="18860"/>
    <cellStyle name="好_River EE BOM_Creak Pearl Reliability Fixture RFQ_2009 04 24_Pearl RFQ(Submittal)ver2_05_12_2009 _Squirrel RFQ ME BOM Costs-0623_Bolt RFQ_Foxlink_03.1 2011_nego meeting@MACH 2 3" xfId="18861"/>
    <cellStyle name="好_0842周 顯卡報廢超標8D 2 2 3" xfId="18862"/>
    <cellStyle name="40% - 强调文字颜色 4 2 5" xfId="18863"/>
    <cellStyle name="40% - 强调文字颜色 4 3 2 2" xfId="18864"/>
    <cellStyle name="差_Creak Pearl Reliability Fixture RFQ_2009 04 24_Creek  Pearl RFQ_May 12_Leopard RFQ ME BOM Costs-0618_Bolt RFQ Proposal_Foxlink_ (Pricing Summary) 2 25 2011 5" xfId="18865"/>
    <cellStyle name="40% - 强调文字颜色 4 3 2 3" xfId="18866"/>
    <cellStyle name="差_Creak Pearl Reliability Fixture RFQ_2009 04 24_Creek  Pearl RFQ_May 12_Leopard RFQ ME BOM Costs-0618_Bolt RFQ Proposal_Foxlink_ (Pricing Summary) 2 25 2011 6" xfId="18867"/>
    <cellStyle name="好_Creek Assembly Fixture  Test Equipment RFQ_20090427_Xl0000002_Leopard RFQ ME BOM Costs-0618-2_Bolt RFQ Proposal_Foxlink_ (Pricing Summary) 2 25 2011 3 2" xfId="18868"/>
    <cellStyle name="好_River EE BOM_Creak Pearl Reliability Fixture RFQ_2009 04 24_Pearl RFQ(Submittal)ver2_05_12_2009 _Squirrel RFQ ME BOM Costs-0623_Bolt RFQ_Foxlink_03.1 2011_nego meeting@MACH 3 2" xfId="18869"/>
    <cellStyle name="好_River EE BOM_Creak Pearl Reliability Fixture RFQ_2009 04 24_Leopard_UniBOM_ME_0603-2_Bolt RFQ_Foxlink_03.1 2011" xfId="18870"/>
    <cellStyle name="好_0842周 顯卡報廢超標8D 2 3 2" xfId="18871"/>
    <cellStyle name="40% - 强调文字颜色 4 3 4" xfId="18872"/>
    <cellStyle name="好_River EE BOM_Creak Pearl Reliability Fixture RFQ_2009 04 24_Creek RFQ feedback 04_28_2009_FD Update_Foxlink_Shadow RFQ NREUni BOM_12032009_Bolt RFQ Proposal_Foxlink_ (Pricing Summary) 2 25 2011 2 3" xfId="18873"/>
    <cellStyle name="40% - 强调文字颜色 4 4" xfId="18874"/>
    <cellStyle name="40% - 强调文字颜色 4 5 2" xfId="18875"/>
    <cellStyle name="40% - 强调文字颜色 4 5 3" xfId="18876"/>
    <cellStyle name="好_Creek Assembly Fixture  Test Equipment RFQ_20090427_Xl0000002_Leopard_UniBOM_ME_0602_Bolt RFQ_Foxlink_03.1 2011 2 3" xfId="18877"/>
    <cellStyle name="Normal 3 7 3" xfId="18878"/>
    <cellStyle name="40% - 强调文字颜色 5 2" xfId="18879"/>
    <cellStyle name="40% - 强调文字颜色 5 2 2 2" xfId="18880"/>
    <cellStyle name="40% - 强调文字颜色 5 2 2 2 2" xfId="18881"/>
    <cellStyle name="40% - 强调文字颜色 5 2 2 4" xfId="18882"/>
    <cellStyle name="40% - 强调文字颜色 5 2 3 3" xfId="18883"/>
    <cellStyle name="差_foxlink Bristol for 10063D-2010-10-11_Bristol ME parts tooling cost 20101022 updated_Bristol TC Estimate Update 08042011_MS" xfId="18884"/>
    <cellStyle name="好_0842周 顯卡報廢超標8D 3 2 2" xfId="18885"/>
    <cellStyle name="40% - 强调文字颜色 5 2 4" xfId="18886"/>
    <cellStyle name="好_River EE BOM_Creak Pearl Reliability Fixture RFQ_2009 04 24_Creek RFQ feedback 04_28_2009_FD Update_Foxlink_Shadow RFQ NREUni BOM_12032009_Bolt RFQ Proposal_Foxlink_ (Pricing Summary) 2 25 2011 3 2" xfId="18887"/>
    <cellStyle name="40% - 强调文字颜色 5 3" xfId="18888"/>
    <cellStyle name="差_Creak Pearl Reliability Fixture RFQ_2009 04 24_Bolt RFQ_Foxlink_03.1 2011_nego meeting@MACH 3 2" xfId="18889"/>
    <cellStyle name="好_Creek Assembly Fixture  Test Equipment RFQ_20090427_Bolt RFQ Proposal_Foxlink_ (Pricing Summary) 2 25 2011 3 2" xfId="18890"/>
    <cellStyle name="好_Creek EE BOM cost_20090425_Creek RFQ feedback 04_28_2009_FD Update_Leopard UniBom_Foxlink_6 21 2010-ME_nego_Bolt RFQ_Foxlink_03.1 2011 3 3" xfId="18891"/>
    <cellStyle name="40% - 强调文字颜色 5 3 2 3" xfId="18892"/>
    <cellStyle name="40% - 强调文字颜色 5 3 3" xfId="18893"/>
    <cellStyle name="好_River EE BOM_Creak Pearl Reliability Fixture RFQ_2009 04 24_Creek RFQ feedback 04_28_2009_FD Update_Foxlink_Shadow RFQ NREUni BOM_12032009_Bolt RFQ_Foxlink_03.1 2011 2" xfId="18894"/>
    <cellStyle name="好_Creek EE BOM cost_20090425_Creek RFQ feedback 04_28_2009_FD Update_Leopard UniBom_Foxlink_6 21 2010-ME_nego_Bolt RFQ_Foxlink_03.1 2011 4" xfId="18895"/>
    <cellStyle name="差_F3   SMT設備明細_jupite r設備&amp;治工具LIST (總)_Flow Chart(shadow) A3 _Leopard Flowchart &amp; 產能評估" xfId="18896"/>
    <cellStyle name="好_Creek EE BOM cost_20090425_Creek RFQ feedback 04_28_2009_FD Update_Leopard UniBom_Foxlink_6 21 2010-ME_nego_Bolt RFQ_Foxlink_03.1 2011 5" xfId="18897"/>
    <cellStyle name="好_效益分析&amp;產能評估_M1 Squirrel Capacity planFixtureEquipment Cost_A2_06192010" xfId="18898"/>
    <cellStyle name="40% - 强调文字颜色 5 3 4" xfId="18899"/>
    <cellStyle name="好_River EE BOM_Creak Pearl Reliability Fixture RFQ_2009 04 24_Creek RFQ feedback 04_28_2009_FD Update_Foxlink_Shadow RFQ NREUni BOM_12032009_Bolt RFQ_Foxlink_03.1 2011 3" xfId="18900"/>
    <cellStyle name="好_River EE BOM_Creak Pearl Reliability Fixture RFQ_2009 04 24_Creek RFQ feedback 04_28_2009_FD Update_Foxlink_Shadow RFQ NREUni BOM_12032009_Bolt RFQ Proposal_Foxlink_ (Pricing Summary) 2 25 2011 3 3" xfId="18901"/>
    <cellStyle name="40% - 强调文字颜色 5 4" xfId="18902"/>
    <cellStyle name="40% - 强调文字颜色 5 5" xfId="18903"/>
    <cellStyle name="40% - 强调文字颜色 5 5 2" xfId="18904"/>
    <cellStyle name="40% - 强调文字颜色 6 2" xfId="18905"/>
    <cellStyle name="差_Creak Pearl Reliability Fixture RFQ_2009 04 24_Creek  Pearl RFQ_May 12_Leopard RFQ ME BOM Costs-0618_Bolt RFQ_Foxlink_03.1 2011 2 2" xfId="18906"/>
    <cellStyle name="好_Creek Assembly Fixture  Test Equipment RFQ_20090427_Xl0000002_Leopard_UniBOM_ME_0602_Bolt RFQ_Foxlink_03.1 2011 3 3" xfId="18907"/>
    <cellStyle name="Normal 3 8 3" xfId="18908"/>
    <cellStyle name="差_F3   SMT設備明細_jupite r設備&amp;治工具LIST (總)_Dallas flow chart&amp;設備&amp;治工具清單(12-8 A0)_Flow chart and Fixture(1-4)_Jackson 效益分析 (2-1 B0 上系統)_Leopard效益分析08-17" xfId="18909"/>
    <cellStyle name="40% - 强调文字颜色 6 2 2 2" xfId="18910"/>
    <cellStyle name="40% - 强调文字颜色 6 2 2 2 2" xfId="18911"/>
    <cellStyle name="差_F3   SMT設備明細_M1 SuedeFixtureEquipment Cost_A0_2010_10_15 2 2 2" xfId="18912"/>
    <cellStyle name="40% - 强调文字颜色 6 2 2 2 3" xfId="18913"/>
    <cellStyle name="40% - 强调文字颜色 6 2 2 3" xfId="18914"/>
    <cellStyle name="40% - 强调文字颜色 6 2 2 4" xfId="18915"/>
    <cellStyle name="40% - 强调文字颜色 6 2 3" xfId="18916"/>
    <cellStyle name="40% - 强调文字颜色 6 2 3 2" xfId="18917"/>
    <cellStyle name="40% - 强调文字颜色 6 2 3 3" xfId="18918"/>
    <cellStyle name="40% - 强调文字颜色 6 2 4" xfId="18919"/>
    <cellStyle name="40% - 强调文字颜色 6 2 5" xfId="18920"/>
    <cellStyle name="差_F3   SMT設備明細_jupite r設備&amp;治工具LIST (總)_flow chart 2009.12.12_Flow Chart&amp;設備治工具清單 _Jackson 效益分析 (2-1 B0 上系統)_squirrel效益分析08-17" xfId="18921"/>
    <cellStyle name="40% - 强调文字颜色 6 3 2" xfId="18922"/>
    <cellStyle name="40% - 强调文字颜色 6 3 2 2" xfId="18923"/>
    <cellStyle name="好_River EE BOM_Creak Pearl Reliability Fixture RFQ_2009 04 24_Creek  Pearl RFQ_May 12_Leopard_UniBOM_ME_0602_Bolt RFQ Proposal_Foxlink_ (Pricing Summary) 2 25 2011 2" xfId="18924"/>
    <cellStyle name="40% - 强调文字颜色 6 3 2 3" xfId="18925"/>
    <cellStyle name="40% - 强调文字颜色 6 3 3" xfId="18926"/>
    <cellStyle name="好_River EE BOM_Creak Pearl Reliability Fixture RFQ_2009 04 24_Creek RFQ feedback 04_28_2009_FD Update_Foxlink_Shadow RFQ NREUni BOM_12032009_Bolt RFQ Proposal_Foxlink_ (Pricing Summary) 2 25 2011 4 3" xfId="18927"/>
    <cellStyle name="Heading 4 10" xfId="18928"/>
    <cellStyle name="40% - 强调文字颜色 6 4" xfId="18929"/>
    <cellStyle name="Heading 4 11" xfId="18930"/>
    <cellStyle name="40% - 强调文字颜色 6 5" xfId="18931"/>
    <cellStyle name="40% - 强调文字颜色 6 5 2" xfId="18932"/>
    <cellStyle name="40% - 輔色1 2" xfId="18933"/>
    <cellStyle name="40% - 輔色2 2" xfId="18934"/>
    <cellStyle name="差_F3   SMT設備明細_jupite r設備&amp;治工具LIST (總)_Dolce設備治工具明細表(TE Update)_Leopard Flowchart &amp; 產能評估" xfId="18935"/>
    <cellStyle name="40% - 輔色3 2" xfId="18936"/>
    <cellStyle name="40% - 輔色4 2" xfId="18937"/>
    <cellStyle name="40% - 輔色5 2" xfId="18938"/>
    <cellStyle name="好_Creek EE BOM cost_20090425_Squirrel UniBom-06.23.2010_update_internal_Bolt RFQ Proposal_Foxlink_ (Pricing Summary) 2 25 2011 3 3" xfId="18939"/>
    <cellStyle name="5" xfId="18940"/>
    <cellStyle name="5_139 NPI Gantt" xfId="18941"/>
    <cellStyle name="差_Creek RFQ feedback 04_28_2009_FD Update_Leopard Lemur Squirrel UniBom-06.22.2010_EE cost _update_internal_Bolt RFQ Proposal_Foxlink_ (Pricing Summary) 2 25 2011 2 2" xfId="18942"/>
    <cellStyle name="5_C139 CCM 12181" xfId="18943"/>
    <cellStyle name="Currency 4 2 2 2" xfId="18944"/>
    <cellStyle name="5_Dell ASUS NV28GL NPI 10-11-021" xfId="18945"/>
    <cellStyle name="5_Dell ASUS NV28GL NPI 10-24-02B" xfId="18946"/>
    <cellStyle name="5_Dell ASUS NV28GL NPI 10-25-021" xfId="18947"/>
    <cellStyle name="5_Dell ASUS NV28GL NPI 11-19-02" xfId="18948"/>
    <cellStyle name="好_Creek Assembly Fixture  Test Equipment RFQ_20090427_Leopard_UniBOM_ME_0602_Bolt RFQ_Foxlink_03.1 2011_nego meeting@MACH_Bolt_Cliff 2 2" xfId="18949"/>
    <cellStyle name="5_Dell ASUS NV28GL NPI 12-18-02" xfId="18950"/>
    <cellStyle name="5_P139 CCM 1107" xfId="18951"/>
    <cellStyle name="差_HP Mouse 產能評估(上系統)_M1 Bolt wireless mouse FixtureEquipment Cost_A2_2010_12_07_Bolt RFQ Proposal_Foxlink_ (Pricing Summary) 2 25 2011 3 2" xfId="18952"/>
    <cellStyle name="差_Creak Pearl Reliability Fixture RFQ_2009 04 24_Leopard_UniBOM_ME_0603-2_Bolt RFQ_Foxlink_03.1 2011 5" xfId="18953"/>
    <cellStyle name="5_P139 CCM 1129" xfId="18954"/>
    <cellStyle name="5_Phoenix2_NPI_0409" xfId="18955"/>
    <cellStyle name="5_V-SD  Jazz Dell proposed plan 0612" xfId="18956"/>
    <cellStyle name="6_139 NPI Gantt" xfId="18957"/>
    <cellStyle name="6_Dell ASUS NV28GL NPI 10-11-021" xfId="18958"/>
    <cellStyle name="6_Dell ASUS NV28GL NPI 10-24-02B" xfId="18959"/>
    <cellStyle name="6_Dell ASUS NV28GL NPI 10-25-021" xfId="18960"/>
    <cellStyle name="好_River EE BOM_Creak Pearl Reliability Fixture RFQ_2009 04 24_Creek RFQ feedback 04_28_2009_FD Update_Squirrel UniBom-06.23.2010_update_internal_Bolt RFQ Proposal_Foxlink_ (Pricing Summary) 2 25 2011" xfId="18961"/>
    <cellStyle name="6_Dell ASUS NV28GL NPI 11-13-02" xfId="18962"/>
    <cellStyle name="差_Creak Pearl Reliability Fixture RFQ_2009 04 24_Pearl RFQ(Submittal)ver2_05_12_2009 _Leopard_UniBOM_ME_0602-1_Bolt RFQ_Foxlink_03.1 2011 3" xfId="18963"/>
    <cellStyle name="6_Dell ASUS NV28GL NPI 12-18-02" xfId="18964"/>
    <cellStyle name="好_Rio QA Report-8.12_Dolce   QA Report 2010_0902 (A3)_Dolce   QA Report 2010_0902" xfId="18965"/>
    <cellStyle name="6_P139 CCM 11011" xfId="18966"/>
    <cellStyle name="6_P139 CCM 1107" xfId="18967"/>
    <cellStyle name="6_P139 CCM 11073" xfId="18968"/>
    <cellStyle name="6_Phoenix2_NPI_0409" xfId="18969"/>
    <cellStyle name="差_F3   SMT設備明細_M1 SuedeFixtureEquipment Cost_A0_2010_10_15_Bolt RFQ Proposal_Foxlink_ (Pricing Summary) 2 25 2011 4 2" xfId="18970"/>
    <cellStyle name="6_V-SD  Jazz Dell proposed plan 0612" xfId="18971"/>
    <cellStyle name="6-0" xfId="18972"/>
    <cellStyle name="6-0 2" xfId="18973"/>
    <cellStyle name="好_0842周 顯卡報廢超標8D_HP 6 2" xfId="18974"/>
    <cellStyle name="6-0 3" xfId="18975"/>
    <cellStyle name="好_0842周 顯卡報廢超標8D_HP 6 3" xfId="18976"/>
    <cellStyle name="6-0 4" xfId="18977"/>
    <cellStyle name="60% - Accent1" xfId="18978"/>
    <cellStyle name="差_Creak Pearl Reliability Fixture RFQ_2009 04 24_Foxlink_Shadow RFQ NREUni BOM_12032009_Bolt RFQ Proposal_Foxlink_ (Pricing Summary) 2 25 2011 2 3" xfId="18979"/>
    <cellStyle name="差_Creak Pearl Reliability Fixture RFQ_2009 04 24_Creek  Pearl RFQ_May 12_Leopard UniBom_Foxlink_6 21 2010-ME_nego_Bolt RFQ_Foxlink_03.1 2011_nego meeting@MACH 3 2" xfId="18980"/>
    <cellStyle name="Accent1 17" xfId="18981"/>
    <cellStyle name="Normal 45 5" xfId="18982"/>
    <cellStyle name="Normal 50 5" xfId="18983"/>
    <cellStyle name="60% - Accent1 10" xfId="18984"/>
    <cellStyle name="60% - Accent1 11" xfId="18985"/>
    <cellStyle name="60% - Accent1 12" xfId="18986"/>
    <cellStyle name="好_效益分析&amp;產能評估_M1 SuedeFixtureEquipment Cost_A0_2010_10_15_Bolt RFQ Proposal_Foxlink_ (Pricing Summary) 2 25 2011 2 2 2" xfId="18987"/>
    <cellStyle name="60% - Accent1 14" xfId="18988"/>
    <cellStyle name="好_效益分析&amp;產能評估_M1 SuedeFixtureEquipment Cost_A0_2010_10_15_Bolt RFQ Proposal_Foxlink_ (Pricing Summary) 2 25 2011 2 2 3" xfId="18989"/>
    <cellStyle name="60% - Accent1 15" xfId="18990"/>
    <cellStyle name="差_F3   SMT設備明細_效益分析_Dallas flow chart&amp;設備&amp;治工具清單(12-8 A0)_Jackson 效益分析 testing update_16th Jan111_Jackson 效益分析 (2-1 B0 上系統)" xfId="18991"/>
    <cellStyle name="60% - Accent1 2" xfId="18992"/>
    <cellStyle name="60% - Accent1 2 2" xfId="18993"/>
    <cellStyle name="差_Creak Pearl Reliability Fixture RFQ_2009 04 24_Leopard RFQ ME BOM Costs-0618-2" xfId="18994"/>
    <cellStyle name="好_Creek Assembly Fixture  Test Equipment RFQ_20090427_Xl0000002_Leopard_UniBOM_ME_0602_Bolt RFQ Proposal_Foxlink_ (Pricing Summary) 2 25 2011 4" xfId="18995"/>
    <cellStyle name="好_Creek Assembly Fixture  Test Equipment RFQ_20090427_Xl0000002_Leopard_UniBOM_ME_0602_Bolt RFQ Proposal_Foxlink_ (Pricing Summary) 2 25 2011 5" xfId="18996"/>
    <cellStyle name="60% - Accent1 2 3" xfId="18997"/>
    <cellStyle name="60% - Accent1 3" xfId="18998"/>
    <cellStyle name="60% - Accent1 4" xfId="18999"/>
    <cellStyle name="ÄÞ¸¶_±âÅ¸" xfId="19000"/>
    <cellStyle name="60% - Accent1 5" xfId="19001"/>
    <cellStyle name="好_Creek EE BOM cost_20090425_Creek RFQ feedback 04_28_2009_FD Update_Squirrel UniBom-06.23.2010_update_internal 2" xfId="19002"/>
    <cellStyle name="60% - Accent1 6" xfId="19003"/>
    <cellStyle name="好_Creek EE BOM cost_20090425_Creek RFQ feedback 04_28_2009_FD Update_Squirrel UniBom-06.23.2010_update_internal 3" xfId="19004"/>
    <cellStyle name="60% - Accent1 7" xfId="19005"/>
    <cellStyle name="好_Creek EE BOM cost_20090425_Creek RFQ feedback 04_28_2009_FD Update_Squirrel UniBom-06.23.2010_update_internal 4" xfId="19006"/>
    <cellStyle name="60% - Accent1 8" xfId="19007"/>
    <cellStyle name="差_F3   SMT設備明細_效益分析_Dallas flow chart&amp;設備&amp;治工具清單(12-8 A0)_~1159284" xfId="19008"/>
    <cellStyle name="好_Creek EE BOM cost_20090425_Creek RFQ feedback 04_28_2009_FD Update_Squirrel UniBom-06.23.2010_update_internal 5" xfId="19009"/>
    <cellStyle name="60% - Accent1 9" xfId="19010"/>
    <cellStyle name="60% - Accent2" xfId="19011"/>
    <cellStyle name="差_Creak Pearl Reliability Fixture RFQ_2009 04 24_Foxlink_Shadow RFQ NREUni BOM_12032009_Bolt RFQ Proposal_Foxlink_ (Pricing Summary) 2 25 2011 2 4" xfId="19012"/>
    <cellStyle name="差_Creak Pearl Reliability Fixture RFQ_2009 04 24_Creek  Pearl RFQ_May 12_Leopard UniBom_Foxlink_6 21 2010-ME_nego_Bolt RFQ_Foxlink_03.1 2011_nego meeting@MACH 3 3" xfId="19013"/>
    <cellStyle name="Accent1 18" xfId="19014"/>
    <cellStyle name="Normal 45 6" xfId="19015"/>
    <cellStyle name="Normal 50 6" xfId="19016"/>
    <cellStyle name="差_jupite r設備&amp;治工具LIST (總)_Jackson 效益分析 testing update_16th Jan111_Jackson 效益分析 (2-1 B0 上系統)" xfId="19017"/>
    <cellStyle name="60% - Accent2 10" xfId="19018"/>
    <cellStyle name="Normal 15 11" xfId="19019"/>
    <cellStyle name="60% - Accent2 12" xfId="19020"/>
    <cellStyle name="Normal 15 13" xfId="19021"/>
    <cellStyle name="差_Creak Pearl Reliability Fixture RFQ_2009 04 24_Pearl RFQ(Submittal)ver2_05_12_2009 _Leopard Lemur Squirrel UniBom-06.22.2010_EE cost _update_internal_Bolt RFQ Proposal_Foxlink_ (Pricing Summary) 2 25 2011 4 2" xfId="19022"/>
    <cellStyle name="60% - Accent2 13" xfId="19023"/>
    <cellStyle name="Normal 15 14" xfId="19024"/>
    <cellStyle name="差_Creak Pearl Reliability Fixture RFQ_2009 04 24_Pearl RFQ(Submittal)ver2_05_12_2009 _Leopard Lemur Squirrel UniBom-06.22.2010_EE cost _update_internal_Bolt RFQ Proposal_Foxlink_ (Pricing Summary) 2 25 2011 4 3" xfId="19025"/>
    <cellStyle name="60% - Accent2 14" xfId="19026"/>
    <cellStyle name="Normal 15 15" xfId="19027"/>
    <cellStyle name="60% - Accent2 15" xfId="19028"/>
    <cellStyle name="60% - Accent2 2" xfId="19029"/>
    <cellStyle name="好_River EE BOM_Creak Pearl Reliability Fixture RFQ_2009 04 24_Creek RFQ feedback 04_28_2009_FD Update_Leopard_UniBOM_ME_0531_Bolt RFQ Proposal_Foxlink_ (Pricing Summary) 2 25 2011 2 4" xfId="19030"/>
    <cellStyle name="60% - Accent2 2 3" xfId="19031"/>
    <cellStyle name="好_River EE BOM_Xl0000002_Leopard_UniBOM_ME_0602-1_Bolt RFQ_Foxlink_03.1 2011 2 2" xfId="19032"/>
    <cellStyle name="好_River EE BOM_Creak Pearl Reliability Fixture RFQ_2009 04 24_Xl0000002_Leopard_UniBOM_ME_0602-1_Bolt RFQ_Foxlink_03.1 2011_nego meeting@MACH 3" xfId="19033"/>
    <cellStyle name="60% - Accent2 3 3" xfId="19034"/>
    <cellStyle name="60% - Accent2 4" xfId="19035"/>
    <cellStyle name="差_Creak Pearl Reliability Fixture RFQ_2009 04 24_Creek  Pearl RFQ_May 12_Leopard RFQ ME BOM Costs-0618-2_Bolt RFQ_Foxlink_03.1 2011" xfId="19036"/>
    <cellStyle name="60% - Accent2 6" xfId="19037"/>
    <cellStyle name="60% - Accent2 7" xfId="19038"/>
    <cellStyle name="Actual Date" xfId="19039"/>
    <cellStyle name="60% - Accent2 8" xfId="19040"/>
    <cellStyle name="60% - Accent2 9" xfId="19041"/>
    <cellStyle name="差_Xl0000000_Leopard_UniBOM_ME_0531_Bolt RFQ Proposal_Foxlink_ (Pricing Summary) 2 25 2011 2" xfId="19042"/>
    <cellStyle name="60% - Accent3" xfId="19043"/>
    <cellStyle name="60% - Accent3 11" xfId="19044"/>
    <cellStyle name="60% - Accent3 13" xfId="19045"/>
    <cellStyle name="60% - Accent3 15" xfId="19046"/>
    <cellStyle name="差_Xl0000000_Leopard_UniBOM_ME_0531_Bolt RFQ Proposal_Foxlink_ (Pricing Summary) 2 25 2011 2 2" xfId="19047"/>
    <cellStyle name="差_F3   SMT設備明細_MS Bolt wireless mouse FixtureEquipment Cost_A5_2010_02_21_Bolt RFQ Proposal_Foxlink_ (Pricing Summary) 2 25 2011 6" xfId="19048"/>
    <cellStyle name="差_Creak Pearl Reliability Fixture RFQ_2009 04 24_Pearl RFQ(Submittal)ver2_05_12_2009 _Leopard_UniBOM_ME_0531_Bolt RFQ Proposal_Foxlink_ (Pricing Summary) 2 25 2011 7" xfId="19049"/>
    <cellStyle name="差_Creak Pearl Reliability Fixture RFQ_2009 04 24_Squirrel UniBom-06.23.2010_update_internal 5" xfId="19050"/>
    <cellStyle name="60% - Accent3 2" xfId="19051"/>
    <cellStyle name="差_Xl0000000_Leopard_UniBOM_ME_0531_Bolt RFQ Proposal_Foxlink_ (Pricing Summary) 2 25 2011 2 2 3" xfId="19052"/>
    <cellStyle name="60% - Accent3 2 3" xfId="19053"/>
    <cellStyle name="差_Xl0000000_Leopard_UniBOM_ME_0531_Bolt RFQ Proposal_Foxlink_ (Pricing Summary) 2 25 2011 2 3" xfId="19054"/>
    <cellStyle name="差_F3   SMT設備明細_MS Bolt wireless mouse FixtureEquipment Cost_A5_2010_02_21_Bolt RFQ Proposal_Foxlink_ (Pricing Summary) 2 25 2011 7" xfId="19055"/>
    <cellStyle name="60% - Accent3 3" xfId="19056"/>
    <cellStyle name="差_F3   SMT設備明細_jupite r設備&amp;治工具LIST (總)_Dallas flow chart&amp;設備&amp;治工具清單(12-8 A0)_~5631336_Jackson 效益分析 (2-1 B0 上系統)" xfId="19057"/>
    <cellStyle name="60% - Accent3 3 2" xfId="19058"/>
    <cellStyle name="差_Xl0000000_Leopard_UniBOM_ME_0531_Bolt RFQ Proposal_Foxlink_ (Pricing Summary) 2 25 2011 2 4" xfId="19059"/>
    <cellStyle name="60% - Accent3 4" xfId="19060"/>
    <cellStyle name="60% - Accent3 5" xfId="19061"/>
    <cellStyle name="60% - Accent3 8" xfId="19062"/>
    <cellStyle name="60% - Accent3 9" xfId="19063"/>
    <cellStyle name="差_Xl0000000_Leopard_UniBOM_ME_0531_Bolt RFQ Proposal_Foxlink_ (Pricing Summary) 2 25 2011 3" xfId="19064"/>
    <cellStyle name="60% - Accent4" xfId="19065"/>
    <cellStyle name="60% - Accent4 10" xfId="19066"/>
    <cellStyle name="60% - Accent4 11" xfId="19067"/>
    <cellStyle name="好_River EE BOM_Creak Pearl Reliability Fixture RFQ_2009 04 24_Creek RFQ feedback 04_28_2009_FD Update_Leopard UniBom_Foxlink_6 21 2010-ME_nego_Bolt RFQ_Foxlink_03.1 2011_nego meeting@MACH 3 2" xfId="19068"/>
    <cellStyle name="60% - Accent4 12" xfId="19069"/>
    <cellStyle name="好_River EE BOM_Creak Pearl Reliability Fixture RFQ_2009 04 24_Creek RFQ feedback 04_28_2009_FD Update_Leopard UniBom_Foxlink_6 21 2010-ME_nego_Bolt RFQ_Foxlink_03.1 2011_nego meeting@MACH 3 3" xfId="19070"/>
    <cellStyle name="差_Xl0000000_Leopard_UniBOM_ME_0531_Bolt RFQ Proposal_Foxlink_ (Pricing Summary) 2 25 2011 3 2" xfId="19071"/>
    <cellStyle name="好_River EE BOM 4" xfId="19072"/>
    <cellStyle name="60% - Accent4 2" xfId="19073"/>
    <cellStyle name="好_效益分析&amp;產能評估_Bolt RFQ Proposal_Foxlink_ (Pricing Summary) 2 25 2011 3 3" xfId="19074"/>
    <cellStyle name="好_River EE BOM 4 2" xfId="19075"/>
    <cellStyle name="60% - Accent4 2 2" xfId="19076"/>
    <cellStyle name="差_Xl0000000_Leopard_UniBOM_ME_0531_Bolt RFQ Proposal_Foxlink_ (Pricing Summary) 2 25 2011 3 3" xfId="19077"/>
    <cellStyle name="60% - Accent4 3" xfId="19078"/>
    <cellStyle name="60% - Accent4 3 3" xfId="19079"/>
    <cellStyle name="60% - Accent4 4" xfId="19080"/>
    <cellStyle name="60% - Accent4 6" xfId="19081"/>
    <cellStyle name="60% - Accent4 8" xfId="19082"/>
    <cellStyle name="差_Creak Pearl Reliability Fixture RFQ_2009 04 24_Leopard Lemur Squirrel UniBom-06.22.2010_EE cost _update_internal_Bolt RFQ_Foxlink_03.1 2011" xfId="19083"/>
    <cellStyle name="60% - Accent4 9" xfId="19084"/>
    <cellStyle name="差_Xl0000000_Leopard_UniBOM_ME_0531_Bolt RFQ Proposal_Foxlink_ (Pricing Summary) 2 25 2011 4" xfId="19085"/>
    <cellStyle name="60% - Accent5" xfId="19086"/>
    <cellStyle name="好_Creek Assembly Fixture  Test Equipment RFQ_20090427_Xl0000002_Squirrel RFQ ME BOM Costs-0623_Bolt RFQ Proposal_Foxlink_ (Pricing Summary) 2 25 2011 5" xfId="19087"/>
    <cellStyle name="60% - Accent5 10" xfId="19088"/>
    <cellStyle name="好_Creek Assembly Fixture  Test Equipment RFQ_20090427_Xl0000002_Squirrel RFQ ME BOM Costs-0623_Bolt RFQ Proposal_Foxlink_ (Pricing Summary) 2 25 2011 6" xfId="19089"/>
    <cellStyle name="60% - Accent5 11" xfId="19090"/>
    <cellStyle name="60% - Accent5 13" xfId="19091"/>
    <cellStyle name="60% - Accent5 14" xfId="19092"/>
    <cellStyle name="60% - Accent5 2 2" xfId="19093"/>
    <cellStyle name="60% - Accent5 2 3" xfId="19094"/>
    <cellStyle name="差_Xl0000000_Leopard_UniBOM_ME_0531_Bolt RFQ Proposal_Foxlink_ (Pricing Summary) 2 25 2011 4 3" xfId="19095"/>
    <cellStyle name="60% - Accent5 3" xfId="19096"/>
    <cellStyle name="60% - Accent5 3 3" xfId="19097"/>
    <cellStyle name="60% - Accent5 5" xfId="19098"/>
    <cellStyle name="汇总 2 2" xfId="19099"/>
    <cellStyle name="60% - Accent5 7" xfId="19100"/>
    <cellStyle name="汇总 2 4" xfId="19101"/>
    <cellStyle name="60% - Accent5 9" xfId="19102"/>
    <cellStyle name="差_Xl0000000_Leopard_UniBOM_ME_0531_Bolt RFQ Proposal_Foxlink_ (Pricing Summary) 2 25 2011 5" xfId="19103"/>
    <cellStyle name="60% - Accent6" xfId="19104"/>
    <cellStyle name="好_River EE BOM_Creak Pearl Reliability Fixture RFQ_2009 04 24_Pearl RFQ(Submittal)ver2_05_12_2009 _Leopard RFQ ME BOM Costs-0618_Bolt RFQ_Foxlink_03.1 2011 2" xfId="19105"/>
    <cellStyle name="60% - Accent6 10" xfId="19106"/>
    <cellStyle name="好_River EE BOM_Creak Pearl Reliability Fixture RFQ_2009 04 24_Squirrel RFQ ME BOM Costs-0624" xfId="19107"/>
    <cellStyle name="好_River EE BOM_Creak Pearl Reliability Fixture RFQ_2009 04 24_Pearl RFQ(Submittal)ver2_05_12_2009 _Leopard RFQ ME BOM Costs-0618_Bolt RFQ_Foxlink_03.1 2011 4" xfId="19108"/>
    <cellStyle name="60% - Accent6 12" xfId="19109"/>
    <cellStyle name="60% - Accent6 14" xfId="19110"/>
    <cellStyle name="60% - Accent6 3 3" xfId="19111"/>
    <cellStyle name="60% - Accent6 5" xfId="19112"/>
    <cellStyle name="60% - Accent6 6" xfId="19113"/>
    <cellStyle name="汇总 3 2" xfId="19114"/>
    <cellStyle name="60% - Accent6 7" xfId="19115"/>
    <cellStyle name="汇总 3 3" xfId="19116"/>
    <cellStyle name="60% - Accent6 8" xfId="19117"/>
    <cellStyle name="汇总 3 4" xfId="19118"/>
    <cellStyle name="60% - Accent6 9" xfId="19119"/>
    <cellStyle name="60% - アクセント 4" xfId="19120"/>
    <cellStyle name="差_Squirrel UniBom-06.23.2010_update_internal_Bolt RFQ_Foxlink_03.1 2011_nego meeting@MACH 2" xfId="19121"/>
    <cellStyle name="壞_Creek Assembly Fixture  Test Equipment RFQ_20090427_Foxlink_Shadow RFQ NREUni BOM_12032009_Bolt RFQ Proposal_Foxlink_ (Pricing Summary) 2 25 2011 4 2" xfId="19122"/>
    <cellStyle name="60% - アクセント 6" xfId="19123"/>
    <cellStyle name="差_Squirrel UniBom-06.23.2010_update_internal_Bolt RFQ_Foxlink_03.1 2011_nego meeting@MACH 4" xfId="19124"/>
    <cellStyle name="差_Foxlink_Shadow RFQ NREUni BOM_12032009_Bolt RFQ_Foxlink_03.1 2011_nego meeting@MACH 3 2" xfId="19125"/>
    <cellStyle name="60% - 强调文字颜色 1 2" xfId="19126"/>
    <cellStyle name="60% - 强调文字颜色 1 2 2 2" xfId="19127"/>
    <cellStyle name="60% - 强调文字颜色 1 2 2 4" xfId="19128"/>
    <cellStyle name="60% - 强调文字颜色 1 2 3" xfId="19129"/>
    <cellStyle name="60% - 强调文字颜色 1 2 3 2" xfId="19130"/>
    <cellStyle name="60% - 强调文字颜色 1 2 3 3" xfId="19131"/>
    <cellStyle name="差_Creak Pearl Reliability Fixture RFQ_2009 04 24_Xl0000002_Leopard RFQ ME BOM Costs-0618_Bolt RFQ Proposal_Foxlink_ (Pricing Summary) 2 25 2011 3 3" xfId="19132"/>
    <cellStyle name="Normal 4 11 2" xfId="19133"/>
    <cellStyle name="60% - 强调文字颜色 1 2 5" xfId="19134"/>
    <cellStyle name="差_Foxlink_Shadow RFQ NREUni BOM_12032009_Bolt RFQ_Foxlink_03.1 2011_nego meeting@MACH 3 3" xfId="19135"/>
    <cellStyle name="60% - 强调文字颜色 1 3" xfId="19136"/>
    <cellStyle name="好_0842周 顯卡報廢超標8D_HP 2 2 2 3" xfId="19137"/>
    <cellStyle name="60% - 强调文字颜色 1 3 2" xfId="19138"/>
    <cellStyle name="好_0842周 顯卡報廢超標8D_HP 3" xfId="19139"/>
    <cellStyle name="60% - 强调文字颜色 1 3 2 2" xfId="19140"/>
    <cellStyle name="好_0842周 顯卡報廢超標8D_HP 4" xfId="19141"/>
    <cellStyle name="60% - 强调文字颜色 1 3 2 3" xfId="19142"/>
    <cellStyle name="60% - 强调文字颜色 1 3 3" xfId="19143"/>
    <cellStyle name="60% - 强调文字颜色 1 5" xfId="19144"/>
    <cellStyle name="60% - 强调文字颜色 1 5 2" xfId="19145"/>
    <cellStyle name="60% - 强调文字颜色 1 6" xfId="19146"/>
    <cellStyle name="差_HP  專案(設備&amp;治工具需夠買)update_MS Bolt wireless mouse FixtureEquipment Cost_A5_2010_02_21_Bolt RFQ Proposal_Foxlink_ (Pricing Summary) 2 25 2011 2 2 2" xfId="19147"/>
    <cellStyle name="好_River EE BOM_Creak Pearl Reliability Fixture RFQ_2009 04 24_Lemur RFQ ME BOM Costs-0623" xfId="19148"/>
    <cellStyle name="60% - 强调文字颜色 2 2 2 3" xfId="19149"/>
    <cellStyle name="60% - 强调文字颜色 2 2 3" xfId="19150"/>
    <cellStyle name="60% - 强调文字颜色 3 2 4" xfId="19151"/>
    <cellStyle name="差_F3   SMT設備明細_效益分析_Dallas效益分析&amp;投資回收期 (12-2 A1)_Jackson 效益分析 testing update_16th Jan111" xfId="19152"/>
    <cellStyle name="好_Leopard_BOM_POC1_20100813 with cost and PN" xfId="19153"/>
    <cellStyle name="60% - 强调文字颜色 2 2 3 2" xfId="19154"/>
    <cellStyle name="comma zerodec 2" xfId="19155"/>
    <cellStyle name="60% - 强调文字颜色 3 2 5" xfId="19156"/>
    <cellStyle name="60% - 强调文字颜色 2 2 3 3" xfId="19157"/>
    <cellStyle name="60% - 强调文字颜色 2 2 4" xfId="19158"/>
    <cellStyle name="差_Creak Pearl Reliability Fixture RFQ_2009 04 24_Xl0000002_Leopard_UniBOM_ME_0531_Bolt RFQ_Foxlink_03.1 2011_nego meeting@MACH 4" xfId="19159"/>
    <cellStyle name="60% - 强调文字颜色 2 3 2" xfId="19160"/>
    <cellStyle name="60% - 强调文字颜色 2 3 2 2" xfId="19161"/>
    <cellStyle name="60% - 强调文字颜色 2 3 2 3" xfId="19162"/>
    <cellStyle name="60% - 强调文字颜色 2 4" xfId="19163"/>
    <cellStyle name="60% - 强调文字颜色 2 5 2" xfId="19164"/>
    <cellStyle name="好_Creek Assembly Fixture  Test Equipment RFQ_20090427_Xl0000002_Leopard Lemur Squirrel UniBom-06.22.2010_EE cost _update_internal_Bolt RFQ Proposal_Foxlink_ (Pricing Summary) 2 25 2011 4" xfId="19165"/>
    <cellStyle name="60% - 强调文字颜色 3 2" xfId="19166"/>
    <cellStyle name="好_Creek Assembly Fixture  Test Equipment RFQ_20090427_Xl0000002_Leopard Lemur Squirrel UniBom-06.22.2010_EE cost _update_internal_Bolt RFQ Proposal_Foxlink_ (Pricing Summary) 2 25 2011 4 2" xfId="19167"/>
    <cellStyle name="60% - 强调文字颜色 3 2 2" xfId="19168"/>
    <cellStyle name="60% - 强调文字颜色 3 2 2 2" xfId="19169"/>
    <cellStyle name="60% - 强调文字颜色 3 2 2 2 3" xfId="19170"/>
    <cellStyle name="60% - 强调文字颜色 3 2 2 4" xfId="19171"/>
    <cellStyle name="好_Creek Assembly Fixture  Test Equipment RFQ_20090427_Xl0000002_Leopard Lemur Squirrel UniBom-06.22.2010_EE cost _update_internal_Bolt RFQ Proposal_Foxlink_ (Pricing Summary) 2 25 2011 4 3" xfId="19172"/>
    <cellStyle name="60% - 强调文字颜色 3 2 3" xfId="19173"/>
    <cellStyle name="test3" xfId="19174"/>
    <cellStyle name="60% - 强调文字颜色 3 2 3 2" xfId="19175"/>
    <cellStyle name="60% - 强调文字颜色 3 2 3 3" xfId="19176"/>
    <cellStyle name="好_Creek Assembly Fixture  Test Equipment RFQ_20090427_Xl0000002_Leopard Lemur Squirrel UniBom-06.22.2010_EE cost _update_internal_Bolt RFQ Proposal_Foxlink_ (Pricing Summary) 2 25 2011 5" xfId="19177"/>
    <cellStyle name="60% - 强调文字颜色 3 3" xfId="19178"/>
    <cellStyle name="好_Creek Assembly Fixture  Test Equipment RFQ_20090427_Xl0000002_Leopard Lemur Squirrel UniBom-06.22.2010_EE cost _update_internal_Bolt RFQ Proposal_Foxlink_ (Pricing Summary) 2 25 2011 5 2" xfId="19179"/>
    <cellStyle name="60% - 强调文字颜色 3 3 2" xfId="19180"/>
    <cellStyle name="60% - 强调文字颜色 3 3 2 2" xfId="19181"/>
    <cellStyle name="60% - 强调文字颜色 3 3 2 3" xfId="19182"/>
    <cellStyle name="差_HP Mouse 產能評估(Forecast更改後)_MS Bolt wireless mouse FixtureEquipment Cost_A5_2010_02_21 2" xfId="19183"/>
    <cellStyle name="60% - 强调文字颜色 3 3 3" xfId="19184"/>
    <cellStyle name="差_Creak Pearl Reliability Fixture RFQ_2009 04 24_Leopard RFQ ME BOM Costs-0618 2 2 2" xfId="19185"/>
    <cellStyle name="好_Creek Assembly Fixture  Test Equipment RFQ_20090427_Xl0000002_Leopard Lemur Squirrel UniBom-06.22.2010_EE cost _update_internal_Bolt RFQ Proposal_Foxlink_ (Pricing Summary) 2 25 2011 5 3" xfId="19186"/>
    <cellStyle name="60% - 强调文字颜色 3 5 3" xfId="19187"/>
    <cellStyle name="壞_Creek Assembly Fixture  Test Equipment RFQ_20090427_Bolt RFQ Proposal_Foxlink_ (Pricing Summary) 2 25 2011 2 2 2" xfId="19188"/>
    <cellStyle name="60% - 强调文字颜色 3 6" xfId="19189"/>
    <cellStyle name="60% - 强调文字颜色 4 2" xfId="19190"/>
    <cellStyle name="差_Flow Chart&amp;PQ分析(12-1)_Flow chart and Fixture(Jackson)_A1_Jackson 效益分析 (2-1 B0 上系統)" xfId="19191"/>
    <cellStyle name="好_Creek EE BOM cost_20090425_Leopard UniBom_Foxlink_6 21 2010-ME_nego_Bolt RFQ_Foxlink_03.1 2011 2 3" xfId="19192"/>
    <cellStyle name="60% - 强调文字颜色 4 2 2" xfId="19193"/>
    <cellStyle name="60% - 强调文字颜色 4 2 2 2" xfId="19194"/>
    <cellStyle name="60% - 强调文字颜色 4 2 2 2 2" xfId="19195"/>
    <cellStyle name="Input 2 2 2" xfId="19196"/>
    <cellStyle name="60% - 强调文字颜色 4 2 2 2 3" xfId="19197"/>
    <cellStyle name="60% - 强调文字颜色 4 2 2 4" xfId="19198"/>
    <cellStyle name="60% - 强调文字颜色 4 2 3" xfId="19199"/>
    <cellStyle name="60% - 强调文字颜色 4 2 3 2" xfId="19200"/>
    <cellStyle name="60% - 强调文字颜色 4 2 3 3" xfId="19201"/>
    <cellStyle name="好_Creek EE BOM cost_20090425_Leopard UniBom_Foxlink_6 21 2010-ME_nego_Bolt RFQ_Foxlink_03.1 2011 3 3" xfId="19202"/>
    <cellStyle name="60% - 强调文字颜色 4 3 2" xfId="19203"/>
    <cellStyle name="60% - 强调文字颜色 4 3 2 2" xfId="19204"/>
    <cellStyle name="好_HP all model 標準工時(W1130) 2 2" xfId="19205"/>
    <cellStyle name="60% - 强调文字颜色 4 3 2 3" xfId="19206"/>
    <cellStyle name="60% - 强调文字颜色 4 4" xfId="19207"/>
    <cellStyle name="60% - 强调文字颜色 4 5 2" xfId="19208"/>
    <cellStyle name="60% - 强调文字颜色 4 6" xfId="19209"/>
    <cellStyle name="差_Creak Pearl Reliability Fixture RFQ_2009 04 24_Pearl RFQ(Submittal)ver2_05_12_2009 _Bolt RFQ_Foxlink_03.1 2011 2 3" xfId="19210"/>
    <cellStyle name="60% - 强调文字颜色 5 2 2" xfId="19211"/>
    <cellStyle name="60% - 强调文字颜色 5 2 2 2 2" xfId="19212"/>
    <cellStyle name="60% - 强调文字颜色 5 2 2 2 3" xfId="19213"/>
    <cellStyle name="60% - 强调文字颜色 5 2 2 4" xfId="19214"/>
    <cellStyle name="差_Bristol RFQ response _20101102_internal (4)" xfId="19215"/>
    <cellStyle name="60% - 强调文字颜色 5 2 3" xfId="19216"/>
    <cellStyle name="60% - 强调文字颜色 5 2 3 2" xfId="19217"/>
    <cellStyle name="Normal 5 6 2" xfId="19218"/>
    <cellStyle name="60% - 强调文字颜色 5 2 3 3" xfId="19219"/>
    <cellStyle name="60% - 强调文字颜色 5 2 4" xfId="19220"/>
    <cellStyle name="60% - 强调文字颜色 5 2 5" xfId="19221"/>
    <cellStyle name="60% - 强调文字颜色 5 3" xfId="19222"/>
    <cellStyle name="60% - 强调文字颜色 5 3 2" xfId="19223"/>
    <cellStyle name="好_Creek Assembly Fixture  Test Equipment RFQ_20090427_Leopard RFQ ME BOM Costs-0618-2_Bolt RFQ_Foxlink_03.1 2011_nego meeting@MACH_Bolt_Cliff 2 2 2" xfId="19224"/>
    <cellStyle name="60% - 强调文字颜色 5 3 2 3" xfId="19225"/>
    <cellStyle name="60% - 强调文字颜色 5 3 3" xfId="19226"/>
    <cellStyle name="60% - 强调文字颜色 5 4" xfId="19227"/>
    <cellStyle name="60% - 强调文字颜色 5 5" xfId="19228"/>
    <cellStyle name="差_Creak Pearl Reliability Fixture RFQ_2009 04 24_Pearl RFQ(Submittal)ver2_05_12_2009 _Bolt RFQ_Foxlink_03.1 2011 3 2" xfId="19229"/>
    <cellStyle name="好_River EE BOM_Creak Pearl Reliability Fixture RFQ_2009 04 24_Pearl RFQ(Submittal)ver2_05_12_2009 _Leopard_UniBOM_ME_0602_Bolt RFQ_Foxlink_03.1 2011 2 2" xfId="19230"/>
    <cellStyle name="Update" xfId="19231"/>
    <cellStyle name="60% - 强调文字颜色 5 5 2" xfId="19232"/>
    <cellStyle name="60% - 强调文字颜色 5 5 3" xfId="19233"/>
    <cellStyle name="60% - 强调文字颜色 5 6" xfId="19234"/>
    <cellStyle name="差_Creak Pearl Reliability Fixture RFQ_2009 04 24_Pearl RFQ(Submittal)ver2_05_12_2009 _Bolt RFQ_Foxlink_03.1 2011 3 3" xfId="19235"/>
    <cellStyle name="好_River EE BOM_Creak Pearl Reliability Fixture RFQ_2009 04 24_Pearl RFQ(Submittal)ver2_05_12_2009 _Leopard_UniBOM_ME_0602_Bolt RFQ_Foxlink_03.1 2011 2 3" xfId="19236"/>
    <cellStyle name="60% - 强调文字颜色 6 2" xfId="19237"/>
    <cellStyle name="60% - 强调文字颜色 6 2 2" xfId="19238"/>
    <cellStyle name="60% - 强调文字颜色 6 2 2 2" xfId="19239"/>
    <cellStyle name="60% - 强调文字颜色 6 2 2 2 2" xfId="19240"/>
    <cellStyle name="好_River EE BOM_Creak Pearl Reliability Fixture RFQ_2009 04 24_Creek RFQ feedback 04_28_2009_FD Update_Squirrel UniBom-06.23.2010_update_internal 2" xfId="19241"/>
    <cellStyle name="60% - 强调文字颜色 6 2 2 2 3" xfId="19242"/>
    <cellStyle name="60% - 强调文字颜色 6 2 2 3" xfId="19243"/>
    <cellStyle name="60% - 强调文字颜色 6 2 3 3" xfId="19244"/>
    <cellStyle name="60% - 强调文字颜色 6 2 4" xfId="19245"/>
    <cellStyle name="60% - 强调文字颜色 6 3" xfId="19246"/>
    <cellStyle name="60% - 强调文字颜色 6 3 2 3" xfId="19247"/>
    <cellStyle name="好_Erie Assembly Fixture  Test Equip Cost_20090716_Jackson and Shadow test cost update _7th Feb 2010 (2)_Bristol MP quote update_08182011_MS" xfId="19248"/>
    <cellStyle name="60% - 强调文字颜色 6 3 4" xfId="19249"/>
    <cellStyle name="60% - 强调文字颜色 6 4" xfId="19250"/>
    <cellStyle name="差_F3   SMT設備明細_jupite r設備&amp;治工具LIST (總)_Dallas效益分析&amp;投資回收期 (12-2 A1)_Flow chart and Fixture(1-4)_Jackson 效益分析 (2-1 B0 上系統)_Leopard Flowchart &amp; 產能評估" xfId="19251"/>
    <cellStyle name="好_River EE BOM_Creak Pearl Reliability Fixture RFQ_2009 04 24_Pearl RFQ(Submittal)ver2_05_12_2009 _Leopard_UniBOM_ME_0602_Bolt RFQ_Foxlink_03.1 2011 3 2" xfId="19252"/>
    <cellStyle name="60% - 强调文字颜色 6 5" xfId="19253"/>
    <cellStyle name="60% - 强调文字颜色 6 5 2" xfId="19254"/>
    <cellStyle name="60% - 强调文字颜色 6 5 3" xfId="19255"/>
    <cellStyle name="好_River EE BOM_Creak Pearl Reliability Fixture RFQ_2009 04 24_Pearl RFQ(Submittal)ver2_05_12_2009 _Leopard_UniBOM_ME_0602_Bolt RFQ_Foxlink_03.1 2011 3 3" xfId="19256"/>
    <cellStyle name="好_Creek EE BOM cost_20090425_Creek RFQ feedback 04_28_2009_FD Update_Leopard_UniBOM_ME_0603-2_Bolt RFQ_Foxlink_03.1 2011 2 2" xfId="19257"/>
    <cellStyle name="60% - 强调文字颜色 6 6" xfId="19258"/>
    <cellStyle name="60% - 輔色1 2" xfId="19259"/>
    <cellStyle name="60% - 輔色2 2" xfId="19260"/>
    <cellStyle name="好_Creek Assembly Fixture  Test Equipment RFQ_20090427_Leopard RFQ ME BOM Costs-0618-2_Bolt RFQ_Foxlink_03.1 2011_Bolt_Cliff 5" xfId="19261"/>
    <cellStyle name="60% - 輔色3 2" xfId="19262"/>
    <cellStyle name="60% - 輔色5 2" xfId="19263"/>
    <cellStyle name="好_River EE BOM_Creak Pearl Reliability Fixture RFQ_2009 04 24_Leopard_UniBOM_ME_0603-2_Bolt RFQ Proposal_Foxlink_ (Pricing Summary) 2 25 2011 2 2" xfId="19264"/>
    <cellStyle name="好_River EE BOM_Creak Pearl Reliability Fixture RFQ_2009 04 24_Creek RFQ feedback 04_28_2009_FD Update_Leopard Lemur Squirrel UniBom-06.22.2010_EE cost _update_internal_Bolt RFQ_Foxlink_03.1 2011 2 3" xfId="19265"/>
    <cellStyle name="7_139 NPI Gantt" xfId="19266"/>
    <cellStyle name="7_C139 CCM 12181" xfId="19267"/>
    <cellStyle name="差_HP Mouse 產能評估(Forecast更改後)_M1 SuedeFixtureEquipment Cost_A0_2010_10_15_Bolt RFQ_Foxlink_03.1 2011_nego meeting@MACH 5" xfId="19268"/>
    <cellStyle name="好_效益分析&amp;產能評估_Bolt RFQ_Foxlink_03.1 2011_nego meeting@MACH" xfId="19269"/>
    <cellStyle name="7_Dell ASUS NV28GL NPI 10-24-02B" xfId="19270"/>
    <cellStyle name="7_Dell ASUS NV28GL NPI 10-25-021" xfId="19271"/>
    <cellStyle name="7_Dell ASUS NV28GL NPI 11-13-02" xfId="19272"/>
    <cellStyle name="差_Squirrel UniBom-06.23.2010_update_internal 3 3" xfId="19273"/>
    <cellStyle name="差_jupite r設備&amp;治工具LIST (總)_Flow chart and Fixture(1-4)" xfId="19274"/>
    <cellStyle name="7_Dell ASUS NV28GL NPI 11-19-02" xfId="19275"/>
    <cellStyle name="7_Dell ASUS NV28GL NPI 12-18-02" xfId="19276"/>
    <cellStyle name="7_P139 CCM 11011" xfId="19277"/>
    <cellStyle name="7_P139 CCM 11073" xfId="19278"/>
    <cellStyle name="7_Phoenix2_NPI_0409" xfId="19279"/>
    <cellStyle name="7_V-SD  Jazz Dell proposed plan 0612" xfId="19280"/>
    <cellStyle name="差_Creak Pearl Reliability Fixture RFQ_2009 04 24_Creek RFQ feedback 04_28_2009_FD Update_Leopard RFQ ME BOM Costs-0618 2 2 3" xfId="19281"/>
    <cellStyle name="9" xfId="19282"/>
    <cellStyle name="9 2" xfId="19283"/>
    <cellStyle name="好_River EE BOM_Creak Pearl Reliability Fixture RFQ_2009 04 24_Creek RFQ feedback 04_28_2009_FD Update_Leopard RFQ ME BOM Costs-0618-2_Bolt RFQ Proposal_Foxlink_ (Pricing Summary) 2 25 2011 3 2" xfId="19284"/>
    <cellStyle name="好_River EE BOM_Creak Pearl Reliability Fixture RFQ_2009 04 24_Creek  Pearl RFQ_May 12_Leopard RFQ ME BOM Costs-0618_Bolt RFQ Proposal_Foxlink_ (Pricing Summary) 2 25 2011 7" xfId="19285"/>
    <cellStyle name="9_Charlotte Price Model_A" xfId="19286"/>
    <cellStyle name="差_Creak Pearl Reliability Fixture RFQ_2009 04 24_Creek  Pearl RFQ_May 12_Squirrel RFQ ME BOM Costs-0623_Bolt RFQ_Foxlink_03.1 2011_nego meeting@MACH 5" xfId="19287"/>
    <cellStyle name="差_Creak Pearl Reliability Fixture RFQ_2009 04 24_Pearl RFQ(Submittal)ver2_05_12_2009 _Leopard_UniBOM_ME_0602_Bolt RFQ_Foxlink_03.1 2011 5" xfId="19288"/>
    <cellStyle name="好_Creek Assembly Fixture  Test Equipment RFQ_20090427_Leopard_UniBOM_ME_0602_Bolt RFQ_Foxlink_03.1 2011_Bolt_Cliff 3" xfId="19289"/>
    <cellStyle name="9_Charlotte Price Model_A_Copy of MOST Std - S1300 F2lines" xfId="19290"/>
    <cellStyle name="9_Charlotte Price Model_A_MOST Std - Project A BB Line" xfId="19291"/>
    <cellStyle name="差_Xl0000000_Leopard_UniBOM_ME_0603-2_Bolt RFQ_Foxlink_03.1 2011 4" xfId="19292"/>
    <cellStyle name="9_FA for Production Line in 11.2006" xfId="19293"/>
    <cellStyle name="壞_Creek EE BOM cost_20090425_Creek RFQ feedback 04_28_2009_FD Update_Leopard_UniBOM_ME_0531 2 2" xfId="19294"/>
    <cellStyle name="好_Creek EE BOM cost_20090425_Squirrel RFQ ME BOM Costs-0623_Bolt RFQ Proposal_Foxlink_ (Pricing Summary) 2 25 2011 3 3" xfId="19295"/>
    <cellStyle name="9_FA for Production Line in 11.2006_2009 xBOX ramp up budget code applicaiton 300K --New May26 (3)" xfId="19296"/>
    <cellStyle name="9_FA for Production Line in 11.2006_2009 xBOX ramp up budget code applicaiton 300K --New May27" xfId="19297"/>
    <cellStyle name="9_FA for Production Line in 11.2006_Copy of X-BOX for line setup budget" xfId="19298"/>
    <cellStyle name="9_FA for Production Line in 11.2006_Forecast Template v4" xfId="19299"/>
    <cellStyle name="差_Xl0000000_Bolt RFQ Proposal_Foxlink_ (Pricing Summary) 2 25 2011 2 4" xfId="19300"/>
    <cellStyle name="9_FA for Production Line in 11.2006_X-BOX BB" xfId="19301"/>
    <cellStyle name="9_FA for Production Line in 11.2006_X-BOX Console line setup budget 20080414" xfId="19302"/>
    <cellStyle name="9_FA for Production Line in 11.2006_X-BOX Console line setup budget and Buyer list" xfId="19303"/>
    <cellStyle name="9_Revised AP DPO Oct 04 v2" xfId="19304"/>
    <cellStyle name="9_Revised AP DPO Oct 04 v2_2009 xBOX ramp up budget code applicaiton 300K --New May26 (3)" xfId="19305"/>
    <cellStyle name="9_Revised AP DPO Oct 04 v2_2009 xBOX ramp up budget code applicaiton 300K --New May27" xfId="19306"/>
    <cellStyle name="差_HP  專案(設備&amp;治工具需夠買)update_MS Bolt wireless mouse FixtureEquipment Cost_A5_2010_02_21_Bolt RFQ Proposal_Foxlink_ (Pricing Summary) 2 25 2011" xfId="19307"/>
    <cellStyle name="9_Revised AP DPO Oct 04 v2_Budget GC Other Form" xfId="19308"/>
    <cellStyle name="好_River EE BOM_Creak Pearl Reliability Fixture RFQ_2009 04 24_Creek RFQ feedback 04_28_2009_FD Update_Leopard_UniBOM_ME_0531_Bolt RFQ_Foxlink_03.1 2011_nego meeting@MACH 3" xfId="19309"/>
    <cellStyle name="9_Revised AP DPO Oct 04 v2_Copy of Tom OS ( Oct) new for LOG_2009 xBOX ramp up budget code applicaiton 300K --New May26 (3)" xfId="19310"/>
    <cellStyle name="9_Revised AP DPO Oct 04 v2_Copy of Tom OS ( Oct) new for LOG_2009 xBOX ramp up budget code applicaiton 300K --New May27" xfId="19311"/>
    <cellStyle name="Normal 54_Sydney_Premium_Clean_Sheet_4-19-10 (3)" xfId="19312"/>
    <cellStyle name="9_Revised AP DPO Oct 04 v2_Copy of Tom OS ( Oct) new for LOG_Budget GC Other Form" xfId="19313"/>
    <cellStyle name="好_River EE BOM_Xl0000002_Leopard Lemur Squirrel UniBom-06.22.2010_EE cost _update_internal_Bolt RFQ Proposal_Foxlink_ (Pricing Summary) 2 25 2011 2" xfId="19314"/>
    <cellStyle name="9_Revised AP DPO Oct 04 v2_Copy of Tom OS ( Oct) new for LOG_Forecast Template v4" xfId="19315"/>
    <cellStyle name="9_Revised AP DPO Oct 04 v2_Copy of Tom OS ( Oct) new for LOG_X-BOX BB" xfId="19316"/>
    <cellStyle name="9_Revised AP DPO Oct 04 v2_Copy of Tom OS ( Oct) new for LOG_X-BOX Console line setup budget 20080414" xfId="19317"/>
    <cellStyle name="壞_Creek EE BOM cost_20090425_Leopard_UniBOM_ME_0602 2 3" xfId="19318"/>
    <cellStyle name="9_Revised AP DPO Oct 04 v2_Copy of Tom OS ( Oct) new for LOG_X-BOX Console line setup budget and Buyer list" xfId="19319"/>
    <cellStyle name="9_Revised AP DPO Oct 04 v2_Copy of X-BOX for line setup budget" xfId="19320"/>
    <cellStyle name="差_F3   SMT設備明細_效益分析_Jackson 效益分析 (2-1 B0 上系統)_Leopard Flowchart &amp; 產能評估" xfId="19321"/>
    <cellStyle name="9_Revised AP DPO Oct 04 v2_Forecast Template v4" xfId="19322"/>
    <cellStyle name="差_MB9月管審誤判超標 8D_2009MB KPI_MBO3F製造部hp0209-01 3 2 2" xfId="19323"/>
    <cellStyle name="9_Revised AP DPO Oct 04 v2_Internal Hourly Rate Q1 FY08 Version 06142007 excl. Corporate Allocation" xfId="19324"/>
    <cellStyle name="9_Revised AP DPO Oct 04 v2_PL Fcst Jul 06-updated G&amp;A Value_2009 xBOX ramp up budget code applicaiton 300K --New May26 (3)" xfId="19325"/>
    <cellStyle name="9_Revised AP DPO Oct 04 v2_PL Fcst Jul 06-updated G&amp;A Value_2009 xBOX ramp up budget code applicaiton 300K --New May27" xfId="19326"/>
    <cellStyle name="9_Revised AP DPO Oct 04 v2_PL Fcst Jul 06-updated G&amp;A Value_Budget GC Other Form" xfId="19327"/>
    <cellStyle name="好_River EE BOM_Creak Pearl Reliability Fixture RFQ_2009 04 24_Creek  Pearl RFQ_May 12_Squirrel RFQ ME BOM Costs-0623_Bolt RFQ Proposal_Foxlink_ (Pricing Summary) 2 25 2011 4 3" xfId="19328"/>
    <cellStyle name="9_Revised AP DPO Oct 04 v2_PL Fcst Jul 06-updated G&amp;A Value_Copy of Tom OS ( Oct) new for LOG" xfId="19329"/>
    <cellStyle name="差_Xl0000002_Leopard_UniBOM_ME_0602-1_Bolt RFQ Proposal_Foxlink_ (Pricing Summary) 2 25 2011 3" xfId="19330"/>
    <cellStyle name="9_Revised AP DPO Oct 04 v2_PL Fcst Jul 06-updated G&amp;A Value_Copy of Tom OS ( Oct) new for LOG_2009 xBOX ramp up budget code applicaiton 300K --New May26 (3)" xfId="19331"/>
    <cellStyle name="9_Revised AP DPO Oct 04 v2_PL Fcst Jul 06-updated G&amp;A Value_Copy of Tom OS ( Oct) new for LOG_2009 xBOX ramp up budget code applicaiton 300K --New May27" xfId="19332"/>
    <cellStyle name="差_Creek RFQ feedback 04_28_2009_FD Update_Leopard_UniBOM_ME_0531 2 2 2" xfId="19333"/>
    <cellStyle name="差_dallas產能評估_Dallas效益分析&amp;投資回收期 (12-2 A1)_Jackson 效益分析 (2-1 B0 上系統)_Leopard效益分析08-17" xfId="19334"/>
    <cellStyle name="9_Revised AP DPO Oct 04 v2_PL Fcst Jul 06-updated G&amp;A Value_Copy of Tom OS ( Oct) new for LOG_Budget GC Other Form" xfId="19335"/>
    <cellStyle name="9_Revised AP DPO Oct 04 v2_PL Fcst Jul 06-updated G&amp;A Value_Copy of Tom OS ( Oct) new for LOG_X-BOX BB" xfId="19336"/>
    <cellStyle name="好_Creek Assembly Fixture  Test Equipment RFQ_20090427_Leopard UniBom_Foxlink_6 21 2010-ME_nego_Bolt RFQ_Foxlink_03.1 2011_nego meeting@MACH_Bolt_Cliff 2 2 3" xfId="19337"/>
    <cellStyle name="9_Revised AP DPO Oct 04 v2_PL Fcst Jul 06-updated G&amp;A Value_Copy of Tom OS ( Oct) new for LOG_X-BOX Console line setup budget 20080414" xfId="19338"/>
    <cellStyle name="好_Creek EE BOM cost_20090425_Creek RFQ feedback 04_28_2009_FD Update 3 2" xfId="19339"/>
    <cellStyle name="一般 47" xfId="19340"/>
    <cellStyle name="9_Revised AP DPO Oct 04 v2_PL Fcst Jul 06-updated G&amp;A Value_Copy of X-BOX for line setup budget" xfId="19341"/>
    <cellStyle name="9_Revised AP DPO Oct 04 v2_PL Fcst Jul 06-updated G&amp;A Value_Forecast Template v4" xfId="19342"/>
    <cellStyle name="9_Revised AP DPO Oct 04 v2_PL Fcst Jul 06-updated G&amp;A Value_Internal Hourly Rate Q1 FY08 Version 06142007 excl. Corporate Allocation" xfId="19343"/>
    <cellStyle name="9_Revised AP DPO Oct 04 v2_PL Fcst Jul 06-updated G&amp;A Value_Tom OS ( Oct)" xfId="19344"/>
    <cellStyle name="好_River EE BOM_Creek RFQ feedback 04_28_2009_FD Update 2 2" xfId="19345"/>
    <cellStyle name="汇总 3 2 3" xfId="19346"/>
    <cellStyle name="9_Revised AP DPO Oct 04 v2_PL Fcst Jul 06-updated G&amp;A Value_Tom OS ( Oct)_2009 xBOX ramp up budget code applicaiton 300K --New May26 (3)" xfId="19347"/>
    <cellStyle name="9_Revised AP DPO Oct 04 v2_PL Fcst Jul 06-updated G&amp;A Value_Tom OS ( Oct)_2009 xBOX ramp up budget code applicaiton 300K --New May27" xfId="19348"/>
    <cellStyle name="9_Revised AP DPO Oct 04 v2_PL Fcst Jul 06-updated G&amp;A Value_Tom OS ( Oct)_Budget GC Other Form" xfId="19349"/>
    <cellStyle name="差_jupite r設備&amp;治工具LIST (總)_flow chart 2009.12.12_Jackson 效益分析 testing update_16th Jan1_Jackson 效益分析 (2-1 B0 上系統)_Leopard Flowchart &amp; 產能評估" xfId="19350"/>
    <cellStyle name="9_Revised AP DPO Oct 04 v2_PL Fcst Jul 06-updated G&amp;A Value_Tom OS ( Oct)_Copy of X-BOX for line setup budget" xfId="19351"/>
    <cellStyle name="9_Revised AP DPO Oct 04 v2_PL Fcst Jul 06-updated G&amp;A Value_Tom OS ( Oct)_Forecast Template v4" xfId="19352"/>
    <cellStyle name="9_Revised AP DPO Oct 04 v2_PL Fcst Jul 06-updated G&amp;A Value_Tom OS ( Oct)_X-BOX BB" xfId="19353"/>
    <cellStyle name="9_Revised AP DPO Oct 04 v2_PL Fcst Jul 06-updated G&amp;A Value_Tom OS ( Oct)_X-BOX Console line setup budget 20080414" xfId="19354"/>
    <cellStyle name="9_Revised AP DPO Oct 04 v2_PL Fcst Jul 06-updated G&amp;A Value_X-BOX Console line setup budget and Buyer list" xfId="19355"/>
    <cellStyle name="差_F3   SMT設備明細_jupite r設備&amp;治工具LIST (總)_Flow Chart&amp;PQ分析(12-1)_Leopard效益分析08-17" xfId="19356"/>
    <cellStyle name="9_Revised AP DPO Oct 04 v2_PL Forecast by segment-most final 0806" xfId="19357"/>
    <cellStyle name="9_Revised AP DPO Oct 04 v2_PL Forecast by segment-most final 0806_2009 xBOX ramp up budget code applicaiton 300K --New May27" xfId="19358"/>
    <cellStyle name="差_Creak Pearl Reliability Fixture RFQ_2009 04 24_Creek RFQ feedback 04_28_2009_FD Update_Leopard RFQ ME BOM Costs-0618" xfId="19359"/>
    <cellStyle name="差_Creak Pearl Reliability Fixture RFQ_2009 04 24_Creek RFQ feedback 04_28_2009_FD Update_Leopard RFQ ME BOM Costs-0623" xfId="19360"/>
    <cellStyle name="9_Revised AP DPO Oct 04 v2_PL Forecast by segment-most final 0806_Budget GC Other Form" xfId="19361"/>
    <cellStyle name="好_Creek Assembly Fixture  Test Equipment RFQ_20090427_Squirrel RFQ ME BOM Costs-0623 3" xfId="19362"/>
    <cellStyle name="9_Revised AP DPO Oct 04 v2_PL Forecast by segment-most final 0806_Copy of Tom OS ( Oct) new for LOG" xfId="19363"/>
    <cellStyle name="9_Revised AP DPO Oct 04 v2_PL Forecast by segment-most final 0806_Copy of Tom OS ( Oct) new for LOG_Budget GC Other Form" xfId="19364"/>
    <cellStyle name="9_Revised AP DPO Oct 04 v2_PL Forecast by segment-most final 0806_Copy of Tom OS ( Oct) new for LOG_Copy of X-BOX for line setup budget" xfId="19365"/>
    <cellStyle name="9_Revised AP DPO Oct 04 v2_PL Forecast by segment-most final 0806_Copy of Tom OS ( Oct) new for LOG_X-BOX Console line setup budget 20080414" xfId="19366"/>
    <cellStyle name="9_Revised AP DPO Oct 04 v2_PL Forecast by segment-most final 0806_Copy of Tom OS ( Oct) new for LOG_X-BOX Console line setup budget and Buyer list" xfId="19367"/>
    <cellStyle name="差_Xl0000000_Squirrel RFQ ME BOM Costs-0623_Bolt RFQ_Foxlink_03.1 2011_nego meeting@MACH 3 3" xfId="19368"/>
    <cellStyle name="差_Bolt RFI ME BOM -1206 3" xfId="19369"/>
    <cellStyle name="9_Revised AP DPO Oct 04 v2_PL Forecast by segment-most final 0806_Copy of X-BOX for line setup budget" xfId="19370"/>
    <cellStyle name="9_Revised AP DPO Oct 04 v2_PL Forecast by segment-most final 0806_Forecast Template v4" xfId="19371"/>
    <cellStyle name="差_Erie mouse 效益分析( 11-19 A1)_效益分析(總 12-28 Update)_squirrel效益分析08-17" xfId="19372"/>
    <cellStyle name="9_Revised AP DPO Oct 04 v2_PL Forecast by segment-most final 0806_Tom OS ( Oct)" xfId="19373"/>
    <cellStyle name="9_Revised AP DPO Oct 04 v2_PL Forecast by segment-most final 0806_Tom OS ( Oct)_2009 xBOX ramp up budget code applicaiton 300K --New May26 (3)" xfId="19374"/>
    <cellStyle name="Normal 11 3" xfId="19375"/>
    <cellStyle name="9_Revised AP DPO Oct 04 v2_PL Forecast by segment-most final 0806_Tom OS ( Oct)_Budget GC Other Form" xfId="19376"/>
    <cellStyle name="9_Revised AP DPO Oct 04 v2_PL Forecast by segment-most final 0806_Tom OS ( Oct)_Copy of X-BOX for line setup budget" xfId="19377"/>
    <cellStyle name="9_Revised AP DPO Oct 04 v2_PL Forecast by segment-most final 0806_Tom OS ( Oct)_Forecast Template v4" xfId="19378"/>
    <cellStyle name="好_River EE BOM_Creak Pearl Reliability Fixture RFQ_2009 04 24_Xl0000002_Leopard_UniBOM_ME_0602_Bolt RFQ_Foxlink_03.1 2011 2" xfId="19379"/>
    <cellStyle name="9_Revised AP DPO Oct 04 v2_PL Forecast by segment-most final 0806_Tom OS ( Oct)_X-BOX BB" xfId="19380"/>
    <cellStyle name="Normal 29 3 2 2" xfId="19381"/>
    <cellStyle name="Normal 34 3 2 2" xfId="19382"/>
    <cellStyle name="Bad 8" xfId="19383"/>
    <cellStyle name="9_Revised AP DPO Oct 04 v2_PL Forecast by segment-most final 0806_Tom OS ( Oct)_X-BOX Console line setup budget 20080414" xfId="19384"/>
    <cellStyle name="好_Creek EE BOM cost_20090425 5" xfId="19385"/>
    <cellStyle name="9_Revised AP DPO Oct 04 v2_PL Forecast by segment-most final 0806_X-BOX BB" xfId="19386"/>
    <cellStyle name="9_Revised AP DPO Oct 04 v2_PL Forecast by segment-most final 0806_X-BOX Console line setup budget 20080414" xfId="19387"/>
    <cellStyle name="好_River EE BOM_Xl0000002_Bolt RFQ Proposal_Foxlink_ (Pricing Summary) 2 25 2011 7" xfId="19388"/>
    <cellStyle name="好_Creek Assembly Fixture  Test Equipment RFQ_20090427_Squirrel UniBom-06.23.2010_update_internal 4" xfId="19389"/>
    <cellStyle name="9_Revised AP DPO Oct 04 v2_PL Forecast by segment-most final 0806_X-BOX Console line setup budget and Buyer list" xfId="19390"/>
    <cellStyle name="9_Revised AP DPO Oct 04 v2_Q3 OS" xfId="19391"/>
    <cellStyle name="9_Revised AP DPO Oct 04 v2_Q3 OS_2009 xBOX ramp up budget code applicaiton 300K --New May26 (3)" xfId="19392"/>
    <cellStyle name="9_Revised AP DPO Oct 04 v2_Q3 OS_2009 xBOX ramp up budget code applicaiton 300K --New May27" xfId="19393"/>
    <cellStyle name="9_Revised AP DPO Oct 04 v2_Q3 OS_Budget GC Other Form" xfId="19394"/>
    <cellStyle name="好_River EE BOM_Creak Pearl Reliability Fixture RFQ_2009 04 24_Xl0000002_Leopard_UniBOM_ME_0603-2_Bolt RFQ Proposal_Foxlink_ (Pricing Summary) 2 25 2011 4" xfId="19395"/>
    <cellStyle name="9_Revised AP DPO Oct 04 v2_Q3 OS_Copy of X-BOX for line setup budget" xfId="19396"/>
    <cellStyle name="9_Revised AP DPO Oct 04 v2_Q3 OS_Forecast Template v4" xfId="19397"/>
    <cellStyle name="差_Creak Pearl Reliability Fixture RFQ_2009 04 24_Xl0000002_Leopard RFQ ME BOM Costs-0618 2 3" xfId="19398"/>
    <cellStyle name="9_Revised AP DPO Oct 04 v2_Q3 OS_X-BOX BB" xfId="19399"/>
    <cellStyle name="好_Creek Assembly Fixture  Test Equipment RFQ_20090427_Bolt RFQ_Foxlink_03.1 2011_Bolt_Cliff 3" xfId="19400"/>
    <cellStyle name="9_Revised AP DPO Oct 04 v2_Q3 OS_X-BOX Console line setup budget and Buyer list" xfId="19401"/>
    <cellStyle name="9_Revised AP DPO Oct 04 v2_Tom OS ( Oct)" xfId="19402"/>
    <cellStyle name="9_Revised AP DPO Oct 04 v2_Tom OS ( Oct)_2009 xBOX ramp up budget code applicaiton 300K --New May26 (3)" xfId="19403"/>
    <cellStyle name="差_Xl0000002_Foxlink_Shadow RFQ NREUni BOM_12032009" xfId="19404"/>
    <cellStyle name="9_Revised AP DPO Oct 04 v2_Tom OS ( Oct)_Budget GC Other Form" xfId="19405"/>
    <cellStyle name="9_Revised AP DPO Oct 04 v2_Tom OS ( Oct)_Copy of X-BOX for line setup budget" xfId="19406"/>
    <cellStyle name="9_Revised AP DPO Oct 04 v2_Tom OS ( Oct)_X-BOX BB" xfId="19407"/>
    <cellStyle name="9_Revised AP DPO Oct 04 v2_Tom OS ( Oct)_X-BOX Console line setup budget 20080414" xfId="19408"/>
    <cellStyle name="9_Revised AP DPO Oct 04 v2_Tom OS ( Oct)_X-BOX Console line setup budget and Buyer list" xfId="19409"/>
    <cellStyle name="9_Revised AP DPO Oct 04 v2_Volume Fcst 1006 updated" xfId="19410"/>
    <cellStyle name="9_Revised AP DPO Oct 04 v2_Volume Fcst 1006 updated_2009 xBOX ramp up budget code applicaiton 300K --New May26 (3)" xfId="19411"/>
    <cellStyle name="9_Revised AP DPO Oct 04 v2_Volume Fcst 1006 updated_2009 xBOX ramp up budget code applicaiton 300K --New May27" xfId="19412"/>
    <cellStyle name="差_F3   SMT設備明細_jupite r設備&amp;治工具LIST (總)_Dallas flow chart&amp;設備&amp;治工具清單(12-8 A0)_效益分析(總 12-28 Update)_Jackson 效益分析 (2-1 B0 上系統)_squirrel效益分析08-17" xfId="19413"/>
    <cellStyle name="好_River EE BOM_Creek RFQ feedback 04_28_2009_FD Update_Leopard_UniBOM_ME_0602-1_Bolt RFQ Proposal_Foxlink_ (Pricing Summary) 2 25 2011 6" xfId="19414"/>
    <cellStyle name="9_Revised AP DPO Oct 04 v2_Volume Fcst 1006 updated_Budget GC Other Form" xfId="19415"/>
    <cellStyle name="9_Revised AP DPO Oct 04 v2_Volume Fcst 1006 updated_Copy of Tom OS ( Oct) new for LOG_2009 xBOX ramp up budget code applicaiton 300K --New May27" xfId="19416"/>
    <cellStyle name="差_Creak Pearl Reliability Fixture RFQ_2009 04 24_Xl0000002_Bolt RFQ Proposal_Foxlink_ (Pricing Summary) 2 25 2011 2 4" xfId="19417"/>
    <cellStyle name="9_Revised AP DPO Oct 04 v2_Volume Fcst 1006 updated_Copy of Tom OS ( Oct) new for LOG_Budget GC Other Form" xfId="19418"/>
    <cellStyle name="好_River EE BOM_Creak Pearl Reliability Fixture RFQ_2009 04 24_Xl0000002_Squirrel UniBom-06.23.2010_update_internal 3" xfId="19419"/>
    <cellStyle name="9_Revised AP DPO Oct 04 v2_Volume Fcst 1006 updated_Copy of Tom OS ( Oct) new for LOG_Copy of X-BOX for line setup budget" xfId="19420"/>
    <cellStyle name="9_Revised AP DPO Oct 04 v2_Volume Fcst 1006 updated_Copy of Tom OS ( Oct) new for LOG_X-BOX BB" xfId="19421"/>
    <cellStyle name="9_Revised AP DPO Oct 04 v2_Volume Fcst 1006 updated_Copy of Tom OS ( Oct) new for LOG_X-BOX Console line setup budget 20080414" xfId="19422"/>
    <cellStyle name="Heading 2 8" xfId="19423"/>
    <cellStyle name="9_Revised AP DPO Oct 04 v2_Volume Fcst 1006 updated_Copy of Tom OS ( Oct) new for LOG_X-BOX Console line setup budget and Buyer list" xfId="19424"/>
    <cellStyle name="差_HP Mouse 產能評估(上系統)_Erie 效益分析 (Update)_Jackson 效益分析 testing update_16th Jan111_Jackson 效益分析 (2-1 B0 上系統)" xfId="19425"/>
    <cellStyle name="9_Revised AP DPO Oct 04 v2_Volume Fcst 1006 updated_Copy of X-BOX for line setup budget" xfId="19426"/>
    <cellStyle name="Normal 19 6" xfId="19427"/>
    <cellStyle name="Normal 24 6" xfId="19428"/>
    <cellStyle name="9_Revised AP DPO Oct 04 v2_Volume Fcst 1006 updated_Forecast Template v4" xfId="19429"/>
    <cellStyle name="9_Revised AP DPO Oct 04 v2_Volume Fcst 1006 updated_Tom OS ( Oct)_2009 xBOX ramp up budget code applicaiton 300K --New May26 (3)" xfId="19430"/>
    <cellStyle name="好_River EE BOM_Creak Pearl Reliability Fixture RFQ_2009 04 24_Creek RFQ feedback 04_28_2009_FD Update_Leopard_UniBOM_ME_0531_Bolt RFQ Proposal_Foxlink_ (Pricing Summary) 2 25 2011 3 2" xfId="19431"/>
    <cellStyle name="好_Creek EE BOM cost_20090425_Creek RFQ feedback 04_28_2009_FD Update_Leopard_UniBOM_ME_0602-1_Bolt RFQ_Foxlink_03.1 2011_nego meeting@MACH 4" xfId="19432"/>
    <cellStyle name="9_Revised AP DPO Oct 04 v2_Volume Fcst 1006 updated_Tom OS ( Oct)_2009 xBOX ramp up budget code applicaiton 300K --New May27" xfId="19433"/>
    <cellStyle name="9_Revised AP DPO Oct 04 v2_Volume Fcst 1006 updated_Tom OS ( Oct)_Copy of X-BOX for line setup budget" xfId="19434"/>
    <cellStyle name="差_MB9月管審誤判超標 8D 6 2" xfId="19435"/>
    <cellStyle name="Input 9" xfId="19436"/>
    <cellStyle name="9_Revised AP DPO Oct 04 v2_Volume Fcst 1006 updated_Tom OS ( Oct)_Forecast Template v4" xfId="19437"/>
    <cellStyle name="9_Revised AP DPO Oct 04 v2_Volume Fcst 1006 updated_Tom OS ( Oct)_X-BOX Console line setup budget 20080414" xfId="19438"/>
    <cellStyle name="差_Creak Pearl Reliability Fixture RFQ_2009 04 24_Bolt RFQ_Foxlink_03.1 2011_nego meeting@MACH 2 2" xfId="19439"/>
    <cellStyle name="9_Revised AP DPO Oct 04 v2_Volume Fcst 1006 updated_Tom OS ( Oct)_X-BOX Console line setup budget and Buyer list" xfId="19440"/>
    <cellStyle name="好_Creek Assembly Fixture  Test Equipment RFQ_20090427_Bolt RFQ Proposal_Foxlink_ (Pricing Summary) 2 25 2011 2 2" xfId="19441"/>
    <cellStyle name="好_Creek EE BOM cost_20090425_Creek RFQ feedback 04_28_2009_FD Update_Leopard UniBom_Foxlink_6 21 2010-ME_nego_Bolt RFQ_Foxlink_03.1 2011 2 3" xfId="19442"/>
    <cellStyle name="好_River EE BOM_Creek RFQ feedback 04_28_2009_FD Update_Leopard RFQ ME BOM Costs-0618 3 2" xfId="19443"/>
    <cellStyle name="9_Revised AP DPO Oct 04 v2_Volume Fcst 1006 updated_X-BOX BB" xfId="19444"/>
    <cellStyle name="9_Revised AP DPO Oct 04 v2_Volume Fcst 1006 updated_X-BOX Console line setup budget 20080414" xfId="19445"/>
    <cellStyle name="9_Revised AP DPO Oct 04 v2_Volume Fcst 1006 updated_X-BOX Console line setup budget and Buyer list" xfId="19446"/>
    <cellStyle name="差_效益分析&amp;產能評估_M1 SuedeFixtureEquipment Cost_A0_2010_10_15 2 3" xfId="19447"/>
    <cellStyle name="差_MB9月管審換線超時8d 2 2 3" xfId="19448"/>
    <cellStyle name="差_HP Mouse 產能評估(Forecast更改後)_MS Bolt wireless mouse FixtureEquipment Cost_A5_2010_02_21_Bolt RFQ_Foxlink_03.1 2011_nego meeting@MACH" xfId="19449"/>
    <cellStyle name="9_Revised AP DPO Oct 04 v2_X-BOX Console line setup budget and Buyer list" xfId="19450"/>
    <cellStyle name="好_Creek Assembly Fixture  Test Equipment RFQ_20090427_Leopard RFQ ME BOM Costs-0618-2 2 2 3" xfId="19451"/>
    <cellStyle name="9_Sheet1" xfId="19452"/>
    <cellStyle name="A" xfId="19453"/>
    <cellStyle name="AAA" xfId="19454"/>
    <cellStyle name="好_治具工程課2009年KPI_HP 2 2 2 3" xfId="19455"/>
    <cellStyle name="好_River EE BOM_Creak Pearl Reliability Fixture RFQ_2009 04 24_Xl0000002_Leopard UniBom_Foxlink_6 21 2010-ME_nego_Bolt RFQ Proposal_Foxlink_ (Pricing Summary) 2 25 2011 2 3" xfId="19456"/>
    <cellStyle name="Accent1 - 20%" xfId="19457"/>
    <cellStyle name="Accent1 - 60%" xfId="19458"/>
    <cellStyle name="Accent1 10" xfId="19459"/>
    <cellStyle name="Accent1 12" xfId="19460"/>
    <cellStyle name="Accent1 15" xfId="19461"/>
    <cellStyle name="Normal 45 3" xfId="19462"/>
    <cellStyle name="Normal 50 3" xfId="19463"/>
    <cellStyle name="差_Creak Pearl Reliability Fixture RFQ_2009 04 24_Foxlink_Shadow RFQ NREUni BOM_12032009_Bolt RFQ Proposal_Foxlink_ (Pricing Summary) 2 25 2011 2 2" xfId="19464"/>
    <cellStyle name="Accent1 16" xfId="19465"/>
    <cellStyle name="Normal 45 4" xfId="19466"/>
    <cellStyle name="Normal 50 4" xfId="19467"/>
    <cellStyle name="Accent1 2" xfId="19468"/>
    <cellStyle name="Accent1 2 2" xfId="19469"/>
    <cellStyle name="Accent1 2 3" xfId="19470"/>
    <cellStyle name="Accent1 3" xfId="19471"/>
    <cellStyle name="Accent1 3 2" xfId="19472"/>
    <cellStyle name="Accent1 5" xfId="19473"/>
    <cellStyle name="差_HP  專案(設備&amp;治工具需夠買)update_Erie 效益分析 (Update)_Leopard效益分析08-17" xfId="19474"/>
    <cellStyle name="Accent1 7" xfId="19475"/>
    <cellStyle name="Accent1 8" xfId="19476"/>
    <cellStyle name="差_dallas產能評估_Dallas flow chart&amp;設備&amp;治工具清單(12-8 A0)_Jackson 效益分析 testing update_16th Jan111_Jackson 效益分析 (2-1 B0 上系統)_Leopard Flowchart &amp; 產能評估" xfId="19477"/>
    <cellStyle name="Accent1 9" xfId="19478"/>
    <cellStyle name="好_River EE BOM_Xl0000002_Leopard_UniBOM_ME_0602_Bolt RFQ Proposal_Foxlink_ (Pricing Summary) 2 25 2011 2 4" xfId="19479"/>
    <cellStyle name="Accent2" xfId="19480"/>
    <cellStyle name="好_River EE BOM_Creak Pearl Reliability Fixture RFQ_2009 04 24_Xl0000002_Leopard UniBom_Foxlink_6 21 2010-ME_nego 2 2" xfId="19481"/>
    <cellStyle name="好_River EE BOM_Creak Pearl Reliability Fixture RFQ_2009 04 24_Creek  Pearl RFQ_May 12_Leopard RFQ ME BOM Costs-0618-2_Bolt RFQ Proposal_Foxlink_ (Pricing Summary) 2 25 2011 4 2" xfId="19482"/>
    <cellStyle name="Accent2 - 60%" xfId="19483"/>
    <cellStyle name="Accent2 10" xfId="19484"/>
    <cellStyle name="Percent 26" xfId="19485"/>
    <cellStyle name="Accent2 12" xfId="19486"/>
    <cellStyle name="Percent 28" xfId="19487"/>
    <cellStyle name="Accent2 13" xfId="19488"/>
    <cellStyle name="Accent2 14" xfId="19489"/>
    <cellStyle name="Normal 55 2" xfId="19490"/>
    <cellStyle name="Normal 60 2" xfId="19491"/>
    <cellStyle name="差_Creak Pearl Reliability Fixture RFQ_2009 04 24_Xl0000002_Squirrel RFQ ME BOM Costs-0623_Bolt RFQ Proposal_Foxlink_ (Pricing Summary) 2 25 2011 2 2 2" xfId="19492"/>
    <cellStyle name="好_River EE BOM_Creak Pearl Reliability Fixture RFQ_2009 04 24_Creek  Pearl RFQ_May 12_Leopard_UniBOM_ME_0602" xfId="19493"/>
    <cellStyle name="Accent2 15" xfId="19494"/>
    <cellStyle name="Normal 60 3" xfId="19495"/>
    <cellStyle name="差_Creak Pearl Reliability Fixture RFQ_2009 04 24_Xl0000002_Squirrel RFQ ME BOM Costs-0623_Bolt RFQ Proposal_Foxlink_ (Pricing Summary) 2 25 2011 2 2 3" xfId="19496"/>
    <cellStyle name="Accent2 16" xfId="19497"/>
    <cellStyle name="Normal 60 4" xfId="19498"/>
    <cellStyle name="Accent2 18" xfId="19499"/>
    <cellStyle name="Normal 60 6" xfId="19500"/>
    <cellStyle name="差_Creak Pearl Reliability Fixture RFQ_2009 04 24_Creek RFQ feedback 04_28_2009_FD Update_Leopard RFQ ME BOM Costs-0618_Bolt RFQ Proposal_Foxlink_ (Pricing Summary) 2 25 2011 6" xfId="19501"/>
    <cellStyle name="好_River EE BOM_Xl0000002_Leopard Lemur Squirrel UniBom-06.22.2010_EE cost _update_internal_Bolt RFQ Proposal_Foxlink_ (Pricing Summary) 2 25 2011 2 3" xfId="19502"/>
    <cellStyle name="Comma1 - Style2" xfId="19503"/>
    <cellStyle name="Accent2 2" xfId="19504"/>
    <cellStyle name="Accent2 2 2" xfId="19505"/>
    <cellStyle name="Accent2 2 3" xfId="19506"/>
    <cellStyle name="差_Creak Pearl Reliability Fixture RFQ_2009 04 24_Creek RFQ feedback 04_28_2009_FD Update_Leopard RFQ ME BOM Costs-0618_Bolt RFQ Proposal_Foxlink_ (Pricing Summary) 2 25 2011 7" xfId="19507"/>
    <cellStyle name="好_River EE BOM_Xl0000002_Leopard Lemur Squirrel UniBom-06.22.2010_EE cost _update_internal_Bolt RFQ Proposal_Foxlink_ (Pricing Summary) 2 25 2011 2 4" xfId="19508"/>
    <cellStyle name="Accent2 3" xfId="19509"/>
    <cellStyle name="Accent2 3 2" xfId="19510"/>
    <cellStyle name="Accent2 3 3" xfId="19511"/>
    <cellStyle name="Accent2 4" xfId="19512"/>
    <cellStyle name="好_River EE BOM_Creak Pearl Reliability Fixture RFQ_2009 04 24_Pearl RFQ(Submittal)ver2_05_12_2009 _Leopard UniBom_true cost_6.23.2010" xfId="19513"/>
    <cellStyle name="Accent2 5" xfId="19514"/>
    <cellStyle name="好_River EE BOM_Creek RFQ feedback 04_28_2009_FD Update_Squirrel UniBom_Foxlink_7.27.2010" xfId="19515"/>
    <cellStyle name="Accent2 6" xfId="19516"/>
    <cellStyle name="好_River EE BOM_Xl0000002_Squirrel UniBom-06.23.2010_update_internal_Bolt RFQ_Foxlink_03.1 2011_nego meeting@MACH 3 2" xfId="19517"/>
    <cellStyle name="Accent3" xfId="19518"/>
    <cellStyle name="好_River EE BOM_Xl0000002_Leopard_UniBOM_ME_0602-1_Bolt RFQ_Foxlink_03.1 2011_nego meeting@MACH 3 2" xfId="19519"/>
    <cellStyle name="Accent3 - 20%" xfId="19520"/>
    <cellStyle name="差_效益分析&amp;產能評估_MS Bolt wireless mouse FixtureEquipment Cost_A5_2010_02_21 2 2 3" xfId="19521"/>
    <cellStyle name="好_Creek Assembly Fixture  Test Equipment RFQ_20090427_Leopard RFQ ME BOM Costs-0618-2_Bolt RFQ Proposal_Foxlink_ (Pricing Summary) 2 25 2011 4 2" xfId="19522"/>
    <cellStyle name="Accent3 11" xfId="19523"/>
    <cellStyle name="好_Creek Assembly Fixture  Test Equipment RFQ_20090427_Leopard RFQ ME BOM Costs-0618-2_Bolt RFQ Proposal_Foxlink_ (Pricing Summary) 2 25 2011 4 3" xfId="19524"/>
    <cellStyle name="Accent3 12" xfId="19525"/>
    <cellStyle name="Accent3 13" xfId="19526"/>
    <cellStyle name="Accent3 15" xfId="19527"/>
    <cellStyle name="Accent3 16" xfId="19528"/>
    <cellStyle name="Accent3 18" xfId="19529"/>
    <cellStyle name="差_Xl0000000_Leopard RFQ ME BOM Costs-0618-2_Bolt RFQ Proposal_Foxlink_ (Pricing Summary) 2 25 2011 6" xfId="19530"/>
    <cellStyle name="好_River EE BOM_Xl0000002_Leopard Lemur Squirrel UniBom-06.22.2010_EE cost _update_internal_Bolt RFQ Proposal_Foxlink_ (Pricing Summary) 2 25 2011 3 3" xfId="19531"/>
    <cellStyle name="好_Creek Assembly Fixture  Test Equipment RFQ_20090427_Leopard_UniBOM_ME_0602_Bolt RFQ Proposal_Foxlink_ (Pricing Summary) 2 25 2011 2 3" xfId="19532"/>
    <cellStyle name="Accent3 2" xfId="19533"/>
    <cellStyle name="Accent3 2 2" xfId="19534"/>
    <cellStyle name="差_Xl0000000_Leopard RFQ ME BOM Costs-0618-2_Bolt RFQ Proposal_Foxlink_ (Pricing Summary) 2 25 2011 7" xfId="19535"/>
    <cellStyle name="好_Creek Assembly Fixture  Test Equipment RFQ_20090427_Leopard_UniBOM_ME_0602_Bolt RFQ Proposal_Foxlink_ (Pricing Summary) 2 25 2011 2 4" xfId="19536"/>
    <cellStyle name="Accent3 3" xfId="19537"/>
    <cellStyle name="Accent3 3 2" xfId="19538"/>
    <cellStyle name="Accent3 4" xfId="19539"/>
    <cellStyle name="Accent3 5" xfId="19540"/>
    <cellStyle name="Accent3 6" xfId="19541"/>
    <cellStyle name="壞_Creek EE BOM cost_20090425_Creek RFQ feedback 04_28_2009_FD Update_Squirrel RFQ ME BOM Costs-0623_Bolt RFQ_Foxlink_03.1 2011 2" xfId="19542"/>
    <cellStyle name="Accent3 7" xfId="19543"/>
    <cellStyle name="差_Flow Chart&amp;PQ分析(12-1)_Flow Chart&amp;設備治工具清單 _Jackson 效益分析 (2-1 B0 上系統)_squirrel效益分析08-17" xfId="19544"/>
    <cellStyle name="壞_Creek EE BOM cost_20090425_Creek RFQ feedback 04_28_2009_FD Update_Squirrel RFQ ME BOM Costs-0623_Bolt RFQ_Foxlink_03.1 2011 3" xfId="19545"/>
    <cellStyle name="Accent3 8" xfId="19546"/>
    <cellStyle name="好_Creek Assembly Fixture  Test Equipment RFQ_20090427_Xl0000002_Leopard_UniBOM_ME_0603-2 2 2" xfId="19547"/>
    <cellStyle name="Accent3_CMAP20 ASUS-2009 KPI Review" xfId="19548"/>
    <cellStyle name="差_Creak Pearl Reliability Fixture RFQ_2009 04 24_Pearl RFQ(Submittal)ver2_05_12_2009 " xfId="19549"/>
    <cellStyle name="好_River EE BOM_Xl0000002_Squirrel UniBom-06.23.2010_update_internal_Bolt RFQ_Foxlink_03.1 2011_nego meeting@MACH 3 3" xfId="19550"/>
    <cellStyle name="Accent4" xfId="19551"/>
    <cellStyle name="Normal 10 2" xfId="19552"/>
    <cellStyle name="Accent4 - 40%" xfId="19553"/>
    <cellStyle name="Accent4 - 60%" xfId="19554"/>
    <cellStyle name="好_River EE BOM_Creak Pearl Reliability Fixture RFQ_2009 04 24_Xl0000002_Leopard UniBom_Foxlink_12272010 RevF_shirley" xfId="19555"/>
    <cellStyle name="Normal 12 2" xfId="19556"/>
    <cellStyle name="差_F3   SMT設備明細_jupite r設備&amp;治工具LIST (總)_Flow Chart&amp;PQ分析(12-1)_Flow chart and Fixture(Jackson)_A1_Jackson 效益分析 (2-1 B0 上系統)" xfId="19557"/>
    <cellStyle name="好_River EE BOM_Creak Pearl Reliability Fixture RFQ_2009 04 24_Pearl RFQ(Submittal)ver2_05_12_2009 _Leopard_UniBOM_ME_0531_Bolt RFQ_Foxlink_03.1 2011_nego meeting@MACH 3 3" xfId="19558"/>
    <cellStyle name="Accent4 11" xfId="19559"/>
    <cellStyle name="Accent4 12" xfId="19560"/>
    <cellStyle name="Accent4 13" xfId="19561"/>
    <cellStyle name="好_River EE BOM_Creak Pearl Reliability Fixture RFQ_2009 04 24_Pearl RFQ(Submittal)ver2_05_12_2009 _Leopard_UniBOM_ME_0603-2_Bolt RFQ Proposal_Foxlink_ (Pricing Summary) 2 25 2011 2" xfId="19562"/>
    <cellStyle name="Accent4 14" xfId="19563"/>
    <cellStyle name="好_River EE BOM_Creak Pearl Reliability Fixture RFQ_2009 04 24_Pearl RFQ(Submittal)ver2_05_12_2009 _Leopard_UniBOM_ME_0603-2_Bolt RFQ Proposal_Foxlink_ (Pricing Summary) 2 25 2011 3" xfId="19564"/>
    <cellStyle name="Accent4 15" xfId="19565"/>
    <cellStyle name="好_River EE BOM_Creak Pearl Reliability Fixture RFQ_2009 04 24_Pearl RFQ(Submittal)ver2_05_12_2009 _Leopard_UniBOM_ME_0603-2_Bolt RFQ Proposal_Foxlink_ (Pricing Summary) 2 25 2011 4" xfId="19566"/>
    <cellStyle name="Accent4 16" xfId="19567"/>
    <cellStyle name="好_River EE BOM_Creak Pearl Reliability Fixture RFQ_2009 04 24_Pearl RFQ(Submittal)ver2_05_12_2009 _Leopard_UniBOM_ME_0603-2_Bolt RFQ Proposal_Foxlink_ (Pricing Summary) 2 25 2011 5" xfId="19568"/>
    <cellStyle name="Accent4 17" xfId="19569"/>
    <cellStyle name="好_River EE BOM_Creak Pearl Reliability Fixture RFQ_2009 04 24_Pearl RFQ(Submittal)ver2_05_12_2009 _Leopard_UniBOM_ME_0603-2_Bolt RFQ Proposal_Foxlink_ (Pricing Summary) 2 25 2011 6" xfId="19570"/>
    <cellStyle name="Accent4 18" xfId="19571"/>
    <cellStyle name="好_Creek Assembly Fixture  Test Equipment RFQ_20090427_Leopard_UniBOM_ME_0602_Bolt RFQ Proposal_Foxlink_ (Pricing Summary) 2 25 2011 3 3" xfId="19572"/>
    <cellStyle name="差_Creak Pearl Reliability Fixture RFQ_2009 04 24_Pearl RFQ(Submittal)ver2_05_12_2009  2" xfId="19573"/>
    <cellStyle name="好_River EE BOM_Xl0000002_Leopard Lemur Squirrel UniBom-06.22.2010_EE cost _update_internal_Bolt RFQ Proposal_Foxlink_ (Pricing Summary) 2 25 2011 4 3" xfId="19574"/>
    <cellStyle name="Accent4 2" xfId="19575"/>
    <cellStyle name="差_Creak Pearl Reliability Fixture RFQ_2009 04 24_Pearl RFQ(Submittal)ver2_05_12_2009  2 2" xfId="19576"/>
    <cellStyle name="Accent4 2 2" xfId="19577"/>
    <cellStyle name="差_Creak Pearl Reliability Fixture RFQ_2009 04 24_Pearl RFQ(Submittal)ver2_05_12_2009  2 3" xfId="19578"/>
    <cellStyle name="Accent4 2 3" xfId="19579"/>
    <cellStyle name="差_Creak Pearl Reliability Fixture RFQ_2009 04 24_Pearl RFQ(Submittal)ver2_05_12_2009  3" xfId="19580"/>
    <cellStyle name="Accent4 3" xfId="19581"/>
    <cellStyle name="差_Creak Pearl Reliability Fixture RFQ_2009 04 24_Pearl RFQ(Submittal)ver2_05_12_2009  3 2" xfId="19582"/>
    <cellStyle name="Accent4 3 2" xfId="19583"/>
    <cellStyle name="差_Creak Pearl Reliability Fixture RFQ_2009 04 24_Pearl RFQ(Submittal)ver2_05_12_2009  4" xfId="19584"/>
    <cellStyle name="Accent4 4" xfId="19585"/>
    <cellStyle name="差_Creak Pearl Reliability Fixture RFQ_2009 04 24_Pearl RFQ(Submittal)ver2_05_12_2009  5" xfId="19586"/>
    <cellStyle name="Accent4 5" xfId="19587"/>
    <cellStyle name="好_River EE BOM_Creek RFQ feedback 04_28_2009_FD Update_Bolt RFQ_Foxlink_03.1 2011_nego meeting@MACH" xfId="19588"/>
    <cellStyle name="Tusental (0)_pldt" xfId="19589"/>
    <cellStyle name="Accent4 6" xfId="19590"/>
    <cellStyle name="Accent4 7" xfId="19591"/>
    <cellStyle name="Accent4 8" xfId="19592"/>
    <cellStyle name="Accent4 9" xfId="19593"/>
    <cellStyle name="Accent4_CMAP20 ASUS-2009 KPI Review" xfId="19594"/>
    <cellStyle name="Accent5" xfId="19595"/>
    <cellStyle name="Accent5 - 20%" xfId="19596"/>
    <cellStyle name="好_River EE BOM_Creek RFQ feedback 04_28_2009_FD Update_Leopard_UniBOM_ME_0603-2_Bolt RFQ_Foxlink_03.1 2011 2 2" xfId="19597"/>
    <cellStyle name="Accent5 - 40%" xfId="19598"/>
    <cellStyle name="壞_Creek Assembly Fixture  Test Equipment RFQ_20090427_Bolt RFQ_Foxlink_03.1 2011 2 3" xfId="19599"/>
    <cellStyle name="Accent5 - 60%" xfId="19600"/>
    <cellStyle name="Accent5 10" xfId="19601"/>
    <cellStyle name="Accent5 11" xfId="19602"/>
    <cellStyle name="Accent5 12" xfId="19603"/>
    <cellStyle name="Accent5 13" xfId="19604"/>
    <cellStyle name="Accent5 14" xfId="19605"/>
    <cellStyle name="Accent5 16" xfId="19606"/>
    <cellStyle name="Accent5 17" xfId="19607"/>
    <cellStyle name="Accent5 18" xfId="19608"/>
    <cellStyle name="差_F3   SMT設備明細_~5631336_Jackson 效益分析 (2-1 B0 上系統)_Leopard Flowchart &amp; 產能評估" xfId="19609"/>
    <cellStyle name="好_River EE BOM_Xl0000002_Leopard Lemur Squirrel UniBom-06.22.2010_EE cost _update_internal_Bolt RFQ Proposal_Foxlink_ (Pricing Summary) 2 25 2011 5 3" xfId="19610"/>
    <cellStyle name="好_Creek Assembly Fixture  Test Equipment RFQ_20090427_Leopard_UniBOM_ME_0602_Bolt RFQ Proposal_Foxlink_ (Pricing Summary) 2 25 2011 4 3" xfId="19611"/>
    <cellStyle name="Accent5 2" xfId="19612"/>
    <cellStyle name="Accent5 2 2" xfId="19613"/>
    <cellStyle name="Accent5 2 3" xfId="19614"/>
    <cellStyle name="好_Creek EE BOM cost_20090425_Jackson EE BOM " xfId="19615"/>
    <cellStyle name="Accent5 3" xfId="19616"/>
    <cellStyle name="Accent5 3 3" xfId="19617"/>
    <cellStyle name="Accent5 4" xfId="19618"/>
    <cellStyle name="Accent5 8" xfId="19619"/>
    <cellStyle name="Accent5 9" xfId="19620"/>
    <cellStyle name="差_jupite r設備&amp;治工具LIST (總)_Dallas效益分析&amp;投資回收期 (12-2 A1)_Jackson 效益分析 testing update_16th Jan1_Jackson 效益分析 (2-1 B0 上系統)_squirrel效益分析08-17" xfId="19621"/>
    <cellStyle name="Accent5_CMAP20 ASUS-2009 KPI Review" xfId="19622"/>
    <cellStyle name="Normal 49 2 2 2" xfId="19623"/>
    <cellStyle name="Normal 54 2 2 2" xfId="19624"/>
    <cellStyle name="差_F3   SMT設備明細_jupite r設備&amp;治工具LIST (總)_效益分析(總 12-28 Update)_Jackson 效益分析 (2-1 B0 上系統)" xfId="19625"/>
    <cellStyle name="一般 6 2" xfId="19626"/>
    <cellStyle name="差_dallas產能評估_Dallas flow chart&amp;設備&amp;治工具清單(12-8 A0)_效益分析(總 12-28 Update)_Jackson 效益分析 (2-1 B0 上系統)_squirrel效益分析08-17" xfId="19627"/>
    <cellStyle name="Accent6" xfId="19628"/>
    <cellStyle name="Accent6 - 40%" xfId="19629"/>
    <cellStyle name="Accent6 - 60%" xfId="19630"/>
    <cellStyle name="Accent6 10" xfId="19631"/>
    <cellStyle name="Accent6 11" xfId="19632"/>
    <cellStyle name="Accent6 15" xfId="19633"/>
    <cellStyle name="Accent6 16" xfId="19634"/>
    <cellStyle name="差_Creak Pearl Reliability Fixture RFQ_2009 04 24_Leopard_UniBOM_ME_0602_Bolt RFQ_Foxlink_03.1 2011_nego meeting@MACH 3" xfId="19635"/>
    <cellStyle name="Accent6 18" xfId="19636"/>
    <cellStyle name="Accent6 3" xfId="19637"/>
    <cellStyle name="Accent6 3 3" xfId="19638"/>
    <cellStyle name="Accent6 7" xfId="19639"/>
    <cellStyle name="Accent6 8" xfId="19640"/>
    <cellStyle name="Accent6 9" xfId="19641"/>
    <cellStyle name="Accent6_CMAP20 ASUS-2009 KPI Review" xfId="19642"/>
    <cellStyle name="ÅëÈ­_±âÅ¸" xfId="19643"/>
    <cellStyle name="åÖãÊêÿÇË [0.00]_report3" xfId="19644"/>
    <cellStyle name="好_效益分析&amp;產能評估_Bolt RFQ_Foxlink_03.1 2011 3 3" xfId="19645"/>
    <cellStyle name="ÄÞ¸¶ [0]_±âÅ¸" xfId="19646"/>
    <cellStyle name="AutoFormat Options" xfId="19647"/>
    <cellStyle name="差_Creak Pearl Reliability Fixture RFQ_2009 04 24_Xl0000002_Leopard RFQ ME BOM Costs-0618 3" xfId="19648"/>
    <cellStyle name="AutoFormat Options 2" xfId="19649"/>
    <cellStyle name="AutoFormat Options 3" xfId="19650"/>
    <cellStyle name="b" xfId="19651"/>
    <cellStyle name="好_River EE BOM_Creak Pearl Reliability Fixture RFQ_2009 04 24_Leopard RFQ ME BOM Costs-0618-2_Bolt RFQ_Foxlink_03.1 2011_nego meeting@MACH" xfId="19652"/>
    <cellStyle name="差_HP Mouse 產能評估(上系統)_M1 SuedeFixtureEquipment Cost_A0_2010_10_15_Bolt RFQ_Foxlink_03.1 2011 4" xfId="19653"/>
    <cellStyle name="b_139 NPI Gantt" xfId="19654"/>
    <cellStyle name="b_C139 CCM 12181" xfId="19655"/>
    <cellStyle name="Normal 36 4" xfId="19656"/>
    <cellStyle name="Normal 41 4" xfId="19657"/>
    <cellStyle name="b_Dell ASUS NV28GL NPI 10-11-021" xfId="19658"/>
    <cellStyle name="b_Dell ASUS NV28GL NPI 11-19-02" xfId="19659"/>
    <cellStyle name="合計 2 2 2" xfId="19660"/>
    <cellStyle name="差 3 4" xfId="19661"/>
    <cellStyle name="b_P139 CCM 11011" xfId="19662"/>
    <cellStyle name="好_Bristol  cost 20100914Rev.A 2_foxlink Bristol for 10063D-2010-10-11" xfId="19663"/>
    <cellStyle name="差_dallas產能評估_flow chart 2009.12.12_Flow chart and Fixture(Jackson)_A1_Jackson 效益分析 (2-1 B0 上系統)_squirrel效益分析08-17" xfId="19664"/>
    <cellStyle name="b_P139 CCM 1107" xfId="19665"/>
    <cellStyle name="差_Creak Pearl Reliability Fixture RFQ_2009 04 24_Creek RFQ feedback 04_28_2009_FD Update_Squirrel UniBom-06.23.2010_update_internal 3 3" xfId="19666"/>
    <cellStyle name="b_P139 CCM 1129" xfId="19667"/>
    <cellStyle name="差_F3   SMT設備明細_Bolt RFQ Proposal_Foxlink_ (Pricing Summary) 2 25 2011" xfId="19668"/>
    <cellStyle name="Normal 48 3" xfId="19669"/>
    <cellStyle name="Normal 53 3" xfId="19670"/>
    <cellStyle name="b_Phoenix2_NPI_0409" xfId="19671"/>
    <cellStyle name="b_Vesuvius-CR NPI tracker0606-US" xfId="19672"/>
    <cellStyle name="Bad 10" xfId="19673"/>
    <cellStyle name="好_River EE BOM_Creak Pearl Reliability Fixture RFQ_2009 04 24_Xl0000002_Leopard_UniBOM_ME_0602_Bolt RFQ Proposal_Foxlink_ (Pricing Summary) 2 25 2011 4 3" xfId="19674"/>
    <cellStyle name="Bad 11" xfId="19675"/>
    <cellStyle name="Bad 12" xfId="19676"/>
    <cellStyle name="差_Creak Pearl Reliability Fixture RFQ_2009 04 24_Creek RFQ feedback 04_28_2009_FD Update_Leopard_UniBOM_ME_0603-2 2" xfId="19677"/>
    <cellStyle name="Bad 14" xfId="19678"/>
    <cellStyle name="差_Creak Pearl Reliability Fixture RFQ_2009 04 24_Creek RFQ feedback 04_28_2009_FD Update_Leopard_UniBOM_ME_0603-2 3" xfId="19679"/>
    <cellStyle name="Bad 15" xfId="19680"/>
    <cellStyle name="Bad 2" xfId="19681"/>
    <cellStyle name="差_Xl0000002_Leopard UniBom_Foxlink_6 21 2010-ME_nego_Bolt RFQ_Foxlink_03.1 2011" xfId="19682"/>
    <cellStyle name="差_Creak Pearl Reliability Fixture RFQ_2009 04 24_Xl0000002_Squirrel RFQ ME BOM Costs-0623_Bolt RFQ_Foxlink_03.1 2011_nego meeting@MACH" xfId="19683"/>
    <cellStyle name="Bad 2 2" xfId="19684"/>
    <cellStyle name="差_Xl0000002_Leopard UniBom_Foxlink_6 21 2010-ME_nego_Bolt RFQ_Foxlink_03.1 2011 2" xfId="19685"/>
    <cellStyle name="差_Creak Pearl Reliability Fixture RFQ_2009 04 24_Xl0000002_Squirrel RFQ ME BOM Costs-0623_Bolt RFQ_Foxlink_03.1 2011_nego meeting@MACH 2" xfId="19686"/>
    <cellStyle name="Bad 2 2 2" xfId="19687"/>
    <cellStyle name="Bad 2 3" xfId="19688"/>
    <cellStyle name="Bad 3" xfId="19689"/>
    <cellStyle name="Bad 3 2" xfId="19690"/>
    <cellStyle name="輔色1 2" xfId="19691"/>
    <cellStyle name="Bad 3 3" xfId="19692"/>
    <cellStyle name="Bad 4" xfId="19693"/>
    <cellStyle name="Bad 5" xfId="19694"/>
    <cellStyle name="好_River EE BOM_Creak Pearl Reliability Fixture RFQ_2009 04 24_Creek  Pearl RFQ_May 12_Jackson NRE Uni BOM_update _05072010 rev K" xfId="19695"/>
    <cellStyle name="Bad 6" xfId="19696"/>
    <cellStyle name="Normal 29 3 2 3" xfId="19697"/>
    <cellStyle name="Normal 34 3 2 3" xfId="19698"/>
    <cellStyle name="Bad 9" xfId="19699"/>
    <cellStyle name="Besuchter Hyperlink_Duties OSL" xfId="19700"/>
    <cellStyle name="black bar" xfId="19701"/>
    <cellStyle name="blue" xfId="19702"/>
    <cellStyle name="好_River EE BOM_Xl0000002_Leopard RFQ ME BOM Costs-0618-2_Bolt RFQ_Foxlink_03.1 2011 5" xfId="19703"/>
    <cellStyle name="Blue,Bold,12pt" xfId="19704"/>
    <cellStyle name="差_效益分析_Jackson 效益分析 testing update_16th Jan1" xfId="19705"/>
    <cellStyle name="Body" xfId="19706"/>
    <cellStyle name="Bold,10pt" xfId="19707"/>
    <cellStyle name="Border" xfId="19708"/>
    <cellStyle name="好_River EE BOM_Creak Pearl Reliability Fixture RFQ_2009 04 24_Creek  Pearl RFQ_May 12_Leopard_UniBOM_ME_0531_Bolt RFQ_Foxlink_03.1 2011_nego meeting@MACH" xfId="19709"/>
    <cellStyle name="Border 2" xfId="19710"/>
    <cellStyle name="差_F3   SMT設備明細_Erie 效益分析 (Update)_Jackson 效益分析 testing update_16th Jan111_Jackson 效益分析 (2-1 B0 上系統)_Leopard效益分析08-17" xfId="19711"/>
    <cellStyle name="Calc Currency (0) 2" xfId="19712"/>
    <cellStyle name="Calc Currency (0) 3" xfId="19713"/>
    <cellStyle name="Calc Currency (0) 4" xfId="19714"/>
    <cellStyle name="好_River EE BOM_Creak Pearl Reliability Fixture RFQ_2009 04 24_Xl0000002_Leopard_UniBOM_ME_0603-2_Bolt RFQ Proposal_Foxlink_ (Pricing Summary) 2 25 2011 2 2 2" xfId="19715"/>
    <cellStyle name="好_River EE BOM_Creak Pearl Reliability Fixture RFQ_2009 04 24_Leopard UniBom_Foxlink_6 21 2010-ME_nego_Bolt RFQ_Foxlink_03.1 2011_nego meeting@MACH 4" xfId="19716"/>
    <cellStyle name="Calc Currency (2)" xfId="19717"/>
    <cellStyle name="好_Creek Assembly Fixture  Test Equipment RFQ_20090427_Leopard_UniBOM_ME_0531_Bolt RFQ_Foxlink_03.1 2011_Bolt_Cliff 5" xfId="19718"/>
    <cellStyle name="差_Xl0000000_Leopard RFQ ME BOM Costs-0618 3" xfId="19719"/>
    <cellStyle name="Calc Currency (2) 2" xfId="19720"/>
    <cellStyle name="好_Creek Assembly Fixture  Test Equipment RFQ_20090427_Leopard_UniBOM_ME_0531_Bolt RFQ_Foxlink_03.1 2011_Bolt_Cliff 5 2" xfId="19721"/>
    <cellStyle name="Calc Currency (2) 3" xfId="19722"/>
    <cellStyle name="好_Creek Assembly Fixture  Test Equipment RFQ_20090427_Leopard_UniBOM_ME_0531_Bolt RFQ_Foxlink_03.1 2011_Bolt_Cliff 5 3" xfId="19723"/>
    <cellStyle name="Calc Currency (2) 4" xfId="19724"/>
    <cellStyle name="差_Creak Pearl Reliability Fixture RFQ_2009 04 24_Leopard UniBom_Foxlink_6 21 2010-ME_nego_Bolt RFQ_Foxlink_03.1 2011 3" xfId="19725"/>
    <cellStyle name="Calc Percent (0) 3" xfId="19726"/>
    <cellStyle name="好_River EE BOM_Creak Pearl Reliability Fixture RFQ_2009 04 24_Foxlink_Shadow RFQ NREUni BOM_12032009_Bolt RFQ Proposal_Foxlink_ (Pricing Summary) 2 25 2011" xfId="19727"/>
    <cellStyle name="差_Creak Pearl Reliability Fixture RFQ_2009 04 24_Leopard UniBom_Foxlink_6 21 2010-ME_nego_Bolt RFQ_Foxlink_03.1 2011 4" xfId="19728"/>
    <cellStyle name="好_River EE BOM_Creak Pearl Reliability Fixture RFQ_2009 04 24_Creek  Pearl RFQ_May 12_Leopard UniBom_Foxlink_12092010 RevD-jen" xfId="19729"/>
    <cellStyle name="Calc Percent (0) 4" xfId="19730"/>
    <cellStyle name="Calc Percent (1)" xfId="19731"/>
    <cellStyle name="Calc Percent (1) 2" xfId="19732"/>
    <cellStyle name="好_River EE BOM_Creak Pearl Reliability Fixture RFQ_2009 04 24_Pearl RFQ(Submittal)ver2_05_12_2009 _Squirrel RFQ ME BOM Costs-0623_Bolt RFQ_Foxlink_03.1 2011_nego meeting@MACH" xfId="19733"/>
    <cellStyle name="好_0842周 顯卡報廢超標8D 2" xfId="19734"/>
    <cellStyle name="Calc Percent (1) 3" xfId="19735"/>
    <cellStyle name="好_0842周 顯卡報廢超標8D 3" xfId="19736"/>
    <cellStyle name="Calc Percent (1) 4" xfId="19737"/>
    <cellStyle name="好_River EE BOM_Creak Pearl Reliability Fixture RFQ_2009 04 24_Creek  Pearl RFQ_May 12_Leopard RFQ ME BOM Costs-0618_Bolt RFQ_Foxlink_03.1 2011_nego meeting@MACH 4" xfId="19738"/>
    <cellStyle name="Calc Percent (2)" xfId="19739"/>
    <cellStyle name="Calc Percent (2) 2" xfId="19740"/>
    <cellStyle name="Calc Percent (2) 3" xfId="19741"/>
    <cellStyle name="差_Creak Pearl Reliability Fixture RFQ_2009 04 24_Xl0000002_Foxlink_Shadow RFQ NREUni BOM_12032009 3 3" xfId="19742"/>
    <cellStyle name="Calc Units (0)" xfId="19743"/>
    <cellStyle name="Calc Units (0) 2" xfId="19744"/>
    <cellStyle name="Calc Units (0) 3" xfId="19745"/>
    <cellStyle name="Calc Units (0) 4" xfId="19746"/>
    <cellStyle name="Calc Units (1)" xfId="19747"/>
    <cellStyle name="Heading 3 3_Bristol RFQ response _20101102_internal (4)" xfId="19748"/>
    <cellStyle name="Calc Units (1) 3" xfId="19749"/>
    <cellStyle name="Calc Units (1) 4" xfId="19750"/>
    <cellStyle name="好_River EE BOM_Creak Pearl Reliability Fixture RFQ_2009 04 24_Creek RFQ feedback 04_28_2009_FD Update_Leopard_UniBOM_ME_0531 3 3" xfId="19751"/>
    <cellStyle name="Calc Units (2) 2" xfId="19752"/>
    <cellStyle name="Calc Units (2) 3" xfId="19753"/>
    <cellStyle name="Calc Units (2) 4" xfId="19754"/>
    <cellStyle name="Normal 12 3" xfId="19755"/>
    <cellStyle name="Calculation" xfId="19756"/>
    <cellStyle name="Calculation 10" xfId="19757"/>
    <cellStyle name="好_River EE BOM_Creak Pearl Reliability Fixture RFQ_2009 04 24_Creek RFQ feedback 04_28_2009_FD Update_Leopard_UniBOM_ME_0603-2 3 3" xfId="19758"/>
    <cellStyle name="Calculation 10 2" xfId="19759"/>
    <cellStyle name="Calculation 10 2 2" xfId="19760"/>
    <cellStyle name="Calculation 10 2 3" xfId="19761"/>
    <cellStyle name="差_jupite r設備&amp;治工具LIST (總)_flow chart 2009.12.12_Flow chart and Fixture(Jackson)_A1_Jackson 效益分析 (2-1 B0 上系統)_Leopard效益分析08-17" xfId="19762"/>
    <cellStyle name="Calculation 11" xfId="19763"/>
    <cellStyle name="好_Erie Assembly Fixture  Test Equip Cost_20090716_Bolt RFQ_Foxlink_03.1 2011_nego meeting@MACH 4" xfId="19764"/>
    <cellStyle name="Calculation 11 2" xfId="19765"/>
    <cellStyle name="Normal 5 16 2 3" xfId="19766"/>
    <cellStyle name="Calculation 12 2 2" xfId="19767"/>
    <cellStyle name="Calculation 13 2" xfId="19768"/>
    <cellStyle name="Calculation 13 2 2" xfId="19769"/>
    <cellStyle name="Calculation 13 2 3" xfId="19770"/>
    <cellStyle name="Calculation 14 2" xfId="19771"/>
    <cellStyle name="Calculation 14 2 3" xfId="19772"/>
    <cellStyle name="Calculation 15" xfId="19773"/>
    <cellStyle name="Calculation 15 2" xfId="19774"/>
    <cellStyle name="Normal 4 7 2 2" xfId="19775"/>
    <cellStyle name="Calculation 15 3" xfId="19776"/>
    <cellStyle name="Calculation 16" xfId="19777"/>
    <cellStyle name="Calculation 2" xfId="19778"/>
    <cellStyle name="Calculation 2 2" xfId="19779"/>
    <cellStyle name="好_MB9月管審誤判超標 8D 2 4" xfId="19780"/>
    <cellStyle name="Calculation 2 2 3" xfId="19781"/>
    <cellStyle name="Calculation 2 3" xfId="19782"/>
    <cellStyle name="Calculation 2_Bristol RFQ response _20101102_internal (4)" xfId="19783"/>
    <cellStyle name="Calculation 3 2" xfId="19784"/>
    <cellStyle name="Calculation 3 2 2" xfId="19785"/>
    <cellStyle name="Calculation 3 2 3" xfId="19786"/>
    <cellStyle name="Calculation 3 3" xfId="19787"/>
    <cellStyle name="Calculation 4" xfId="19788"/>
    <cellStyle name="差_Wedge_ME_BOM-v00-11v0715 3" xfId="19789"/>
    <cellStyle name="Calculation 4 2 2" xfId="19790"/>
    <cellStyle name="Calculation 4 2 3" xfId="19791"/>
    <cellStyle name="差_jupite r設備&amp;治工具LIST (總)_效益分析 (12-9 A1)" xfId="19792"/>
    <cellStyle name="Calculation 5" xfId="19793"/>
    <cellStyle name="好_Creek Assembly Fixture  Test Equipment RFQ_20090427_Leopard_UniBOM_ME_0602-1_Bolt RFQ_Foxlink_03.1 2011_Bolt_Cliff 5" xfId="19794"/>
    <cellStyle name="Calculation 5 2" xfId="19795"/>
    <cellStyle name="好_River EE BOM_Creek RFQ feedback 04_28_2009_FD Update_Leopard RFQ ME BOM Costs-0618_Bolt RFQ_Foxlink_03.1 2011 2 2" xfId="19796"/>
    <cellStyle name="Calculation 6" xfId="19797"/>
    <cellStyle name="Calculation 6 2" xfId="19798"/>
    <cellStyle name="Calculation 6 2 3" xfId="19799"/>
    <cellStyle name="好_River EE BOM_Creek RFQ feedback 04_28_2009_FD Update_Leopard RFQ ME BOM Costs-0618_Bolt RFQ_Foxlink_03.1 2011 2 3" xfId="19800"/>
    <cellStyle name="Calculation 7" xfId="19801"/>
    <cellStyle name="好_River EE BOM_Creak Pearl Reliability Fixture RFQ_2009 04 24_Creek  Pearl RFQ_May 12_Squirrel RFQ ME BOM Costs-0623_Bolt RFQ Proposal_Foxlink_ (Pricing Summary) 2 25 2011 5" xfId="19802"/>
    <cellStyle name="Calculation 7 2" xfId="19803"/>
    <cellStyle name="好_River EE BOM_Creak Pearl Reliability Fixture RFQ_2009 04 24_Creek  Pearl RFQ_May 12_Squirrel RFQ ME BOM Costs-0623_Bolt RFQ Proposal_Foxlink_ (Pricing Summary) 2 25 2011 5 2" xfId="19804"/>
    <cellStyle name="Calculation 7 2 2" xfId="19805"/>
    <cellStyle name="好_River EE BOM_Creak Pearl Reliability Fixture RFQ_2009 04 24_Creek  Pearl RFQ_May 12_Squirrel RFQ ME BOM Costs-0623_Bolt RFQ Proposal_Foxlink_ (Pricing Summary) 2 25 2011 5 3" xfId="19806"/>
    <cellStyle name="Calculation 7 2 3" xfId="19807"/>
    <cellStyle name="Calculation 8" xfId="19808"/>
    <cellStyle name="Calculation 8 2" xfId="19809"/>
    <cellStyle name="差_HP Mouse 產能評估(Forecast更改後)" xfId="19810"/>
    <cellStyle name="Calculation 8 2 2" xfId="19811"/>
    <cellStyle name="Calculation 8 2 3" xfId="19812"/>
    <cellStyle name="Comma0 - Style1" xfId="19813"/>
    <cellStyle name="差_治具工程課2009年KPI_產線生產規劃KPI 2" xfId="19814"/>
    <cellStyle name="Calculation 9" xfId="19815"/>
    <cellStyle name="can" xfId="19816"/>
    <cellStyle name="差_Creak Pearl Reliability Fixture RFQ_2009 04 24_Creek  Pearl RFQ_May 12_Bolt RFQ_Foxlink_03.1 2011_nego meeting@MACH 4" xfId="19817"/>
    <cellStyle name="category" xfId="19818"/>
    <cellStyle name="差_HP Mouse 產能評估(上系統)_M1 Bolt wireless mouse FixtureEquipment Cost_A2_2010_12_07_Bolt RFQ Proposal_Foxlink_ (Pricing Summary) 2 25 2011 2" xfId="19819"/>
    <cellStyle name="好_River EE BOM_Creak Pearl Reliability Fixture RFQ_2009 04 24_Pearl RFQ(Submittal)ver2_05_12_2009 _Leopard UniBom_Foxlink_6 21 2010-ME_nego_Bolt RFQ_Foxlink_03.1 2011_nego meeting@MACH 4" xfId="19820"/>
    <cellStyle name="好_Creek Assembly Fixture  Test Equipment RFQ_20090427_Xl0000002_Leopard RFQ ME BOM Costs-0618_Bolt RFQ_Foxlink_03.1 2011 5" xfId="19821"/>
    <cellStyle name="Check Cell" xfId="19822"/>
    <cellStyle name="Normal 37 4" xfId="19823"/>
    <cellStyle name="Normal 42 4" xfId="19824"/>
    <cellStyle name="好_River EE BOM_Creak Pearl Reliability Fixture RFQ_2009 04 24_Xl0000002 2 2 3" xfId="19825"/>
    <cellStyle name="Check Cell 10" xfId="19826"/>
    <cellStyle name="Normal 37 6" xfId="19827"/>
    <cellStyle name="Normal 42 6" xfId="19828"/>
    <cellStyle name="Check Cell 12" xfId="19829"/>
    <cellStyle name="差_Creak Pearl Reliability Fixture RFQ_2009 04 24_Xl0000002_Jackson and Shadow BOM cost_mainfile_2010 0324 rev.1_Bristol UniBom_Foxlink_02082011 RevA" xfId="19830"/>
    <cellStyle name="Check Cell 13" xfId="19831"/>
    <cellStyle name="差_Xl0000000_Leopard_UniBOM_ME_0531_Bolt RFQ_Foxlink_03.1 2011 2" xfId="19832"/>
    <cellStyle name="Check Cell 14" xfId="19833"/>
    <cellStyle name="差_Xl0000000_Leopard_UniBOM_ME_0531_Bolt RFQ_Foxlink_03.1 2011 3" xfId="19834"/>
    <cellStyle name="Check Cell 15" xfId="19835"/>
    <cellStyle name="Check Cell 2 2" xfId="19836"/>
    <cellStyle name="差_Creek RFQ feedback 04_28_2009_FD Update_Leopard UniBom_Foxlink_6 21 2010-ME_nego_Bolt RFQ Proposal_Foxlink_ (Pricing Summary) 2 25 2011 5 2" xfId="19837"/>
    <cellStyle name="好_River EE BOM_Xl0000000 2" xfId="19838"/>
    <cellStyle name="好_River EE BOM_Creak Pearl Reliability Fixture RFQ_2009 04 24_Bolt RFQ Proposal_Foxlink_ (Pricing Summary) 2 25 2011" xfId="19839"/>
    <cellStyle name="Check Cell 2_Bristol RFQ response _20101102_internal (4)" xfId="19840"/>
    <cellStyle name="Check Cell 3" xfId="19841"/>
    <cellStyle name="好_成本明細-Erie_20090819_M1 Lemur Capacity planFixtureEquipment Cost_A2_06192010" xfId="19842"/>
    <cellStyle name="Check Cell 3 2" xfId="19843"/>
    <cellStyle name="Check Cell 3 3" xfId="19844"/>
    <cellStyle name="差_jupite r設備&amp;治工具LIST (總)_Dallas flow chart&amp;設備&amp;治工具清單(12-8 A0)_效益分析(總 12-28 Update)_Leopard效益分析08-17" xfId="19845"/>
    <cellStyle name="Check Cell 4" xfId="19846"/>
    <cellStyle name="好_River EE BOM_Creak Pearl Reliability Fixture RFQ_2009 04 24_Pearl RFQ(Submittal)ver2_05_12_2009 _Leopard UniBom_Foxlink_12092010 RevD-jen" xfId="19847"/>
    <cellStyle name="Check Cell 5" xfId="19848"/>
    <cellStyle name="差_jupite r設備&amp;治工具LIST (總)_Dallas效益分析&amp;投資回收期 (12-2 A1)_Jackson 效益分析 testing update_16th Jan111_Jackson 效益分析 (2-1 B0 上系統)_Leopard Flowchart &amp; 產能評估" xfId="19849"/>
    <cellStyle name="差_Creak Pearl Reliability Fixture RFQ_2009 04 24_Creek  Pearl RFQ_May 12_Leopard Lemur Squirrel UniBom-06.22.2010_EE cost _update_internal_Bolt RFQ_Foxlink_03.1 2011_nego meeting@MACH 3 2" xfId="19850"/>
    <cellStyle name="Check Cell 7" xfId="19851"/>
    <cellStyle name="Check Cell 9" xfId="19852"/>
    <cellStyle name="ColumnHeading" xfId="19853"/>
    <cellStyle name="差_Creak Pearl Reliability Fixture RFQ_2009 04 24_Creek  Pearl RFQ_May 12_Squirrel RFQ ME BOM Costs-0623_Bolt RFQ Proposal_Foxlink_ (Pricing Summary) 2 25 2011 6" xfId="19854"/>
    <cellStyle name="Com" xfId="19855"/>
    <cellStyle name="好_Creek Assembly Fixture  Test Equipment RFQ_20090427_Xl0000002_Leopard Lemur Squirrel UniBom-06.22.2010_EE cost _update_internal_Bolt RFQ_Foxlink_03.1 2011" xfId="19856"/>
    <cellStyle name="Comma  - Style1" xfId="19857"/>
    <cellStyle name="Comma  - Style2" xfId="19858"/>
    <cellStyle name="Comma  - Style3" xfId="19859"/>
    <cellStyle name="Comma  - Style5" xfId="19860"/>
    <cellStyle name="Comma  - Style7" xfId="19861"/>
    <cellStyle name="Comma  - Style8" xfId="19862"/>
    <cellStyle name="comma (0)" xfId="19863"/>
    <cellStyle name="comma (0) 2" xfId="19864"/>
    <cellStyle name="Comma [00] 2" xfId="19865"/>
    <cellStyle name="差_F3   SMT設備明細_效益分析(總 12-28 Update)_Leopard效益分析08-17" xfId="19866"/>
    <cellStyle name="Comma [00] 4" xfId="19867"/>
    <cellStyle name="Comma [4]" xfId="19868"/>
    <cellStyle name="好_River EE BOM_Creek RFQ feedback 04_28_2009_FD Update_Squirrel RFQ ME BOM Costs-0623_Bolt RFQ_Foxlink_03.1 2011 3 2" xfId="19869"/>
    <cellStyle name="Comma 10" xfId="19870"/>
    <cellStyle name="好_River EE BOM_Creek RFQ feedback 04_28_2009_FD Update_Squirrel RFQ ME BOM Costs-0623_Bolt RFQ_Foxlink_03.1 2011 3 3" xfId="19871"/>
    <cellStyle name="Comma 11" xfId="19872"/>
    <cellStyle name="Comma 15" xfId="19873"/>
    <cellStyle name="Comma 16" xfId="19874"/>
    <cellStyle name="Percent [0]" xfId="19875"/>
    <cellStyle name="好_MB9月管審換線超時8d_2009MB KPI_MBO3F製造部hp0209-01 2 2 2" xfId="19876"/>
    <cellStyle name="好_Creek Assembly Fixture  Test Equipment RFQ_20090427_Xl0000002_Leopard_UniBOM_ME_0602-1_Bolt RFQ_Foxlink_03.1 2011 2" xfId="19877"/>
    <cellStyle name="好_Creek Assembly Fixture  Test Equipment RFQ_20090427_Xl0000002_Foxlink_Shadow RFQ NREUni BOM_12032009_Bolt RFQ Proposal_Foxlink_ (Pricing Summary) 2 25 2011 2" xfId="19878"/>
    <cellStyle name="Comma 16 2 3" xfId="19879"/>
    <cellStyle name="好_River EE BOM_Xl0000000_Foxlink_Shadow RFQ NREUni BOM_12032009_Bolt RFQ_Foxlink_03.1 2011_nego meeting@MACH 5" xfId="19880"/>
    <cellStyle name="Comma 16 3 2" xfId="19881"/>
    <cellStyle name="Comma 16 4" xfId="19882"/>
    <cellStyle name="Comma 16 5" xfId="19883"/>
    <cellStyle name="Comma 17" xfId="19884"/>
    <cellStyle name="Comma 17 2 2" xfId="19885"/>
    <cellStyle name="Comma 17 3" xfId="19886"/>
    <cellStyle name="差_HP Mouse 產能評估(上系統)_M1 Bolt wireless mouse FixtureEquipment Cost_A2_2010_12_07_Bolt RFQ Proposal_Foxlink_ (Pricing Summary) 2 25 2011 7" xfId="19887"/>
    <cellStyle name="好_River EE BOM_Creak Pearl Reliability Fixture RFQ_2009 04 24_Creek  Pearl RFQ_May 12_Leopard_UniBOM_ME_0603-2_Bolt RFQ_Foxlink_03.1 2011_nego meeting@MACH 2 2" xfId="19888"/>
    <cellStyle name="Comma 17 3 3" xfId="19889"/>
    <cellStyle name="差_F3   SMT設備明細_jupite r設備&amp;治工具LIST (總)_效益分析(總 12-28 Update)_Leopard Flowchart &amp; 產能評估" xfId="19890"/>
    <cellStyle name="壞_Creek Assembly Fixture  Test Equipment RFQ_20090427_Squirrel UniBom-06.23.2010_update_internal_Bolt RFQ Proposal_Foxlink_ (Pricing Summary) 2 25 2011 2 2" xfId="19891"/>
    <cellStyle name="Comma 17 4" xfId="19892"/>
    <cellStyle name="壞_Creek Assembly Fixture  Test Equipment RFQ_20090427_Squirrel UniBom-06.23.2010_update_internal_Bolt RFQ Proposal_Foxlink_ (Pricing Summary) 2 25 2011 2 3" xfId="19893"/>
    <cellStyle name="Comma 17 5" xfId="19894"/>
    <cellStyle name="Comma 18 2" xfId="19895"/>
    <cellStyle name="Comma 18 2 3" xfId="19896"/>
    <cellStyle name="差_Creak Pearl Reliability Fixture RFQ_2009 04 24_Xl0000002_Leopard_UniBOM_ME_0602-1_Bolt RFQ_Foxlink_03.1 2011 4" xfId="19897"/>
    <cellStyle name="Comma 2" xfId="19898"/>
    <cellStyle name="差_0842周 顯卡報廢超標8D_2009MB KPI_MBO3F製造部hp0209-01 2 5" xfId="19899"/>
    <cellStyle name="Comma 2 10" xfId="19900"/>
    <cellStyle name="Comma 2 12" xfId="19901"/>
    <cellStyle name="Comma 2 13" xfId="19902"/>
    <cellStyle name="差_Creak Pearl Reliability Fixture RFQ_2009 04 24_Pearl RFQ(Submittal)ver2_05_12_2009 _Squirrel RFQ ME BOM Costs-0623_Bolt RFQ Proposal_Foxlink_ (Pricing Summary) 2 25 2011 2" xfId="19903"/>
    <cellStyle name="Comma 2 15" xfId="19904"/>
    <cellStyle name="Comma 2 20" xfId="19905"/>
    <cellStyle name="差_Creak Pearl Reliability Fixture RFQ_2009 04 24_Pearl RFQ(Submittal)ver2_05_12_2009 _Squirrel RFQ ME BOM Costs-0623_Bolt RFQ Proposal_Foxlink_ (Pricing Summary) 2 25 2011 5" xfId="19906"/>
    <cellStyle name="Comma 2 18" xfId="19907"/>
    <cellStyle name="Comma 2 23" xfId="19908"/>
    <cellStyle name="差_Creak Pearl Reliability Fixture RFQ_2009 04 24_Pearl RFQ(Submittal)ver2_05_12_2009 _Squirrel RFQ ME BOM Costs-0623_Bolt RFQ Proposal_Foxlink_ (Pricing Summary) 2 25 2011 6" xfId="19909"/>
    <cellStyle name="Comma 2 19" xfId="19910"/>
    <cellStyle name="Comma 2 24" xfId="19911"/>
    <cellStyle name="差_Creak Pearl Reliability Fixture RFQ_2009 04 24_Pearl RFQ(Submittal)ver2_05_12_2009 _Squirrel RFQ ME BOM Costs-0623_Bolt RFQ Proposal_Foxlink_ (Pricing Summary) 2 25 2011 7" xfId="19912"/>
    <cellStyle name="Comma 2 25" xfId="19913"/>
    <cellStyle name="Comma 2 30" xfId="19914"/>
    <cellStyle name="差_Creek RFQ feedback 04_28_2009_FD Update_Leopard_UniBOM_ME_0603-2 3 2" xfId="19915"/>
    <cellStyle name="Comma 2 27" xfId="19916"/>
    <cellStyle name="Comma 2 32" xfId="19917"/>
    <cellStyle name="差_Creek RFQ feedback 04_28_2009_FD Update_Leopard_UniBOM_ME_0603-2 3 3" xfId="19918"/>
    <cellStyle name="Comma 2 28" xfId="19919"/>
    <cellStyle name="Comma 2 33" xfId="19920"/>
    <cellStyle name="Comma 2 3" xfId="19921"/>
    <cellStyle name="Comma 2 4" xfId="19922"/>
    <cellStyle name="Comma 2 5" xfId="19923"/>
    <cellStyle name="Comma 2 6" xfId="19924"/>
    <cellStyle name="Comma 2 7" xfId="19925"/>
    <cellStyle name="Comma 2 8" xfId="19926"/>
    <cellStyle name="Comma 2 9" xfId="19927"/>
    <cellStyle name="差_Creak Pearl Reliability Fixture RFQ_2009 04 24_Xl0000002_Leopard_UniBOM_ME_0602-1_Bolt RFQ_Foxlink_03.1 2011 5" xfId="19928"/>
    <cellStyle name="Comma 3" xfId="19929"/>
    <cellStyle name="Comma 5" xfId="19930"/>
    <cellStyle name="Comma 6" xfId="19931"/>
    <cellStyle name="Comma 7" xfId="19932"/>
    <cellStyle name="Comma Acctg" xfId="19933"/>
    <cellStyle name="Comma Acctg 4" xfId="19934"/>
    <cellStyle name="差_Creak Pearl Reliability Fixture RFQ_2009 04 24_Pearl RFQ(Submittal)ver2_05_12_2009 _Leopard_UniBOM_ME_0603-2_Bolt RFQ Proposal_Foxlink_ (Pricing Summary) 2 25 2011 2 2 2" xfId="19935"/>
    <cellStyle name="好_Creek Assembly Fixture  Test Equipment RFQ_20090427_Leopard UniBom_Foxlink_6 21 2010-ME_nego_Bolt RFQ Proposal_Foxlink_ (Pricing Summary) 2 25 2011 3 3" xfId="19936"/>
    <cellStyle name="comma zerodec" xfId="19937"/>
    <cellStyle name="comma zerodec 4" xfId="19938"/>
    <cellStyle name="好_River EE BOM_Creak Pearl Reliability Fixture RFQ_2009 04 24_Creek RFQ feedback 04_28_2009_FD Update_Leopard UniBom_Foxlink_6 21 2010-ME_nego" xfId="19939"/>
    <cellStyle name="Comma0" xfId="19940"/>
    <cellStyle name="好_River EE BOM_Xl0000002_Foxlink_Shadow RFQ NREUni BOM_12032009 3" xfId="19941"/>
    <cellStyle name="好_Creek Assembly Fixture  Test Equipment RFQ_20090427_Xl0000002_Squirrel UniBom-06.23.2010_update_internal_Bolt RFQ Proposal_Foxlink_ (Pricing Summary) 2 25 2011 2 2 2" xfId="19942"/>
    <cellStyle name="Comma0 - Modelo1" xfId="19943"/>
    <cellStyle name="Comma0_020106 MS Insight Open POa" xfId="19944"/>
    <cellStyle name="Comma1 - Modelo2" xfId="19945"/>
    <cellStyle name="Contracts" xfId="19946"/>
    <cellStyle name="COST1" xfId="19947"/>
    <cellStyle name="好_River EE BOM_Creak Pearl Reliability Fixture RFQ_2009 04 24_Creek RFQ feedback 04_28_2009_FD Update_Leopard RFQ ME BOM Costs-0618_Bolt RFQ_Foxlink_03.1 2011 3" xfId="19948"/>
    <cellStyle name="Normal 3 12" xfId="19949"/>
    <cellStyle name="Currency [0] in K-Dollars" xfId="19950"/>
    <cellStyle name="Heading 3 8" xfId="19951"/>
    <cellStyle name="í â›_16X" xfId="19952"/>
    <cellStyle name="Currency [00]" xfId="19953"/>
    <cellStyle name="Currency [00] 3" xfId="19954"/>
    <cellStyle name="Currency [00] 4" xfId="19955"/>
    <cellStyle name="好_River EE BOM_Creak Pearl Reliability Fixture RFQ_2009 04 24_Xl0000002_Leopard UniBom_Foxlink_6 21 2010-ME_nego_Bolt RFQ_Foxlink_03.1 2011_nego meeting@MACH 5" xfId="19956"/>
    <cellStyle name="好_River EE BOM_Creak Pearl Reliability Fixture RFQ_2009 04 24_Squirrel RFQ ME BOM Costs-0623_Bolt RFQ_Foxlink_03.1 2011 3 2" xfId="19957"/>
    <cellStyle name="Currency [0㍝" xfId="19958"/>
    <cellStyle name="Currency [1] in K-Dollars" xfId="19959"/>
    <cellStyle name="好_River EE BOM_Xl0000000_Leopard UniBom_Foxlink_6 21 2010-ME_nego_Bolt RFQ Proposal_Foxlink_ (Pricing Summary) 2 25 2011 4 3" xfId="19960"/>
    <cellStyle name="Currency 10" xfId="19961"/>
    <cellStyle name="Currency 11" xfId="19962"/>
    <cellStyle name="Currency 12" xfId="19963"/>
    <cellStyle name="Currency 15" xfId="19964"/>
    <cellStyle name="Currency 16" xfId="19965"/>
    <cellStyle name="差_MS Bolt wireless mouse FixtureEquipment Cost_A5_2010_02_21_Bolt RFQ Proposal_Foxlink_ (Pricing Summary) 2 25 2011 3" xfId="19966"/>
    <cellStyle name="Currency 16 2" xfId="19967"/>
    <cellStyle name="差_MS Bolt wireless mouse FixtureEquipment Cost_A5_2010_02_21_Bolt RFQ Proposal_Foxlink_ (Pricing Summary) 2 25 2011 3 2" xfId="19968"/>
    <cellStyle name="强调文字颜色 6 3 4" xfId="19969"/>
    <cellStyle name="差_HP Mouse 產能評估(Forecast更改後)_Bolt RFQ Proposal_Foxlink_ (Pricing Summary) 2 25 2011 2 3" xfId="19970"/>
    <cellStyle name="Currency 16 2 2" xfId="19971"/>
    <cellStyle name="差_MS Bolt wireless mouse FixtureEquipment Cost_A5_2010_02_21_Bolt RFQ Proposal_Foxlink_ (Pricing Summary) 2 25 2011 3 3" xfId="19972"/>
    <cellStyle name="差_HP Mouse 產能評估(Forecast更改後)_Bolt RFQ Proposal_Foxlink_ (Pricing Summary) 2 25 2011 2 4" xfId="19973"/>
    <cellStyle name="Currency 16 2 3" xfId="19974"/>
    <cellStyle name="差_MS Bolt wireless mouse FixtureEquipment Cost_A5_2010_02_21_Bolt RFQ Proposal_Foxlink_ (Pricing Summary) 2 25 2011 4 3" xfId="19975"/>
    <cellStyle name="好_MB9月管審換線超時8d 2 2 2" xfId="19976"/>
    <cellStyle name="Currency 16 3 3" xfId="19977"/>
    <cellStyle name="差_MS Bolt wireless mouse FixtureEquipment Cost_A5_2010_02_21_Bolt RFQ Proposal_Foxlink_ (Pricing Summary) 2 25 2011 5" xfId="19978"/>
    <cellStyle name="好_River EE BOM_Creak Pearl Reliability Fixture RFQ_2009 04 24_Pearl RFQ(Submittal)ver2_05_12_2009 _Leopard RFQ ME BOM Costs-0618-2_Bolt RFQ Proposal_Foxlink_ (Pricing Summary) 2 25 2011 2" xfId="19979"/>
    <cellStyle name="Currency 16 4" xfId="19980"/>
    <cellStyle name="Currency 17" xfId="19981"/>
    <cellStyle name="差_HP Mouse 產能評估(上系統)_Erie 效益分析 (Update)_Flow Chart&amp;設備治工具清單 _Jackson 效益分析 (2-1 B0 上系統)_Leopard效益分析08-17" xfId="19982"/>
    <cellStyle name="Currency 17 2 3" xfId="19983"/>
    <cellStyle name="Currency 17 3" xfId="19984"/>
    <cellStyle name="差_HP  專案(設備&amp;治工具需夠買)update 2 3" xfId="19985"/>
    <cellStyle name="一般 2 2 4" xfId="19986"/>
    <cellStyle name="Currency 17 3 2" xfId="19987"/>
    <cellStyle name="Currency 17 4" xfId="19988"/>
    <cellStyle name="Currency 2" xfId="19989"/>
    <cellStyle name="Currency 2 15" xfId="19990"/>
    <cellStyle name="Currency 2 20" xfId="19991"/>
    <cellStyle name="好_MB9月管審誤判超標 8D_2009MB KPI_MBO3F製造部hp0209-01 5 2" xfId="19992"/>
    <cellStyle name="Currency 2 16" xfId="19993"/>
    <cellStyle name="Currency 2 21" xfId="19994"/>
    <cellStyle name="好_MB9月管審誤判超標 8D_2009MB KPI_MBO3F製造部hp0209-01 5 3" xfId="19995"/>
    <cellStyle name="Currency 2 17" xfId="19996"/>
    <cellStyle name="Currency 2 22" xfId="19997"/>
    <cellStyle name="好_MB9月管審誤判超標 8D_2009MB KPI_MBO3F製造部hp0209-01 5 4" xfId="19998"/>
    <cellStyle name="Currency 2 18" xfId="19999"/>
    <cellStyle name="Currency 2 23" xfId="20000"/>
    <cellStyle name="Currency 2 2" xfId="20001"/>
    <cellStyle name="Currency 2 25" xfId="20002"/>
    <cellStyle name="Currency 2 30" xfId="20003"/>
    <cellStyle name="Gone" xfId="20004"/>
    <cellStyle name="Currency 2 26" xfId="20005"/>
    <cellStyle name="Currency 2 31" xfId="20006"/>
    <cellStyle name="Currency 2 28" xfId="20007"/>
    <cellStyle name="Currency 2 33" xfId="20008"/>
    <cellStyle name="Currency 2 29" xfId="20009"/>
    <cellStyle name="Currency 2 34" xfId="20010"/>
    <cellStyle name="差_Creak Pearl Reliability Fixture RFQ_2009 04 24_Creek  Pearl RFQ_May 12_Leopard Lemur Squirrel UniBom-06.22.2010_EE cost _update_internal_Bolt RFQ_Foxlink_03.1 2011 2" xfId="20011"/>
    <cellStyle name="Currency 2 3" xfId="20012"/>
    <cellStyle name="好_River EE BOM_Xl0000002_Leopard Lemur Squirrel UniBom-06.22.2010_EE cost _update_internal_Bolt RFQ_Foxlink_03.1 2011 2" xfId="20013"/>
    <cellStyle name="差_Creak Pearl Reliability Fixture RFQ_2009 04 24_Creek  Pearl RFQ_May 12_Leopard Lemur Squirrel UniBom-06.22.2010_EE cost _update_internal_Bolt RFQ_Foxlink_03.1 2011 3" xfId="20014"/>
    <cellStyle name="Currency 2 4" xfId="20015"/>
    <cellStyle name="好_River EE BOM_Xl0000002_Leopard Lemur Squirrel UniBom-06.22.2010_EE cost _update_internal_Bolt RFQ_Foxlink_03.1 2011 4" xfId="20016"/>
    <cellStyle name="差_Creak Pearl Reliability Fixture RFQ_2009 04 24_Creek  Pearl RFQ_May 12_Leopard Lemur Squirrel UniBom-06.22.2010_EE cost _update_internal_Bolt RFQ_Foxlink_03.1 2011 5" xfId="20017"/>
    <cellStyle name="Currency 2 6" xfId="20018"/>
    <cellStyle name="好_River EE BOM_Xl0000002_Leopard Lemur Squirrel UniBom-06.22.2010_EE cost _update_internal_Bolt RFQ_Foxlink_03.1 2011 5" xfId="20019"/>
    <cellStyle name="差_Xl0000000_Leopard_UniBOM_ME_0603-2_Bolt RFQ_Foxlink_03.1 2011_nego meeting@MACH 2" xfId="20020"/>
    <cellStyle name="Currency 2 7" xfId="20021"/>
    <cellStyle name="差_Xl0000000_Leopard_UniBOM_ME_0603-2_Bolt RFQ_Foxlink_03.1 2011_nego meeting@MACH 4" xfId="20022"/>
    <cellStyle name="Currency 2 9" xfId="20023"/>
    <cellStyle name="Currency 3" xfId="20024"/>
    <cellStyle name="Currency 3 2" xfId="20025"/>
    <cellStyle name="Currency 3 2 2" xfId="20026"/>
    <cellStyle name="好_Creek Assembly Fixture  Test Equipment RFQ_20090427_Xl0000002_Leopard_UniBOM_ME_0531_Bolt RFQ Proposal_Foxlink_ (Pricing Summary) 2 25 2011 3 3" xfId="20027"/>
    <cellStyle name="Link Units (2) 2" xfId="20028"/>
    <cellStyle name="Currency 3_Bolt EE Bom0223A" xfId="20029"/>
    <cellStyle name="Currency 4" xfId="20030"/>
    <cellStyle name="Currency 4 2" xfId="20031"/>
    <cellStyle name="Currency 4 2 2" xfId="20032"/>
    <cellStyle name="好_Creek EE BOM cost_20090425_Creek RFQ feedback 04_28_2009_FD Update_Leopard_UniBOM_ME_0602_Bolt RFQ_Foxlink_03.1 2011_nego meeting@MACH 3 2" xfId="20033"/>
    <cellStyle name="一般 6 3 2 3 2" xfId="20034"/>
    <cellStyle name="Currency 4 2 2 2 3" xfId="20035"/>
    <cellStyle name="Currency 4 2 2 3 2" xfId="20036"/>
    <cellStyle name="Currency 4 2 2 4" xfId="20037"/>
    <cellStyle name="Currency 4 3" xfId="20038"/>
    <cellStyle name="Currency 4 3 2 2" xfId="20039"/>
    <cellStyle name="Currency 4 3 2 3" xfId="20040"/>
    <cellStyle name="差_Creak Pearl Reliability Fixture RFQ_2009 04 24_Pearl RFQ(Submittal)ver2_05_12_2009 _Leopard RFQ ME BOM Costs-0618-2_Bolt RFQ_Foxlink_03.1 2011 3 2" xfId="20041"/>
    <cellStyle name="Currency 4 3 3" xfId="20042"/>
    <cellStyle name="Currency 4 3 3 2" xfId="20043"/>
    <cellStyle name="Currency 4 3 3 3" xfId="20044"/>
    <cellStyle name="Currency 4 3 5" xfId="20045"/>
    <cellStyle name="Currency 4 4 2" xfId="20046"/>
    <cellStyle name="Currency 4 4 2 2" xfId="20047"/>
    <cellStyle name="Currency 4 4 3" xfId="20048"/>
    <cellStyle name="Currency 4 4 3 2" xfId="20049"/>
    <cellStyle name="Currency 4 4 3 3" xfId="20050"/>
    <cellStyle name="Currency 4 4 4" xfId="20051"/>
    <cellStyle name="好_Bristol MP quote update_08182011_MS" xfId="20052"/>
    <cellStyle name="Currency 5" xfId="20053"/>
    <cellStyle name="汇总 2 2 4" xfId="20054"/>
    <cellStyle name="Currency 5 2" xfId="20055"/>
    <cellStyle name="差_MB9月管審誤判超標 8D_2009MB KPI_MBO3F製造部hp0209-01 5 2" xfId="20056"/>
    <cellStyle name="Currency 6" xfId="20057"/>
    <cellStyle name="Currency Acctg 2" xfId="20058"/>
    <cellStyle name="Currency Acctg 4" xfId="20059"/>
    <cellStyle name="差_Creek RFQ feedback 04_28_2009_FD Update_Leopard_UniBOM_ME_0603-2 2" xfId="20060"/>
    <cellStyle name="差_效益分析&amp;產能評估_Bolt RFQ_Foxlink_03.1 2011" xfId="20061"/>
    <cellStyle name="好_River EE BOM_Creak Pearl Reliability Fixture RFQ_2009 04 24_Creek RFQ feedback 04_28_2009_FD Update_Leopard RFQ ME BOM Costs-0618-2_Bolt RFQ Proposal_Foxlink_ (Pricing Summary) 2 25 2011 2 2 2" xfId="20062"/>
    <cellStyle name="Currency0" xfId="20063"/>
    <cellStyle name="差_效益分析&amp;產能評估_Bolt RFQ_Foxlink_03.1 2011 2" xfId="20064"/>
    <cellStyle name="Currency0 2" xfId="20065"/>
    <cellStyle name="好_River EE BOM_Xl0000000_Leopard_UniBOM_ME_0602_Bolt RFQ_Foxlink_03.1 2011_nego meeting@MACH 2" xfId="20066"/>
    <cellStyle name="Currency1 2" xfId="20067"/>
    <cellStyle name="好_River EE BOM_Xl0000000_Leopard_UniBOM_ME_0602_Bolt RFQ_Foxlink_03.1 2011_nego meeting@MACH 3" xfId="20068"/>
    <cellStyle name="Currency1 3" xfId="20069"/>
    <cellStyle name="好_River EE BOM_Xl0000000_Leopard_UniBOM_ME_0602_Bolt RFQ_Foxlink_03.1 2011_nego meeting@MACH 4" xfId="20070"/>
    <cellStyle name="Currency1 4" xfId="20071"/>
    <cellStyle name="custom" xfId="20072"/>
    <cellStyle name="Cyndie" xfId="20073"/>
    <cellStyle name="Data" xfId="20074"/>
    <cellStyle name="好_Creek EE BOM cost_20090425_Creek RFQ feedback 04_28_2009_FD Update_Leopard RFQ ME BOM Costs-0618-2_Bolt RFQ Proposal_Foxlink_ (Pricing Summary) 2 25 2011 6" xfId="20075"/>
    <cellStyle name="DataEntry" xfId="20076"/>
    <cellStyle name="Date 2" xfId="20077"/>
    <cellStyle name="好_Creek Assembly Fixture  Test Equipment RFQ_20090427_Xl0000002_Leopard_UniBOM_ME_0602 2 2 3" xfId="20078"/>
    <cellStyle name="Date 2 2" xfId="20079"/>
    <cellStyle name="Date 3" xfId="20080"/>
    <cellStyle name="好_River EE BOM_Xl0000000_Leopard_UniBOM_ME_0603-2_Bolt RFQ_Foxlink_03.1 2011_nego meeting@MACH 2 3" xfId="20081"/>
    <cellStyle name="差_Creak Pearl Reliability Fixture RFQ_2009 04 24_Creek RFQ feedback 04_28_2009_FD Update_Leopard UniBom_Foxlink_12272010 RevF_shirley" xfId="20082"/>
    <cellStyle name="DESKTOP - ME" xfId="20083"/>
    <cellStyle name="好_River EE BOM_Xl0000000_Leopard UniBom_Foxlink_6 21 2010-ME_nego_Bolt RFQ Proposal_Foxlink_ (Pricing Summary) 2 25 2011 5" xfId="20084"/>
    <cellStyle name="Dezimal [0]_!!!GO" xfId="20085"/>
    <cellStyle name="Dezimal_!!!GO" xfId="20086"/>
    <cellStyle name="差_Xl0000000_Leopard_UniBOM_ME_0603-2 2 4" xfId="20087"/>
    <cellStyle name="好_River EE BOM_Creak Pearl Reliability Fixture RFQ_2009 04 24_Creek RFQ feedback 04_28_2009_FD Update_Leopard RFQ ME BOM Costs-0618_Bolt RFQ_Foxlink_03.1 2011 3 3" xfId="20088"/>
    <cellStyle name="Dia" xfId="20089"/>
    <cellStyle name="差_HP  專案(設備&amp;治工具需夠買)update_Jackson 效益分析 (2-1 B0 上系統)_Leopard Flowchart &amp; 產能評估" xfId="20090"/>
    <cellStyle name="DIFFERENC" xfId="20091"/>
    <cellStyle name="差_Creak Pearl Reliability Fixture RFQ_2009 04 24_Creek RFQ feedback 04_28_2009_FD Update_Squirrel UniBom-06.23.2010_update_internal_Bolt RFQ_Foxlink_03.1 2011_nego meeting@MACH 5" xfId="20092"/>
    <cellStyle name="Dollar (zero dec)" xfId="20093"/>
    <cellStyle name="Dollar (zero dec) 2" xfId="20094"/>
    <cellStyle name="Emphasis 1" xfId="20095"/>
    <cellStyle name="Emphasis 3" xfId="20096"/>
    <cellStyle name="Encabez2" xfId="20097"/>
    <cellStyle name="Enter Currency (0) 2" xfId="20098"/>
    <cellStyle name="好_River EE BOM_Creek RFQ feedback 04_28_2009_FD Update_Leopard_UniBOM_ME_0602-1_Bolt RFQ Proposal_Foxlink_ (Pricing Summary) 2 25 2011 7" xfId="20099"/>
    <cellStyle name="Enter Currency (2)" xfId="20100"/>
    <cellStyle name="Enter Currency (2) 2" xfId="20101"/>
    <cellStyle name="Enter Currency (2) 3" xfId="20102"/>
    <cellStyle name="Enter Units (0)" xfId="20103"/>
    <cellStyle name="Enter Units (0) 2" xfId="20104"/>
    <cellStyle name="Enter Units (0) 3" xfId="20105"/>
    <cellStyle name="Enter Units (1)" xfId="20106"/>
    <cellStyle name="Enter Units (1) 2" xfId="20107"/>
    <cellStyle name="Enter Units (1) 4" xfId="20108"/>
    <cellStyle name="Enter Units (2) 4" xfId="20109"/>
    <cellStyle name="Entered" xfId="20110"/>
    <cellStyle name="Euro" xfId="20111"/>
    <cellStyle name="好_Creek EE BOM cost_20090425_Leopard Lemur Squirrel UniBom-06.22.2010_EE cost _update_internal_Bolt RFQ Proposal_Foxlink_ (Pricing Summary) 2 25 2011 2 2 3" xfId="20112"/>
    <cellStyle name="差_HP Mouse 產能評估(上系統)_M1 Bolt wireless mouse FixtureEquipment Cost_A2_2010_12_07_Bolt RFQ Proposal_Foxlink_ (Pricing Summary) 2 25 2011 2 3" xfId="20113"/>
    <cellStyle name="好_River EE BOM_Creak Pearl Reliability Fixture RFQ_2009 04 24_Creek  Pearl RFQ_May 12_Squirrel UniBom-06.23.2010_update_internal_Bolt RFQ Proposal_Foxlink_ (Pricing Summary) 2 25 2011 4" xfId="20114"/>
    <cellStyle name="Euro 2" xfId="20115"/>
    <cellStyle name="好_River EE BOM_Creak Pearl Reliability Fixture RFQ_2009 04 24_Creek  Pearl RFQ_May 12_Squirrel UniBom-06.23.2010_update_internal_Bolt RFQ Proposal_Foxlink_ (Pricing Summary) 2 25 2011 6" xfId="20116"/>
    <cellStyle name="Euro 4" xfId="20117"/>
    <cellStyle name="Explanatory Text" xfId="20118"/>
    <cellStyle name="好_dallas產能評估" xfId="20119"/>
    <cellStyle name="Explanatory Text 10" xfId="20120"/>
    <cellStyle name="差_MS Bolt wireless mouse FixtureEquipment Cost_A5_2010_02_21_Bolt RFQ_Foxlink_03.1 2011_nego meeting@MACH 3 2" xfId="20121"/>
    <cellStyle name="Explanatory Text 11" xfId="20122"/>
    <cellStyle name="差_MS Bolt wireless mouse FixtureEquipment Cost_A5_2010_02_21_Bolt RFQ_Foxlink_03.1 2011_nego meeting@MACH 3 3" xfId="20123"/>
    <cellStyle name="Explanatory Text 12" xfId="20124"/>
    <cellStyle name="Explanatory Text 13" xfId="20125"/>
    <cellStyle name="Explanatory Text 14" xfId="20126"/>
    <cellStyle name="差_Creak Pearl Reliability Fixture RFQ_2009 04 24_Creek RFQ feedback 04_28_2009_FD Update_Squirrel RFQ ME BOM Costs-0623_Bolt RFQ Proposal_Foxlink_ (Pricing Summary) 2 25 2011 2 2 2" xfId="20127"/>
    <cellStyle name="Explanatory Text 15" xfId="20128"/>
    <cellStyle name="Explanatory Text 2" xfId="20129"/>
    <cellStyle name="差_jupite r設備&amp;治工具LIST (總)_pq_squirrel效益分析08-17" xfId="20130"/>
    <cellStyle name="好_River EE BOM_Creak Pearl Reliability Fixture RFQ_2009 04 24_Pearl RFQ(Submittal)ver2_05_12_2009 _Squirrel RFQ ME BOM Costs-0623 2 3" xfId="20131"/>
    <cellStyle name="Explanatory Text 2 2" xfId="20132"/>
    <cellStyle name="好_River EE BOM_Creak Pearl Reliability Fixture RFQ_2009 04 24_Pearl RFQ(Submittal)ver2_05_12_2009 _Squirrel RFQ ME BOM Costs-0623 2 4" xfId="20133"/>
    <cellStyle name="Explanatory Text 2 3" xfId="20134"/>
    <cellStyle name="Explanatory Text 3" xfId="20135"/>
    <cellStyle name="好_River EE BOM_Creak Pearl Reliability Fixture RFQ_2009 04 24_Pearl RFQ(Submittal)ver2_05_12_2009 _Squirrel RFQ ME BOM Costs-0623 3 3" xfId="20136"/>
    <cellStyle name="Explanatory Text 3 2" xfId="20137"/>
    <cellStyle name="Explanatory Text 4" xfId="20138"/>
    <cellStyle name="好_River EE BOM_Creak Pearl Reliability Fixture RFQ_2009 04 24_Xl0000002_Leopard Lemur Squirrel UniBom-06.22.2010_EE cost _update_internal_Bolt RFQ_Foxlink_03.1 2011_nego meeting@MACH 3 2" xfId="20139"/>
    <cellStyle name="好_Creek Assembly Fixture  Test Equipment RFQ_20090427_Xl0000002_Leopard RFQ ME BOM Costs-0618_Bolt RFQ Proposal_Foxlink_ (Pricing Summary) 2 25 2011 2" xfId="20140"/>
    <cellStyle name="Explanatory Text 5" xfId="20141"/>
    <cellStyle name="好_Creek Assembly Fixture  Test Equipment RFQ_20090427_Xl0000002_Leopard RFQ ME BOM Costs-0618_Bolt RFQ Proposal_Foxlink_ (Pricing Summary) 2 25 2011 4" xfId="20142"/>
    <cellStyle name="Explanatory Text 7" xfId="20143"/>
    <cellStyle name="好_Creek Assembly Fixture  Test Equipment RFQ_20090427_Xl0000002_Leopard RFQ ME BOM Costs-0618_Bolt RFQ Proposal_Foxlink_ (Pricing Summary) 2 25 2011 5" xfId="20144"/>
    <cellStyle name="Explanatory Text 8" xfId="20145"/>
    <cellStyle name="差_Xl0000002_Leopard UniBom_Foxlink_6 21 2010-ME_nego_Bolt RFQ Proposal_Foxlink_ (Pricing Summary) 2 25 2011 2 2 2" xfId="20146"/>
    <cellStyle name="差_Creak Pearl Reliability Fixture RFQ_2009 04 24_Pearl RFQ(Submittal)ver2_05_12_2009 _Foxlink_Shadow RFQ NREUni BOM_12032009 2" xfId="20147"/>
    <cellStyle name="Ezres_NEWHEA~1" xfId="20148"/>
    <cellStyle name="好_River EE BOM_Creak Pearl Reliability Fixture RFQ_2009 04 24_Bolt RFQ_Foxlink_03.1 2011_nego meeting@MACH 2" xfId="20149"/>
    <cellStyle name="F2" xfId="20150"/>
    <cellStyle name="F4" xfId="20151"/>
    <cellStyle name="F5" xfId="20152"/>
    <cellStyle name="F6" xfId="20153"/>
    <cellStyle name="F7" xfId="20154"/>
    <cellStyle name="好_Creek EE BOM cost_20090425_Creek RFQ feedback 04_28_2009_FD Update_Foxlink_Shadow RFQ NREUni BOM_12032009 2 3" xfId="20155"/>
    <cellStyle name="Financiero" xfId="20156"/>
    <cellStyle name="Fixed" xfId="20157"/>
    <cellStyle name="Fixed 2" xfId="20158"/>
    <cellStyle name="Fixed 3" xfId="20159"/>
    <cellStyle name="差_F3   SMT設備明細_jupite r設備&amp;治工具LIST (總)_Flow Chart&amp;設備治工具清單 _Leopard Flowchart &amp; 產能評估" xfId="20160"/>
    <cellStyle name="差_Creak Pearl Reliability Fixture RFQ_2009 04 24_Creek RFQ feedback 04_28_2009_FD Update_Bolt RFQ_Foxlink_03.1 2011_nego meeting@MACH 5" xfId="20161"/>
    <cellStyle name="Followed Hyperlink" xfId="20162"/>
    <cellStyle name="好_River EE BOM_Xl0000000_Squirrel UniBom-06.23.2010_update_internal_Bolt RFQ_Foxlink_03.1 2011_nego meeting@MACH" xfId="20163"/>
    <cellStyle name="Good" xfId="20164"/>
    <cellStyle name="差_Creak Pearl Reliability Fixture RFQ_2009 04 24_Creek RFQ feedback 04_28_2009_FD Update_Leopard_UniBOM_ME_0602-1_Bolt RFQ Proposal_Foxlink_ (Pricing Summary) 2 25 2011 4" xfId="20165"/>
    <cellStyle name="Good 10" xfId="20166"/>
    <cellStyle name="差_Creak Pearl Reliability Fixture RFQ_2009 04 24_Creek RFQ feedback 04_28_2009_FD Update_Leopard_UniBOM_ME_0602-1_Bolt RFQ Proposal_Foxlink_ (Pricing Summary) 2 25 2011 6" xfId="20167"/>
    <cellStyle name="Good 12" xfId="20168"/>
    <cellStyle name="差_治具工程課2009年KPI_HP 3 3" xfId="20169"/>
    <cellStyle name="好_Creek EE BOM cost_20090425_Creek RFQ feedback 04_28_2009_FD Update_Squirrel RFQ ME BOM Costs-0623" xfId="20170"/>
    <cellStyle name="Good 2 2" xfId="20171"/>
    <cellStyle name="好_Creek EE BOM cost_20090425_Creek RFQ feedback 04_28_2009_FD Update_Squirrel RFQ ME BOM Costs-0623 2" xfId="20172"/>
    <cellStyle name="Good 2 2 2" xfId="20173"/>
    <cellStyle name="差_治具工程課2009年KPI_HP 3 4" xfId="20174"/>
    <cellStyle name="好_River EE BOM_Creak Pearl Reliability Fixture RFQ_2009 04 24_Leopard Lemur Squirrel UniBom-06.22.2010_EE cost _update_internal 3 2" xfId="20175"/>
    <cellStyle name="好_Creek EE BOM cost_20090425_Creek RFQ feedback 04_28_2009_FD Update_Squirrel RFQ ME BOM Costs-0624" xfId="20176"/>
    <cellStyle name="Good 2 3" xfId="20177"/>
    <cellStyle name="Good 3" xfId="20178"/>
    <cellStyle name="好_River EE BOM_Creak Pearl Reliability Fixture RFQ_2009 04 24_Pearl RFQ(Submittal)ver2_05_12_2009 _Leopard_UniBOM_ME_0602 3 2" xfId="20179"/>
    <cellStyle name="Good 3 2" xfId="20180"/>
    <cellStyle name="Good 3 3" xfId="20181"/>
    <cellStyle name="Good 4" xfId="20182"/>
    <cellStyle name="好_River EE BOM_Creak Pearl Reliability Fixture RFQ_2009 04 24_Pearl RFQ(Submittal)ver2_05_12_2009 _Leopard_UniBOM_ME_0602 3 3" xfId="20183"/>
    <cellStyle name="Good 5" xfId="20184"/>
    <cellStyle name="Good 7" xfId="20185"/>
    <cellStyle name="Good 8" xfId="20186"/>
    <cellStyle name="Good 9" xfId="20187"/>
    <cellStyle name="HEADER" xfId="20188"/>
    <cellStyle name="Header2 2" xfId="20189"/>
    <cellStyle name="Header2 2 3" xfId="20190"/>
    <cellStyle name="Heading 1" xfId="20191"/>
    <cellStyle name="差_Creek RFQ feedback 04_28_2009_FD Update_Leopard UniBom_Foxlink_6 21 2010-ME_nego 3 3" xfId="20192"/>
    <cellStyle name="Heading 1 10" xfId="20193"/>
    <cellStyle name="Heading 1 11" xfId="20194"/>
    <cellStyle name="差_jupite r設備&amp;治工具LIST (總)_Dallas效益分析&amp;投資回收期 (12-2 A1)_Flow chart and Fixture(Jackson)_A1_Jackson 效益分析 (2-1 B0 上系統)_Leopard Flowchart &amp; 產能評估" xfId="20195"/>
    <cellStyle name="Heading 1 12" xfId="20196"/>
    <cellStyle name="Heading 1 14" xfId="20197"/>
    <cellStyle name="Heading 1 15" xfId="20198"/>
    <cellStyle name="Heading 1 2" xfId="20199"/>
    <cellStyle name="Heading 1 2 2" xfId="20200"/>
    <cellStyle name="好_Creek Assembly Fixture  Test Equipment RFQ_20090427_Leopard_UniBOM_ME_0531_Bolt RFQ_Foxlink_03.1 2011_Bolt_Cliff 2" xfId="20201"/>
    <cellStyle name="Heading 1 2 3" xfId="20202"/>
    <cellStyle name="Heading 1 3 2" xfId="20203"/>
    <cellStyle name="Heading 1 3_Bristol RFQ response _20101102_internal (4)" xfId="20204"/>
    <cellStyle name="Heading 1 5" xfId="20205"/>
    <cellStyle name="Heading 1 6" xfId="20206"/>
    <cellStyle name="Heading 1 7" xfId="20207"/>
    <cellStyle name="Heading 1 8" xfId="20208"/>
    <cellStyle name="Heading 1 9" xfId="20209"/>
    <cellStyle name="Heading 2" xfId="20210"/>
    <cellStyle name="好_River EE BOM_Bolt RFQ Proposal_Foxlink_ (Pricing Summary) 2 25 2011 2" xfId="20211"/>
    <cellStyle name="Heading 2 11" xfId="20212"/>
    <cellStyle name="差_F3   SMT設備明細_Bolt RFQ Proposal_Foxlink_ (Pricing Summary) 2 25 2011 3 2" xfId="20213"/>
    <cellStyle name="好_River EE BOM_Bolt RFQ Proposal_Foxlink_ (Pricing Summary) 2 25 2011 3" xfId="20214"/>
    <cellStyle name="Heading 2 12" xfId="20215"/>
    <cellStyle name="Heading 2 2" xfId="20216"/>
    <cellStyle name="好_River EE BOM_Creek RFQ feedback 04_28_2009_FD Update_Foxlink_Shadow RFQ NREUni BOM_12032009_Bolt RFQ Proposal_Foxlink_ (Pricing Summary) 2 25 2011" xfId="20217"/>
    <cellStyle name="好_Creek EE BOM cost_20090425_Leopard RFQ ME BOM Costs-0618_Bolt RFQ Proposal_Foxlink_ (Pricing Summary) 2 25 2011 6" xfId="20218"/>
    <cellStyle name="Heading 2 2 3" xfId="20219"/>
    <cellStyle name="Heading 2 2_Bristol RFQ response _20101102_internal (4)" xfId="20220"/>
    <cellStyle name="Heading 2 3 2" xfId="20221"/>
    <cellStyle name="Heading 2 3 3" xfId="20222"/>
    <cellStyle name="Heading 2 3_Bristol RFQ response _20101102_internal (4)" xfId="20223"/>
    <cellStyle name="Heading 2 6" xfId="20224"/>
    <cellStyle name="Heading 2 7" xfId="20225"/>
    <cellStyle name="Heading 2 9" xfId="20226"/>
    <cellStyle name="Heading 3" xfId="20227"/>
    <cellStyle name="好_River EE BOM_Xl0000000_Leopard_UniBOM_ME_0531_Bolt RFQ Proposal_Foxlink_ (Pricing Summary) 2 25 2011 2 2 2" xfId="20228"/>
    <cellStyle name="好_River EE BOM_Creak Pearl Reliability Fixture RFQ_2009 04 24_Pearl RFQ(Submittal)ver2_05_12_2009 _Leopard_UniBOM_ME_0602-1_Bolt RFQ Proposal_Foxlink_ (Pricing Summary) 2 25 2011 3" xfId="20229"/>
    <cellStyle name="Heading 3 12" xfId="20230"/>
    <cellStyle name="Heading 3 2" xfId="20231"/>
    <cellStyle name="好_北五廠新客戶機種SMT線體評估-2011.07.09 Eric" xfId="20232"/>
    <cellStyle name="Heading 3 2 2" xfId="20233"/>
    <cellStyle name="Heading 3 2_Bristol RFQ response _20101102_internal (4)" xfId="20234"/>
    <cellStyle name="Heading 3 3" xfId="20235"/>
    <cellStyle name="Heading 3 3 3" xfId="20236"/>
    <cellStyle name="Normal 3 10" xfId="20237"/>
    <cellStyle name="Heading 3 6" xfId="20238"/>
    <cellStyle name="好_River EE BOM_Creak Pearl Reliability Fixture RFQ_2009 04 24_Creek RFQ feedback 04_28_2009_FD Update_Leopard RFQ ME BOM Costs-0618_Bolt RFQ_Foxlink_03.1 2011 2" xfId="20239"/>
    <cellStyle name="Normal 3 11" xfId="20240"/>
    <cellStyle name="Heading 3 7" xfId="20241"/>
    <cellStyle name="好_River EE BOM_Creak Pearl Reliability Fixture RFQ_2009 04 24_Creek RFQ feedback 04_28_2009_FD Update_Leopard RFQ ME BOM Costs-0618_Bolt RFQ_Foxlink_03.1 2011 4" xfId="20242"/>
    <cellStyle name="Normal 3 13" xfId="20243"/>
    <cellStyle name="Heading 3 9" xfId="20244"/>
    <cellStyle name="Heading 4" xfId="20245"/>
    <cellStyle name="好_River EE BOM_Xl0000000_Leopard_UniBOM_ME_0531_Bolt RFQ Proposal_Foxlink_ (Pricing Summary) 2 25 2011 2 2 3" xfId="20246"/>
    <cellStyle name="差_jupite r設備&amp;治工具LIST (總)_Dallas flow chart&amp;設備&amp;治工具清單(12-8 A0)_效益分析(總 12-28 Update)_Jackson 效益分析 (2-1 B0 上系統)_Leopard效益分析08-17" xfId="20247"/>
    <cellStyle name="Heading 4 12" xfId="20248"/>
    <cellStyle name="Heading 4 13" xfId="20249"/>
    <cellStyle name="Heading 4 14" xfId="20250"/>
    <cellStyle name="Heading 4 15" xfId="20251"/>
    <cellStyle name="Heading 4 2" xfId="20252"/>
    <cellStyle name="Heading 4 2 2" xfId="20253"/>
    <cellStyle name="Heading 4 2 3" xfId="20254"/>
    <cellStyle name="差_Creak Pearl Reliability Fixture RFQ_2009 04 24_Xl0000002_Leopard_UniBOM_ME_0602_Bolt RFQ_Foxlink_03.1 2011_nego meeting@MACH 2 2" xfId="20255"/>
    <cellStyle name="Heading 4 3" xfId="20256"/>
    <cellStyle name="Heading 4 3 2" xfId="20257"/>
    <cellStyle name="Heading 4 8" xfId="20258"/>
    <cellStyle name="Heading 4 9" xfId="20259"/>
    <cellStyle name="Heading1" xfId="20260"/>
    <cellStyle name="Heading2" xfId="20261"/>
    <cellStyle name="HEADINGS" xfId="20262"/>
    <cellStyle name="差_Creak Pearl Reliability Fixture RFQ_2009 04 24_Leopard_UniBOM_ME_0602_Bolt RFQ_Foxlink_03.1 2011 2" xfId="20263"/>
    <cellStyle name="HEADINGSTOP" xfId="20264"/>
    <cellStyle name="差_F3   SMT設備明細_效益分析_Flow Chart(shadow) A3 _~1159284" xfId="20265"/>
    <cellStyle name="HIGHLIGHT" xfId="20266"/>
    <cellStyle name="好_Creek Assembly Fixture  Test Equipment RFQ_20090427_Leopard_UniBOM_ME_0603-2_Bolt_Cliff 4 2" xfId="20267"/>
    <cellStyle name="hours" xfId="20268"/>
    <cellStyle name="好_效益分析&amp;產能評估_M1 SuedeFixtureEquipment Cost_A0_2010_10_15 2 2 2" xfId="20269"/>
    <cellStyle name="HR" xfId="20270"/>
    <cellStyle name="好_Creek Assembly Fixture  Test Equipment RFQ_20090427_Xl0000002_Leopard RFQ ME BOM Costs-0618-2 2 4" xfId="20271"/>
    <cellStyle name="Normal 7 2" xfId="20272"/>
    <cellStyle name="Hyperlink" xfId="20273"/>
    <cellStyle name="Normal 7 2 2" xfId="20274"/>
    <cellStyle name="Hyperlink 2" xfId="20275"/>
    <cellStyle name="Hyperlink 3" xfId="20276"/>
    <cellStyle name="í â› [0.00]_16X" xfId="20277"/>
    <cellStyle name="差_F3   SMT設備明細_Flow Chart&amp;設備治工具清單 _Jackson 效益分析 (2-1 B0 上系統)_Leopard Flowchart &amp; 產能評估" xfId="20278"/>
    <cellStyle name="Input" xfId="20279"/>
    <cellStyle name="差_MB9月管審換線超時8d 5 2 2" xfId="20280"/>
    <cellStyle name="Input [yellow]" xfId="20281"/>
    <cellStyle name="Input [yellow] 2" xfId="20282"/>
    <cellStyle name="差_F3   SMT設備明細_MS Bolt wireless mouse FixtureEquipment Cost_A5_2010_02_21 2" xfId="20283"/>
    <cellStyle name="好_River EE BOM_Creak Pearl Reliability Fixture RFQ_2009 04 24_Creek RFQ feedback 04_28_2009_FD Update_Leopard_UniBOM_ME_0602-1 3" xfId="20284"/>
    <cellStyle name="Input 10" xfId="20285"/>
    <cellStyle name="差_F3   SMT設備明細_MS Bolt wireless mouse FixtureEquipment Cost_A5_2010_02_21 3 2" xfId="20286"/>
    <cellStyle name="好_Jackson NRE Uni BOM_update _05072010 rev K" xfId="20287"/>
    <cellStyle name="Input 11 2" xfId="20288"/>
    <cellStyle name="Input 11 2 2" xfId="20289"/>
    <cellStyle name="Input 11 2 3" xfId="20290"/>
    <cellStyle name="差_F3   SMT設備明細_MS Bolt wireless mouse FixtureEquipment Cost_A5_2010_02_21 4" xfId="20291"/>
    <cellStyle name="Input 12" xfId="20292"/>
    <cellStyle name="Input 12 2" xfId="20293"/>
    <cellStyle name="Input 12 2 2" xfId="20294"/>
    <cellStyle name="Input 12 2 3" xfId="20295"/>
    <cellStyle name="差_F3   SMT設備明細_MS Bolt wireless mouse FixtureEquipment Cost_A5_2010_02_21 5" xfId="20296"/>
    <cellStyle name="Input 13" xfId="20297"/>
    <cellStyle name="Input 13 2" xfId="20298"/>
    <cellStyle name="差_Creak Pearl Reliability Fixture RFQ_2009 04 24_Pearl RFQ(Submittal)ver2_05_12_2009 _Squirrel UniBom_Foxlink_7.27.2010" xfId="20299"/>
    <cellStyle name="Input 14 2" xfId="20300"/>
    <cellStyle name="Input 14 2 2" xfId="20301"/>
    <cellStyle name="Input 14 2 3" xfId="20302"/>
    <cellStyle name="Input 15" xfId="20303"/>
    <cellStyle name="Input 15 2" xfId="20304"/>
    <cellStyle name="Input 16" xfId="20305"/>
    <cellStyle name="Input 17" xfId="20306"/>
    <cellStyle name="壞_Creek Assembly Fixture  Test Equipment RFQ_20090427_Leopard_UniBOM_ME_0603-2_Bolt RFQ_Foxlink_03.1 2011 2 3" xfId="20307"/>
    <cellStyle name="Input 2" xfId="20308"/>
    <cellStyle name="Input 2 2 3" xfId="20309"/>
    <cellStyle name="Input 2 3" xfId="20310"/>
    <cellStyle name="Input 2_Bristol RFQ response _20101102_internal (4)" xfId="20311"/>
    <cellStyle name="差_效益分析&amp;產能評估_M1 SuedeFixtureEquipment Cost_A0_2010_10_15_Bolt RFQ Proposal_Foxlink_ (Pricing Summary) 2 25 2011 6" xfId="20312"/>
    <cellStyle name="Input 3 2" xfId="20313"/>
    <cellStyle name="差_Erie mouse 效益分析( 11-19 A1)_Jackson 效益分析 (1-18 A7)" xfId="20314"/>
    <cellStyle name="Input 3 2 2" xfId="20315"/>
    <cellStyle name="Input 3 2 3" xfId="20316"/>
    <cellStyle name="差_效益分析&amp;產能評估_M1 SuedeFixtureEquipment Cost_A0_2010_10_15_Bolt RFQ Proposal_Foxlink_ (Pricing Summary) 2 25 2011 7" xfId="20317"/>
    <cellStyle name="Input 3 3" xfId="20318"/>
    <cellStyle name="差_HP Mouse 產能評估(Forecast更改後)_Erie 效益分析 (Update)_效益分析(總 12-28 Update)_~1159284" xfId="20319"/>
    <cellStyle name="Input 3_Bristol RFQ response _20101102_internal (4)" xfId="20320"/>
    <cellStyle name="差_dallas產能評估_Flow Chart(shadow) A3 " xfId="20321"/>
    <cellStyle name="Input 4 2" xfId="20322"/>
    <cellStyle name="Input 4 2 2" xfId="20323"/>
    <cellStyle name="Input 4 2 3" xfId="20324"/>
    <cellStyle name="好_River EE BOM_Creak Pearl Reliability Fixture RFQ_2009 04 24_Xl0000002_Foxlink_Shadow RFQ NREUni BOM_12032009_Bolt RFQ Proposal_Foxlink_ (Pricing Summary) 2 25 2011 5 3" xfId="20325"/>
    <cellStyle name="Input 5 2 2" xfId="20326"/>
    <cellStyle name="Input 5 2 3" xfId="20327"/>
    <cellStyle name="Input 6 2 2" xfId="20328"/>
    <cellStyle name="Input 6 2 3" xfId="20329"/>
    <cellStyle name="好_River EE BOM_Creak Pearl Reliability Fixture RFQ_2009 04 24_Xl0000002_Foxlink_Shadow RFQ NREUni BOM_12032009 3 3" xfId="20330"/>
    <cellStyle name="Input 7 2" xfId="20331"/>
    <cellStyle name="差_HP Mouse 產能評估(Forecast更改後)_M1 SuedeFixtureEquipment Cost_A0_2010_10_15_Bolt RFQ_Foxlink_03.1 2011_nego meeting@MACH" xfId="20332"/>
    <cellStyle name="Input 7 2 2" xfId="20333"/>
    <cellStyle name="好_Erie Assembly Fixture  Test Equip Cost_20090716_Foxlink_Shadow RFQ NREUni BOM_12032009_Bolt RFQ_Foxlink_03.1 2011" xfId="20334"/>
    <cellStyle name="壞_Creek EE BOM cost_20090425_Creek RFQ feedback 04_28_2009_FD Update_Leopard_UniBOM_ME_0602_Bolt RFQ Proposal_Foxlink_ (Pricing Summary) 2 25 2011 6 2" xfId="20335"/>
    <cellStyle name="Input 7 2 3" xfId="20336"/>
    <cellStyle name="Input 8" xfId="20337"/>
    <cellStyle name="Input 8 2 3" xfId="20338"/>
    <cellStyle name="差_Creek RFQ feedback 04_28_2009_FD Update_Leopard RFQ ME BOM Costs-0618_Bolt RFQ_Foxlink_03.1 2011 3 3" xfId="20339"/>
    <cellStyle name="Input 9 2" xfId="20340"/>
    <cellStyle name="Input Cells" xfId="20341"/>
    <cellStyle name="Input Cells 2" xfId="20342"/>
    <cellStyle name="Input Cells 2 2" xfId="20343"/>
    <cellStyle name="Input Cells 3" xfId="20344"/>
    <cellStyle name="italic" xfId="20345"/>
    <cellStyle name="ïWèÄ_16X" xfId="20346"/>
    <cellStyle name="KEY" xfId="20347"/>
    <cellStyle name="Languages" xfId="20348"/>
    <cellStyle name="Link Currency (0)" xfId="20349"/>
    <cellStyle name="Link Currency (0) 2" xfId="20350"/>
    <cellStyle name="Link Currency (0) 3" xfId="20351"/>
    <cellStyle name="Link Currency (0) 4" xfId="20352"/>
    <cellStyle name="好_River EE BOM_Creak Pearl Reliability Fixture RFQ_2009 04 24_Creek  Pearl RFQ_May 12_Leopard_UniBOM_ME_0602-1_Bolt RFQ Proposal_Foxlink_ (Pricing Summary) 2 25 2011 5 2" xfId="20353"/>
    <cellStyle name="Link Currency (2)" xfId="20354"/>
    <cellStyle name="Link Currency (2) 3" xfId="20355"/>
    <cellStyle name="差_Creak Pearl Reliability Fixture RFQ_2009 04 24_Pearl RFQ(Submittal)ver2_05_12_2009 _Leopard_UniBOM_ME_0603-2_Bolt RFQ_Foxlink_03.1 2011_nego meeting@MACH" xfId="20356"/>
    <cellStyle name="Link Currency (2) 4" xfId="20357"/>
    <cellStyle name="好_River EE BOM_Foxlink_Shadow RFQ NREUni BOM_12032009 2 2 3" xfId="20358"/>
    <cellStyle name="差_F3   SMT設備明細_M1 SuedeFixtureEquipment Cost_A0_2010_10_15 3 3" xfId="20359"/>
    <cellStyle name="好_River EE BOM_Xl0000000_Bolt RFQ Proposal_Foxlink_ (Pricing Summary) 2 25 2011 5" xfId="20360"/>
    <cellStyle name="Link Units (0)" xfId="20361"/>
    <cellStyle name="好_River EE BOM_Xl0000000_Bolt RFQ Proposal_Foxlink_ (Pricing Summary) 2 25 2011 5 2" xfId="20362"/>
    <cellStyle name="隨後的超連結" xfId="20363"/>
    <cellStyle name="Normal 5 3 7" xfId="20364"/>
    <cellStyle name="Link Units (0) 2" xfId="20365"/>
    <cellStyle name="Normal 5 3 8" xfId="20366"/>
    <cellStyle name="差_Xl0000002_Leopard RFQ ME BOM Costs-0618-2_Bolt RFQ_Foxlink_03.1 2011_nego meeting@MACH 2" xfId="20367"/>
    <cellStyle name="好_River EE BOM_Xl0000000_Bolt RFQ Proposal_Foxlink_ (Pricing Summary) 2 25 2011 5 3" xfId="20368"/>
    <cellStyle name="Link Units (0) 3" xfId="20369"/>
    <cellStyle name="Link Units (1)" xfId="20370"/>
    <cellStyle name="Link Units (1) 2 2" xfId="20371"/>
    <cellStyle name="Link Units (1) 3" xfId="20372"/>
    <cellStyle name="Link Units (2)" xfId="20373"/>
    <cellStyle name="Link Units (2) 3" xfId="20374"/>
    <cellStyle name="Link Units (2) 4" xfId="20375"/>
    <cellStyle name="差_Creak Pearl Reliability Fixture RFQ_2009 04 24_Creek  Pearl RFQ_May 12_Leopard_UniBOM_ME_0603-2_Bolt RFQ Proposal_Foxlink_ (Pricing Summary) 2 25 2011 3" xfId="20376"/>
    <cellStyle name="Linked Cell 10" xfId="20377"/>
    <cellStyle name="差_Creak Pearl Reliability Fixture RFQ_2009 04 24_Creek  Pearl RFQ_May 12_Leopard_UniBOM_ME_0603-2_Bolt RFQ Proposal_Foxlink_ (Pricing Summary) 2 25 2011 4" xfId="20378"/>
    <cellStyle name="Linked Cell 11" xfId="20379"/>
    <cellStyle name="差_Creak Pearl Reliability Fixture RFQ_2009 04 24_Creek  Pearl RFQ_May 12_Leopard_UniBOM_ME_0603-2_Bolt RFQ Proposal_Foxlink_ (Pricing Summary) 2 25 2011 5" xfId="20380"/>
    <cellStyle name="Linked Cell 12" xfId="20381"/>
    <cellStyle name="差_Creak Pearl Reliability Fixture RFQ_2009 04 24_Creek  Pearl RFQ_May 12_Leopard_UniBOM_ME_0603-2_Bolt RFQ Proposal_Foxlink_ (Pricing Summary) 2 25 2011 6" xfId="20382"/>
    <cellStyle name="Linked Cell 13" xfId="20383"/>
    <cellStyle name="Linked Cell 15" xfId="20384"/>
    <cellStyle name="差_Xl0000000_Leopard_UniBOM_ME_0602-1_Bolt RFQ Proposal_Foxlink_ (Pricing Summary) 2 25 2011 2 2 3" xfId="20385"/>
    <cellStyle name="Linked Cell 2 2" xfId="20386"/>
    <cellStyle name="好_Creek Assembly Fixture  Test Equipment RFQ_20090427_Leopard_UniBOM_ME_0531_Bolt RFQ_Foxlink_03.1 2011_Bolt_Cliff 2 4" xfId="20387"/>
    <cellStyle name="Linked Cell 2_Bristol RFQ response _20101102_internal (4)" xfId="20388"/>
    <cellStyle name="好_River EE BOM_Creak Pearl Reliability Fixture RFQ_2009 04 24_Xl0000002 2" xfId="20389"/>
    <cellStyle name="Linked Cell 3" xfId="20390"/>
    <cellStyle name="差_dallas產能評估_Dallas flow chart&amp;設備&amp;治工具清單(12-8 A0)_Flow chart and Fixture(1-4)_Jackson 效益分析 (2-1 B0 上系統)_squirrel效益分析08-17" xfId="20391"/>
    <cellStyle name="好_River EE BOM_Creak Pearl Reliability Fixture RFQ_2009 04 24_Xl0000002 2 2" xfId="20392"/>
    <cellStyle name="Linked Cell 3 2" xfId="20393"/>
    <cellStyle name="差_Creak Pearl Reliability Fixture RFQ_2009 04 24_Creek  Pearl RFQ_May 12_Leopard RFQ ME BOM Costs-0618-2_Bolt RFQ Proposal_Foxlink_ (Pricing Summary) 2 25 2011 5 2" xfId="20394"/>
    <cellStyle name="Linked Cell 3_Bristol RFQ response _20101102_internal (4)" xfId="20395"/>
    <cellStyle name="Linked Cell 7" xfId="20396"/>
    <cellStyle name="Linked Cell 9" xfId="20397"/>
    <cellStyle name="Normal 49 4" xfId="20398"/>
    <cellStyle name="Normal 54 4" xfId="20399"/>
    <cellStyle name="Linked Cells" xfId="20400"/>
    <cellStyle name="好_River EE BOM_Foxlink_Shadow RFQ NREUni BOM_12032009_Bolt RFQ Proposal_Foxlink_ (Pricing Summary) 2 25 2011 3" xfId="20401"/>
    <cellStyle name="Normal 49 4 2" xfId="20402"/>
    <cellStyle name="Normal 54 4 2" xfId="20403"/>
    <cellStyle name="好_River EE BOM_Creak Pearl Reliability Fixture RFQ_2009 04 24_Leopard RFQ ME BOM Costs-0618_Bolt RFQ Proposal_Foxlink_ (Pricing Summary) 2 25 2011" xfId="20404"/>
    <cellStyle name="Linked Cells 2" xfId="20405"/>
    <cellStyle name="好_River EE BOM_Creak Pearl Reliability Fixture RFQ_2009 04 24_Leopard RFQ ME BOM Costs-0618_Bolt RFQ Proposal_Foxlink_ (Pricing Summary) 2 25 2011 2" xfId="20406"/>
    <cellStyle name="差_Xl0000000_Leopard RFQ ME BOM Costs-0618_Bolt RFQ Proposal_Foxlink_ (Pricing Summary) 2 25 2011" xfId="20407"/>
    <cellStyle name="好_River EE BOM_Foxlink_Shadow RFQ NREUni BOM_12032009_Bolt RFQ Proposal_Foxlink_ (Pricing Summary) 2 25 2011 3 2" xfId="20408"/>
    <cellStyle name="Linked Cells 2 2" xfId="20409"/>
    <cellStyle name="好_River EE BOM_Foxlink_Shadow RFQ NREUni BOM_12032009_Bolt RFQ Proposal_Foxlink_ (Pricing Summary) 2 25 2011 4" xfId="20410"/>
    <cellStyle name="Normal 49 4 3" xfId="20411"/>
    <cellStyle name="Normal 54 4 3" xfId="20412"/>
    <cellStyle name="Linked Cells 3" xfId="20413"/>
    <cellStyle name="Mike Jacobs" xfId="20414"/>
    <cellStyle name="Millares [0]_!!!GO" xfId="20415"/>
    <cellStyle name="Millares_!!!GO" xfId="20416"/>
    <cellStyle name="壞_Creek EE BOM cost_20090425_Leopard RFQ ME BOM Costs-0618-2_Bolt RFQ_Foxlink_03.1 2011_nego meeting@MACH 2 2" xfId="20417"/>
    <cellStyle name="好_River EE BOM_Creak Pearl Reliability Fixture RFQ_2009 04 24_Xl0000002_Squirrel RFQ ME BOM Costs-0623 3 3" xfId="20418"/>
    <cellStyle name="Milliers [0]_!!!GO" xfId="20419"/>
    <cellStyle name="好_River EE BOM_Creak Pearl Reliability Fixture RFQ_2009 04 24_Creek  Pearl RFQ_May 12_Leopard RFQ ME BOM Costs-0618-2_Bolt RFQ_Foxlink_03.1 2011 5" xfId="20420"/>
    <cellStyle name="好_Creek Assembly Fixture  Test Equipment RFQ_20090427_Bolt RFQ_Foxlink_03.1 2011 4" xfId="20421"/>
    <cellStyle name="Milliers_!!!GO" xfId="20422"/>
    <cellStyle name="差_MB9月管審換線超時8d 5 2 3" xfId="20423"/>
    <cellStyle name="Moeda [0]_CCA Main 800" xfId="20424"/>
    <cellStyle name="Moeda_CCA Main 800" xfId="20425"/>
    <cellStyle name="好_River EE BOM_Xl0000002_Leopard RFQ ME BOM Costs-0618 2 4" xfId="20426"/>
    <cellStyle name="Mon?taire [0]_!!!GO" xfId="20427"/>
    <cellStyle name="Moneda [0]_!!!GO" xfId="20428"/>
    <cellStyle name="差_HP  專案(設備&amp;治工具需夠買)update_Bolt RFQ Proposal_Foxlink_ (Pricing Summary) 2 25 2011 4 3" xfId="20429"/>
    <cellStyle name="好_效益分析&amp;產能評估_MS Bolt wireless mouse FixtureEquipment Cost_A5_2010_02_21_Bolt RFQ_Foxlink_03.1 2011_nego meeting@MACH 3" xfId="20430"/>
    <cellStyle name="Moneda_!!!GO" xfId="20431"/>
    <cellStyle name="Monétaire [0]_!!!GO" xfId="20432"/>
    <cellStyle name="壞_Creek Assembly Fixture  Test Equipment RFQ_20090427_Xl0000002_Leopard_UniBOM_ME_0603-2_Bolt RFQ Proposal_Foxlink_ (Pricing Summary) 2 25 2011 6 2" xfId="20433"/>
    <cellStyle name="好_效益分析&amp;產能評估_Bolt RFQ Proposal_Foxlink_ (Pricing Summary) 2 25 2011 4" xfId="20434"/>
    <cellStyle name="Monetaire_!!!GO" xfId="20435"/>
    <cellStyle name="Monétaire_!!!GO" xfId="20436"/>
    <cellStyle name="好_River EE BOM_Xl0000000_Leopard UniBom_Foxlink_6 21 2010-ME_nego 3 2" xfId="20437"/>
    <cellStyle name="MS Sans Serif 2" xfId="20438"/>
    <cellStyle name="好_River EE BOM_Xl0000000_Leopard UniBom_Foxlink_6 21 2010-ME_nego 3 3" xfId="20439"/>
    <cellStyle name="MS Sans Serif 3" xfId="20440"/>
    <cellStyle name="My Style 2" xfId="20441"/>
    <cellStyle name="Text Indent C 2 2" xfId="20442"/>
    <cellStyle name="My Style 3" xfId="20443"/>
    <cellStyle name="My Style 4" xfId="20444"/>
    <cellStyle name="MyStyle" xfId="20445"/>
    <cellStyle name="差_Creak Pearl Reliability Fixture RFQ_2009 04 24_Creek RFQ feedback 04_28_2009_FD Update_Foxlink_Shadow RFQ NREUni BOM_12032009 2 2" xfId="20446"/>
    <cellStyle name="好_River EE BOM_Creak Pearl Reliability Fixture RFQ_2009 04 24_Creek  Pearl RFQ_May 12_Leopard Lemur Squirrel UniBom-06.22.2010_EE cost _update_internal_Bolt RFQ_Foxlink_03.1 2011_nego meeting@MACH 4" xfId="20447"/>
    <cellStyle name="Needs Work" xfId="20448"/>
    <cellStyle name="Neutral" xfId="20449"/>
    <cellStyle name="Unprot$" xfId="20450"/>
    <cellStyle name="差_Xl0000002_Squirrel UniBom-06.23.2010_update_internal_Bolt RFQ Proposal_Foxlink_ (Pricing Summary) 2 25 2011 2 2 2" xfId="20451"/>
    <cellStyle name="Normal 4 4 3 4" xfId="20452"/>
    <cellStyle name="Neutral 10" xfId="20453"/>
    <cellStyle name="Neutral 12" xfId="20454"/>
    <cellStyle name="好_River EE BOM_Creak Pearl Reliability Fixture RFQ_2009 04 24_Foxlink_Shadow RFQ NREUni BOM_12032009_Bolt RFQ_Foxlink_03.1 2011_nego meeting@MACH 3 3" xfId="20455"/>
    <cellStyle name="Normal 4 4 3 6" xfId="20456"/>
    <cellStyle name="Neutral 14" xfId="20457"/>
    <cellStyle name="差_F3   SMT設備明細_效益分析_squirrel效益分析08-17" xfId="20458"/>
    <cellStyle name="Neutral 2 2 2" xfId="20459"/>
    <cellStyle name="差_Xl0000002_Leopard_UniBOM_ME_0602-1_Bolt RFQ_Foxlink_03.1 2011" xfId="20460"/>
    <cellStyle name="Neutral 2 3" xfId="20461"/>
    <cellStyle name="Neutral 3" xfId="20462"/>
    <cellStyle name="差_HP Mouse 產能評估(上系統)_M1 Bolt wireless mouse FixtureEquipment Cost_A2_2010_12_07_Bolt RFQ Proposal_Foxlink_ (Pricing Summary) 2 25 2011 5" xfId="20463"/>
    <cellStyle name="壞_Creek EE BOM cost_20090425_Creek RFQ feedback 04_28_2009_FD Update_Leopard_UniBOM_ME_0603-2_Bolt RFQ Proposal_Foxlink_ (Pricing Summary) 2 25 2011 2 3" xfId="20464"/>
    <cellStyle name="好_River EE BOM_Xl0000000_Leopard_UniBOM_ME_0531 2 2 2" xfId="20465"/>
    <cellStyle name="Neutral 3 3" xfId="20466"/>
    <cellStyle name="Neutral 4" xfId="20467"/>
    <cellStyle name="Neutral 5" xfId="20468"/>
    <cellStyle name="好_River EE BOM_Xl0000002_Leopard_UniBOM_ME_0602_Bolt RFQ_Foxlink_03.1 2011_nego meeting@MACH 3 2" xfId="20469"/>
    <cellStyle name="Neutral 8" xfId="20470"/>
    <cellStyle name="好_River EE BOM_Xl0000002_Leopard_UniBOM_ME_0602_Bolt RFQ_Foxlink_03.1 2011_nego meeting@MACH 3 3" xfId="20471"/>
    <cellStyle name="Neutral 9" xfId="20472"/>
    <cellStyle name="一般 9" xfId="20473"/>
    <cellStyle name="New Times Roman" xfId="20474"/>
    <cellStyle name="差_Xl0000000_Leopard UniBom_Foxlink_6 21 2010-ME_nego 3 3" xfId="20475"/>
    <cellStyle name="New!" xfId="20476"/>
    <cellStyle name="NewLocalization" xfId="20477"/>
    <cellStyle name="Non défini" xfId="20478"/>
    <cellStyle name="Norm੎੎ 2" xfId="20479"/>
    <cellStyle name="Norm੎੎ 3" xfId="20480"/>
    <cellStyle name="Norm੎੎ 3 2" xfId="20481"/>
    <cellStyle name="差_MB9月管審換線超時8d_HP 3 2 3" xfId="20482"/>
    <cellStyle name="Norm??" xfId="20483"/>
    <cellStyle name="Norm੎੎_1044-1103 Manpower---BU5" xfId="20484"/>
    <cellStyle name="Normal - Style1" xfId="20485"/>
    <cellStyle name="Normal - Style1 2 2" xfId="20486"/>
    <cellStyle name="Normal - Style1 3" xfId="20487"/>
    <cellStyle name="好_Creek Assembly Fixture  Test Equipment RFQ_20090427_Xl0000002_Leopard RFQ ME BOM Costs-0618_Bolt RFQ_Foxlink_03.1 2011_nego meeting@MACH 2" xfId="20488"/>
    <cellStyle name="好_Creek Assembly Fixture  Test Equipment RFQ_20090427_Xl0000002_Foxlink_Shadow RFQ NREUni BOM_12032009" xfId="20489"/>
    <cellStyle name="Normal - Style2" xfId="20490"/>
    <cellStyle name="好_Creek Assembly Fixture  Test Equipment RFQ_20090427_Xl0000002_Leopard RFQ ME BOM Costs-0618_Bolt RFQ_Foxlink_03.1 2011_nego meeting@MACH 5" xfId="20491"/>
    <cellStyle name="Normal - Style5" xfId="20492"/>
    <cellStyle name="Normal 10" xfId="20493"/>
    <cellStyle name="Normal 10 2 2" xfId="20494"/>
    <cellStyle name="Normal 10 2 2 2" xfId="20495"/>
    <cellStyle name="差_F3   SMT設備明細_jupite r設備&amp;治工具LIST (總)_Jackson 效益分析 (2-1 B0 上系統)" xfId="20496"/>
    <cellStyle name="Normal 10 2 2 2 2" xfId="20497"/>
    <cellStyle name="好_River EE BOM_Xl0000002_Leopard_UniBOM_ME_0603-2_Bolt RFQ_Foxlink_03.1 2011_nego meeting@MACH 3 2" xfId="20498"/>
    <cellStyle name="Note 5 2 2" xfId="20499"/>
    <cellStyle name="Normal 10 2 2 2 3" xfId="20500"/>
    <cellStyle name="Normal 10 2 2 3" xfId="20501"/>
    <cellStyle name="Normal 10 3" xfId="20502"/>
    <cellStyle name="差_HP Mouse 產能評估(上系統)_M1 Lemur Capacity planFixtureEquipment Cost_A2_06192010_Squirrel UniBom_Foxlink_6 28 2010" xfId="20503"/>
    <cellStyle name="好_River EE BOM_Creek RFQ feedback 04_28_2009_FD Update_Leopard UniBom_Foxlink_6 21 2010-ME_nego_Bolt RFQ_Foxlink_03.1 2011 2" xfId="20504"/>
    <cellStyle name="Normal 10 3 3" xfId="20505"/>
    <cellStyle name="Normal 10 4" xfId="20506"/>
    <cellStyle name="Normal 10 5" xfId="20507"/>
    <cellStyle name="好_Creek Assembly Fixture  Test Equipment RFQ_20090427_Leopard_UniBOM_ME_0602_Bolt RFQ_Foxlink_03.1 2011_nego meeting@MACH_Bolt_Cliff 2 2 2" xfId="20508"/>
    <cellStyle name="Normal 11" xfId="20509"/>
    <cellStyle name="Normal 11 2" xfId="20510"/>
    <cellStyle name="Normal 11 2 2" xfId="20511"/>
    <cellStyle name="差_Creak Pearl Reliability Fixture RFQ_2009 04 24_Creek RFQ feedback 04_28_2009_FD Update_Leopard_UniBOM_ME_0603-2" xfId="20512"/>
    <cellStyle name="Normal 11 2 2 3" xfId="20513"/>
    <cellStyle name="Normal 11 2 2 4" xfId="20514"/>
    <cellStyle name="Normal 11 3 3" xfId="20515"/>
    <cellStyle name="Normal 11 4" xfId="20516"/>
    <cellStyle name="Normal 11 5" xfId="20517"/>
    <cellStyle name="好_Creek Assembly Fixture  Test Equipment RFQ_20090427_Leopard_UniBOM_ME_0602_Bolt RFQ_Foxlink_03.1 2011_nego meeting@MACH_Bolt_Cliff 2 2 3" xfId="20518"/>
    <cellStyle name="Normal 12" xfId="20519"/>
    <cellStyle name="Normal 12 10" xfId="20520"/>
    <cellStyle name="Normal 12 11" xfId="20521"/>
    <cellStyle name="Normal 12 12" xfId="20522"/>
    <cellStyle name="Normal 12 13" xfId="20523"/>
    <cellStyle name="差_F3   SMT設備明細_效益分析_Flow Chart(shadow)-b (1-4 Update)_~1159284" xfId="20524"/>
    <cellStyle name="Normal 12 14" xfId="20525"/>
    <cellStyle name="Normal 12 4" xfId="20526"/>
    <cellStyle name="Normal 12 5" xfId="20527"/>
    <cellStyle name="Normal 12 6" xfId="20528"/>
    <cellStyle name="差_F3   SMT設備明細_jupite r設備&amp;治工具LIST (總)_Flow Chart&amp;設備治工具清單 _Jackson 效益分析 (2-1 B0 上系統)_Leopard Flowchart &amp; 產能評估" xfId="20529"/>
    <cellStyle name="警告文本 2 3 3" xfId="20530"/>
    <cellStyle name="好_River EE BOM_Creak Pearl Reliability Fixture RFQ_2009 04 24_Creek RFQ feedback 04_28_2009_FD Update_Leopard RFQ ME BOM Costs-0618-2" xfId="20531"/>
    <cellStyle name="Normal 12 7" xfId="20532"/>
    <cellStyle name="Normal 12 8" xfId="20533"/>
    <cellStyle name="好_Creek Assembly Fixture  Test Equipment RFQ_20090427_Leopard_UniBOM_ME_0603-2_Bolt RFQ_Foxlink_03.1 2011_nego meeting@MACH 5" xfId="20534"/>
    <cellStyle name="Normal 13 2" xfId="20535"/>
    <cellStyle name="好_MB9月管審誤判超標 8D 2 2 2 3" xfId="20536"/>
    <cellStyle name="Normal 13 2 2" xfId="20537"/>
    <cellStyle name="好_Creek EE BOM cost_20090425_Creek RFQ feedback 04_28_2009_FD Update_Bristol UniBom_Foxlink_02082011 RevA" xfId="20538"/>
    <cellStyle name="Normal 13 2 2 2" xfId="20539"/>
    <cellStyle name="Normal 13 2 2 2 2" xfId="20540"/>
    <cellStyle name="Normal 13 2 2 2 3" xfId="20541"/>
    <cellStyle name="Normal 13 2 2 3" xfId="20542"/>
    <cellStyle name="Normal 13 2 2 4" xfId="20543"/>
    <cellStyle name="Normal 13 3" xfId="20544"/>
    <cellStyle name="差_HP Mouse 產能評估(Forecast更改後)_Erie 效益分析 (Update)_效益分析(總 12-28 Update)_Leopard Flowchart &amp; 產能評估" xfId="20545"/>
    <cellStyle name="Normal 13 3 3" xfId="20546"/>
    <cellStyle name="好_Creek Assembly Fixture  Test Equipment RFQ_20090427_Xl0000002_Bolt RFQ_Foxlink_03.1 2011 2 2" xfId="20547"/>
    <cellStyle name="Normal 14" xfId="20548"/>
    <cellStyle name="Normal 14 2 2" xfId="20549"/>
    <cellStyle name="Normal 14 2 2 2 2" xfId="20550"/>
    <cellStyle name="Normal 14 2 2 4" xfId="20551"/>
    <cellStyle name="好_River EE BOM_Xl0000002_Squirrel UniBom_Foxlink_6 28 2010" xfId="20552"/>
    <cellStyle name="Normal 14 3" xfId="20553"/>
    <cellStyle name="Normal 14 3 2" xfId="20554"/>
    <cellStyle name="Normal 14 4" xfId="20555"/>
    <cellStyle name="好_River EE BOM_Creak Pearl Reliability Fixture RFQ_2009 04 24_Creek RFQ feedback 04_28_2009_FD Update_Squirrel RFQ ME BOM Costs-0623_Bolt RFQ_Foxlink_03.1 2011_nego meeting@MACH 3 2" xfId="20556"/>
    <cellStyle name="Normal 14 5" xfId="20557"/>
    <cellStyle name="好_Creek Assembly Fixture  Test Equipment RFQ_20090427_Xl0000002_Bolt RFQ_Foxlink_03.1 2011 2 3" xfId="20558"/>
    <cellStyle name="Normal 15" xfId="20559"/>
    <cellStyle name="Normal 20" xfId="20560"/>
    <cellStyle name="差_F3   SMT設備明細_jupite r設備&amp;治工具LIST (總)_~8644671_Jackson 效益分析 (2-1 B0 上系統)_Leopard Flowchart &amp; 產能評估" xfId="20561"/>
    <cellStyle name="Normal 15 2" xfId="20562"/>
    <cellStyle name="Normal 20 2" xfId="20563"/>
    <cellStyle name="Normal 15 3" xfId="20564"/>
    <cellStyle name="Normal 20 3" xfId="20565"/>
    <cellStyle name="Normal 15 4" xfId="20566"/>
    <cellStyle name="Normal 20 4" xfId="20567"/>
    <cellStyle name="Normal 15 5" xfId="20568"/>
    <cellStyle name="Normal 20 5" xfId="20569"/>
    <cellStyle name="Normal 15 6" xfId="20570"/>
    <cellStyle name="Normal 20 6" xfId="20571"/>
    <cellStyle name="Normal 15 7" xfId="20572"/>
    <cellStyle name="Normal 15 8" xfId="20573"/>
    <cellStyle name="Normal 15 9" xfId="20574"/>
    <cellStyle name="Normal 16" xfId="20575"/>
    <cellStyle name="Normal 21" xfId="20576"/>
    <cellStyle name="Normal 16 2 2" xfId="20577"/>
    <cellStyle name="Normal 21 2 2" xfId="20578"/>
    <cellStyle name="Normal 16 2 2 2" xfId="20579"/>
    <cellStyle name="Normal 21 2 2 2" xfId="20580"/>
    <cellStyle name="Normal 16 2 2 2 3" xfId="20581"/>
    <cellStyle name="Normal 21 2 2 2 3" xfId="20582"/>
    <cellStyle name="Normal 16 3" xfId="20583"/>
    <cellStyle name="Normal 21 3" xfId="20584"/>
    <cellStyle name="差_jupite r設備&amp;治工具LIST (總)_Dallas flow chart&amp;設備&amp;治工具清單(12-8 A0)_效益分析(總 12-28 Update)" xfId="20585"/>
    <cellStyle name="差_Flow Chart&amp;PQ分析(12-1)_Jackson 效益分析 testing update_16th Jan111" xfId="20586"/>
    <cellStyle name="Normal 16 3 2" xfId="20587"/>
    <cellStyle name="Normal 21 3 2" xfId="20588"/>
    <cellStyle name="Normal 16 3 3" xfId="20589"/>
    <cellStyle name="Normal 16 5" xfId="20590"/>
    <cellStyle name="Normal 21 5" xfId="20591"/>
    <cellStyle name="Normal 17" xfId="20592"/>
    <cellStyle name="Normal 22" xfId="20593"/>
    <cellStyle name="好_River EE BOM_Creak Pearl Reliability Fixture RFQ_2009 04 24_Foxlink_Shadow RFQ NREUni BOM_12032009_Bolt RFQ Proposal_Foxlink_ (Pricing Summary) 2 25 2011 7" xfId="20594"/>
    <cellStyle name="Normal 17 2 2 2" xfId="20595"/>
    <cellStyle name="Normal 22 2 2 2" xfId="20596"/>
    <cellStyle name="Normal 17 2 2 2 2" xfId="20597"/>
    <cellStyle name="Normal 22 2 2 2 2" xfId="20598"/>
    <cellStyle name="Normal 17 2 2 2 3" xfId="20599"/>
    <cellStyle name="Normal 22 2 2 2 3" xfId="20600"/>
    <cellStyle name="Normal 17 2 2 3" xfId="20601"/>
    <cellStyle name="Normal 22 2 2 3" xfId="20602"/>
    <cellStyle name="Normal 17 2 2 4" xfId="20603"/>
    <cellStyle name="Normal 22 2 2 4" xfId="20604"/>
    <cellStyle name="Normal 17 2 3" xfId="20605"/>
    <cellStyle name="Normal 17 2 4" xfId="20606"/>
    <cellStyle name="Normal 17 3" xfId="20607"/>
    <cellStyle name="Normal 22 3" xfId="20608"/>
    <cellStyle name="Normal 17 3 2" xfId="20609"/>
    <cellStyle name="Normal 22 3 2" xfId="20610"/>
    <cellStyle name="差_dallas產能評估_Jackson 效益分析 testing update_16th Jan1_Jackson 效益分析 (2-1 B0 上系統)_Leopard效益分析08-17" xfId="20611"/>
    <cellStyle name="Normal 17 3 3" xfId="20612"/>
    <cellStyle name="Normal 17 4" xfId="20613"/>
    <cellStyle name="Normal 22 4" xfId="20614"/>
    <cellStyle name="Normal 17 5" xfId="20615"/>
    <cellStyle name="Normal 22 5" xfId="20616"/>
    <cellStyle name="好_River EE BOM_Creak Pearl Reliability Fixture RFQ_2009 04 24_Creek  Pearl RFQ_May 12_Leopard_UniBOM_ME_0531_Bolt RFQ_Foxlink_03.1 2011" xfId="20617"/>
    <cellStyle name="Normal 18" xfId="20618"/>
    <cellStyle name="Normal 23" xfId="20619"/>
    <cellStyle name="好_River EE BOM_Creak Pearl Reliability Fixture RFQ_2009 04 24_Creek  Pearl RFQ_May 12_Leopard_UniBOM_ME_0531_Bolt RFQ_Foxlink_03.1 2011 2" xfId="20620"/>
    <cellStyle name="Normal 18 2" xfId="20621"/>
    <cellStyle name="Normal 23 2" xfId="20622"/>
    <cellStyle name="好_River EE BOM_Creak Pearl Reliability Fixture RFQ_2009 04 24_Creek  Pearl RFQ_May 12_Leopard_UniBOM_ME_0531_Bolt RFQ_Foxlink_03.1 2011 2 2" xfId="20623"/>
    <cellStyle name="Normal 18 2 2" xfId="20624"/>
    <cellStyle name="Normal 23 2 2" xfId="20625"/>
    <cellStyle name="Normal 18 2 2 2 2" xfId="20626"/>
    <cellStyle name="Normal 23 2 2 2 2" xfId="20627"/>
    <cellStyle name="Normal 18 2 2 2 3" xfId="20628"/>
    <cellStyle name="Normal 23 2 2 2 3" xfId="20629"/>
    <cellStyle name="好_River EE BOM_Creak Pearl Reliability Fixture RFQ_2009 04 24_Creek  Pearl RFQ_May 12_Leopard_UniBOM_ME_0531_Bolt RFQ_Foxlink_03.1 2011 3" xfId="20630"/>
    <cellStyle name="Normal 18 3" xfId="20631"/>
    <cellStyle name="Normal 23 3" xfId="20632"/>
    <cellStyle name="Normal 18 3 2 2" xfId="20633"/>
    <cellStyle name="Normal 23 3 2 2" xfId="20634"/>
    <cellStyle name="好_River EE BOM_Creak Pearl Reliability Fixture RFQ_2009 04 24_Pearl RFQ(Submittal)ver2_05_12_2009 _Squirrel UniBom-06.23.2010_update_internal_Bolt RFQ_Foxlink_03.1 2011 4" xfId="20635"/>
    <cellStyle name="Normal 18 4 3" xfId="20636"/>
    <cellStyle name="Normal 23 4 3" xfId="20637"/>
    <cellStyle name="好_River EE BOM_Creak Pearl Reliability Fixture RFQ_2009 04 24_Creek  Pearl RFQ_May 12_Leopard_UniBOM_ME_0531_Bolt RFQ_Foxlink_03.1 2011 5" xfId="20638"/>
    <cellStyle name="Normal 18 5" xfId="20639"/>
    <cellStyle name="Normal 23 5" xfId="20640"/>
    <cellStyle name="Normal 18 6" xfId="20641"/>
    <cellStyle name="Normal 23 6" xfId="20642"/>
    <cellStyle name="差_Jackson 效益分析 testing update_16th Jan1_Jackson 效益分析 (2-1 B0 上系統)_Leopard效益分析08-17" xfId="20643"/>
    <cellStyle name="Normal 19" xfId="20644"/>
    <cellStyle name="Normal 24" xfId="20645"/>
    <cellStyle name="差_Creek RFQ feedback 04_28_2009_FD Update_Foxlink_Shadow RFQ NREUni BOM_12032009_Bolt RFQ_Foxlink_03.1 2011_nego meeting@MACH 4" xfId="20646"/>
    <cellStyle name="好_River EE BOM_Creak Pearl Reliability Fixture RFQ_2009 04 24_Creek  Pearl RFQ_May 12_Leopard_UniBOM_ME_0531_Bolt RFQ_Foxlink_03.1 2011_nego meeting@MACH 5" xfId="20647"/>
    <cellStyle name="Normal 19 2" xfId="20648"/>
    <cellStyle name="Normal 24 2" xfId="20649"/>
    <cellStyle name="好_Creek Assembly Fixture  Test Equipment RFQ_20090427_Xl0000002_Leopard_UniBOM_ME_0531_Bolt RFQ_Foxlink_03.1 2011_nego meeting@MACH 2 3" xfId="20650"/>
    <cellStyle name="Normal 19 2 2" xfId="20651"/>
    <cellStyle name="Normal 24 2 2" xfId="20652"/>
    <cellStyle name="好_River EE BOM_Creak Pearl Reliability Fixture RFQ_2009 04 24_Xl0000002_Leopard Lemur Squirrel UniBom-06.22.2010_EE cost _update_internal 3 2" xfId="20653"/>
    <cellStyle name="Normal 19 2 2 2 2" xfId="20654"/>
    <cellStyle name="Normal 24 2 2 2 2" xfId="20655"/>
    <cellStyle name="差_Creak Pearl Reliability Fixture RFQ_2009 04 24_Pearl RFQ(Submittal)ver2_05_12_2009 _Leopard_UniBOM_ME_0531 2 2" xfId="20656"/>
    <cellStyle name="Normal 19 2 2 3" xfId="20657"/>
    <cellStyle name="Normal 24 2 2 3" xfId="20658"/>
    <cellStyle name="差_Creak Pearl Reliability Fixture RFQ_2009 04 24_Pearl RFQ(Submittal)ver2_05_12_2009 _Leopard_UniBOM_ME_0531 2 3" xfId="20659"/>
    <cellStyle name="Normal 19 2 2 4" xfId="20660"/>
    <cellStyle name="Normal 24 2 2 4" xfId="20661"/>
    <cellStyle name="差_Creek RFQ feedback 04_28_2009_FD Update_Foxlink_Shadow RFQ NREUni BOM_12032009_Bolt RFQ_Foxlink_03.1 2011_nego meeting@MACH 5" xfId="20662"/>
    <cellStyle name="好_River EE BOM_Creak Pearl Reliability Fixture RFQ_2009 04 24_Creek  Pearl RFQ_May 12 2 2" xfId="20663"/>
    <cellStyle name="Normal 19 3" xfId="20664"/>
    <cellStyle name="Normal 24 3" xfId="20665"/>
    <cellStyle name="好_River EE BOM_Creak Pearl Reliability Fixture RFQ_2009 04 24_Creek  Pearl RFQ_May 12 2 2 2" xfId="20666"/>
    <cellStyle name="Normal 19 3 2" xfId="20667"/>
    <cellStyle name="Normal 24 3 2" xfId="20668"/>
    <cellStyle name="Normal 19 3 2 2" xfId="20669"/>
    <cellStyle name="Normal 24 3 2 2" xfId="20670"/>
    <cellStyle name="好_River EE BOM_Creak Pearl Reliability Fixture RFQ_2009 04 24_Creek  Pearl RFQ_May 12 2 3" xfId="20671"/>
    <cellStyle name="Normal 19 4" xfId="20672"/>
    <cellStyle name="Normal 24 4" xfId="20673"/>
    <cellStyle name="Normal 19 4 2" xfId="20674"/>
    <cellStyle name="Normal 24 4 2" xfId="20675"/>
    <cellStyle name="Normal 19 4 3" xfId="20676"/>
    <cellStyle name="Normal 24 4 3" xfId="20677"/>
    <cellStyle name="Normal 2" xfId="20678"/>
    <cellStyle name="差_Creak Pearl Reliability Fixture RFQ_2009 04 24_Creek RFQ feedback 04_28_2009_FD Update_Leopard_UniBOM_ME_0602_Bolt RFQ Proposal_Foxlink_ (Pricing Summary) 2 25 2011 5 2" xfId="20679"/>
    <cellStyle name="Normal 2 2 2" xfId="20680"/>
    <cellStyle name="差_Creak Pearl Reliability Fixture RFQ_2009 04 24_Creek RFQ feedback 04_28_2009_FD Update_Leopard_UniBOM_ME_0602_Bolt RFQ Proposal_Foxlink_ (Pricing Summary) 2 25 2011 6" xfId="20681"/>
    <cellStyle name="好_River EE BOM_Xl0000002_Leopard RFQ ME BOM Costs-0618 2" xfId="20682"/>
    <cellStyle name="Normal 2 3" xfId="20683"/>
    <cellStyle name="好_River EE BOM_Xl0000002_Leopard RFQ ME BOM Costs-0618 2 2" xfId="20684"/>
    <cellStyle name="差_dallas產能評估_flow chart 2009.12.12_~5631336" xfId="20685"/>
    <cellStyle name="Normal 2 3 2" xfId="20686"/>
    <cellStyle name="差_Creak Pearl Reliability Fixture RFQ_2009 04 24_Creek RFQ feedback 04_28_2009_FD Update_Leopard_UniBOM_ME_0602_Bolt RFQ Proposal_Foxlink_ (Pricing Summary) 2 25 2011 7" xfId="20687"/>
    <cellStyle name="好_River EE BOM_Xl0000002_Leopard RFQ ME BOM Costs-0618 3" xfId="20688"/>
    <cellStyle name="好_River EE BOM_Creak Pearl Reliability Fixture RFQ_2009 04 24_Pearl RFQ(Submittal)ver2_05_12_2009 _Leopard_UniBOM_ME_0602_Bolt RFQ Proposal_Foxlink_ (Pricing Summary) 2 25 2011 4 2" xfId="20689"/>
    <cellStyle name="好_River EE BOM_Creak Pearl Reliability Fixture RFQ_2009 04 24_Leopard RFQ ME BOM Costs-0618-2_Bolt RFQ_Foxlink_03.1 2011 2" xfId="20690"/>
    <cellStyle name="Normal 2 4" xfId="20691"/>
    <cellStyle name="Normal 2 4 2 2 3" xfId="20692"/>
    <cellStyle name="Normal 2 4 2 3" xfId="20693"/>
    <cellStyle name="Normal 2 4 2 3 2" xfId="20694"/>
    <cellStyle name="Normal 2 4 2 3 3" xfId="20695"/>
    <cellStyle name="Normal 2 4 2 4" xfId="20696"/>
    <cellStyle name="Normal 2 4 2 5" xfId="20697"/>
    <cellStyle name="差_Creak Pearl Reliability Fixture RFQ_2009 04 24_Pearl RFQ(Submittal)ver2_05_12_2009 _Foxlink_Shadow RFQ NREUni BOM_12032009_Bolt RFQ_Foxlink_03.1 2011_nego meeting@MACH 3 2" xfId="20698"/>
    <cellStyle name="好_River EE BOM_Creak Pearl Reliability Fixture RFQ_2009 04 24_Pearl RFQ(Submittal)ver2_05_12_2009 _Leopard_UniBOM_ME_0602_Bolt RFQ Proposal_Foxlink_ (Pricing Summary) 2 25 2011 4 3" xfId="20699"/>
    <cellStyle name="好_River EE BOM_Creak Pearl Reliability Fixture RFQ_2009 04 24_Leopard RFQ ME BOM Costs-0618-2_Bolt RFQ_Foxlink_03.1 2011 3" xfId="20700"/>
    <cellStyle name="Normal 2 5" xfId="20701"/>
    <cellStyle name="差_Jackson EV2 Trial run QA Report_20100423_Suede QA report for EV2 _20110223_Suede QA report for EV2.1 _20110301_Update" xfId="20702"/>
    <cellStyle name="差_Creak Pearl Reliability Fixture RFQ_2009 04 24_Pearl RFQ(Submittal)ver2_05_12_2009 _Foxlink_Shadow RFQ NREUni BOM_12032009_Bolt RFQ_Foxlink_03.1 2011_nego meeting@MACH 3 3" xfId="20703"/>
    <cellStyle name="好_River EE BOM_Creak Pearl Reliability Fixture RFQ_2009 04 24_Leopard RFQ ME BOM Costs-0618-2_Bolt RFQ_Foxlink_03.1 2011 4" xfId="20704"/>
    <cellStyle name="Normal 2 6" xfId="20705"/>
    <cellStyle name="Normal 2 6 2" xfId="20706"/>
    <cellStyle name="壞_Bristol ME parts quotation 20101021-Rev4_Bristol RFQ response _20101102_internal (4)_Bristol TC Estimate Update 07292011" xfId="20707"/>
    <cellStyle name="好_Creek Assembly Fixture  Test Equipment RFQ_20090427_Leopard UniBom_Foxlink_6 21 2010-ME_nego_Bolt RFQ_Foxlink_03.1 2011_Bolt_Cliff" xfId="20708"/>
    <cellStyle name="Normal 2_~1844960" xfId="20709"/>
    <cellStyle name="Normal 20 2 2 2 2" xfId="20710"/>
    <cellStyle name="好_River EE BOM_Creak Pearl Reliability Fixture RFQ_2009 04 24_Xl0000002_Leopard RFQ ME BOM Costs-0618-2_Bolt RFQ Proposal_Foxlink_ (Pricing Summary) 2 25 2011 3" xfId="20711"/>
    <cellStyle name="Normal 20 2 2 2 3" xfId="20712"/>
    <cellStyle name="好_River EE BOM_Creak Pearl Reliability Fixture RFQ_2009 04 24_Xl0000002_Leopard RFQ ME BOM Costs-0618-2_Bolt RFQ Proposal_Foxlink_ (Pricing Summary) 2 25 2011 4" xfId="20713"/>
    <cellStyle name="Normal 20 2 2 4" xfId="20714"/>
    <cellStyle name="Normal 20 3 2" xfId="20715"/>
    <cellStyle name="Normal 20 3 2 3" xfId="20716"/>
    <cellStyle name="Normal 21 3 2 2" xfId="20717"/>
    <cellStyle name="差_jupite r設備&amp;治工具LIST (總)_Flow Chart&amp;PQ分析(12-1)_Flow Chart&amp;設備治工具清單 _Jackson 效益分析 (2-1 B0 上系統)_Leopard Flowchart &amp; 產能評估" xfId="20718"/>
    <cellStyle name="Normal 21 4 3" xfId="20719"/>
    <cellStyle name="Normal 22 3 2 2" xfId="20720"/>
    <cellStyle name="差_Creak Pearl Reliability Fixture RFQ_2009 04 24_Creek RFQ feedback 04_28_2009_FD Update_Leopard Lemur Squirrel UniBom-06.22.2010_EE cost _update_internal_Bolt RFQ_Foxlink_03.1 2011_nego meeting@MACH 2" xfId="20721"/>
    <cellStyle name="Normal 22 3 2 3" xfId="20722"/>
    <cellStyle name="Normal 22 4 2" xfId="20723"/>
    <cellStyle name="Normal 22 4 3" xfId="20724"/>
    <cellStyle name="Normal 22 6" xfId="20725"/>
    <cellStyle name="Normal 25 2" xfId="20726"/>
    <cellStyle name="Normal 30 2" xfId="20727"/>
    <cellStyle name="好_Creek Assembly Fixture  Test Equipment RFQ_20090427_Xl0000002_Leopard_UniBOM_ME_0531_Bolt RFQ_Foxlink_03.1 2011_nego meeting@MACH 3 3" xfId="20728"/>
    <cellStyle name="差_jupite r設備&amp;治工具LIST (總)_Dolce設備治工具明細表(TE Update)_~1159284" xfId="20729"/>
    <cellStyle name="Normal 25 2 2" xfId="20730"/>
    <cellStyle name="Normal 30 2 2" xfId="20731"/>
    <cellStyle name="Normal 25 2 2 2 3" xfId="20732"/>
    <cellStyle name="Normal 25 2 2 4" xfId="20733"/>
    <cellStyle name="Normal 25 3 2" xfId="20734"/>
    <cellStyle name="Normal 30 3 2" xfId="20735"/>
    <cellStyle name="Normal 25 3 2 3" xfId="20736"/>
    <cellStyle name="Normal 30 3 2 3" xfId="20737"/>
    <cellStyle name="好_River EE BOM_Creak Pearl Reliability Fixture RFQ_2009 04 24_Creek  Pearl RFQ_May 12 3 3" xfId="20738"/>
    <cellStyle name="Normal 25 4" xfId="20739"/>
    <cellStyle name="Normal 30 4" xfId="20740"/>
    <cellStyle name="Normal 25 4 3" xfId="20741"/>
    <cellStyle name="Normal 30 4 3" xfId="20742"/>
    <cellStyle name="Normal 25 5" xfId="20743"/>
    <cellStyle name="Normal 30 5" xfId="20744"/>
    <cellStyle name="Normal 25 6" xfId="20745"/>
    <cellStyle name="Normal 30 6" xfId="20746"/>
    <cellStyle name="Normal 26" xfId="20747"/>
    <cellStyle name="Normal 31" xfId="20748"/>
    <cellStyle name="好_River EE BOM_Creek RFQ feedback 04_28_2009_FD Update_Leopard_UniBOM_ME_0602-1_Bolt RFQ_Foxlink_03.1 2011 2 2" xfId="20749"/>
    <cellStyle name="Normal 26 2 2 2" xfId="20750"/>
    <cellStyle name="Normal 31 2 2 2" xfId="20751"/>
    <cellStyle name="Normal 26 2 2 2 2" xfId="20752"/>
    <cellStyle name="Normal 26 2 2 2 3" xfId="20753"/>
    <cellStyle name="好_River EE BOM_Creek RFQ feedback 04_28_2009_FD Update_Leopard_UniBOM_ME_0602-1_Bolt RFQ_Foxlink_03.1 2011 2 3" xfId="20754"/>
    <cellStyle name="Normal 26 2 2 3" xfId="20755"/>
    <cellStyle name="Normal 31 2 2 3" xfId="20756"/>
    <cellStyle name="Normal 26 2 2 4" xfId="20757"/>
    <cellStyle name="Normal 26 3" xfId="20758"/>
    <cellStyle name="Normal 31 3" xfId="20759"/>
    <cellStyle name="Normal 26 3 2" xfId="20760"/>
    <cellStyle name="Normal 31 3 2" xfId="20761"/>
    <cellStyle name="Normal 26 3 2 2" xfId="20762"/>
    <cellStyle name="Normal 31 3 2 2" xfId="20763"/>
    <cellStyle name="Normal 26 3 2 3" xfId="20764"/>
    <cellStyle name="Normal 31 3 2 3" xfId="20765"/>
    <cellStyle name="Normal 26 4" xfId="20766"/>
    <cellStyle name="Normal 31 4" xfId="20767"/>
    <cellStyle name="Normal 26 4 3" xfId="20768"/>
    <cellStyle name="Normal 31 4 3" xfId="20769"/>
    <cellStyle name="好_River EE BOM_Creak Pearl Reliability Fixture RFQ_2009 04 24_Squirrel UniBom_Foxlink_7.27.2010" xfId="20770"/>
    <cellStyle name="Normal 26 6" xfId="20771"/>
    <cellStyle name="Normal 31 6" xfId="20772"/>
    <cellStyle name="Normal 27" xfId="20773"/>
    <cellStyle name="Normal 32" xfId="20774"/>
    <cellStyle name="Normal 27 2" xfId="20775"/>
    <cellStyle name="Normal 32 2" xfId="20776"/>
    <cellStyle name="Normal 27 2 2" xfId="20777"/>
    <cellStyle name="Normal 32 2 2" xfId="20778"/>
    <cellStyle name="Normal 27 2 2 3" xfId="20779"/>
    <cellStyle name="Normal 32 2 2 3" xfId="20780"/>
    <cellStyle name="Normal 27 2 4" xfId="20781"/>
    <cellStyle name="Normal 32 2 4" xfId="20782"/>
    <cellStyle name="Normal 27 3" xfId="20783"/>
    <cellStyle name="Normal 32 3" xfId="20784"/>
    <cellStyle name="Normal 27 3 2" xfId="20785"/>
    <cellStyle name="Normal 32 3 2" xfId="20786"/>
    <cellStyle name="Normal 27 3 2 3" xfId="20787"/>
    <cellStyle name="Normal 32 3 2 3" xfId="20788"/>
    <cellStyle name="Normal 27 4" xfId="20789"/>
    <cellStyle name="Normal 32 4" xfId="20790"/>
    <cellStyle name="Normal 27 4 2" xfId="20791"/>
    <cellStyle name="Normal 32 4 2" xfId="20792"/>
    <cellStyle name="好_River EE BOM_Creek RFQ feedback 04_28_2009_FD Update_Squirrel RFQ ME BOM Costs-0623_Bolt RFQ_Foxlink_03.1 2011_nego meeting@MACH 2" xfId="20793"/>
    <cellStyle name="Normal 27 4 3" xfId="20794"/>
    <cellStyle name="Normal 32 4 3" xfId="20795"/>
    <cellStyle name="Normal 27 5" xfId="20796"/>
    <cellStyle name="Normal 32 5" xfId="20797"/>
    <cellStyle name="Normal 28 2" xfId="20798"/>
    <cellStyle name="Normal 33 2" xfId="20799"/>
    <cellStyle name="Normal 28 2 2" xfId="20800"/>
    <cellStyle name="Normal 33 2 2" xfId="20801"/>
    <cellStyle name="差_F3   SMT設備明細_Erie 效益分析 (Update)_效益分析(總 12-28 Update)_Jackson 效益分析 (2-1 B0 上系統)" xfId="20802"/>
    <cellStyle name="Normal 5 2 2 3" xfId="20803"/>
    <cellStyle name="Normal 28 2 4" xfId="20804"/>
    <cellStyle name="Normal 33 2 4" xfId="20805"/>
    <cellStyle name="Normal 28 3" xfId="20806"/>
    <cellStyle name="Normal 33 3" xfId="20807"/>
    <cellStyle name="Normal 28 3 2 2" xfId="20808"/>
    <cellStyle name="Normal 33 3 2 2" xfId="20809"/>
    <cellStyle name="Normal 28 4" xfId="20810"/>
    <cellStyle name="Normal 33 4" xfId="20811"/>
    <cellStyle name="Normal 28 4 2" xfId="20812"/>
    <cellStyle name="Normal 33 4 2" xfId="20813"/>
    <cellStyle name="差_jupite r設備&amp;治工具LIST (總)_pq_Jackson 效益分析 testing update_16th Jan1" xfId="20814"/>
    <cellStyle name="Normal 5 2 4 2" xfId="20815"/>
    <cellStyle name="Normal 28 4 3" xfId="20816"/>
    <cellStyle name="Normal 33 4 3" xfId="20817"/>
    <cellStyle name="Normal 28 5" xfId="20818"/>
    <cellStyle name="Normal 33 5" xfId="20819"/>
    <cellStyle name="Normal 28 6" xfId="20820"/>
    <cellStyle name="Normal 33 6" xfId="20821"/>
    <cellStyle name="Normal 29" xfId="20822"/>
    <cellStyle name="Normal 34" xfId="20823"/>
    <cellStyle name="差_jupite r設備&amp;治工具LIST (總)_flow chart 2009.12.12_Jackson 效益分析 (2-1 B0 上系統)" xfId="20824"/>
    <cellStyle name="Normal 29 2 2" xfId="20825"/>
    <cellStyle name="Normal 34 2 2" xfId="20826"/>
    <cellStyle name="Normal 29 2 2 2" xfId="20827"/>
    <cellStyle name="Normal 34 2 2 2" xfId="20828"/>
    <cellStyle name="好_River EE BOM_Creek RFQ feedback 04_28_2009_FD Update_Squirrel UniBom-06.23.2010_update_internal_Bolt RFQ_Foxlink_03.1 2011_nego meeting@MACH 2 3" xfId="20829"/>
    <cellStyle name="Normal 29 3" xfId="20830"/>
    <cellStyle name="Normal 34 3" xfId="20831"/>
    <cellStyle name="Normal 29 4" xfId="20832"/>
    <cellStyle name="Normal 34 4" xfId="20833"/>
    <cellStyle name="Normal 29 4 2" xfId="20834"/>
    <cellStyle name="Normal 34 4 2" xfId="20835"/>
    <cellStyle name="好_River EE BOM_Foxlink_Shadow RFQ NREUni BOM_12032009_Bolt RFQ_Foxlink_03.1 2011 3" xfId="20836"/>
    <cellStyle name="差_F3   SMT設備明細_~5631336_Jackson 效益分析 (2-1 B0 上系統)_squirrel效益分析08-17" xfId="20837"/>
    <cellStyle name="差_Creek RFQ feedback 04_28_2009_FD Update_Leopard UniBom_Foxlink_6 21 2010-ME_nego_Bolt RFQ_Foxlink_03.1 2011_nego meeting@MACH 4" xfId="20838"/>
    <cellStyle name="差_Creek RFQ feedback 04_28_2009_FD Update_Leopard UniBom_Foxlink_6 21 2010-ME_nego_Bolt RFQ_Foxlink_03.1 2011_nego meeting@MACH 5" xfId="20839"/>
    <cellStyle name="Normal 29 4 3" xfId="20840"/>
    <cellStyle name="Normal 34 4 3" xfId="20841"/>
    <cellStyle name="好_River EE BOM_Foxlink_Shadow RFQ NREUni BOM_12032009_Bolt RFQ_Foxlink_03.1 2011 4" xfId="20842"/>
    <cellStyle name="Normal 5 3 4 2" xfId="20843"/>
    <cellStyle name="差_Creak Pearl Reliability Fixture RFQ_2009 04 24_Pearl RFQ(Submittal)ver2_05_12_2009 _Leopard_UniBOM_ME_0602-1_Bolt RFQ_Foxlink_03.1 2011_nego meeting@MACH" xfId="20844"/>
    <cellStyle name="Normal 29 5" xfId="20845"/>
    <cellStyle name="Normal 34 5" xfId="20846"/>
    <cellStyle name="Normal 29 6" xfId="20847"/>
    <cellStyle name="Normal 34 6" xfId="20848"/>
    <cellStyle name="Normal 3" xfId="20849"/>
    <cellStyle name="好_River EE BOM_Creak Pearl Reliability Fixture RFQ_2009 04 24_Creek RFQ feedback 04_28_2009_FD Update_Leopard RFQ ME BOM Costs-0618_Bolt RFQ_Foxlink_03.1 2011 5" xfId="20850"/>
    <cellStyle name="Normal 3 14" xfId="20851"/>
    <cellStyle name="Normal 3 15" xfId="20852"/>
    <cellStyle name="Normal 3 20" xfId="20853"/>
    <cellStyle name="Normal 3 16" xfId="20854"/>
    <cellStyle name="Normal 3 21" xfId="20855"/>
    <cellStyle name="Normal 3 18" xfId="20856"/>
    <cellStyle name="Normal 3 23" xfId="20857"/>
    <cellStyle name="Normal 3 2" xfId="20858"/>
    <cellStyle name="Normal 3 2 2" xfId="20859"/>
    <cellStyle name="Normal 3 2 2 3" xfId="20860"/>
    <cellStyle name="Normal 3 2 2 3 2" xfId="20861"/>
    <cellStyle name="Normal 3 2 2 3 3" xfId="20862"/>
    <cellStyle name="Normal 3 2 2 4" xfId="20863"/>
    <cellStyle name="Normal 3 2 2 4 2" xfId="20864"/>
    <cellStyle name="Normal 3 2 2 4 2 2" xfId="20865"/>
    <cellStyle name="Normal 3 2 2 4 2 3" xfId="20866"/>
    <cellStyle name="Normal 3 2 3" xfId="20867"/>
    <cellStyle name="Normal 3 2 5" xfId="20868"/>
    <cellStyle name="Normal 3 2 6" xfId="20869"/>
    <cellStyle name="Normal 3 25" xfId="20870"/>
    <cellStyle name="Normal 3 30" xfId="20871"/>
    <cellStyle name="Normal 3 27" xfId="20872"/>
    <cellStyle name="Normal 3 32" xfId="20873"/>
    <cellStyle name="差_F3   SMT設備明細_Erie 效益分析 (Update)_~5631336_Jackson 效益分析 (2-1 B0 上系統)_Leopard效益分析08-17" xfId="20874"/>
    <cellStyle name="Normal 3 28" xfId="20875"/>
    <cellStyle name="Normal 3 33" xfId="20876"/>
    <cellStyle name="差_Xl0000000_Leopard RFQ ME BOM Costs-0618-2_Bolt RFQ_Foxlink_03.1 2011" xfId="20877"/>
    <cellStyle name="Normal 3 29" xfId="20878"/>
    <cellStyle name="Normal 3 34" xfId="20879"/>
    <cellStyle name="差_Xl0000000_Squirrel UniBom-06.23.2010_update_internal 3" xfId="20880"/>
    <cellStyle name="Normal 3 3 2" xfId="20881"/>
    <cellStyle name="差_Xl0000000_Squirrel UniBom-06.23.2010_update_internal 3 2" xfId="20882"/>
    <cellStyle name="Normal 3 3 2 2" xfId="20883"/>
    <cellStyle name="差_Xl0000000_Leopard RFQ ME BOM Costs-0618-2_Bolt RFQ_Foxlink_03.1 2011 2" xfId="20884"/>
    <cellStyle name="Normal 3 34 2" xfId="20885"/>
    <cellStyle name="差_Xl0000000_Leopard RFQ ME BOM Costs-0618-2_Bolt RFQ_Foxlink_03.1 2011 3" xfId="20886"/>
    <cellStyle name="差_Bolt RFQ Proposal_Foxlink_ (Pricing Summary) 2 25 2011 4 2" xfId="20887"/>
    <cellStyle name="Normal 3 34 3" xfId="20888"/>
    <cellStyle name="好_River EE BOM_Creak Pearl Reliability Fixture RFQ_2009 04 24_Pearl RFQ(Submittal)ver2_05_12_2009 _Leopard_UniBOM_ME_0602_Bolt RFQ Proposal_Foxlink_ (Pricing Summary) 2 25 2011 5 2" xfId="20889"/>
    <cellStyle name="Normal 3 4" xfId="20890"/>
    <cellStyle name="差_Xl0000000_Leopard_UniBOM_ME_0531_Bolt RFQ_Foxlink_03.1 2011 5" xfId="20891"/>
    <cellStyle name="Normal 3 4 2 2 2" xfId="20892"/>
    <cellStyle name="Normal 3 4 2 2 3" xfId="20893"/>
    <cellStyle name="Normal 3 4 2 4" xfId="20894"/>
    <cellStyle name="Normal 3 5 2" xfId="20895"/>
    <cellStyle name="Normal 3 5 2 2" xfId="20896"/>
    <cellStyle name="Normal 3 5 2 3" xfId="20897"/>
    <cellStyle name="Normal 3 6" xfId="20898"/>
    <cellStyle name="好_Creek Assembly Fixture  Test Equipment RFQ_20090427_Xl0000002_Leopard_UniBOM_ME_0602_Bolt RFQ_Foxlink_03.1 2011 2" xfId="20899"/>
    <cellStyle name="Normal 3 7" xfId="20900"/>
    <cellStyle name="好_Creek Assembly Fixture  Test Equipment RFQ_20090427_Xl0000002_Leopard_UniBOM_ME_0602_Bolt RFQ_Foxlink_03.1 2011 2 2" xfId="20901"/>
    <cellStyle name="Normal 3 7 2" xfId="20902"/>
    <cellStyle name="好_Creek Assembly Fixture  Test Equipment RFQ_20090427_Xl0000002_Leopard_UniBOM_ME_0602_Bolt RFQ_Foxlink_03.1 2011 3" xfId="20903"/>
    <cellStyle name="Normal 3 8" xfId="20904"/>
    <cellStyle name="好_Creek Assembly Fixture  Test Equipment RFQ_20090427_Xl0000002_Leopard_UniBOM_ME_0602_Bolt RFQ_Foxlink_03.1 2011 3 2" xfId="20905"/>
    <cellStyle name="Normal 3 8 2" xfId="20906"/>
    <cellStyle name="Normal 3 8 2 2" xfId="20907"/>
    <cellStyle name="好_Creek Assembly Fixture  Test Equipment RFQ_20090427_Xl0000002_Leopard_UniBOM_ME_0602_Bolt RFQ_Foxlink_03.1 2011 4" xfId="20908"/>
    <cellStyle name="Normal 3 9" xfId="20909"/>
    <cellStyle name="Normal 3_Bolt EE tracker 20110421" xfId="20910"/>
    <cellStyle name="Normal 30 2 3" xfId="20911"/>
    <cellStyle name="好_River EE BOM_Creek RFQ feedback 04_28_2009_FD Update_Leopard_UniBOM_ME_0602-1_Bolt RFQ_Foxlink_03.1 2011 4" xfId="20912"/>
    <cellStyle name="好_River EE BOM_Xl0000000_Leopard Lemur Squirrel UniBom-06.22.2010_EE cost _update_internal_Bolt RFQ_Foxlink_03.1 2011 3 3" xfId="20913"/>
    <cellStyle name="Normal 31 2 4" xfId="20914"/>
    <cellStyle name="Normal 35" xfId="20915"/>
    <cellStyle name="Normal 40" xfId="20916"/>
    <cellStyle name="差_Creak Pearl Reliability Fixture RFQ_2009 04 24_Creek RFQ feedback 04_28_2009_FD Update_Leopard_UniBOM_ME_0531_Bolt RFQ_Foxlink_03.1 2011 2" xfId="20917"/>
    <cellStyle name="Normal 35 2" xfId="20918"/>
    <cellStyle name="Normal 40 2" xfId="20919"/>
    <cellStyle name="差_Creak Pearl Reliability Fixture RFQ_2009 04 24_Creek RFQ feedback 04_28_2009_FD Update_Leopard_UniBOM_ME_0531_Bolt RFQ_Foxlink_03.1 2011 2 2" xfId="20920"/>
    <cellStyle name="Normal 35 2 2 2" xfId="20921"/>
    <cellStyle name="Normal 40 2 2 2" xfId="20922"/>
    <cellStyle name="Normal 35 2 2 3" xfId="20923"/>
    <cellStyle name="Normal 40 2 2 3" xfId="20924"/>
    <cellStyle name="Normal 5 4 2 2" xfId="20925"/>
    <cellStyle name="Normal 35 2 3" xfId="20926"/>
    <cellStyle name="Normal 40 2 3" xfId="20927"/>
    <cellStyle name="Normal 35 2 4" xfId="20928"/>
    <cellStyle name="Normal 40 2 4" xfId="20929"/>
    <cellStyle name="好_River EE BOM_Foxlink_Shadow RFQ NREUni BOM_12032009_Wedge_ME_BOM-v00-11v0715 2" xfId="20930"/>
    <cellStyle name="Normal 5 4 2 3" xfId="20931"/>
    <cellStyle name="差_F3   SMT設備明細_Bolt RFQ_Foxlink_03.1 2011 2" xfId="20932"/>
    <cellStyle name="Normal 35 3" xfId="20933"/>
    <cellStyle name="Normal 40 3" xfId="20934"/>
    <cellStyle name="差_Creak Pearl Reliability Fixture RFQ_2009 04 24_Creek RFQ feedback 04_28_2009_FD Update_Leopard_UniBOM_ME_0531_Bolt RFQ_Foxlink_03.1 2011 2 3" xfId="20935"/>
    <cellStyle name="Normal 35 3 2 2" xfId="20936"/>
    <cellStyle name="Normal 40 3 2 2" xfId="20937"/>
    <cellStyle name="好_Creek EE BOM cost_20090425_Creek RFQ feedback 04_28_2009_FD Update_Squirrel UniBom-06.23.2010_update_internal_Bolt RFQ Proposal_Foxlink_ (Pricing Summary) 2 25 2011 3" xfId="20938"/>
    <cellStyle name="Normal 35 3 2 3" xfId="20939"/>
    <cellStyle name="Normal 40 3 2 3" xfId="20940"/>
    <cellStyle name="好_Creek EE BOM cost_20090425_Creek RFQ feedback 04_28_2009_FD Update_Squirrel UniBom-06.23.2010_update_internal_Bolt RFQ Proposal_Foxlink_ (Pricing Summary) 2 25 2011 4" xfId="20941"/>
    <cellStyle name="差_F3   SMT設備明細_Bolt RFQ_Foxlink_03.1 2011 3" xfId="20942"/>
    <cellStyle name="Normal 35 4" xfId="20943"/>
    <cellStyle name="Normal 40 4" xfId="20944"/>
    <cellStyle name="差_Xl0000002_Bolt RFQ_Foxlink_03.1 2011" xfId="20945"/>
    <cellStyle name="差_F3   SMT設備明細_Bolt RFQ_Foxlink_03.1 2011 3 2" xfId="20946"/>
    <cellStyle name="Normal 35 4 2" xfId="20947"/>
    <cellStyle name="Normal 40 4 2" xfId="20948"/>
    <cellStyle name="差_Xl0000000_Leopard UniBom_Foxlink_6 21 2010-ME_nego_Bolt RFQ Proposal_Foxlink_ (Pricing Summary) 2 25 2011 5 2" xfId="20949"/>
    <cellStyle name="Normal 36" xfId="20950"/>
    <cellStyle name="Normal 41" xfId="20951"/>
    <cellStyle name="差_Creak Pearl Reliability Fixture RFQ_2009 04 24_Creek RFQ feedback 04_28_2009_FD Update_Leopard_UniBOM_ME_0531_Bolt RFQ_Foxlink_03.1 2011 3" xfId="20952"/>
    <cellStyle name="好_River EE BOM_Creak Pearl Reliability Fixture RFQ_2009 04 24_Creek RFQ feedback 04_28_2009_FD Update_Leopard UniBom_Foxlink_6 21 2010-ME_nego_Bolt RFQ Proposal_Foxlink_ (Pricing Summary) 2 25 2011 5" xfId="20953"/>
    <cellStyle name="Normal 36 2 2 2" xfId="20954"/>
    <cellStyle name="Normal 41 2 2 2" xfId="20955"/>
    <cellStyle name="好_River EE BOM_Creak Pearl Reliability Fixture RFQ_2009 04 24_Creek RFQ feedback 04_28_2009_FD Update_Leopard UniBom_Foxlink_6 21 2010-ME_nego_Bolt RFQ Proposal_Foxlink_ (Pricing Summary) 2 25 2011 6" xfId="20956"/>
    <cellStyle name="差_Xl0000000_Squirrel RFQ ME BOM Costs-0623_Bolt RFQ Proposal_Foxlink_ (Pricing Summary) 2 25 2011 5 2" xfId="20957"/>
    <cellStyle name="差_F3   SMT設備明細_jupite r設備&amp;治工具LIST (總)_Flow Chart(shadow) A3 _Jackson 效益分析 (2-1 B0 上系統)_squirrel效益分析08-17" xfId="20958"/>
    <cellStyle name="Normal 36 2 2 3" xfId="20959"/>
    <cellStyle name="Normal 41 2 2 3" xfId="20960"/>
    <cellStyle name="Normal 36 3" xfId="20961"/>
    <cellStyle name="Normal 41 3" xfId="20962"/>
    <cellStyle name="差_Creak Pearl Reliability Fixture RFQ_2009 04 24_Creek RFQ feedback 04_28_2009_FD Update_Leopard_UniBOM_ME_0531_Bolt RFQ_Foxlink_03.1 2011 3 3" xfId="20963"/>
    <cellStyle name="Normal 36 4 2" xfId="20964"/>
    <cellStyle name="Normal 41 4 2" xfId="20965"/>
    <cellStyle name="差_Creak Pearl Reliability Fixture RFQ_2009 04 24_Pearl RFQ(Submittal)ver2_05_12_2009 _Leopard_UniBOM_ME_0603-2_Bolt RFQ_Foxlink_03.1 2011" xfId="20966"/>
    <cellStyle name="Normal 36 4 3" xfId="20967"/>
    <cellStyle name="Normal 41 4 3" xfId="20968"/>
    <cellStyle name="Normal 36 5" xfId="20969"/>
    <cellStyle name="Normal 41 5" xfId="20970"/>
    <cellStyle name="差_Xl0000000_Leopard UniBom_Foxlink_6 21 2010-ME_nego_Bolt RFQ Proposal_Foxlink_ (Pricing Summary) 2 25 2011 5 3" xfId="20971"/>
    <cellStyle name="Normal 37" xfId="20972"/>
    <cellStyle name="Normal 42" xfId="20973"/>
    <cellStyle name="差_Creak Pearl Reliability Fixture RFQ_2009 04 24_Creek RFQ feedback 04_28_2009_FD Update_Leopard_UniBOM_ME_0531_Bolt RFQ_Foxlink_03.1 2011 4" xfId="20974"/>
    <cellStyle name="Normal 37 2" xfId="20975"/>
    <cellStyle name="Normal 42 2" xfId="20976"/>
    <cellStyle name="Normal 37 2 2 2" xfId="20977"/>
    <cellStyle name="Normal 42 2 2 2" xfId="20978"/>
    <cellStyle name="Normal 37 2 2 3" xfId="20979"/>
    <cellStyle name="Normal 42 2 2 3" xfId="20980"/>
    <cellStyle name="Normal 37 3" xfId="20981"/>
    <cellStyle name="Normal 42 3" xfId="20982"/>
    <cellStyle name="好_River EE BOM_Creak Pearl Reliability Fixture RFQ_2009 04 24_Xl0000002 2 2 2" xfId="20983"/>
    <cellStyle name="好_River EE BOM_Creek RFQ feedback 04_28_2009_FD Update_Leopard_UniBOM_ME_0603-2_Bolt RFQ Proposal_Foxlink_ (Pricing Summary) 2 25 2011 7" xfId="20984"/>
    <cellStyle name="Pénznem [0]_RESULTS" xfId="20985"/>
    <cellStyle name="Normal 37 3 2 2" xfId="20986"/>
    <cellStyle name="Normal 42 3 2 2" xfId="20987"/>
    <cellStyle name="Normal 37 3 2 3" xfId="20988"/>
    <cellStyle name="Normal 42 3 2 3" xfId="20989"/>
    <cellStyle name="Normal 38" xfId="20990"/>
    <cellStyle name="Normal 43" xfId="20991"/>
    <cellStyle name="差_Creak Pearl Reliability Fixture RFQ_2009 04 24_Creek RFQ feedback 04_28_2009_FD Update_Leopard_UniBOM_ME_0531_Bolt RFQ_Foxlink_03.1 2011 5" xfId="20992"/>
    <cellStyle name="差_Creak Pearl Reliability Fixture RFQ_2009 04 24_Creek  Pearl RFQ_May 12_Squirrel UniBom-06.23.2010_update_internal_Bolt RFQ Proposal_Foxlink_ (Pricing Summary) 2 25 2011 2 2 3" xfId="20993"/>
    <cellStyle name="Normal 38 2" xfId="20994"/>
    <cellStyle name="Normal 43 2" xfId="20995"/>
    <cellStyle name="差_Xl0000000_Squirrel UniBom-06.23.2010_update_internal_Bolt RFQ_Foxlink_03.1 2011 4" xfId="20996"/>
    <cellStyle name="差_Xl0000000_Leopard RFQ ME BOM Costs-0618-2_Bolt RFQ_Foxlink_03.1 2011_nego meeting@MACH 5" xfId="20997"/>
    <cellStyle name="Normal 38 2 2 2" xfId="20998"/>
    <cellStyle name="Normal 43 2 2 2" xfId="20999"/>
    <cellStyle name="差_Xl0000000_Squirrel UniBom-06.23.2010_update_internal_Bolt RFQ_Foxlink_03.1 2011 5" xfId="21000"/>
    <cellStyle name="Normal 38 2 2 3" xfId="21001"/>
    <cellStyle name="Normal 43 2 2 3" xfId="21002"/>
    <cellStyle name="好_River EE BOM_Creak Pearl Reliability Fixture RFQ_2009 04 24_Pearl RFQ(Submittal)ver2_05_12_2009 _Leopard RFQ ME BOM Costs-0618-2_Bolt RFQ_Foxlink_03.1 2011" xfId="21003"/>
    <cellStyle name="Normal 5 7 2 3" xfId="21004"/>
    <cellStyle name="Normal 38 2 4" xfId="21005"/>
    <cellStyle name="Normal 43 2 4" xfId="21006"/>
    <cellStyle name="Normal 38 3 2 2" xfId="21007"/>
    <cellStyle name="Normal 43 3 2 2" xfId="21008"/>
    <cellStyle name="Normal 38 3 2 3" xfId="21009"/>
    <cellStyle name="Normal 43 3 2 3" xfId="21010"/>
    <cellStyle name="Normal 38 4" xfId="21011"/>
    <cellStyle name="Normal 43 4" xfId="21012"/>
    <cellStyle name="Normal 38 4 3" xfId="21013"/>
    <cellStyle name="Normal 43 4 3" xfId="21014"/>
    <cellStyle name="Normal 39 2" xfId="21015"/>
    <cellStyle name="Normal 44 2" xfId="21016"/>
    <cellStyle name="Normal 39 2 2 2" xfId="21017"/>
    <cellStyle name="Normal 44 2 2 2" xfId="21018"/>
    <cellStyle name="Normal 39 2 2 3" xfId="21019"/>
    <cellStyle name="Normal 44 2 2 3" xfId="21020"/>
    <cellStyle name="Normal 39 2 3" xfId="21021"/>
    <cellStyle name="Normal 44 2 3" xfId="21022"/>
    <cellStyle name="差_RIO Trial run (Pre-PV 100PCS) QA Report-0610_Rio QA Report-8.12_Dolce   QA Report 2010_0902 (A3)" xfId="21023"/>
    <cellStyle name="Normal 39 2 4" xfId="21024"/>
    <cellStyle name="Normal 44 2 4" xfId="21025"/>
    <cellStyle name="Normal 39 3" xfId="21026"/>
    <cellStyle name="Normal 44 3" xfId="21027"/>
    <cellStyle name="Normal 39 3 2" xfId="21028"/>
    <cellStyle name="Normal 44 3 2" xfId="21029"/>
    <cellStyle name="Normal 39 3 2 2" xfId="21030"/>
    <cellStyle name="Normal 44 3 2 2" xfId="21031"/>
    <cellStyle name="Normal 39 3 2 3" xfId="21032"/>
    <cellStyle name="Normal 44 3 2 3" xfId="21033"/>
    <cellStyle name="Normal 39 4" xfId="21034"/>
    <cellStyle name="Normal 44 4" xfId="21035"/>
    <cellStyle name="差_Creak Pearl Reliability Fixture RFQ_2009 04 24_Creek  Pearl RFQ_May 12_Leopard UniBom_Foxlink_6 21 2010-ME_nego_Bolt RFQ_Foxlink_03.1 2011_nego meeting@MACH 2 2" xfId="21036"/>
    <cellStyle name="Normal 39 5" xfId="21037"/>
    <cellStyle name="Normal 44 5" xfId="21038"/>
    <cellStyle name="差_Creak Pearl Reliability Fixture RFQ_2009 04 24_Creek  Pearl RFQ_May 12_Leopard UniBom_Foxlink_6 21 2010-ME_nego_Bolt RFQ_Foxlink_03.1 2011_nego meeting@MACH 2 3" xfId="21039"/>
    <cellStyle name="Normal 39 6" xfId="21040"/>
    <cellStyle name="Normal 44 6" xfId="21041"/>
    <cellStyle name="Normal 39_Sydney_Premium_Clean_Sheet_12-20" xfId="21042"/>
    <cellStyle name="Normal 4" xfId="21043"/>
    <cellStyle name="差_Xl0000002_Leopard Lemur Squirrel UniBom-06.22.2010_EE cost _update_internal_Bolt RFQ_Foxlink_03.1 2011_nego meeting@MACH 4" xfId="21044"/>
    <cellStyle name="Normal 4 11" xfId="21045"/>
    <cellStyle name="Normal 4 11 3" xfId="21046"/>
    <cellStyle name="Normal 4 13" xfId="21047"/>
    <cellStyle name="Normal 4 14" xfId="21048"/>
    <cellStyle name="差_F3   SMT設備明細_效益分析_~3106354_squirrel效益分析08-17" xfId="21049"/>
    <cellStyle name="Normal 4 15" xfId="21050"/>
    <cellStyle name="Normal 4 20" xfId="21051"/>
    <cellStyle name="Normal 4 17" xfId="21052"/>
    <cellStyle name="Normal 4 22" xfId="21053"/>
    <cellStyle name="Normal 4 18" xfId="21054"/>
    <cellStyle name="Normal 4 23" xfId="21055"/>
    <cellStyle name="Normal 4 2" xfId="21056"/>
    <cellStyle name="Normal 4 25" xfId="21057"/>
    <cellStyle name="Normal 4 30" xfId="21058"/>
    <cellStyle name="Normal 4 26" xfId="21059"/>
    <cellStyle name="Normal 4 31" xfId="21060"/>
    <cellStyle name="Normal 4 27" xfId="21061"/>
    <cellStyle name="Normal 4 32" xfId="21062"/>
    <cellStyle name="Normal 4 28" xfId="21063"/>
    <cellStyle name="Normal 4 33" xfId="21064"/>
    <cellStyle name="好_Creek Assembly Fixture  Test Equipment RFQ_20090427_Leopard_UniBOM_ME_0603-2_Bolt RFQ_Foxlink_03.1 2011_nego meeting@MACH 2" xfId="21065"/>
    <cellStyle name="Normal 4 29" xfId="21066"/>
    <cellStyle name="Normal 4 34" xfId="21067"/>
    <cellStyle name="Normal 4 3" xfId="21068"/>
    <cellStyle name="差_Creak Pearl Reliability Fixture RFQ_2009 04 24_Creek RFQ feedback 04_28_2009_FD Update_Bolt RFQ Proposal_Foxlink_ (Pricing Summary) 2 25 2011 7" xfId="21069"/>
    <cellStyle name="Normal 4 3 2 2" xfId="21070"/>
    <cellStyle name="好_River EE BOM_Creek RFQ feedback 04_28_2009_FD Update_Leopard RFQ ME BOM Costs-0618_Bolt RFQ Proposal_Foxlink_ (Pricing Summary) 2 25 2011 6" xfId="21071"/>
    <cellStyle name="Normal 4 3 2 2 3 2" xfId="21072"/>
    <cellStyle name="好_River EE BOM_Creek RFQ feedback 04_28_2009_FD Update_Leopard RFQ ME BOM Costs-0618_Bolt RFQ Proposal_Foxlink_ (Pricing Summary) 2 25 2011 7" xfId="21073"/>
    <cellStyle name="差_Bolt RFQ Proposal_Foxlink_ (Pricing Summary) 2 25 2011 2 2 2" xfId="21074"/>
    <cellStyle name="Normal 4 3 2 2 3 3" xfId="21075"/>
    <cellStyle name="Normal 4 3 2 2 4 2" xfId="21076"/>
    <cellStyle name="Normal 4 3 2 2 4 3" xfId="21077"/>
    <cellStyle name="Normal 4 3 2 2 5" xfId="21078"/>
    <cellStyle name="好_River EE BOM_Creak Pearl Reliability Fixture RFQ_2009 04 24_Leopard_UniBOM_ME_0602 2 2" xfId="21079"/>
    <cellStyle name="Normal 4 3 2 2 6" xfId="21080"/>
    <cellStyle name="Normal 4 3 2 3" xfId="21081"/>
    <cellStyle name="Normal 4 3 2 3 2" xfId="21082"/>
    <cellStyle name="壞_Erie Assembly Fixture  Test Equip Cost_20090716_Foxlink_Shadow RFQ NREUni BOM_12032009_Bolt RFQ_Foxlink_03.1 2011_nego meeting@MACH 3 2" xfId="21083"/>
    <cellStyle name="Normal 4 3 2 3 3" xfId="21084"/>
    <cellStyle name="Normal 4 3 2 4" xfId="21085"/>
    <cellStyle name="Normal 4 3 2 4 2" xfId="21086"/>
    <cellStyle name="差_HP Mouse 產能評估(上系統)_M1 SuedeFixtureEquipment Cost_A0_2010_10_15 2 2 2" xfId="21087"/>
    <cellStyle name="Normal 4 3 2 4 3" xfId="21088"/>
    <cellStyle name="好_Creek Assembly Fixture  Test Equipment RFQ_20090427_Xl0000002_Leopard RFQ ME BOM Costs-0618_Bolt RFQ_Foxlink_03.1 2011 3" xfId="21089"/>
    <cellStyle name="Normal 4 3 2 6" xfId="21090"/>
    <cellStyle name="差_Creak Pearl Reliability Fixture RFQ_2009 04 24_Creek  Pearl RFQ_May 12_Jackson and Shadow BOM cost_mainfile_2010 0324 rev.1" xfId="21091"/>
    <cellStyle name="差_F3   SMT設備明細_M1 Bolt wireless mouse FixtureEquipment Cost_A2_2010_12_07 2 2" xfId="21092"/>
    <cellStyle name="Normal 4 3 3" xfId="21093"/>
    <cellStyle name="Normal 4 3 3 2" xfId="21094"/>
    <cellStyle name="Normal 4 3 3 3" xfId="21095"/>
    <cellStyle name="Normal 4 3 3 3 3" xfId="21096"/>
    <cellStyle name="Normal 4 3 3 4 2" xfId="21097"/>
    <cellStyle name="Normal 4 3 3 4 3" xfId="21098"/>
    <cellStyle name="Normal 4 3 3 5" xfId="21099"/>
    <cellStyle name="Normal 4 3 3 6" xfId="21100"/>
    <cellStyle name="好_Creek EE BOM cost_20090425_Leopard UniBom_Foxlink_6 21 2010-ME_nego 2" xfId="21101"/>
    <cellStyle name="Normal 4 3 4 2" xfId="21102"/>
    <cellStyle name="好_Creek EE BOM cost_20090425_Leopard UniBom_Foxlink_6 21 2010-ME_nego 3" xfId="21103"/>
    <cellStyle name="Normal 4 3 4 3" xfId="21104"/>
    <cellStyle name="Normal 4 3 5" xfId="21105"/>
    <cellStyle name="Normal 4 3 5 2" xfId="21106"/>
    <cellStyle name="Normal 4 3 5 3" xfId="21107"/>
    <cellStyle name="Normal 4 3 6" xfId="21108"/>
    <cellStyle name="好_River EE BOM_Xl0000000_Leopard Lemur Squirrel UniBom-06.22.2010_EE cost _update_internal_Bolt RFQ Proposal_Foxlink_ (Pricing Summary) 2 25 2011 2 2 2" xfId="21109"/>
    <cellStyle name="好_Creek Assembly Fixture  Test Equipment RFQ_20090427_Leopard_UniBOM_ME_0603-2_Bolt RFQ_Foxlink_03.1 2011_nego meeting@MACH 3" xfId="21110"/>
    <cellStyle name="Normal 4 35" xfId="21111"/>
    <cellStyle name="Normal 4 4" xfId="21112"/>
    <cellStyle name="Normal 4 4 2" xfId="21113"/>
    <cellStyle name="差_Creak Pearl Reliability Fixture RFQ_2009 04 24_Creek  Pearl RFQ_May 12_Foxlink_Shadow RFQ NREUni BOM_12032009_Bolt RFQ Proposal_Foxlink_ (Pricing Summary) 2 25 2011 2 4" xfId="21114"/>
    <cellStyle name="Normal 4 4 2 2 2" xfId="21115"/>
    <cellStyle name="好_Creek EE BOM cost_20090425_Squirrel UniBom_Foxlink_7.27.2010" xfId="21116"/>
    <cellStyle name="Normal 4 4 2 2 3" xfId="21117"/>
    <cellStyle name="差_Creak Pearl Reliability Fixture RFQ_2009 04 24_Creek  Pearl RFQ_May 12_Squirrel RFQ ME BOM Costs-0623_Bolt RFQ_Foxlink_03.1 2011_nego meeting@MACH 2 3" xfId="21118"/>
    <cellStyle name="差_Creak Pearl Reliability Fixture RFQ_2009 04 24_Pearl RFQ(Submittal)ver2_05_12_2009 _Leopard_UniBOM_ME_0602_Bolt RFQ_Foxlink_03.1 2011 2 3" xfId="21119"/>
    <cellStyle name="Normal 4 4 2 2 3 2" xfId="21120"/>
    <cellStyle name="Normal 4 4 2 2 3 3" xfId="21121"/>
    <cellStyle name="差_F3   SMT設備明細_jupite r設備&amp;治工具LIST (總)_flow chart 2009.12.12_Flow Chart&amp;設備治工具清單 _~1159284" xfId="21122"/>
    <cellStyle name="Normal 4 4 2 2 4" xfId="21123"/>
    <cellStyle name="差_Creak Pearl Reliability Fixture RFQ_2009 04 24_Creek  Pearl RFQ_May 12_Squirrel RFQ ME BOM Costs-0623_Bolt RFQ_Foxlink_03.1 2011_nego meeting@MACH 3 3" xfId="21124"/>
    <cellStyle name="差_Creak Pearl Reliability Fixture RFQ_2009 04 24_Pearl RFQ(Submittal)ver2_05_12_2009 _Leopard_UniBOM_ME_0602_Bolt RFQ_Foxlink_03.1 2011 3 3" xfId="21125"/>
    <cellStyle name="Normal 4 4 2 2 4 2" xfId="21126"/>
    <cellStyle name="Normal 4 4 2 2 4 3" xfId="21127"/>
    <cellStyle name="好_Creek Assembly Fixture  Test Equipment RFQ_20090427_Bolt_Cliff 4 2" xfId="21128"/>
    <cellStyle name="Normal 4 4 2 2 5" xfId="21129"/>
    <cellStyle name="Normal 4 4 2 2 6" xfId="21130"/>
    <cellStyle name="好_River EE BOM_Xl0000000_Leopard UniBom_Foxlink_6 21 2010-ME_nego_Bolt RFQ Proposal_Foxlink_ (Pricing Summary) 2 25 2011 4 2" xfId="21131"/>
    <cellStyle name="好_Creek Assembly Fixture  Test Equipment RFQ_20090427_Bolt_Cliff 4 3" xfId="21132"/>
    <cellStyle name="Normal 4 4 2 3" xfId="21133"/>
    <cellStyle name="Normal 4 4 2 3 2" xfId="21134"/>
    <cellStyle name="好_Creek EE BOM cost_20090425_Leopard_UniBOM_ME_0602-1_Bolt RFQ Proposal_Foxlink_ (Pricing Summary) 2 25 2011 2" xfId="21135"/>
    <cellStyle name="Normal 4 4 2 3 3" xfId="21136"/>
    <cellStyle name="好_Creek Assembly Fixture  Test Equipment RFQ_20090427_Xl0000002_Leopard RFQ ME BOM Costs-0618-2_Bolt RFQ_Foxlink_03.1 2011_nego meeting@MACH" xfId="21137"/>
    <cellStyle name="Normal 4 4 2 4 3" xfId="21138"/>
    <cellStyle name="差_F3   SMT設備明細_M1 Bolt wireless mouse FixtureEquipment Cost_A2_2010_12_07 3 2" xfId="21139"/>
    <cellStyle name="Normal 4 4 3" xfId="21140"/>
    <cellStyle name="Normal 4 4 3 2" xfId="21141"/>
    <cellStyle name="Normal 4 4 3 3 2" xfId="21142"/>
    <cellStyle name="Normal 4 4 3 3 3" xfId="21143"/>
    <cellStyle name="Normal 4 4 3 4 2" xfId="21144"/>
    <cellStyle name="壞_Creek Assembly Fixture  Test Equipment RFQ_20090427_Xl0000002_Bolt RFQ Proposal_Foxlink_ (Pricing Summary) 2 25 2011 2" xfId="21145"/>
    <cellStyle name="Normal 4 4 3 4 3" xfId="21146"/>
    <cellStyle name="差_F3   SMT設備明細_M1 Bolt wireless mouse FixtureEquipment Cost_A2_2010_12_07 3 3" xfId="21147"/>
    <cellStyle name="Normal 4 4 4" xfId="21148"/>
    <cellStyle name="差_HP Mouse 產能評估(上系統)_MS Bolt wireless mouse FixtureEquipment Cost_A5_2010_02_21 2 4" xfId="21149"/>
    <cellStyle name="Normal 4 4 4 3" xfId="21150"/>
    <cellStyle name="差_HP Mouse 產能評估(上系統)_MS Bolt wireless mouse FixtureEquipment Cost_A5_2010_02_21 3 3" xfId="21151"/>
    <cellStyle name="Normal 4 4 5 2" xfId="21152"/>
    <cellStyle name="Normal 4 4 5 3" xfId="21153"/>
    <cellStyle name="遽_3錯 PELLET1Ɛ" xfId="21154"/>
    <cellStyle name="Normal 4 4 7" xfId="21155"/>
    <cellStyle name="Normal 4 5" xfId="21156"/>
    <cellStyle name="Normal 4 5 2" xfId="21157"/>
    <cellStyle name="Normal 4 5 2 2" xfId="21158"/>
    <cellStyle name="Normal 4 5 2 2 2" xfId="21159"/>
    <cellStyle name="Normal 4 5 2 2 3" xfId="21160"/>
    <cellStyle name="Normal 4 5 2 2 3 3" xfId="21161"/>
    <cellStyle name="Pénznem_RESULTS" xfId="21162"/>
    <cellStyle name="Normal 4 5 2 2 4" xfId="21163"/>
    <cellStyle name="Normal 4 5 2 2 4 2" xfId="21164"/>
    <cellStyle name="Normal 4 5 2 2 4 3" xfId="21165"/>
    <cellStyle name="Normal 4 5 2 2 6" xfId="21166"/>
    <cellStyle name="Normal 4 5 2 3" xfId="21167"/>
    <cellStyle name="Normal 4 5 2 3 2" xfId="21168"/>
    <cellStyle name="Normal 4 5 2 4" xfId="21169"/>
    <cellStyle name="Normal 4 5 2 4 3" xfId="21170"/>
    <cellStyle name="Normal 4 5 3" xfId="21171"/>
    <cellStyle name="Normal 4 5 3 2" xfId="21172"/>
    <cellStyle name="Normal 4 5 3 3" xfId="21173"/>
    <cellStyle name="差_Xl0000002_Bolt RFQ_Foxlink_03.1 2011_nego meeting@MACH 2 3" xfId="21174"/>
    <cellStyle name="Normal 4 5 3 3 2" xfId="21175"/>
    <cellStyle name="好_River EE BOM_Creak Pearl Reliability Fixture RFQ_2009 04 24_Pearl RFQ(Submittal)ver2_05_12_2009 _Squirrel UniBom-06.23.2010_update_internal 2" xfId="21176"/>
    <cellStyle name="Normal 4 5 3 3 3" xfId="21177"/>
    <cellStyle name="差_Xl0000002_Bolt RFQ_Foxlink_03.1 2011_nego meeting@MACH 3 3" xfId="21178"/>
    <cellStyle name="Normal 4 5 3 4 2" xfId="21179"/>
    <cellStyle name="Normal 4 5 3 4 3" xfId="21180"/>
    <cellStyle name="Normal 4 5 3 6" xfId="21181"/>
    <cellStyle name="Normal 4 5 4" xfId="21182"/>
    <cellStyle name="差_HP  專案(設備&amp;治工具需夠買)update_Erie 效益分析 (Update)_Flow chart and Fixture(1-4)_Jackson 效益分析 (2-1 B0 上系統)_Leopard Flowchart &amp; 產能評估" xfId="21183"/>
    <cellStyle name="差_F3   SMT設備明細_效益分析_Flow chart and Fixture(Jackson)_A1_Jackson 效益分析 (2-1 B0 上系統)" xfId="21184"/>
    <cellStyle name="Normal 4 5 4 2" xfId="21185"/>
    <cellStyle name="Normal 4 5 5" xfId="21186"/>
    <cellStyle name="差_jupite r設備&amp;治工具LIST (總)_flow chart 2009.12.12_~5631336_Jackson 效益分析 (2-1 B0 上系統)_Leopard效益分析08-17" xfId="21187"/>
    <cellStyle name="Normal 4 5 5 2" xfId="21188"/>
    <cellStyle name="Normal 4 5 5 3" xfId="21189"/>
    <cellStyle name="Normal 4 5 7" xfId="21190"/>
    <cellStyle name="Normal 4 7" xfId="21191"/>
    <cellStyle name="Normal 4 7 2" xfId="21192"/>
    <cellStyle name="Normal 4 7 2 3" xfId="21193"/>
    <cellStyle name="Normal 4 7 2 3 2" xfId="21194"/>
    <cellStyle name="Normal 4 7 2 3 3" xfId="21195"/>
    <cellStyle name="好_Creek Assembly Fixture  Test Equipment RFQ_20090427_Xl0000002_Jackson EE BOM " xfId="21196"/>
    <cellStyle name="Normal 4 7 2 4" xfId="21197"/>
    <cellStyle name="好_River EE BOM_Creek RFQ feedback 04_28_2009_FD Update_Foxlink_Shadow RFQ NREUni BOM_12032009_Bolt RFQ_Foxlink_03.1 2011_nego meeting@MACH 2" xfId="21198"/>
    <cellStyle name="Normal 4 7 2 4 3" xfId="21199"/>
    <cellStyle name="Normal 4 7 2 6" xfId="21200"/>
    <cellStyle name="差_jupite r設備&amp;治工具LIST (總)_pq_Flow Chart&amp;設備治工具清單 _Jackson 效益分析 (2-1 B0 上系統)_Leopard Flowchart &amp; 產能評估" xfId="21201"/>
    <cellStyle name="Normal 4 7 3" xfId="21202"/>
    <cellStyle name="Normal 4 7 3 2" xfId="21203"/>
    <cellStyle name="Normal 4 7 3 3" xfId="21204"/>
    <cellStyle name="Normal 4 7 4 2" xfId="21205"/>
    <cellStyle name="好_Creek Assembly Fixture  Test Equipment RFQ_20090427_Leopard_UniBOM_ME_0602-1_Bolt RFQ Proposal_Foxlink_ (Pricing Summary) 2 25 2011 2 2 2" xfId="21206"/>
    <cellStyle name="Normal 4 7 4 3" xfId="21207"/>
    <cellStyle name="好_Creek Assembly Fixture  Test Equipment RFQ_20090427_Leopard_UniBOM_ME_0602-1_Bolt RFQ Proposal_Foxlink_ (Pricing Summary) 2 25 2011 2 2 3" xfId="21208"/>
    <cellStyle name="差_dallas產能評估_Dallas flow chart&amp;設備&amp;治工具清單(12-8 A0)_Jackson 效益分析 testing update_16th Jan1" xfId="21209"/>
    <cellStyle name="好_River EE BOM_Xl0000002_Leopard_UniBOM_ME_0602 3 2" xfId="21210"/>
    <cellStyle name="Normal 4 7 5" xfId="21211"/>
    <cellStyle name="好_Creek Assembly Fixture  Test Equipment RFQ_20090427_Leopard_UniBOM_ME_0602-1_Bolt RFQ Proposal_Foxlink_ (Pricing Summary) 2 25 2011 2 3" xfId="21212"/>
    <cellStyle name="好_River EE BOM_Xl0000002_Leopard_UniBOM_ME_0602 3 3" xfId="21213"/>
    <cellStyle name="Normal 4 7 6" xfId="21214"/>
    <cellStyle name="好_Creek Assembly Fixture  Test Equipment RFQ_20090427_Leopard_UniBOM_ME_0602-1_Bolt RFQ Proposal_Foxlink_ (Pricing Summary) 2 25 2011 2 4" xfId="21215"/>
    <cellStyle name="好_Creek EE BOM cost_20090425_Creek RFQ feedback 04_28_2009_FD Update_Leopard RFQ ME BOM Costs-0618_Bolt RFQ_Foxlink_03.1 2011 2 2" xfId="21216"/>
    <cellStyle name="差_jupite r設備&amp;治工具LIST (總)_Dallas flow chart&amp;設備&amp;治工具清單(12-8 A0)_~5631336_Jackson 效益分析 (2-1 B0 上系統)_squirrel效益分析08-17" xfId="21217"/>
    <cellStyle name="Normal 4 8" xfId="21218"/>
    <cellStyle name="Normal 4 8 2" xfId="21219"/>
    <cellStyle name="差_Xl0000002_Foxlink_Shadow RFQ NREUni BOM_12032009_Bolt RFQ Proposal_Foxlink_ (Pricing Summary) 2 25 2011 4 2" xfId="21220"/>
    <cellStyle name="Normal 4 8 2 3" xfId="21221"/>
    <cellStyle name="Normal 4 8 3" xfId="21222"/>
    <cellStyle name="Normal 4 8 5" xfId="21223"/>
    <cellStyle name="好_Creek Assembly Fixture  Test Equipment RFQ_20090427_Leopard_UniBOM_ME_0602-1_Bolt RFQ Proposal_Foxlink_ (Pricing Summary) 2 25 2011 3 3" xfId="21224"/>
    <cellStyle name="Normal 4 9 2" xfId="21225"/>
    <cellStyle name="Normal 42_Sydney_Premium_Clean_Sheet_4-19-10 (3)" xfId="21226"/>
    <cellStyle name="Normal 45" xfId="21227"/>
    <cellStyle name="Normal 50" xfId="21228"/>
    <cellStyle name="Normal 45 2 2" xfId="21229"/>
    <cellStyle name="Normal 50 2 2" xfId="21230"/>
    <cellStyle name="Normal 45 2 3" xfId="21231"/>
    <cellStyle name="Normal 50 2 3" xfId="21232"/>
    <cellStyle name="Normal 45 2 4" xfId="21233"/>
    <cellStyle name="Normal 50 2 4" xfId="21234"/>
    <cellStyle name="Normal 45 3 2" xfId="21235"/>
    <cellStyle name="Normal 50 3 2" xfId="21236"/>
    <cellStyle name="好_River EE BOM_Creak Pearl Reliability Fixture RFQ_2009 04 24_Xl0000002_Foxlink_Shadow RFQ NREUni BOM_12032009_Bolt RFQ Proposal_Foxlink_ (Pricing Summary) 2 25 2011 4" xfId="21237"/>
    <cellStyle name="Normal 45 3 2 2" xfId="21238"/>
    <cellStyle name="Normal 50 3 2 2" xfId="21239"/>
    <cellStyle name="好_River EE BOM_Creak Pearl Reliability Fixture RFQ_2009 04 24_Xl0000002_Foxlink_Shadow RFQ NREUni BOM_12032009_Bolt RFQ Proposal_Foxlink_ (Pricing Summary) 2 25 2011 5" xfId="21240"/>
    <cellStyle name="Normal 45 3 2 3" xfId="21241"/>
    <cellStyle name="Normal 50 3 2 3" xfId="21242"/>
    <cellStyle name="差_Creak Pearl Reliability Fixture RFQ_2009 04 24_Foxlink_Shadow RFQ NREUni BOM_12032009_Bolt RFQ Proposal_Foxlink_ (Pricing Summary) 2 25 2011 2 2 2" xfId="21243"/>
    <cellStyle name="好_River EE BOM_Creek RFQ feedback 04_28_2009_FD Update_Leopard_UniBOM_ME_0531 2 4" xfId="21244"/>
    <cellStyle name="Normal 45 4 2" xfId="21245"/>
    <cellStyle name="Normal 50 4 2" xfId="21246"/>
    <cellStyle name="差_Creak Pearl Reliability Fixture RFQ_2009 04 24_Foxlink_Shadow RFQ NREUni BOM_12032009_Bolt RFQ Proposal_Foxlink_ (Pricing Summary) 2 25 2011 2 2 3" xfId="21247"/>
    <cellStyle name="Normal 45 4 3" xfId="21248"/>
    <cellStyle name="Normal 50 4 3" xfId="21249"/>
    <cellStyle name="Normal 46" xfId="21250"/>
    <cellStyle name="Normal 51" xfId="21251"/>
    <cellStyle name="Normal 46 2" xfId="21252"/>
    <cellStyle name="Normal 51 2" xfId="21253"/>
    <cellStyle name="Normal 46 2 2" xfId="21254"/>
    <cellStyle name="Normal 51 2 2" xfId="21255"/>
    <cellStyle name="差_HP Mouse 產能評估(Forecast更改後)_M1 Squirrel Capacity planFixtureEquipment Cost_A2_06192010_Leopard UniBom_Foxlink_12272010 RevF_shirley" xfId="21256"/>
    <cellStyle name="Normal 46 2 2 3" xfId="21257"/>
    <cellStyle name="Normal 51 2 2 3" xfId="21258"/>
    <cellStyle name="Normal 46 2 3" xfId="21259"/>
    <cellStyle name="Normal 51 2 3" xfId="21260"/>
    <cellStyle name="Normal 46 2 4" xfId="21261"/>
    <cellStyle name="Normal 51 2 4" xfId="21262"/>
    <cellStyle name="Normal 46 3" xfId="21263"/>
    <cellStyle name="Normal 51 3" xfId="21264"/>
    <cellStyle name="好_River EE BOM_Jackson and Shadow test cost update _7th Feb 2010 (2)_Bristol TC Estimate Update 07292011" xfId="21265"/>
    <cellStyle name="Normal 46 3 2" xfId="21266"/>
    <cellStyle name="Normal 51 3 2" xfId="21267"/>
    <cellStyle name="Normal 46 3 2 3" xfId="21268"/>
    <cellStyle name="Normal 51 3 2 3" xfId="21269"/>
    <cellStyle name="差_Creak Pearl Reliability Fixture RFQ_2009 04 24_Foxlink_Shadow RFQ NREUni BOM_12032009_Bolt RFQ Proposal_Foxlink_ (Pricing Summary) 2 25 2011 3 2" xfId="21270"/>
    <cellStyle name="Normal 46 4" xfId="21271"/>
    <cellStyle name="Normal 51 4" xfId="21272"/>
    <cellStyle name="Normal 46 4 2" xfId="21273"/>
    <cellStyle name="Normal 51 4 2" xfId="21274"/>
    <cellStyle name="Normal 46 4 3" xfId="21275"/>
    <cellStyle name="Normal 51 4 3" xfId="21276"/>
    <cellStyle name="Normal 46 6" xfId="21277"/>
    <cellStyle name="Normal 51 6" xfId="21278"/>
    <cellStyle name="Normal 47" xfId="21279"/>
    <cellStyle name="Normal 52" xfId="21280"/>
    <cellStyle name="Normal 47 2" xfId="21281"/>
    <cellStyle name="Normal 52 2" xfId="21282"/>
    <cellStyle name="好_Erie Assembly Fixture  Test Equip Cost_20090716 2 2 3" xfId="21283"/>
    <cellStyle name="Normal 47 2 2" xfId="21284"/>
    <cellStyle name="Normal 52 2 2" xfId="21285"/>
    <cellStyle name="差_效益分析&amp;產能評估_MS Bolt wireless mouse FixtureEquipment Cost_A5_2010_02_21 2 4" xfId="21286"/>
    <cellStyle name="Normal 47 2 2 2" xfId="21287"/>
    <cellStyle name="Normal 52 2 2 2" xfId="21288"/>
    <cellStyle name="Normal 47 2 2 3" xfId="21289"/>
    <cellStyle name="Normal 52 2 2 3" xfId="21290"/>
    <cellStyle name="Normal 47 2 3" xfId="21291"/>
    <cellStyle name="Normal 52 2 3" xfId="21292"/>
    <cellStyle name="Normal 47 3" xfId="21293"/>
    <cellStyle name="Normal 52 3" xfId="21294"/>
    <cellStyle name="差_HP  專案(設備&amp;治工具需夠買)update_Erie 效益分析 (Update)" xfId="21295"/>
    <cellStyle name="Normal 47 3 2 2" xfId="21296"/>
    <cellStyle name="Normal 52 3 2 2" xfId="21297"/>
    <cellStyle name="Normal 47 3 2 3" xfId="21298"/>
    <cellStyle name="Normal 52 3 2 3" xfId="21299"/>
    <cellStyle name="差_Creak Pearl Reliability Fixture RFQ_2009 04 24_Creek RFQ feedback 04_28_2009_FD Update_Leopard_UniBOM_ME_0603-2_Bolt RFQ Proposal_Foxlink_ (Pricing Summary) 2 25 2011 3" xfId="21300"/>
    <cellStyle name="Normal 47 4 3" xfId="21301"/>
    <cellStyle name="Normal 52 4 3" xfId="21302"/>
    <cellStyle name="Normal 47 6" xfId="21303"/>
    <cellStyle name="Normal 52 6" xfId="21304"/>
    <cellStyle name="Normal 48" xfId="21305"/>
    <cellStyle name="Normal 53" xfId="21306"/>
    <cellStyle name="Normal 48 2" xfId="21307"/>
    <cellStyle name="Normal 53 2" xfId="21308"/>
    <cellStyle name="Normal 48 2 2" xfId="21309"/>
    <cellStyle name="Normal 53 2 2" xfId="21310"/>
    <cellStyle name="差_Creak Pearl Reliability Fixture RFQ_2009 04 24_Leopard_UniBOM_ME_0602_Bolt RFQ_Foxlink_03.1 2011 2 2" xfId="21311"/>
    <cellStyle name="Normal 48 2 2 3" xfId="21312"/>
    <cellStyle name="Normal 53 2 2 3" xfId="21313"/>
    <cellStyle name="Normal 48 2 3" xfId="21314"/>
    <cellStyle name="Normal 53 2 3" xfId="21315"/>
    <cellStyle name="Normal 48 2 4" xfId="21316"/>
    <cellStyle name="Normal 53 2 4" xfId="21317"/>
    <cellStyle name="差_F3   SMT設備明細_Bolt RFQ Proposal_Foxlink_ (Pricing Summary) 2 25 2011 2" xfId="21318"/>
    <cellStyle name="差_Creak Pearl Reliability Fixture RFQ_2009 04 24_Creek  Pearl RFQ_May 12_Leopard_UniBOM_ME_0603-2_Bolt RFQ_Foxlink_03.1 2011_nego meeting@MACH 2 3" xfId="21319"/>
    <cellStyle name="Normal 48 3 2" xfId="21320"/>
    <cellStyle name="Normal 53 3 2" xfId="21321"/>
    <cellStyle name="差_F3   SMT設備明細_Bolt RFQ Proposal_Foxlink_ (Pricing Summary) 2 25 2011 2 2" xfId="21322"/>
    <cellStyle name="Normal 48 3 2 2" xfId="21323"/>
    <cellStyle name="Normal 53 3 2 2" xfId="21324"/>
    <cellStyle name="差_Creak Pearl Reliability Fixture RFQ_2009 04 24_Foxlink_Shadow RFQ NREUni BOM_12032009_Bolt RFQ Proposal_Foxlink_ (Pricing Summary) 2 25 2011 5 2" xfId="21325"/>
    <cellStyle name="Normal 48 4" xfId="21326"/>
    <cellStyle name="Normal 53 4" xfId="21327"/>
    <cellStyle name="差_Creak Pearl Reliability Fixture RFQ_2009 04 24_Foxlink_Shadow RFQ NREUni BOM_12032009_Bolt RFQ Proposal_Foxlink_ (Pricing Summary) 2 25 2011 5 3" xfId="21328"/>
    <cellStyle name="Normal 48 5" xfId="21329"/>
    <cellStyle name="Normal 53 5" xfId="21330"/>
    <cellStyle name="Normal 48 6" xfId="21331"/>
    <cellStyle name="Normal 53 6" xfId="21332"/>
    <cellStyle name="Normal 49" xfId="21333"/>
    <cellStyle name="Normal 54" xfId="21334"/>
    <cellStyle name="Normal 49 2" xfId="21335"/>
    <cellStyle name="Normal 54 2" xfId="21336"/>
    <cellStyle name="一般 6" xfId="21337"/>
    <cellStyle name="Normal 49 2 2" xfId="21338"/>
    <cellStyle name="Normal 54 2 2" xfId="21339"/>
    <cellStyle name="一般 6 3" xfId="21340"/>
    <cellStyle name="Normal 49 2 2 3" xfId="21341"/>
    <cellStyle name="Normal 54 2 2 3" xfId="21342"/>
    <cellStyle name="一般 7" xfId="21343"/>
    <cellStyle name="Normal 49 2 3" xfId="21344"/>
    <cellStyle name="Normal 54 2 3" xfId="21345"/>
    <cellStyle name="Normal 49 3" xfId="21346"/>
    <cellStyle name="Normal 54 3" xfId="21347"/>
    <cellStyle name="差_jupite r設備&amp;治工具LIST (總)_Flow Chart&amp;PQ分析(12-1)_效益分析(總 12-28 Update)_Leopard Flowchart &amp; 產能評估" xfId="21348"/>
    <cellStyle name="Normal 49 3 2 2" xfId="21349"/>
    <cellStyle name="Normal 54 3 2 2" xfId="21350"/>
    <cellStyle name="好_Xl0000002" xfId="21351"/>
    <cellStyle name="差_dallas產能評估_Flow Chart(shadow) A3 _Jackson 效益分析 (2-1 B0 上系統)_squirrel效益分析08-17" xfId="21352"/>
    <cellStyle name="Normal 49 3 2 3" xfId="21353"/>
    <cellStyle name="Normal 54 3 2 3" xfId="21354"/>
    <cellStyle name="Normal 49 5" xfId="21355"/>
    <cellStyle name="Normal 54 5" xfId="21356"/>
    <cellStyle name="Normal 5 11" xfId="21357"/>
    <cellStyle name="Normal 5 12" xfId="21358"/>
    <cellStyle name="Normal 5 14" xfId="21359"/>
    <cellStyle name="Normal 5 15" xfId="21360"/>
    <cellStyle name="Normal 5 20" xfId="21361"/>
    <cellStyle name="差_Jackson 效益分析 (2-1 B0 上系統)_Leopard Flowchart &amp; 產能評估" xfId="21362"/>
    <cellStyle name="Normal 5 16" xfId="21363"/>
    <cellStyle name="Normal 5 21" xfId="21364"/>
    <cellStyle name="Normal 5 16 2 2" xfId="21365"/>
    <cellStyle name="Normal 5 16 3" xfId="21366"/>
    <cellStyle name="Normal 5 16 3 3" xfId="21367"/>
    <cellStyle name="差_MB9月管審誤判超標 8D 2 4" xfId="21368"/>
    <cellStyle name="Normal 5 16 4" xfId="21369"/>
    <cellStyle name="Normal 5 16 5" xfId="21370"/>
    <cellStyle name="差_Creak Pearl Reliability Fixture RFQ_2009 04 24_Creek RFQ feedback 04_28_2009_FD Update_Leopard RFQ ME BOM Costs-0618-2_Bolt RFQ_Foxlink_03.1 2011_nego meeting@MACH 2" xfId="21371"/>
    <cellStyle name="好_River EE BOM_Creek RFQ feedback 04_28_2009_FD Update_Leopard RFQ ME BOM Costs-0618_Bolt RFQ_Foxlink_03.1 2011_nego meeting@MACH 3 3" xfId="21372"/>
    <cellStyle name="Normal 5 18 2" xfId="21373"/>
    <cellStyle name="差_Creak Pearl Reliability Fixture RFQ_2009 04 24_Creek RFQ feedback 04_28_2009_FD Update_Leopard RFQ ME BOM Costs-0618-2_Bolt RFQ_Foxlink_03.1 2011_nego meeting@MACH 3" xfId="21374"/>
    <cellStyle name="Normal 5 18 3" xfId="21375"/>
    <cellStyle name="好_Creek Assembly Fixture  Test Equipment RFQ_20090427_Xl0000002_Leopard RFQ ME BOM Costs-0618-2_Bolt RFQ Proposal_Foxlink_ (Pricing Summary) 2 25 2011 4 2" xfId="21376"/>
    <cellStyle name="Normal 5 19" xfId="21377"/>
    <cellStyle name="Normal 5 24" xfId="21378"/>
    <cellStyle name="Normal 5 2" xfId="21379"/>
    <cellStyle name="Normal 5 2 2 2 2" xfId="21380"/>
    <cellStyle name="差_Creak Pearl Reliability Fixture RFQ_2009 04 24_Xl0000002_Squirrel RFQ ME BOM Costs-0623_Bolt RFQ_Foxlink_03.1 2011 2 2" xfId="21381"/>
    <cellStyle name="差_Creak Pearl Reliability Fixture RFQ_2009 04 24_Xl0000002_Leopard_UniBOM_ME_0603-2_Bolt RFQ_Foxlink_03.1 2011_nego meeting@MACH 2" xfId="21382"/>
    <cellStyle name="壞_Creek EE BOM cost_20090425_Creek RFQ feedback 04_28_2009_FD Update_Leopard RFQ ME BOM Costs-0618-2_Bolt RFQ Proposal_Foxlink_ (Pricing Summary) 2 25 2011 4 2" xfId="21383"/>
    <cellStyle name="好_River EE BOM_Creak Pearl Reliability Fixture RFQ_2009 04 24_Pearl RFQ(Submittal)ver2_05_12_2009 _Leopard_UniBOM_ME_0602_Bolt RFQ Proposal_Foxlink_ (Pricing Summary) 2 25 2011" xfId="21384"/>
    <cellStyle name="Normal 5 2 2 2 3 2" xfId="21385"/>
    <cellStyle name="差_Creak Pearl Reliability Fixture RFQ_2009 04 24_Xl0000002_Squirrel RFQ ME BOM Costs-0623_Bolt RFQ_Foxlink_03.1 2011 2 3" xfId="21386"/>
    <cellStyle name="差_Creak Pearl Reliability Fixture RFQ_2009 04 24_Xl0000002_Leopard_UniBOM_ME_0603-2_Bolt RFQ_Foxlink_03.1 2011_nego meeting@MACH 3" xfId="21387"/>
    <cellStyle name="Normal 5 2 2 2 3 3" xfId="21388"/>
    <cellStyle name="差_Creak Pearl Reliability Fixture RFQ_2009 04 24_Xl0000002_Squirrel RFQ ME BOM Costs-0623_Bolt RFQ_Foxlink_03.1 2011 3" xfId="21389"/>
    <cellStyle name="Normal 5 2 2 2 4" xfId="21390"/>
    <cellStyle name="差_Creak Pearl Reliability Fixture RFQ_2009 04 24_Xl0000002_Squirrel RFQ ME BOM Costs-0623_Bolt RFQ_Foxlink_03.1 2011 3 2" xfId="21391"/>
    <cellStyle name="Normal 5 2 2 2 4 2" xfId="21392"/>
    <cellStyle name="差_Creak Pearl Reliability Fixture RFQ_2009 04 24_Xl0000002_Squirrel RFQ ME BOM Costs-0623_Bolt RFQ_Foxlink_03.1 2011 3 3" xfId="21393"/>
    <cellStyle name="Normal 5 2 2 2 4 3" xfId="21394"/>
    <cellStyle name="差_Creak Pearl Reliability Fixture RFQ_2009 04 24_Xl0000002_Squirrel RFQ ME BOM Costs-0623_Bolt RFQ_Foxlink_03.1 2011 4" xfId="21395"/>
    <cellStyle name="Normal 5 2 2 2 5" xfId="21396"/>
    <cellStyle name="差_Creak Pearl Reliability Fixture RFQ_2009 04 24_Xl0000002_Squirrel RFQ ME BOM Costs-0623_Bolt RFQ_Foxlink_03.1 2011 5" xfId="21397"/>
    <cellStyle name="Normal 5 2 2 2 6" xfId="21398"/>
    <cellStyle name="Normal 5 2 2 3 3" xfId="21399"/>
    <cellStyle name="差_Creak Pearl Reliability Fixture RFQ_2009 04 24_Leopard_UniBOM_ME_0602-1_Bolt RFQ_Foxlink_03.1 2011_nego meeting@MACH 2" xfId="21400"/>
    <cellStyle name="Normal 5 2 2 4" xfId="21401"/>
    <cellStyle name="差_Creak Pearl Reliability Fixture RFQ_2009 04 24_Leopard_UniBOM_ME_0602-1_Bolt RFQ_Foxlink_03.1 2011_nego meeting@MACH 2 2" xfId="21402"/>
    <cellStyle name="Normal 5 2 2 4 2" xfId="21403"/>
    <cellStyle name="差_Creak Pearl Reliability Fixture RFQ_2009 04 24_Leopard_UniBOM_ME_0602-1_Bolt RFQ_Foxlink_03.1 2011_nego meeting@MACH 2 3" xfId="21404"/>
    <cellStyle name="Normal 5 2 2 4 3" xfId="21405"/>
    <cellStyle name="差_Creak Pearl Reliability Fixture RFQ_2009 04 24_Leopard_UniBOM_ME_0602-1_Bolt RFQ_Foxlink_03.1 2011_nego meeting@MACH 3" xfId="21406"/>
    <cellStyle name="Normal 5 2 2 5" xfId="21407"/>
    <cellStyle name="差_Creak Pearl Reliability Fixture RFQ_2009 04 24_Leopard_UniBOM_ME_0602-1_Bolt RFQ_Foxlink_03.1 2011_nego meeting@MACH 4" xfId="21408"/>
    <cellStyle name="Normal 5 2 2 6" xfId="21409"/>
    <cellStyle name="Normal 5 2 3" xfId="21410"/>
    <cellStyle name="Normal 5 2 3 3" xfId="21411"/>
    <cellStyle name="Normal 5 2 3 3 2 2" xfId="21412"/>
    <cellStyle name="Normal 5 2 3 3 2 3" xfId="21413"/>
    <cellStyle name="Normal 5 2 3 3 3 2" xfId="21414"/>
    <cellStyle name="差_Creak Pearl Reliability Fixture RFQ_2009 04 24_Foxlink_Shadow RFQ NREUni BOM_12032009_Bolt RFQ_Foxlink_03.1 2011" xfId="21415"/>
    <cellStyle name="Normal 5 2 3 3 3 3" xfId="21416"/>
    <cellStyle name="Normal 5 2 3 3 4" xfId="21417"/>
    <cellStyle name="Normal 5 2 3 3 5" xfId="21418"/>
    <cellStyle name="Normal 5 2 4" xfId="21419"/>
    <cellStyle name="Normal 5 2 4 2 2" xfId="21420"/>
    <cellStyle name="Normal 5 2 4 2 3" xfId="21421"/>
    <cellStyle name="Normal 5 2 4 3" xfId="21422"/>
    <cellStyle name="Normal 5 2 4 3 2" xfId="21423"/>
    <cellStyle name="Normal 5 2 4 3 3" xfId="21424"/>
    <cellStyle name="Normal 5 2 4 5" xfId="21425"/>
    <cellStyle name="Normal 5 2 5" xfId="21426"/>
    <cellStyle name="Normal 5 2 5 2" xfId="21427"/>
    <cellStyle name="Normal 5 2 5 3" xfId="21428"/>
    <cellStyle name="Normal 5 2 6" xfId="21429"/>
    <cellStyle name="Normal 5 2 6 2" xfId="21430"/>
    <cellStyle name="Normal 5 2 6 3" xfId="21431"/>
    <cellStyle name="好_River EE BOM_Xl0000000_Bolt RFQ Proposal_Foxlink_ (Pricing Summary) 2 25 2011 4 3" xfId="21432"/>
    <cellStyle name="Normal 5 2 8" xfId="21433"/>
    <cellStyle name="好_Creek Assembly Fixture  Test Equipment RFQ_20090427_Xl0000002_Leopard RFQ ME BOM Costs-0618-2_Bolt RFQ Proposal_Foxlink_ (Pricing Summary) 2 25 2011 4 3" xfId="21434"/>
    <cellStyle name="Normal 5 25" xfId="21435"/>
    <cellStyle name="Normal 5 30" xfId="21436"/>
    <cellStyle name="Normal 5 26" xfId="21437"/>
    <cellStyle name="Normal 5 31" xfId="21438"/>
    <cellStyle name="Normal 5 27" xfId="21439"/>
    <cellStyle name="Normal 5 32" xfId="21440"/>
    <cellStyle name="差_Creek RFQ feedback 04_28_2009_FD Update_Squirrel RFQ ME BOM Costs-0623_Bolt RFQ_Foxlink_03.1 2011_nego meeting@MACH" xfId="21441"/>
    <cellStyle name="Normal 5 29" xfId="21442"/>
    <cellStyle name="Normal 5 34" xfId="21443"/>
    <cellStyle name="好_River EE BOM_Creak Pearl Reliability Fixture RFQ_2009 04 24_Xl0000002_Leopard_UniBOM_ME_0603-2 2" xfId="21444"/>
    <cellStyle name="Normal 5 3" xfId="21445"/>
    <cellStyle name="好_River EE BOM_Creak Pearl Reliability Fixture RFQ_2009 04 24_Xl0000002_Leopard_UniBOM_ME_0603-2 2 2" xfId="21446"/>
    <cellStyle name="Normal 5 3 2" xfId="21447"/>
    <cellStyle name="好_River EE BOM_Creek RFQ feedback 04_28_2009_FD Update_Squirrel UniBom-06.23.2010_update_internal_Bolt RFQ_Foxlink_03.1 2011_nego meeting@MACH 3 3" xfId="21448"/>
    <cellStyle name="Normal 5 3 2 2 2" xfId="21449"/>
    <cellStyle name="Normal 5 3 2 2 3 2" xfId="21450"/>
    <cellStyle name="好_Creek Assembly Fixture  Test Equipment RFQ_20090427_Leopard_UniBOM_ME_0602-1_Bolt RFQ_Foxlink_03.1 2011_Bolt_Cliff 2" xfId="21451"/>
    <cellStyle name="Normal 5 3 2 2 3 3" xfId="21452"/>
    <cellStyle name="Normal 5 3 2 2 4" xfId="21453"/>
    <cellStyle name="Normal 5 3 2 2 4 2" xfId="21454"/>
    <cellStyle name="Normal 5 3 2 2 4 3" xfId="21455"/>
    <cellStyle name="Normal 5 3 2 2 5" xfId="21456"/>
    <cellStyle name="Normal 5 3 2 4" xfId="21457"/>
    <cellStyle name="Normal 5 3 2 4 2" xfId="21458"/>
    <cellStyle name="Normal 5 3 2 5" xfId="21459"/>
    <cellStyle name="Normal 5 3 2 6" xfId="21460"/>
    <cellStyle name="好_River EE BOM_Creak Pearl Reliability Fixture RFQ_2009 04 24_Xl0000002_Leopard_UniBOM_ME_0603-2 2 3" xfId="21461"/>
    <cellStyle name="Normal 5 3 3" xfId="21462"/>
    <cellStyle name="Normal 5 3 3 2" xfId="21463"/>
    <cellStyle name="Normal 5 3 3 3" xfId="21464"/>
    <cellStyle name="Normal 5 3 3 3 2" xfId="21465"/>
    <cellStyle name="Normal 5 3 3 3 2 2" xfId="21466"/>
    <cellStyle name="Normal 5 3 3 3 2 3" xfId="21467"/>
    <cellStyle name="Normal 5 3 3 3 3 2" xfId="21468"/>
    <cellStyle name="Normal 5 3 3 3 3 3" xfId="21469"/>
    <cellStyle name="Total 14 2" xfId="21470"/>
    <cellStyle name="Normal 5 3 3 3 4" xfId="21471"/>
    <cellStyle name="好_River EE BOM_Creak Pearl Reliability Fixture RFQ_2009 04 24_Xl0000002_Leopard_UniBOM_ME_0603-2 2 4" xfId="21472"/>
    <cellStyle name="Normal 5 3 4" xfId="21473"/>
    <cellStyle name="Normal 5 3 4 2 2" xfId="21474"/>
    <cellStyle name="Style 1_IDL" xfId="21475"/>
    <cellStyle name="Normal 5 3 4 2 3" xfId="21476"/>
    <cellStyle name="好_River EE BOM_Foxlink_Shadow RFQ NREUni BOM_12032009_Bolt RFQ_Foxlink_03.1 2011 5" xfId="21477"/>
    <cellStyle name="Normal 5 3 4 3" xfId="21478"/>
    <cellStyle name="Normal 5 3 4 3 3" xfId="21479"/>
    <cellStyle name="Normal 5 3 4 4" xfId="21480"/>
    <cellStyle name="好_River EE BOM_Creek RFQ feedback 04_28_2009_FD Update_Foxlink_Shadow RFQ NREUni BOM_12032009_Bolt RFQ_Foxlink_03.1 2011 3 2" xfId="21481"/>
    <cellStyle name="Normal 5 3 4 5" xfId="21482"/>
    <cellStyle name="Normal 5 3 5" xfId="21483"/>
    <cellStyle name="差_Creak Pearl Reliability Fixture RFQ_2009 04 24_Pearl RFQ(Submittal)ver2_05_12_2009 _Leopard_UniBOM_ME_0602-1_Bolt RFQ_Foxlink_03.1 2011_nego meeting@MACH 3" xfId="21484"/>
    <cellStyle name="好_Erie Assembly Fixture  Test Equip Cost_20090716_Foxlink_Shadow RFQ NREUni BOM_12032009_Squirrel UniBom_Foxlink_6 28 2010" xfId="21485"/>
    <cellStyle name="Normal 5 3 5 2" xfId="21486"/>
    <cellStyle name="差_Creak Pearl Reliability Fixture RFQ_2009 04 24_Pearl RFQ(Submittal)ver2_05_12_2009 _Leopard_UniBOM_ME_0602-1_Bolt RFQ_Foxlink_03.1 2011_nego meeting@MACH 4" xfId="21487"/>
    <cellStyle name="Normal 5 3 5 3" xfId="21488"/>
    <cellStyle name="Normal 5 3 6" xfId="21489"/>
    <cellStyle name="Normal 5 3 6 3" xfId="21490"/>
    <cellStyle name="好_River EE BOM_Creak Pearl Reliability Fixture RFQ_2009 04 24_Xl0000002_Leopard_UniBOM_ME_0603-2 3" xfId="21491"/>
    <cellStyle name="Normal 5 4" xfId="21492"/>
    <cellStyle name="差_F3   SMT設備明細_效益分析_Dallas效益分析&amp;投資回收期 (12-2 A1)_~5631336_Jackson 效益分析 (2-1 B0 上系統)" xfId="21493"/>
    <cellStyle name="Normal 5 4 2 2 2" xfId="21494"/>
    <cellStyle name="Normal 5 4 2 2 3" xfId="21495"/>
    <cellStyle name="Normal 5 4 2 2 3 2" xfId="21496"/>
    <cellStyle name="Normal 5 4 2 2 3 3" xfId="21497"/>
    <cellStyle name="Normal 5 4 2 2 4" xfId="21498"/>
    <cellStyle name="Normal 5 4 2 2 4 2" xfId="21499"/>
    <cellStyle name="Normal 5 4 2 2 4 3" xfId="21500"/>
    <cellStyle name="Normal 5 4 2 2 6" xfId="21501"/>
    <cellStyle name="Normal 5 4 2 3 2" xfId="21502"/>
    <cellStyle name="Normal 5 4 2 4 2" xfId="21503"/>
    <cellStyle name="Normal 5 4 2 4 3" xfId="21504"/>
    <cellStyle name="Normal 5 4 2 6" xfId="21505"/>
    <cellStyle name="Normal 5 4 3 3 2" xfId="21506"/>
    <cellStyle name="Normal 5 4 3 3 3 2" xfId="21507"/>
    <cellStyle name="Normal 5 4 3 3 3 3" xfId="21508"/>
    <cellStyle name="Normal 5 4 3 3 4" xfId="21509"/>
    <cellStyle name="Normal 5 4 3 3 5" xfId="21510"/>
    <cellStyle name="差_HP Mouse 產能評估(上系統)_M1 Squirrel Capacity planFixtureEquipment Cost_A2_06192010_Squirrel UniBom_Foxlink_6 28 2010" xfId="21511"/>
    <cellStyle name="Normal 5 4 4" xfId="21512"/>
    <cellStyle name="差_Erie mouse 效益分析( 11-19 A1)_Jackson 效益分析 (2-1 B0 上系統)_squirrel效益分析08-17" xfId="21513"/>
    <cellStyle name="差_jupite r設備&amp;治工具LIST (總)_pq_Flow chart and Fixture(Jackson)_A1" xfId="21514"/>
    <cellStyle name="Normal 5 4 4 2 3" xfId="21515"/>
    <cellStyle name="Normal 5 4 4 3 2" xfId="21516"/>
    <cellStyle name="Normal 5 4 4 3 3" xfId="21517"/>
    <cellStyle name="Normal 5 4 4 4" xfId="21518"/>
    <cellStyle name="Normal 5 4 4 5" xfId="21519"/>
    <cellStyle name="Normal 5 4 5 3" xfId="21520"/>
    <cellStyle name="Normal 5 4 6 2" xfId="21521"/>
    <cellStyle name="Normal 5 4 6 3" xfId="21522"/>
    <cellStyle name="Normal 5 4 7" xfId="21523"/>
    <cellStyle name="Normal 5 4 8" xfId="21524"/>
    <cellStyle name="Normal 5 5" xfId="21525"/>
    <cellStyle name="好_~4508952" xfId="21526"/>
    <cellStyle name="Normal 5 6 2 3 2" xfId="21527"/>
    <cellStyle name="Normal 5 6 2 3 3 2" xfId="21528"/>
    <cellStyle name="Normal 5 6 2 3 3 3" xfId="21529"/>
    <cellStyle name="Normal 5 6 2 3 4" xfId="21530"/>
    <cellStyle name="Normal 5 6 2 3 5" xfId="21531"/>
    <cellStyle name="Normal 5 6 3 3" xfId="21532"/>
    <cellStyle name="差_Creak Pearl Reliability Fixture RFQ_2009 04 24_Xl0000002_Squirrel UniBom-06.23.2010_update_internal 2 2 2" xfId="21533"/>
    <cellStyle name="Normal 5 6 3 3 3" xfId="21534"/>
    <cellStyle name="Normal 5 6 3 4" xfId="21535"/>
    <cellStyle name="差_F3   SMT設備明細_效益分析_Flow Chart&amp;設備治工具清單 " xfId="21536"/>
    <cellStyle name="Normal 5 6 3 5" xfId="21537"/>
    <cellStyle name="Normal 5 6 4" xfId="21538"/>
    <cellStyle name="Normal 5 6 4 3" xfId="21539"/>
    <cellStyle name="Normal 5 6 5 3" xfId="21540"/>
    <cellStyle name="Normal 5 6 6" xfId="21541"/>
    <cellStyle name="差_F3   SMT設備明細_效益分析_Flow Chart(shadow) A3 _Jackson 效益分析 (2-1 B0 上系統)_Leopard效益分析08-17" xfId="21542"/>
    <cellStyle name="Normal 5 7" xfId="21543"/>
    <cellStyle name="Normal 5 7 2" xfId="21544"/>
    <cellStyle name="差_F3   SMT設備明細_jupite r設備&amp;治工具LIST (總)_Dallas效益分析&amp;投資回收期 (12-2 A1)_Flow chart and Fixture(Jackson)_A1_Jackson 效益分析 (2-1 B0 上系統)_Leopard Flowchart &amp; 產能評估" xfId="21545"/>
    <cellStyle name="Normal 5 7 2 2 3" xfId="21546"/>
    <cellStyle name="好_River EE BOM_Creak Pearl Reliability Fixture RFQ_2009 04 24_Pearl RFQ(Submittal)ver2_05_12_2009 _Leopard RFQ ME BOM Costs-0618-2_Bolt RFQ_Foxlink_03.1 2011 2" xfId="21547"/>
    <cellStyle name="Normal 5 7 2 3 2" xfId="21548"/>
    <cellStyle name="好_River EE BOM_Creak Pearl Reliability Fixture RFQ_2009 04 24_Pearl RFQ(Submittal)ver2_05_12_2009 _Leopard RFQ ME BOM Costs-0618-2_Bolt RFQ_Foxlink_03.1 2011 3" xfId="21549"/>
    <cellStyle name="Normal 5 7 2 3 3" xfId="21550"/>
    <cellStyle name="Normal 5 7 2 5" xfId="21551"/>
    <cellStyle name="好_Creek EE BOM cost_20090425_Creek RFQ feedback 04_28_2009_FD Update_Leopard RFQ ME BOM Costs-0618-2 2 2 2" xfId="21552"/>
    <cellStyle name="好_Creek EE BOM cost_20090425_Creek RFQ feedback 04_28_2009_FD Update_Leopard RFQ ME BOM Costs-0618_Bolt RFQ_Foxlink_03.1 2011 3 2" xfId="21553"/>
    <cellStyle name="Normal 5 8" xfId="21554"/>
    <cellStyle name="好_Creek EE BOM cost_20090425_Creek RFQ feedback 04_28_2009_FD Update_Leopard RFQ ME BOM Costs-0618-2 2 2 3" xfId="21555"/>
    <cellStyle name="好_Creek EE BOM cost_20090425_Creek RFQ feedback 04_28_2009_FD Update_Leopard RFQ ME BOM Costs-0618_Bolt RFQ_Foxlink_03.1 2011 3 3" xfId="21556"/>
    <cellStyle name="Normal 5 9" xfId="21557"/>
    <cellStyle name="差_效益分析&amp;產能評估_Bolt RFQ Proposal_Foxlink_ (Pricing Summary) 2 25 2011 2 4" xfId="21558"/>
    <cellStyle name="差_Xl0000002_Leopard_UniBOM_ME_0531_Bolt RFQ Proposal_Foxlink_ (Pricing Summary) 2 25 2011 2" xfId="21559"/>
    <cellStyle name="Normal 51_Sydney_Premium_Clean_Sheet_12-20" xfId="21560"/>
    <cellStyle name="Normal 55" xfId="21561"/>
    <cellStyle name="Normal 60" xfId="21562"/>
    <cellStyle name="差_Creak Pearl Reliability Fixture RFQ_2009 04 24_Xl0000002_Squirrel RFQ ME BOM Costs-0623_Bolt RFQ Proposal_Foxlink_ (Pricing Summary) 2 25 2011 2 2" xfId="21563"/>
    <cellStyle name="好_River EE BOM_Creak Pearl Reliability Fixture RFQ_2009 04 24_Creek  Pearl RFQ_May 12_Leopard_UniBOM_ME_0602 2" xfId="21564"/>
    <cellStyle name="Normal 55 2 2" xfId="21565"/>
    <cellStyle name="Normal 60 2 2" xfId="21566"/>
    <cellStyle name="好_River EE BOM_Creak Pearl Reliability Fixture RFQ_2009 04 24_Creek  Pearl RFQ_May 12_Leopard_UniBOM_ME_0602 2 2" xfId="21567"/>
    <cellStyle name="Normal 55 2 2 2" xfId="21568"/>
    <cellStyle name="好_River EE BOM_Creak Pearl Reliability Fixture RFQ_2009 04 24_Creek  Pearl RFQ_May 12_Leopard_UniBOM_ME_0602 2 3" xfId="21569"/>
    <cellStyle name="Normal 55 2 2 3" xfId="21570"/>
    <cellStyle name="差_Xl0000000_Jackson NRE Uni BOM_update _05072010 rev K" xfId="21571"/>
    <cellStyle name="好_River EE BOM_Creak Pearl Reliability Fixture RFQ_2009 04 24_Creek  Pearl RFQ_May 12_Leopard_UniBOM_ME_0602 3" xfId="21572"/>
    <cellStyle name="Normal 55 2 3" xfId="21573"/>
    <cellStyle name="Normal 60 2 3" xfId="21574"/>
    <cellStyle name="好_River EE BOM_Xl0000002_Leopard UniBom_Foxlink_6 21 2010-ME_nego_Bolt RFQ_Foxlink_03.1 2011 2 3" xfId="21575"/>
    <cellStyle name="好_River EE BOM_Creak Pearl Reliability Fixture RFQ_2009 04 24_Creek  Pearl RFQ_May 12_Leopard_UniBOM_ME_0602 3 2" xfId="21576"/>
    <cellStyle name="Normal 55 2 3 2" xfId="21577"/>
    <cellStyle name="好_River EE BOM_Creak Pearl Reliability Fixture RFQ_2009 04 24_Creek  Pearl RFQ_May 12_Leopard_UniBOM_ME_0602 3 3" xfId="21578"/>
    <cellStyle name="Normal 55 2 3 3" xfId="21579"/>
    <cellStyle name="Normal 55 2 4" xfId="21580"/>
    <cellStyle name="Normal 56" xfId="21581"/>
    <cellStyle name="Normal 61" xfId="21582"/>
    <cellStyle name="差_Creak Pearl Reliability Fixture RFQ_2009 04 24_Xl0000002_Squirrel RFQ ME BOM Costs-0623_Bolt RFQ Proposal_Foxlink_ (Pricing Summary) 2 25 2011 2 3" xfId="21583"/>
    <cellStyle name="Normal 56 2" xfId="21584"/>
    <cellStyle name="Normal 61 2" xfId="21585"/>
    <cellStyle name="好_River EE BOM_Creak Pearl Reliability Fixture RFQ_2009 04 24_Xl0000002_Leopard_UniBOM_ME_0531_Bolt RFQ_Foxlink_03.1 2011" xfId="21586"/>
    <cellStyle name="差_Xl0000002_Foxlink_Shadow RFQ NREUni BOM_12032009_Bolt RFQ_Foxlink_03.1 2011 3 3" xfId="21587"/>
    <cellStyle name="Normal 56 2 2" xfId="21588"/>
    <cellStyle name="Normal 61 2 2" xfId="21589"/>
    <cellStyle name="Normal 56 2 3" xfId="21590"/>
    <cellStyle name="Normal 56 3" xfId="21591"/>
    <cellStyle name="Normal 61 3" xfId="21592"/>
    <cellStyle name="Normal 56 3 2" xfId="21593"/>
    <cellStyle name="Normal 56 3 3" xfId="21594"/>
    <cellStyle name="Normal 57" xfId="21595"/>
    <cellStyle name="Normal 62" xfId="21596"/>
    <cellStyle name="差_Creak Pearl Reliability Fixture RFQ_2009 04 24_Xl0000002_Squirrel RFQ ME BOM Costs-0623_Bolt RFQ Proposal_Foxlink_ (Pricing Summary) 2 25 2011 2 4" xfId="21597"/>
    <cellStyle name="好_Creek Assembly Fixture  Test Equipment RFQ_20090427_Xl0000002_Bolt RFQ_Foxlink_03.1 2011 3 2" xfId="21598"/>
    <cellStyle name="Normal 59" xfId="21599"/>
    <cellStyle name="Normal 64" xfId="21600"/>
    <cellStyle name="Normal 59 2" xfId="21601"/>
    <cellStyle name="好_Creek Assembly Fixture  Test Equipment RFQ_20090427_Leopard_UniBOM_ME_0602-1_Bolt RFQ_Foxlink_03.1 2011_nego meeting@MACH_Bolt_Cliff 4" xfId="21602"/>
    <cellStyle name="差_Creek RFQ feedback 04_28_2009_FD Update_Leopard RFQ ME BOM Costs-0618-2_Bolt RFQ Proposal_Foxlink_ (Pricing Summary) 2 25 2011 3" xfId="21603"/>
    <cellStyle name="Normal 59 2 2" xfId="21604"/>
    <cellStyle name="好_Creek Assembly Fixture  Test Equipment RFQ_20090427_Leopard_UniBOM_ME_0602-1_Bolt RFQ_Foxlink_03.1 2011_nego meeting@MACH_Bolt_Cliff 5" xfId="21605"/>
    <cellStyle name="差_Creek RFQ feedback 04_28_2009_FD Update_Leopard RFQ ME BOM Costs-0618-2_Bolt RFQ Proposal_Foxlink_ (Pricing Summary) 2 25 2011 4" xfId="21606"/>
    <cellStyle name="Normal 59 2 3" xfId="21607"/>
    <cellStyle name="Normal 6" xfId="21608"/>
    <cellStyle name="差_F3   SMT設備明細_jupite r設備&amp;治工具LIST (總)_Flow Chart(shadow)-b (1-4 Update)_Jackson 效益分析 (2-1 B0 上系統)_Leopard Flowchart &amp; 產能評估" xfId="21609"/>
    <cellStyle name="Normal 6 2" xfId="21610"/>
    <cellStyle name="Normal 6 2 2" xfId="21611"/>
    <cellStyle name="Normal 6 2 2 2" xfId="21612"/>
    <cellStyle name="Normal 6 2 2 2 2" xfId="21613"/>
    <cellStyle name="好_Creek Assembly Fixture  Test Equipment RFQ_20090427_Squirrel RFQ ME BOM Costs-0623" xfId="21614"/>
    <cellStyle name="Normal 6 2 2 2 3" xfId="21615"/>
    <cellStyle name="Normal 6 2 2 4" xfId="21616"/>
    <cellStyle name="好_River EE BOM_Creak Pearl Reliability Fixture RFQ_2009 04 24_Creek RFQ feedback 04_28_2009_FD Update_Leopard_UniBOM_ME_0602_Bolt RFQ_Foxlink_03.1 2011 2 2" xfId="21617"/>
    <cellStyle name="Normal 6 2 3" xfId="21618"/>
    <cellStyle name="Normal 6 3" xfId="21619"/>
    <cellStyle name="Normal 6 3 2" xfId="21620"/>
    <cellStyle name="好_River EE BOM_Creak Pearl Reliability Fixture RFQ_2009 04 24_Creek RFQ feedback 04_28_2009_FD Update_Leopard_UniBOM_ME_0602_Bolt RFQ_Foxlink_03.1 2011 3 2" xfId="21621"/>
    <cellStyle name="Normal 6 3 3" xfId="21622"/>
    <cellStyle name="Normal 6 4" xfId="21623"/>
    <cellStyle name="好_Creek Assembly Fixture  Test Equipment RFQ_20090427_Leopard RFQ ME BOM Costs-0618-2_Bolt RFQ_Foxlink_03.1 2011_nego meeting@MACH_Bolt_Cliff 2 2" xfId="21624"/>
    <cellStyle name="Normal 6 5" xfId="21625"/>
    <cellStyle name="Normal 60 3 2" xfId="21626"/>
    <cellStyle name="差_F3   SMT設備明細_jupite r設備&amp;治工具LIST (總)_Flow Chart&amp;PQ分析(12-1)_效益分析(總 12-28 Update)" xfId="21627"/>
    <cellStyle name="好_料號申請單(2)" xfId="21628"/>
    <cellStyle name="好_River EE BOM_Creak Pearl Reliability Fixture RFQ_2009 04 24_Xl0000002_Leopard_UniBOM_ME_0531_Bolt RFQ_Foxlink_03.1 2011 3" xfId="21629"/>
    <cellStyle name="Normal 61 2 2 3" xfId="21630"/>
    <cellStyle name="好_River EE BOM_Creak Pearl Reliability Fixture RFQ_2009 04 24_Xl0000002_Leopard_UniBOM_ME_0531_Bolt RFQ_Foxlink_03.1 2011 4" xfId="21631"/>
    <cellStyle name="Normal 61 2 2 4" xfId="21632"/>
    <cellStyle name="Normal 62 2" xfId="21633"/>
    <cellStyle name="好_Creek Assembly Fixture  Test Equipment RFQ_20090427_Xl0000002_Bolt RFQ_Foxlink_03.1 2011 3 3" xfId="21634"/>
    <cellStyle name="Normal 65" xfId="21635"/>
    <cellStyle name="Normal 66" xfId="21636"/>
    <cellStyle name="好_效益分析&amp;產能評估_Bolt RFQ Proposal_Foxlink_ (Pricing Summary) 2 25 2011 2 2 3" xfId="21637"/>
    <cellStyle name="Normal 66 2" xfId="21638"/>
    <cellStyle name="Normal 67" xfId="21639"/>
    <cellStyle name="Normal 72" xfId="21640"/>
    <cellStyle name="Normal 7" xfId="21641"/>
    <cellStyle name="壞_Creek Assembly Fixture  Test Equipment RFQ_20090427_Xl0000002_Leopard_UniBOM_ME_0531_Bolt RFQ Proposal_Foxlink_ (Pricing Summary) 2 25 2011 2 2" xfId="21642"/>
    <cellStyle name="Normal 7 2 2 2 3" xfId="21643"/>
    <cellStyle name="好_Creek Assembly Fixture  Test Equipment RFQ_20090427 2 2 3" xfId="21644"/>
    <cellStyle name="Note 4 2" xfId="21645"/>
    <cellStyle name="Normal 7 2 2 4" xfId="21646"/>
    <cellStyle name="差_F3   SMT設備明細_效益分析_Dallas效益分析&amp;投資回收期 (12-2 A1)_Jackson 效益分析 testing update_16th Jan111_Jackson 效益分析 (2-1 B0 上系統)_Leopard效益分析08-17" xfId="21647"/>
    <cellStyle name="好_River EE BOM_Creak Pearl Reliability Fixture RFQ_2009 04 24_Xl0000002_Leopard_UniBOM_ME_0531 2 2 2" xfId="21648"/>
    <cellStyle name="Normal 7 3 3" xfId="21649"/>
    <cellStyle name="Normal 7 4" xfId="21650"/>
    <cellStyle name="好_Creek Assembly Fixture  Test Equipment RFQ_20090427_Leopard RFQ ME BOM Costs-0618-2_Bolt RFQ_Foxlink_03.1 2011_nego meeting@MACH_Bolt_Cliff 3 2" xfId="21651"/>
    <cellStyle name="Normal 7 5" xfId="21652"/>
    <cellStyle name="Normal 8 13" xfId="21653"/>
    <cellStyle name="Normal 8 15" xfId="21654"/>
    <cellStyle name="差_Bristol RFQ response _20101102_internal (4)_Bristol TC Estimate Update 07292011_internal from Tony" xfId="21655"/>
    <cellStyle name="Normal 8 2" xfId="21656"/>
    <cellStyle name="好_Creek Assembly Fixture  Test Equipment RFQ_20090427_Leopard RFQ ME BOM Costs-0618-2_Bolt RFQ_Foxlink_03.1 2011_nego meeting@MACH_Bolt_Cliff 4 3" xfId="21657"/>
    <cellStyle name="Normal 8 6" xfId="21658"/>
    <cellStyle name="差_Xl0000000_Leopard_UniBOM_ME_0602-1_Bolt RFQ Proposal_Foxlink_ (Pricing Summary) 2 25 2011 2 3" xfId="21659"/>
    <cellStyle name="Normal 8 8" xfId="21660"/>
    <cellStyle name="差_Xl0000000_Leopard_UniBOM_ME_0602-1_Bolt RFQ Proposal_Foxlink_ (Pricing Summary) 2 25 2011 2 4" xfId="21661"/>
    <cellStyle name="Normal 8 9" xfId="21662"/>
    <cellStyle name="Normal 9" xfId="21663"/>
    <cellStyle name="Normal 9 10" xfId="21664"/>
    <cellStyle name="Normal 9 11" xfId="21665"/>
    <cellStyle name="Normal 9 14" xfId="21666"/>
    <cellStyle name="Normal 9 3" xfId="21667"/>
    <cellStyle name="好_Creek Assembly Fixture  Test Equipment RFQ_20090427_Leopard RFQ ME BOM Costs-0618-2_Bolt RFQ_Foxlink_03.1 2011_nego meeting@MACH_Bolt_Cliff 5 2" xfId="21668"/>
    <cellStyle name="Normal 9 5" xfId="21669"/>
    <cellStyle name="差_Xl0000000_Leopard_UniBOM_ME_0602-1_Bolt RFQ Proposal_Foxlink_ (Pricing Summary) 2 25 2011 3 3" xfId="21670"/>
    <cellStyle name="Normal 9 8" xfId="21671"/>
    <cellStyle name="Normal_FY08_Q1_Costed_BOM_CLS_R3_FY" xfId="21672"/>
    <cellStyle name="好_River EE BOM_Creek RFQ feedback 04_28_2009_FD Update_Leopard_UniBOM_ME_0531_Bolt RFQ_Foxlink_03.1 2011_nego meeting@MACH 4" xfId="21673"/>
    <cellStyle name="Normale_LSCO0697" xfId="21674"/>
    <cellStyle name="Note" xfId="21675"/>
    <cellStyle name="Note 10" xfId="21676"/>
    <cellStyle name="好_River EE BOM_Creak Pearl Reliability Fixture RFQ_2009 04 24_Pearl RFQ(Submittal)ver2_05_12_2009 _Leopard_UniBOM_ME_0531_Bolt RFQ Proposal_Foxlink_ (Pricing Summary) 2 25 2011 2 2 3" xfId="21677"/>
    <cellStyle name="Note 10 2" xfId="21678"/>
    <cellStyle name="Note 11" xfId="21679"/>
    <cellStyle name="差_F3   SMT設備明細_jupite r設備&amp;治工具LIST (總)_Flow Chart&amp;PQ分析(12-1)_~5631336_Jackson 效益分析 (2-1 B0 上系統)" xfId="21680"/>
    <cellStyle name="Note 11 2" xfId="21681"/>
    <cellStyle name="Note 11 2 2" xfId="21682"/>
    <cellStyle name="Note 12" xfId="21683"/>
    <cellStyle name="Note 12 2" xfId="21684"/>
    <cellStyle name="Note 12 2 2" xfId="21685"/>
    <cellStyle name="Note 12 2 3" xfId="21686"/>
    <cellStyle name="Note 13 2" xfId="21687"/>
    <cellStyle name="Note 13 2 3" xfId="21688"/>
    <cellStyle name="Total 7 2 2" xfId="21689"/>
    <cellStyle name="Note 14" xfId="21690"/>
    <cellStyle name="Note 14 2" xfId="21691"/>
    <cellStyle name="Note 14 2 2" xfId="21692"/>
    <cellStyle name="Note 14 2 3" xfId="21693"/>
    <cellStyle name="Total 7 2 3" xfId="21694"/>
    <cellStyle name="Note 15" xfId="21695"/>
    <cellStyle name="Note 15 2" xfId="21696"/>
    <cellStyle name="Note 15 3" xfId="21697"/>
    <cellStyle name="Note 16" xfId="21698"/>
    <cellStyle name="好_River EE BOM_Creak Pearl Reliability Fixture RFQ_2009 04 24_Creek RFQ feedback 04_28_2009_FD Update_Bolt RFQ_Foxlink_03.1 2011" xfId="21699"/>
    <cellStyle name="Note 2" xfId="21700"/>
    <cellStyle name="好_Creek Assembly Fixture  Test Equipment RFQ_20090427_Xl0000002_Leopard_UniBOM_ME_0602-1 2 3" xfId="21701"/>
    <cellStyle name="Note 2 2" xfId="21702"/>
    <cellStyle name="差_MB9月管審誤判超標 8D_HP 4" xfId="21703"/>
    <cellStyle name="Note 2 2 2" xfId="21704"/>
    <cellStyle name="差_MB9月管審誤判超標 8D_HP 5" xfId="21705"/>
    <cellStyle name="Note 2 2 3" xfId="21706"/>
    <cellStyle name="好_River EE BOM_Creak Pearl Reliability Fixture RFQ_2009 04 24_Pearl RFQ(Submittal)ver2_05_12_2009 _Leopard Lemur Squirrel UniBom-06.22.2010_EE cost _update_internal_Bolt RFQ Proposal_Foxlink_ (Pricing Summary) 2 25 2011 3 2" xfId="21707"/>
    <cellStyle name="Note 2_Bristol RFQ response _20101102_internal (4)" xfId="21708"/>
    <cellStyle name="Note 3" xfId="21709"/>
    <cellStyle name="好_Creek Assembly Fixture  Test Equipment RFQ_20090427_Xl0000002_Leopard_UniBOM_ME_0602-1 2 4" xfId="21710"/>
    <cellStyle name="好_River EE BOM_Creak Pearl Reliability Fixture RFQ_2009 04 24_Xl0000002_Leopard_UniBOM_ME_0603-2_Bolt RFQ_Foxlink_03.1 2011 4" xfId="21711"/>
    <cellStyle name="Note 3 2" xfId="21712"/>
    <cellStyle name="好_River EE BOM_Creak Pearl Reliability Fixture RFQ_2009 04 24_Creek  Pearl RFQ_May 12_Leopard_UniBOM_ME_0602_Bolt RFQ_Foxlink_03.1 2011" xfId="21713"/>
    <cellStyle name="Note 3 2 2" xfId="21714"/>
    <cellStyle name="差_Xl0000000_Leopard_UniBOM_ME_0602-1_Bolt RFQ_Foxlink_03.1 2011 4" xfId="21715"/>
    <cellStyle name="Note 3_Bristol RFQ response _20101102_internal (4)" xfId="21716"/>
    <cellStyle name="Note 4 2 2" xfId="21717"/>
    <cellStyle name="Note 4 2 3" xfId="21718"/>
    <cellStyle name="壞_Creek EE BOM cost_20090425_Creek RFQ feedback 04_28_2009_FD Update_Leopard_UniBOM_ME_0531_Bolt RFQ_Foxlink_03.1 2011 3 3" xfId="21719"/>
    <cellStyle name="好_River EE BOM_Xl0000002_Leopard_UniBOM_ME_0603-2_Bolt RFQ_Foxlink_03.1 2011_nego meeting@MACH 3" xfId="21720"/>
    <cellStyle name="差_Creak Pearl Reliability Fixture RFQ_2009 04 24_Pearl RFQ(Submittal)ver2_05_12_2009 _Leopard_UniBOM_ME_0531_Bolt RFQ_Foxlink_03.1 2011_nego meeting@MACH 2 3" xfId="21721"/>
    <cellStyle name="Note 5 2" xfId="21722"/>
    <cellStyle name="好_River EE BOM_Xl0000002_Leopard_UniBOM_ME_0603-2_Bolt RFQ_Foxlink_03.1 2011_nego meeting@MACH 3 3" xfId="21723"/>
    <cellStyle name="Note 5 2 3" xfId="21724"/>
    <cellStyle name="差_Creak Pearl Reliability Fixture RFQ_2009 04 24_Pearl RFQ(Submittal)ver2_05_12_2009 _Squirrel RFQ ME BOM Costs-0623 2 2 3" xfId="21725"/>
    <cellStyle name="Note 6" xfId="21726"/>
    <cellStyle name="差_Creak Pearl Reliability Fixture RFQ_2009 04 24_Pearl RFQ(Submittal)ver2_05_12_2009 _Leopard_UniBOM_ME_0531_Bolt RFQ_Foxlink_03.1 2011_nego meeting@MACH 3 3" xfId="21727"/>
    <cellStyle name="Note 6 2" xfId="21728"/>
    <cellStyle name="Note 7 2 2" xfId="21729"/>
    <cellStyle name="Note 8" xfId="21730"/>
    <cellStyle name="Note 9" xfId="21731"/>
    <cellStyle name="好_Creek Assembly Fixture  Test Equipment RFQ_20090427_Leopard_UniBOM_ME_0531" xfId="21732"/>
    <cellStyle name="Note 9 2" xfId="21733"/>
    <cellStyle name="好_Creek Assembly Fixture  Test Equipment RFQ_20090427_Leopard_UniBOM_ME_0531 2" xfId="21734"/>
    <cellStyle name="Note 9 2 2" xfId="21735"/>
    <cellStyle name="Number [2] in K-Units" xfId="21736"/>
    <cellStyle name="number-red" xfId="21737"/>
    <cellStyle name="Œ…‹æØ‚è_!!!GO" xfId="21738"/>
    <cellStyle name="OHP" xfId="21739"/>
    <cellStyle name="Ongoing" xfId="21740"/>
    <cellStyle name="Output 15 3" xfId="21741"/>
    <cellStyle name="Output 10" xfId="21742"/>
    <cellStyle name="壞_Creek EE BOM cost_20090425_Leopard_UniBOM_ME_0531_Bolt RFQ Proposal_Foxlink_ (Pricing Summary) 2 25 2011 2 3" xfId="21743"/>
    <cellStyle name="Output 10 2" xfId="21744"/>
    <cellStyle name="壞_Creek EE BOM cost_20090425_Leopard_UniBOM_ME_0531_Bolt RFQ Proposal_Foxlink_ (Pricing Summary) 2 25 2011 2 3 2" xfId="21745"/>
    <cellStyle name="Output 10 2 2" xfId="21746"/>
    <cellStyle name="差_dallas產能評估_Flow chart and Fixture(Jackson)_A1_Jackson 效益分析 (2-1 B0 上系統)_Leopard Flowchart &amp; 產能評估" xfId="21747"/>
    <cellStyle name="Output 11" xfId="21748"/>
    <cellStyle name="差_Creak Pearl Reliability Fixture RFQ_2009 04 24_Creek RFQ feedback 04_28_2009_FD Update_Squirrel UniBom-06.23.2010_update_internal_Bolt RFQ Proposal_Foxlink_ (Pricing Summary) 2 25 2011 2 2 2" xfId="21749"/>
    <cellStyle name="Output 11 2 3" xfId="21750"/>
    <cellStyle name="壞_Creek EE BOM cost_20090425_Leopard_UniBOM_ME_0531_Bolt RFQ Proposal_Foxlink_ (Pricing Summary) 2 25 2011 4 3" xfId="21751"/>
    <cellStyle name="Output 12 2" xfId="21752"/>
    <cellStyle name="Output 12 2 3" xfId="21753"/>
    <cellStyle name="Output 13" xfId="21754"/>
    <cellStyle name="Output 13 2 3" xfId="21755"/>
    <cellStyle name="Output 14" xfId="21756"/>
    <cellStyle name="Output 14 2 2" xfId="21757"/>
    <cellStyle name="Output 14 2 3" xfId="21758"/>
    <cellStyle name="Output 15" xfId="21759"/>
    <cellStyle name="Output 16" xfId="21760"/>
    <cellStyle name="Output 2 2" xfId="21761"/>
    <cellStyle name="Output 2 3" xfId="21762"/>
    <cellStyle name="Output 2_Bristol RFQ response _20101102_internal (4)" xfId="21763"/>
    <cellStyle name="差_效益分析_Dallas效益分析&amp;投資回收期 (12-2 A1)_Jackson 效益分析 testing update_16th Jan1_Jackson 效益分析 (2-1 B0 上系統)_squirrel效益分析08-17" xfId="21764"/>
    <cellStyle name="Title 11" xfId="21765"/>
    <cellStyle name="Output 3" xfId="21766"/>
    <cellStyle name="Output 3 2" xfId="21767"/>
    <cellStyle name="Output 3 2 2" xfId="21768"/>
    <cellStyle name="Total 3_Bristol RFQ response _20101102_internal (4)" xfId="21769"/>
    <cellStyle name="Output 3 3" xfId="21770"/>
    <cellStyle name="Title 12" xfId="21771"/>
    <cellStyle name="Output 4" xfId="21772"/>
    <cellStyle name="Output 4 2" xfId="21773"/>
    <cellStyle name="差_jupite r設備&amp;治工具LIST (總)_Flow Chart&amp;PQ分析(12-1)_Flow chart and Fixture(1-4)_Jackson 效益分析 (2-1 B0 上系統)_Leopard效益分析08-17" xfId="21774"/>
    <cellStyle name="好_River EE BOM_Creak Pearl Reliability Fixture RFQ_2009 04 24_Creek  Pearl RFQ_May 12_Squirrel RFQ ME BOM Costs-0623_Bolt RFQ_Foxlink_03.1 2011_nego meeting@MACH 3 3" xfId="21775"/>
    <cellStyle name="Output 4 2 2" xfId="21776"/>
    <cellStyle name="Output 4 2 3" xfId="21777"/>
    <cellStyle name="差_Creak Pearl Reliability Fixture RFQ_2009 04 24_Creek  Pearl RFQ_May 12_Leopard_UniBOM_ME_0531_Bolt RFQ Proposal_Foxlink_ (Pricing Summary) 2 25 2011 5" xfId="21778"/>
    <cellStyle name="Output 5 2 3" xfId="21779"/>
    <cellStyle name="差_Bristol ME parts tooling cost 20101022 updated_Bristol TC Estimate Update 08112011_internal working file" xfId="21780"/>
    <cellStyle name="Output 6 2" xfId="21781"/>
    <cellStyle name="Output 6 2 2" xfId="21782"/>
    <cellStyle name="差_Creak Pearl Reliability Fixture RFQ_2009 04 24_Creek  Pearl RFQ_May 12_Squirrel RFQ ME BOM Costs-0623_Bolt RFQ Proposal_Foxlink_ (Pricing Summary) 2 25 2011 5 2" xfId="21783"/>
    <cellStyle name="Output 6 2 3" xfId="21784"/>
    <cellStyle name="差_HP  專案(設備&amp;治工具需夠買)update_MS Bolt wireless mouse FixtureEquipment Cost_A5_2010_02_21_Bolt RFQ_Foxlink_03.1 2011_nego meeting@MACH 3 3" xfId="21785"/>
    <cellStyle name="好_Oak_NRE_Assembly_Test_20120313" xfId="21786"/>
    <cellStyle name="好_Creek EE BOM cost_20090425_Leopard Lemur Squirrel UniBom-06.22.2010_EE cost _update_internal_Bolt RFQ Proposal_Foxlink_ (Pricing Summary) 2 25 2011" xfId="21787"/>
    <cellStyle name="Title 15" xfId="21788"/>
    <cellStyle name="Output 7" xfId="21789"/>
    <cellStyle name="好_Creek EE BOM cost_20090425_Leopard Lemur Squirrel UniBom-06.22.2010_EE cost _update_internal_Bolt RFQ Proposal_Foxlink_ (Pricing Summary) 2 25 2011 2" xfId="21790"/>
    <cellStyle name="Output 7 2" xfId="21791"/>
    <cellStyle name="好_Creek EE BOM cost_20090425_Leopard Lemur Squirrel UniBom-06.22.2010_EE cost _update_internal_Bolt RFQ Proposal_Foxlink_ (Pricing Summary) 2 25 2011 2 2" xfId="21792"/>
    <cellStyle name="Output 7 2 2" xfId="21793"/>
    <cellStyle name="好_Creek EE BOM cost_20090425_Leopard Lemur Squirrel UniBom-06.22.2010_EE cost _update_internal_Bolt RFQ Proposal_Foxlink_ (Pricing Summary) 2 25 2011 2 3" xfId="21794"/>
    <cellStyle name="Output 7 2 3" xfId="21795"/>
    <cellStyle name="差_jupite r設備&amp;治工具LIST (總)_Dallas效益分析&amp;投資回收期 (12-2 A1)_Flow chart and Fixture(Jackson)_A1_Jackson 效益分析 (2-1 B0 上系統)_squirrel效益分析08-17" xfId="21796"/>
    <cellStyle name="Output 8" xfId="21797"/>
    <cellStyle name="差_Creek RFQ feedback 04_28_2009_FD Update_Leopard RFQ ME BOM Costs-0618-2_Bolt RFQ Proposal_Foxlink_ (Pricing Summary) 2 25 2011 2 2 3" xfId="21798"/>
    <cellStyle name="Output 8 2" xfId="21799"/>
    <cellStyle name="Output 8 2 2" xfId="21800"/>
    <cellStyle name="Output 8 2 3" xfId="21801"/>
    <cellStyle name="Output 9" xfId="21802"/>
    <cellStyle name="Output 9 2" xfId="21803"/>
    <cellStyle name="差_F3   SMT設備明細_MS Bolt wireless mouse FixtureEquipment Cost_A5_2010_02_21_Bolt RFQ_Foxlink_03.1 2011_nego meeting@MACH 2 3" xfId="21804"/>
    <cellStyle name="Output 9 2 2" xfId="21805"/>
    <cellStyle name="Output 9 2 3" xfId="21806"/>
    <cellStyle name="P" xfId="21807"/>
    <cellStyle name="p/n" xfId="21808"/>
    <cellStyle name="paint" xfId="21809"/>
    <cellStyle name="People" xfId="21810"/>
    <cellStyle name="Percen - Style2" xfId="21811"/>
    <cellStyle name="差_Creak Pearl Reliability Fixture RFQ_2009 04 24_Pearl RFQ(Submittal)ver2_05_12_2009 _Leopard_UniBOM_ME_0602-1 3 3" xfId="21812"/>
    <cellStyle name="好_River EE BOM_Xl0000002_Leopard_UniBOM_ME_0531" xfId="21813"/>
    <cellStyle name="好_Creek Assembly Fixture  Test Equipment RFQ_20090427_Xl0000002_Foxlink_Shadow RFQ NREUni BOM_12032009_Bolt RFQ Proposal_Foxlink_ (Pricing Summary) 2 25 2011 2 2 2" xfId="21814"/>
    <cellStyle name="Percent [0] 2 2" xfId="21815"/>
    <cellStyle name="Percent [0] 3" xfId="21816"/>
    <cellStyle name="好_MB9月管審換線超時8d_2009MB KPI_MBO3F製造部hp0209-01 2 2 2 3" xfId="21817"/>
    <cellStyle name="好_Creek Assembly Fixture  Test Equipment RFQ_20090427_Xl0000002_Leopard_UniBOM_ME_0602-1_Bolt RFQ_Foxlink_03.1 2011 2 3" xfId="21818"/>
    <cellStyle name="好_Creek Assembly Fixture  Test Equipment RFQ_20090427_Xl0000002_Foxlink_Shadow RFQ NREUni BOM_12032009_Bolt RFQ Proposal_Foxlink_ (Pricing Summary) 2 25 2011 2 3" xfId="21819"/>
    <cellStyle name="Percent [00] 3" xfId="21820"/>
    <cellStyle name="Percent [00] 4" xfId="21821"/>
    <cellStyle name="Percent [2] 2" xfId="21822"/>
    <cellStyle name="好_Creek EE BOM cost_20090425_Leopard_UniBOM_ME_0531_Bolt RFQ_Foxlink_03.1 2011_nego meeting@MACH 5" xfId="21823"/>
    <cellStyle name="Percent 11" xfId="21824"/>
    <cellStyle name="Percent 12" xfId="21825"/>
    <cellStyle name="Percent 13" xfId="21826"/>
    <cellStyle name="Percent 15" xfId="21827"/>
    <cellStyle name="Percent 20" xfId="21828"/>
    <cellStyle name="Percent 16" xfId="21829"/>
    <cellStyle name="Percent 21" xfId="21830"/>
    <cellStyle name="Percent 17" xfId="21831"/>
    <cellStyle name="Percent 22" xfId="21832"/>
    <cellStyle name="Percent 18" xfId="21833"/>
    <cellStyle name="Percent 23" xfId="21834"/>
    <cellStyle name="Percent 2 2" xfId="21835"/>
    <cellStyle name="Percent 2 3 2" xfId="21836"/>
    <cellStyle name="好_Creek EE BOM cost_20090425_Creek RFQ feedback 04_28_2009_FD Update_Squirrel UniBom-06.23.2010_update_internal 2 2 3" xfId="21837"/>
    <cellStyle name="Percent 21 2" xfId="21838"/>
    <cellStyle name="好_Creek EE BOM cost_20090425_Leopard Lemur Squirrel UniBom-06.22.2010_EE cost _update_internal_Bolt RFQ Proposal_Foxlink_ (Pricing Summary) 2 25 2011 5" xfId="21839"/>
    <cellStyle name="Percent 21 2 3" xfId="21840"/>
    <cellStyle name="差_jupite r設備&amp;治工具LIST (總)_Dallas flow chart&amp;設備&amp;治工具清單(12-8 A0)_效益分析(總 12-28 Update)_Jackson 效益分析 (2-1 B0 上系統)_squirrel效益分析08-17" xfId="21841"/>
    <cellStyle name="好_River EE BOM_Creak Pearl Reliability Fixture RFQ_2009 04 24_Pearl RFQ(Submittal)ver2_05_12_2009 _Squirrel UniBom-06.23.2010_update_internal_Bolt RFQ Proposal_Foxlink_ (Pricing Summary) 2 25 2011" xfId="21842"/>
    <cellStyle name="Percent 21 3" xfId="21843"/>
    <cellStyle name="好_River EE BOM_Creak Pearl Reliability Fixture RFQ_2009 04 24_Pearl RFQ(Submittal)ver2_05_12_2009 _Squirrel UniBom-06.23.2010_update_internal_Bolt RFQ Proposal_Foxlink_ (Pricing Summary) 2 25 2011 3" xfId="21844"/>
    <cellStyle name="Percent 21 3 3" xfId="21845"/>
    <cellStyle name="Percent 21 5" xfId="21846"/>
    <cellStyle name="Percent 22 2" xfId="21847"/>
    <cellStyle name="Percent 22 3" xfId="21848"/>
    <cellStyle name="差_HP Mouse 產能評估(上系統)_Erie 效益分析(8-27)_Leopard Flowchart &amp; 產能評估" xfId="21849"/>
    <cellStyle name="Percent 22 3 2" xfId="21850"/>
    <cellStyle name="Percent 22 5" xfId="21851"/>
    <cellStyle name="Percent 24 2" xfId="21852"/>
    <cellStyle name="差_jupite r設備&amp;治工具LIST (總)_Dallas flow chart&amp;設備&amp;治工具清單(12-8 A0)_Jackson 效益分析 testing update_16th Jan111_Jackson 效益分析 (2-1 B0 上系統)_Leopard效益分析08-17" xfId="21853"/>
    <cellStyle name="Percent 25" xfId="21854"/>
    <cellStyle name="Percent 3" xfId="21855"/>
    <cellStyle name="Percent 4" xfId="21856"/>
    <cellStyle name="Percent 6" xfId="21857"/>
    <cellStyle name="Percent 7" xfId="21858"/>
    <cellStyle name="差_Creak Pearl Reliability Fixture RFQ_2009 04 24_Xl0000002_Bolt RFQ_Foxlink_03.1 2011_nego meeting@MACH 2" xfId="21859"/>
    <cellStyle name="Percent 9" xfId="21860"/>
    <cellStyle name="好_River EE BOM_Creek RFQ feedback 04_28_2009_FD Update_Leopard UniBom-06 22 2010_update_internal" xfId="21861"/>
    <cellStyle name="PERCENTAGE" xfId="21862"/>
    <cellStyle name="PERCENTAGE 2" xfId="21863"/>
    <cellStyle name="PERCENTAGE 3" xfId="21864"/>
    <cellStyle name="差_Erie Trial run  QA Report-1103_Dolce   QA Report 2010_0902 (A3)_~7519239" xfId="21865"/>
    <cellStyle name="PrePop Currency (0)" xfId="21866"/>
    <cellStyle name="PrePop Currency (0) 2" xfId="21867"/>
    <cellStyle name="PrePop Currency (0) 4" xfId="21868"/>
    <cellStyle name="PrePop Currency (2)" xfId="21869"/>
    <cellStyle name="好_Creek Assembly Fixture  Test Equipment RFQ_20090427_Leopard Lemur Squirrel UniBom-06.22.2010_EE cost _update_internal_Bolt RFQ_Foxlink_03.1 2011_Bolt_Cliff 2 4" xfId="21870"/>
    <cellStyle name="好_Creek EE BOM cost_20090425_Foxlink_Shadow RFQ NREUni BOM_12032009_Bolt RFQ_Foxlink_03.1 2011 2 2" xfId="21871"/>
    <cellStyle name="PrePop Currency (2) 3" xfId="21872"/>
    <cellStyle name="好_Creek EE BOM cost_20090425_Foxlink_Shadow RFQ NREUni BOM_12032009_Bolt RFQ_Foxlink_03.1 2011 2 3" xfId="21873"/>
    <cellStyle name="PrePop Currency (2) 4" xfId="21874"/>
    <cellStyle name="好_Creek Assembly Fixture  Test Equipment RFQ_20090427_Xl0000002_Squirrel RFQ ME BOM Costs-0623_Bolt RFQ_Foxlink_03.1 2011" xfId="21875"/>
    <cellStyle name="PrePop Units (0) 3" xfId="21876"/>
    <cellStyle name="PrePop Units (0) 4" xfId="21877"/>
    <cellStyle name="PrePop Units (1) 2" xfId="21878"/>
    <cellStyle name="PrePop Units (1) 2 2" xfId="21879"/>
    <cellStyle name="PrePop Units (1) 3" xfId="21880"/>
    <cellStyle name="PrePop Units (1) 4" xfId="21881"/>
    <cellStyle name="PrePop Units (2) 2" xfId="21882"/>
    <cellStyle name="好_Creek Assembly Fixture  Test Equipment RFQ_20090427_Foxlink_Shadow RFQ NREUni BOM_12032009_Bolt_Cliff 2 2" xfId="21883"/>
    <cellStyle name="PrePop Units (2) 3" xfId="21884"/>
    <cellStyle name="好_Creek Assembly Fixture  Test Equipment RFQ_20090427_Foxlink_Shadow RFQ NREUni BOM_12032009_Bolt_Cliff 2 3" xfId="21885"/>
    <cellStyle name="PrePop Units (2) 4" xfId="21886"/>
    <cellStyle name="pricing" xfId="21887"/>
    <cellStyle name="Product" xfId="21888"/>
    <cellStyle name="好_Erie Assembly Fixture  Test Equip Cost_20090716_Jackson NRE Uni BOM_update _05072010 rev K_Bristol UniBom_Foxlink_02082011 RevA" xfId="21889"/>
    <cellStyle name="好_治具工程課2009年KPI_HP" xfId="21890"/>
    <cellStyle name="Protected" xfId="21891"/>
    <cellStyle name="好_治具工程課2009年KPI_HP 2" xfId="21892"/>
    <cellStyle name="Protected 2" xfId="21893"/>
    <cellStyle name="好_治具工程課2009年KPI_HP 3" xfId="21894"/>
    <cellStyle name="Protected 3" xfId="21895"/>
    <cellStyle name="好_治具工程課2009年KPI_HP 4" xfId="21896"/>
    <cellStyle name="Protected 4" xfId="21897"/>
    <cellStyle name="PSChar" xfId="21898"/>
    <cellStyle name="PSDec" xfId="21899"/>
    <cellStyle name="PSHeading" xfId="21900"/>
    <cellStyle name="差_Creek RFQ feedback 04_28_2009_FD Update_Leopard RFQ ME BOM Costs-0618-2_Bolt RFQ_Foxlink_03.1 2011_nego meeting@MACH 2" xfId="21901"/>
    <cellStyle name="好_River EE BOM_Creak Pearl Reliability Fixture RFQ_2009 04 24_Creek RFQ feedback 04_28_2009_FD Update_Leopard_UniBOM_ME_0602_Bolt RFQ_Foxlink_03.1 2011 3 3" xfId="21902"/>
    <cellStyle name="PSInt" xfId="21903"/>
    <cellStyle name="好_River EE BOM_Creak Pearl Reliability Fixture RFQ_2009 04 24_Xl0000002_Leopard Lemur Squirrel UniBom-06.22.2010_EE cost _update_internal_Bolt RFQ_Foxlink_03.1 2011 3" xfId="21904"/>
    <cellStyle name="PSSpacer" xfId="21905"/>
    <cellStyle name="好_Creek EE BOM cost_20090425_Leopard RFQ ME BOM Costs-0618_Bolt RFQ_Foxlink_03.1 2011" xfId="21906"/>
    <cellStyle name="好_0842周 顯卡報廢超標8D_HP 5 2 2" xfId="21907"/>
    <cellStyle name="QDF" xfId="21908"/>
    <cellStyle name="差_Xl0000002_Leopard_UniBOM_ME_0603-2_Bolt RFQ_Foxlink_03.1 2011 3 2" xfId="21909"/>
    <cellStyle name="好_治具工程課2009年KPI_產線生產規劃KPI 6" xfId="21910"/>
    <cellStyle name="Red,Bold,12pt" xfId="21911"/>
    <cellStyle name="Report_Heading" xfId="21912"/>
    <cellStyle name="RevList" xfId="21913"/>
    <cellStyle name="差_jupite r設備&amp;治工具LIST (總)_flow chart 2009.12.12_Jackson 效益分析 (2-1 B0 上系統)_Leopard效益分析08-17" xfId="21914"/>
    <cellStyle name="差_Creak Pearl Reliability Fixture RFQ_2009 04 24_Pearl RFQ(Submittal)ver2_05_12_2009 _Leopard RFQ ME BOM Costs-0618-2_Bolt RFQ_Foxlink_03.1 2011 3" xfId="21915"/>
    <cellStyle name="RM" xfId="21916"/>
    <cellStyle name="好_Creek Assembly Fixture  Test Equipment RFQ_20090427_Foxlink_Shadow RFQ NREUni BOM_12032009_Bolt RFQ_Foxlink_03.1 2011_nego meeting@MACH 2 3" xfId="21917"/>
    <cellStyle name="差_Creak Pearl Reliability Fixture RFQ_2009 04 24_Xl0000002_Leopard RFQ ME BOM Costs-0618-2 3" xfId="21918"/>
    <cellStyle name="差_Xl0000000_Leopard_UniBOM_ME_0602_Bolt RFQ_Foxlink_03.1 2011_nego meeting@MACH 3 2" xfId="21919"/>
    <cellStyle name="roux_2" xfId="21920"/>
    <cellStyle name="差_Creak Pearl Reliability Fixture RFQ_2009 04 24_Xl0000002_Squirrel UniBom-06.23.2010_update_internal_Bolt RFQ Proposal_Foxlink_ (Pricing Summary) 2 25 2011 3" xfId="21921"/>
    <cellStyle name="好_River EE BOM_Xl0000000_Leopard_UniBOM_ME_0602 3 3" xfId="21922"/>
    <cellStyle name="SAPBEXaggData" xfId="21923"/>
    <cellStyle name="SAPBEXaggItem" xfId="21924"/>
    <cellStyle name="好_Bristol EV3 BOM quote_02252011 (2)" xfId="21925"/>
    <cellStyle name="SAPBEXchaText" xfId="21926"/>
    <cellStyle name="好_Creek Assembly Fixture  Test Equipment RFQ_20090427_Xl0000002_Leopard RFQ ME BOM Costs-0618-2_Bolt RFQ Proposal_Foxlink_ (Pricing Summary) 2 25 2011 6" xfId="21927"/>
    <cellStyle name="SAPBEXfilterDrill" xfId="21928"/>
    <cellStyle name="SAPBEXfilterItem" xfId="21929"/>
    <cellStyle name="好_River EE BOM_Creak Pearl Reliability Fixture RFQ_2009 04 24_Creek RFQ feedback 04_28_2009_FD Update_Bolt RFQ_Foxlink_03.1 2011 2" xfId="21930"/>
    <cellStyle name="SAPBEXheaderItem" xfId="21931"/>
    <cellStyle name="SAPBEXstdData" xfId="21932"/>
    <cellStyle name="差_Creek RFQ feedback 04_28_2009_FD Update_Bolt RFQ Proposal_Foxlink_ (Pricing Summary) 2 25 2011 4 3" xfId="21933"/>
    <cellStyle name="SAPBEXstdItem" xfId="21934"/>
    <cellStyle name="好_治具工程課2009年KPI_2009MB KPI-0205 6" xfId="21935"/>
    <cellStyle name="Separador de milhares [0]_PLDT" xfId="21936"/>
    <cellStyle name="Separador de milhares_COCASH.XLS 51298 45444 PM" xfId="21937"/>
    <cellStyle name="Shade on" xfId="21938"/>
    <cellStyle name="差_jupite r設備&amp;治工具LIST (總)_flow chart 2009.12.12_Flow chart and Fixture(1-4)_Jackson 效益分析 (2-1 B0 上系統)_squirrel效益分析08-17" xfId="21939"/>
    <cellStyle name="SHADEDSTORES" xfId="21940"/>
    <cellStyle name="STANDARD" xfId="21941"/>
    <cellStyle name="Standard format" xfId="21942"/>
    <cellStyle name="差_HP Mouse 產能評估(Forecast更改後)_M1 SuedeFixtureEquipment Cost_A0_2010_10_15" xfId="21943"/>
    <cellStyle name="Standard_ preise1" xfId="21944"/>
    <cellStyle name="Std" xfId="21945"/>
    <cellStyle name="差_Creek RFQ feedback 04_28_2009_FD Update_Squirrel UniBom-06.23.2010_update_internal 2 3" xfId="21946"/>
    <cellStyle name="Std_Panel" xfId="21947"/>
    <cellStyle name="Steve" xfId="21948"/>
    <cellStyle name="Style 1" xfId="21949"/>
    <cellStyle name="好_River EE BOM_Creak Pearl Reliability Fixture RFQ_2009 04 24_Pearl RFQ(Submittal)ver2_05_12_2009 _Leopard_UniBOM_ME_0602_Bolt RFQ Proposal_Foxlink_ (Pricing Summary) 2 25 2011 2 2 3" xfId="21950"/>
    <cellStyle name="Style 1 2" xfId="21951"/>
    <cellStyle name="Style 1 2 2" xfId="21952"/>
    <cellStyle name="Style 1 3" xfId="21953"/>
    <cellStyle name="Style 1 4 2" xfId="21954"/>
    <cellStyle name="Style 1 5" xfId="21955"/>
    <cellStyle name="Style 1 7" xfId="21956"/>
    <cellStyle name="Style 23" xfId="21957"/>
    <cellStyle name="Style 27" xfId="21958"/>
    <cellStyle name="Style 34" xfId="21959"/>
    <cellStyle name="差_Xl0000000_Bolt RFQ Proposal_Foxlink_ (Pricing Summary) 2 25 2011 5 2" xfId="21960"/>
    <cellStyle name="Style 36" xfId="21961"/>
    <cellStyle name="差_Xl0000000_Bolt RFQ_Foxlink_03.1 2011 2 3" xfId="21962"/>
    <cellStyle name="sub" xfId="21963"/>
    <cellStyle name="subhead" xfId="21964"/>
    <cellStyle name="一般 18 3" xfId="21965"/>
    <cellStyle name="tahoma" xfId="21966"/>
    <cellStyle name="差_Xl0000000_Leopard RFQ ME BOM Costs-0618_Bolt RFQ_Foxlink_03.1 2011_nego meeting@MACH" xfId="21967"/>
    <cellStyle name="Temp" xfId="21968"/>
    <cellStyle name="test" xfId="21969"/>
    <cellStyle name="好_Creek Assembly Fixture  Test Equipment RFQ_20090427_Leopard_UniBOM_ME_0603-2_Bolt RFQ Proposal_Foxlink_ (Pricing Summary) 2 25 2011 5 3" xfId="21970"/>
    <cellStyle name="Text Center" xfId="21971"/>
    <cellStyle name="Text Center Wrap" xfId="21972"/>
    <cellStyle name="差_Creak Pearl Reliability Fixture RFQ_2009 04 24_Creek  Pearl RFQ_May 12_Leopard RFQ ME BOM Costs-0618-2_Bolt RFQ_Foxlink_03.1 2011 2" xfId="21973"/>
    <cellStyle name="Text Indent A" xfId="21974"/>
    <cellStyle name="Text Indent B" xfId="21975"/>
    <cellStyle name="差_F3   SMT設備明細_M1 SuedeFixtureEquipment Cost_A0_2010_10_15_Bolt RFQ_Foxlink_03.1 2011 3 2" xfId="21976"/>
    <cellStyle name="差_Creak Pearl Reliability Fixture RFQ_2009 04 24_Creek  Pearl RFQ_May 12_Leopard RFQ ME BOM Costs-0618-2_Bolt RFQ_Foxlink_03.1 2011 3" xfId="21977"/>
    <cellStyle name="好_River EE BOM_Xl0000000_Leopard RFQ ME BOM Costs-0618-2" xfId="21978"/>
    <cellStyle name="差_Creak Pearl Reliability Fixture RFQ_2009 04 24_Creek  Pearl RFQ_May 12_Leopard RFQ ME BOM Costs-0618-2_Bolt RFQ_Foxlink_03.1 2011 3 2" xfId="21979"/>
    <cellStyle name="好_River EE BOM_Xl0000000_Leopard RFQ ME BOM Costs-0618-2 2" xfId="21980"/>
    <cellStyle name="Text Indent B 2" xfId="21981"/>
    <cellStyle name="好_River EE BOM_Xl0000000_Leopard RFQ ME BOM Costs-0618-2 2 2" xfId="21982"/>
    <cellStyle name="Text Indent B 2 2" xfId="21983"/>
    <cellStyle name="差_Creak Pearl Reliability Fixture RFQ_2009 04 24_Creek  Pearl RFQ_May 12_Leopard RFQ ME BOM Costs-0618-2_Bolt RFQ_Foxlink_03.1 2011 3 3" xfId="21984"/>
    <cellStyle name="好_River EE BOM_Xl0000000_Leopard RFQ ME BOM Costs-0618-2 3" xfId="21985"/>
    <cellStyle name="Text Indent B 3" xfId="21986"/>
    <cellStyle name="Text Indent C" xfId="21987"/>
    <cellStyle name="差_F3   SMT設備明細_M1 SuedeFixtureEquipment Cost_A0_2010_10_15_Bolt RFQ_Foxlink_03.1 2011 3 3" xfId="21988"/>
    <cellStyle name="差_Creak Pearl Reliability Fixture RFQ_2009 04 24_Creek  Pearl RFQ_May 12_Leopard RFQ ME BOM Costs-0618-2_Bolt RFQ_Foxlink_03.1 2011 4" xfId="21989"/>
    <cellStyle name="Text Indent C 3" xfId="21990"/>
    <cellStyle name="Text Indent C 4" xfId="21991"/>
    <cellStyle name="Text No Wrap" xfId="21992"/>
    <cellStyle name="Text Wrap" xfId="21993"/>
    <cellStyle name="Text Wrap Center" xfId="21994"/>
    <cellStyle name="好_River EE BOM_Creak Pearl Reliability Fixture RFQ_2009 04 24_Xl0000002_Leopard RFQ ME BOM Costs-0618-2_Bolt RFQ Proposal_Foxlink_ (Pricing Summary) 2 25 2011" xfId="21995"/>
    <cellStyle name="好_Creek EE BOM cost_20090425_Squirrel UniBom-06.23.2010_update_internal_Bolt RFQ_Foxlink_03.1 2011_nego meeting@MACH" xfId="21996"/>
    <cellStyle name="Thousands 2" xfId="21997"/>
    <cellStyle name="Thousands 4" xfId="21998"/>
    <cellStyle name="Times New Roman" xfId="21999"/>
    <cellStyle name="好_Creek Assembly Fixture  Test Equipment RFQ_20090427_Xl0000002_Leopard UniBom_Foxlink_6 21 2010-ME_nego_Bolt RFQ_Foxlink_03.1 2011_nego meeting@MACH 2" xfId="22000"/>
    <cellStyle name="差_效益分析_Dallas flow chart&amp;設備&amp;治工具清單(12-8 A0)_Jackson 效益分析 testing update_16th Jan1_Jackson 效益分析 (2-1 B0 上系統)_squirrel效益分析08-17" xfId="22001"/>
    <cellStyle name="Title" xfId="22002"/>
    <cellStyle name="Title 3 2" xfId="22003"/>
    <cellStyle name="Title 3 3" xfId="22004"/>
    <cellStyle name="Title 5" xfId="22005"/>
    <cellStyle name="Title 7" xfId="22006"/>
    <cellStyle name="Title 8" xfId="22007"/>
    <cellStyle name="Title 9" xfId="22008"/>
    <cellStyle name="Total" xfId="22009"/>
    <cellStyle name="好_River EE BOM_Creak Pearl Reliability Fixture RFQ_2009 04 24_Leopard Lemur Squirrel UniBom-06.22.2010_EE cost _update_internal_Bolt RFQ Proposal_Foxlink_ (Pricing Summary) 2 25 2011 2" xfId="22010"/>
    <cellStyle name="Total 10" xfId="22011"/>
    <cellStyle name="好_River EE BOM_Creak Pearl Reliability Fixture RFQ_2009 04 24_Leopard Lemur Squirrel UniBom-06.22.2010_EE cost _update_internal_Bolt RFQ Proposal_Foxlink_ (Pricing Summary) 2 25 2011 2 2 2" xfId="22012"/>
    <cellStyle name="Total 10 2 2" xfId="22013"/>
    <cellStyle name="好_River EE BOM_Creak Pearl Reliability Fixture RFQ_2009 04 24_Leopard Lemur Squirrel UniBom-06.22.2010_EE cost _update_internal_Bolt RFQ Proposal_Foxlink_ (Pricing Summary) 2 25 2011 3 2" xfId="22014"/>
    <cellStyle name="Total 11 2" xfId="22015"/>
    <cellStyle name="Total 11 2 2" xfId="22016"/>
    <cellStyle name="Total 11 2 3" xfId="22017"/>
    <cellStyle name="好_River EE BOM_Creak Pearl Reliability Fixture RFQ_2009 04 24_Leopard Lemur Squirrel UniBom-06.22.2010_EE cost _update_internal_Bolt RFQ Proposal_Foxlink_ (Pricing Summary) 2 25 2011 4" xfId="22018"/>
    <cellStyle name="Total 12" xfId="22019"/>
    <cellStyle name="好_River EE BOM_Creak Pearl Reliability Fixture RFQ_2009 04 24_Leopard Lemur Squirrel UniBom-06.22.2010_EE cost _update_internal_Bolt RFQ Proposal_Foxlink_ (Pricing Summary) 2 25 2011 4 2" xfId="22020"/>
    <cellStyle name="Total 12 2" xfId="22021"/>
    <cellStyle name="Total 12 2 2" xfId="22022"/>
    <cellStyle name="Total 12 2 3" xfId="22023"/>
    <cellStyle name="好_River EE BOM_Creak Pearl Reliability Fixture RFQ_2009 04 24_Leopard Lemur Squirrel UniBom-06.22.2010_EE cost _update_internal_Bolt RFQ Proposal_Foxlink_ (Pricing Summary) 2 25 2011 5" xfId="22024"/>
    <cellStyle name="Total 13" xfId="22025"/>
    <cellStyle name="好_River EE BOM_Creak Pearl Reliability Fixture RFQ_2009 04 24_Leopard Lemur Squirrel UniBom-06.22.2010_EE cost _update_internal_Bolt RFQ Proposal_Foxlink_ (Pricing Summary) 2 25 2011 5 2" xfId="22026"/>
    <cellStyle name="Total 13 2" xfId="22027"/>
    <cellStyle name="差_jupite r設備&amp;治工具LIST (總)_pq_Flow Chart&amp;設備治工具清單 _Jackson 效益分析 (2-1 B0 上系統)_squirrel效益分析08-17" xfId="22028"/>
    <cellStyle name="Total 13 2 2" xfId="22029"/>
    <cellStyle name="Total 13 2 3" xfId="22030"/>
    <cellStyle name="好_River EE BOM_Creak Pearl Reliability Fixture RFQ_2009 04 24_Leopard Lemur Squirrel UniBom-06.22.2010_EE cost _update_internal_Bolt RFQ Proposal_Foxlink_ (Pricing Summary) 2 25 2011 6" xfId="22031"/>
    <cellStyle name="Total 14" xfId="22032"/>
    <cellStyle name="Total 14 2 2" xfId="22033"/>
    <cellStyle name="好_River EE BOM_Creak Pearl Reliability Fixture RFQ_2009 04 24_Leopard Lemur Squirrel UniBom-06.22.2010_EE cost _update_internal_Bolt RFQ Proposal_Foxlink_ (Pricing Summary) 2 25 2011 7" xfId="22034"/>
    <cellStyle name="Total 15" xfId="22035"/>
    <cellStyle name="Total 15 2" xfId="22036"/>
    <cellStyle name="Total 15 3" xfId="22037"/>
    <cellStyle name="Total 16" xfId="22038"/>
    <cellStyle name="Total 2 2 2" xfId="22039"/>
    <cellStyle name="标题 1 5 2" xfId="22040"/>
    <cellStyle name="Total 2 2 3" xfId="22041"/>
    <cellStyle name="Total 2 3" xfId="22042"/>
    <cellStyle name="Total 2_Bristol RFQ response _20101102_internal (4)" xfId="22043"/>
    <cellStyle name="Total 3" xfId="22044"/>
    <cellStyle name="Total 3 2" xfId="22045"/>
    <cellStyle name="Total 3 2 2" xfId="22046"/>
    <cellStyle name="标题 2 5 2" xfId="22047"/>
    <cellStyle name="Total 3 2 3" xfId="22048"/>
    <cellStyle name="差_jupite r設備&amp;治工具LIST (總)_Flow Chart&amp;PQ分析(12-1)_效益分析(總 12-28 Update)_Jackson 效益分析 (2-1 B0 上系統)_Leopard Flowchart &amp; 產能評估" xfId="22049"/>
    <cellStyle name="Total 3 3" xfId="22050"/>
    <cellStyle name="Total 4" xfId="22051"/>
    <cellStyle name="Total 5" xfId="22052"/>
    <cellStyle name="Total 5 2" xfId="22053"/>
    <cellStyle name="标题 4 5 2" xfId="22054"/>
    <cellStyle name="Total 5 2 3" xfId="22055"/>
    <cellStyle name="Total 6" xfId="22056"/>
    <cellStyle name="Total 6 2" xfId="22057"/>
    <cellStyle name="Total 6 2 2" xfId="22058"/>
    <cellStyle name="Total 7" xfId="22059"/>
    <cellStyle name="Total 7 2" xfId="22060"/>
    <cellStyle name="Total 8 2 2" xfId="22061"/>
    <cellStyle name="Total 9" xfId="22062"/>
    <cellStyle name="好_River EE BOM_Creak Pearl Reliability Fixture RFQ_2009 04 24_Creek RFQ feedback 04_28_2009_FD Update_Leopard UniBom_Foxlink_6 21 2010-ME_nego 3 3" xfId="22063"/>
    <cellStyle name="Total 9 2" xfId="22064"/>
    <cellStyle name="好_River EE BOM_Xl0000002_Leopard_UniBOM_ME_0602-1_Bolt RFQ Proposal_Foxlink_ (Pricing Summary) 2 25 2011 6" xfId="22065"/>
    <cellStyle name="Total 9 2 3" xfId="22066"/>
    <cellStyle name="Transaction" xfId="22067"/>
    <cellStyle name="好_效益分析&amp;產能評估_M1 Bolt wireless mouse FixtureEquipment Cost_A2_2010_12_07 2" xfId="22068"/>
    <cellStyle name="Tusental_Access" xfId="22069"/>
    <cellStyle name="Undefiniert" xfId="22070"/>
    <cellStyle name="Unprotect" xfId="22071"/>
    <cellStyle name="UP" xfId="22072"/>
    <cellStyle name="Valuta (0)_pldt" xfId="22073"/>
    <cellStyle name="Währung [0]_!!!GO" xfId="22074"/>
    <cellStyle name="好_Creek Assembly Fixture  Test Equipment RFQ_20090427_Leopard UniBom_Foxlink_6 21 2010-ME_nego_Bolt RFQ_Foxlink_03.1 2011_nego meeting@MACH_Bolt_Cliff 3 2" xfId="22075"/>
    <cellStyle name="Währung_!!!GO" xfId="22076"/>
    <cellStyle name="Warning Text" xfId="22077"/>
    <cellStyle name="Warning Text 10" xfId="22078"/>
    <cellStyle name="Warning Text 11" xfId="22079"/>
    <cellStyle name="Warning Text 12" xfId="22080"/>
    <cellStyle name="Warning Text 14" xfId="22081"/>
    <cellStyle name="Warning Text 15" xfId="22082"/>
    <cellStyle name="Warning Text 2 2" xfId="22083"/>
    <cellStyle name="Warning Text 3 2" xfId="22084"/>
    <cellStyle name="好_Creek EE BOM cost_20090425_Creek RFQ feedback 04_28_2009_FD Update_Jackson NRE Uni BOM_update _05072010 rev K" xfId="22085"/>
    <cellStyle name="Warning Text 3 3" xfId="22086"/>
    <cellStyle name="Warning Text 4" xfId="22087"/>
    <cellStyle name="Warning Text 5" xfId="22088"/>
    <cellStyle name="Warning Text 6" xfId="22089"/>
    <cellStyle name="Warning Text 7" xfId="22090"/>
    <cellStyle name="Warning Text 8" xfId="22091"/>
    <cellStyle name="Warning Text 9" xfId="22092"/>
    <cellStyle name="アクセント 1" xfId="22093"/>
    <cellStyle name="好_Jupiter_forecast" xfId="22094"/>
    <cellStyle name="アクセント 2" xfId="22095"/>
    <cellStyle name="アクセント 3" xfId="22096"/>
    <cellStyle name="好_River EE BOM_Xl0000002_Squirrel UniBom-06.23.2010_update_internal_Bolt RFQ_Foxlink_03.1 2011 3 2" xfId="22097"/>
    <cellStyle name="好_Creek EE BOM cost_20090425_Jackson and Shadow BOM cost_mainfile_2010 0324 rev.1" xfId="22098"/>
    <cellStyle name="アクセント 4" xfId="22099"/>
    <cellStyle name="好_River EE BOM_Xl0000002_Squirrel UniBom-06.23.2010_update_internal_Bolt RFQ_Foxlink_03.1 2011 3 3" xfId="22100"/>
    <cellStyle name="アクセント 5" xfId="22101"/>
    <cellStyle name="スタイル 1" xfId="22102"/>
    <cellStyle name="差_F3   SMT設備明細_效益分析_Dallas flow chart&amp;設備&amp;治工具清單(12-8 A0)_Jackson 效益分析 testing update_16th Jan1" xfId="22103"/>
    <cellStyle name="タイトル" xfId="22104"/>
    <cellStyle name="壞_Creek EE BOM cost_20090425_Creek RFQ feedback 04_28_2009_FD Update_Leopard UniBom_Foxlink_6 21 2010-ME_nego_Bolt RFQ_Foxlink_03.1 2011_nego meeting@MACH 3" xfId="22105"/>
    <cellStyle name="ハイパーリンク" xfId="22106"/>
    <cellStyle name="メモ" xfId="22107"/>
    <cellStyle name="リンク セル" xfId="22108"/>
    <cellStyle name="ปกติ" xfId="22109"/>
    <cellStyle name=" [0.00]_CPU120_R1.5_ES_fin" xfId="22110"/>
    <cellStyle name="だ_larouxoux" xfId="22111"/>
    <cellStyle name="??" xfId="22112"/>
    <cellStyle name="_sofia3_planar BOM-1" xfId="22113"/>
    <cellStyle name="一" xfId="22114"/>
    <cellStyle name="差_Creak Pearl Reliability Fixture RFQ_2009 04 24_Creek RFQ feedback 04_28_2009_FD Update_Bolt RFQ_Foxlink_03.1 2011 2" xfId="22115"/>
    <cellStyle name="一般 10" xfId="22116"/>
    <cellStyle name="差_Creak Pearl Reliability Fixture RFQ_2009 04 24_Creek RFQ feedback 04_28_2009_FD Update_Bolt RFQ_Foxlink_03.1 2011 2 2" xfId="22117"/>
    <cellStyle name="一般 10 2" xfId="22118"/>
    <cellStyle name="差_Creak Pearl Reliability Fixture RFQ_2009 04 24_Creek RFQ feedback 04_28_2009_FD Update_Bolt RFQ_Foxlink_03.1 2011 3" xfId="22119"/>
    <cellStyle name="一般 11" xfId="22120"/>
    <cellStyle name="差_Creak Pearl Reliability Fixture RFQ_2009 04 24_Creek RFQ feedback 04_28_2009_FD Update_Bolt RFQ_Foxlink_03.1 2011 4" xfId="22121"/>
    <cellStyle name="一般 12" xfId="22122"/>
    <cellStyle name="一般 12 3" xfId="22123"/>
    <cellStyle name="差_Creak Pearl Reliability Fixture RFQ_2009 04 24_Creek RFQ feedback 04_28_2009_FD Update_Bolt RFQ_Foxlink_03.1 2011 5" xfId="22124"/>
    <cellStyle name="一般 13" xfId="22125"/>
    <cellStyle name="一般 14" xfId="22126"/>
    <cellStyle name="一般 14 2" xfId="22127"/>
    <cellStyle name="一般 14 2 2" xfId="22128"/>
    <cellStyle name="一般 14 2 3" xfId="22129"/>
    <cellStyle name="差 2" xfId="22130"/>
    <cellStyle name="一般 14 3" xfId="22131"/>
    <cellStyle name="差 2 3" xfId="22132"/>
    <cellStyle name="一般 14 3 3" xfId="22133"/>
    <cellStyle name="差_HP Mouse 產能評估(上系統)_Erie 效益分析 (Update)_Jackson 效益分析 (2-1 B0 上系統)_squirrel效益分析08-17" xfId="22134"/>
    <cellStyle name="差 3" xfId="22135"/>
    <cellStyle name="好_Bristol  cost 20100914Rev.A 2_foxlink Bristol for 10063D-2010-10-11_Bristol ME parts tooling cost 20101022 updated_Bristol TC Estimate Update 08012011" xfId="22136"/>
    <cellStyle name="一般 14 4" xfId="22137"/>
    <cellStyle name="差 4" xfId="22138"/>
    <cellStyle name="一般 14 5" xfId="22139"/>
    <cellStyle name="一般 15" xfId="22140"/>
    <cellStyle name="一般 18" xfId="22141"/>
    <cellStyle name="一般 18 2" xfId="22142"/>
    <cellStyle name="一般 19" xfId="22143"/>
    <cellStyle name="一般 19 2" xfId="22144"/>
    <cellStyle name="好_River EE BOM_Creek RFQ feedback 04_28_2009_FD Update_Leopard Lemur Squirrel UniBom-06.22.2010_EE cost _update_internal_Bolt RFQ_Foxlink_03.1 2011 4" xfId="22145"/>
    <cellStyle name="一般 19 2 2" xfId="22146"/>
    <cellStyle name="一般 19 2 3" xfId="22147"/>
    <cellStyle name="好_River EE BOM_Creak Pearl Reliability Fixture RFQ_2009 04 24_Pearl RFQ(Submittal)ver2_05_12_2009 _Leopard RFQ ME BOM Costs-0618_Bolt RFQ_Foxlink_03.1 2011_nego meeting@MACH 2 3" xfId="22148"/>
    <cellStyle name="一般 2 2 2" xfId="22149"/>
    <cellStyle name="差_HP  專案(設備&amp;治工具需夠買)update 2 2" xfId="22150"/>
    <cellStyle name="一般 2 2 3" xfId="22151"/>
    <cellStyle name="好_River EE BOM_Creek RFQ feedback 04_28_2009_FD Update_Bolt RFQ_Foxlink_03.1 2011 4" xfId="22152"/>
    <cellStyle name="一般 2 2 4 2" xfId="22153"/>
    <cellStyle name="好_River EE BOM_Creek RFQ feedback 04_28_2009_FD Update_Bolt RFQ_Foxlink_03.1 2011 5" xfId="22154"/>
    <cellStyle name="一般 2 2 4 3" xfId="22155"/>
    <cellStyle name="一般 2 2 5 2" xfId="22156"/>
    <cellStyle name="一般 2 2 5 3" xfId="22157"/>
    <cellStyle name="差_Flow Chart&amp;PQ分析(12-1)_效益分析(總 12-28 Update)_~1159284" xfId="22158"/>
    <cellStyle name="一般 2 2_2010-05 費用分析0604" xfId="22159"/>
    <cellStyle name="好_River EE BOM_Creak Pearl Reliability Fixture RFQ_2009 04 24_Pearl RFQ(Submittal)ver2_05_12_2009 _Leopard RFQ ME BOM Costs-0618_Bolt RFQ_Foxlink_03.1 2011_nego meeting@MACH 3 3" xfId="22160"/>
    <cellStyle name="一般 2 3 2" xfId="22161"/>
    <cellStyle name="差_Xl0000000_Leopard RFQ ME BOM Costs-0618 3 3" xfId="22162"/>
    <cellStyle name="一般 2 4" xfId="22163"/>
    <cellStyle name="好_River EE BOM_Creak Pearl Reliability Fixture RFQ_2009 04 24_Creek  Pearl RFQ_May 12_Leopard_UniBOM_ME_0602-1_Bolt RFQ_Foxlink_03.1 2011 2 3" xfId="22164"/>
    <cellStyle name="一般 2 4 2" xfId="22165"/>
    <cellStyle name="一般 28 3" xfId="22166"/>
    <cellStyle name="差_Creak Pearl Reliability Fixture RFQ_2009 04 24_Pearl RFQ(Submittal)ver2_05_12_2009 _Leopard_UniBOM_ME_0603-2_Bolt RFQ_Foxlink_03.1 2011_nego meeting@MACH 2 2" xfId="22167"/>
    <cellStyle name="差_Creak Pearl Reliability Fixture RFQ_2009 04 24_Xl0000002_Leopard RFQ ME BOM Costs-0618-2_Bolt RFQ_Foxlink_03.1 2011_nego meeting@MACH 2 3" xfId="22168"/>
    <cellStyle name="一般 3" xfId="22169"/>
    <cellStyle name="一般 3 2" xfId="22170"/>
    <cellStyle name="一般 3 2 2" xfId="22171"/>
    <cellStyle name="一般 3 2 3 2" xfId="22172"/>
    <cellStyle name="好_Creek Assembly Fixture  Test Equipment RFQ_20090427_Leopard RFQ ME BOM Costs-0618_Bolt RFQ Proposal_Foxlink_ (Pricing Summary) 2 25 2011" xfId="22173"/>
    <cellStyle name="一般 38 3 6 2 2 3" xfId="22174"/>
    <cellStyle name="一般 4 2" xfId="22175"/>
    <cellStyle name="一般 4 3 2" xfId="22176"/>
    <cellStyle name="一般 4 3 2 2" xfId="22177"/>
    <cellStyle name="差_F3   SMT設備明細_jupite r設備&amp;治工具LIST (總)_~8644671_~1159284" xfId="22178"/>
    <cellStyle name="一般 4 3 2 2 2" xfId="22179"/>
    <cellStyle name="一般 4 3 2 2 3" xfId="22180"/>
    <cellStyle name="好_River EE BOM_Creak Pearl Reliability Fixture RFQ_2009 04 24_Creek RFQ feedback 04_28_2009_FD Update_Squirrel RFQ ME BOM Costs-0623_Bolt RFQ_Foxlink_03.1 2011_nego meeting@MACH" xfId="22181"/>
    <cellStyle name="一般 4 3 2 3 2" xfId="22182"/>
    <cellStyle name="一般 4 3 2 3 3" xfId="22183"/>
    <cellStyle name="説明文" xfId="22184"/>
    <cellStyle name="一般 4 3 2 4" xfId="22185"/>
    <cellStyle name="一般 4 3 3" xfId="22186"/>
    <cellStyle name="好_Creek Assembly Fixture  Test Equipment RFQ_20090427_Xl0000002_Foxlink_Shadow RFQ NREUni BOM_12032009_Bolt RFQ_Foxlink_03.1 2011_nego meeting@MACH 5" xfId="22187"/>
    <cellStyle name="一般 4 3 3 2" xfId="22188"/>
    <cellStyle name="一般 4 3 3 3" xfId="22189"/>
    <cellStyle name="一般 4 3 4" xfId="22190"/>
    <cellStyle name="一般 4 3 4 2" xfId="22191"/>
    <cellStyle name="一般 4 3 5" xfId="22192"/>
    <cellStyle name="一般 4 3 5 3" xfId="22193"/>
    <cellStyle name="一般 5" xfId="22194"/>
    <cellStyle name="一般 5 4" xfId="22195"/>
    <cellStyle name="一般 5 4 2" xfId="22196"/>
    <cellStyle name="好_Creek Assembly Fixture  Test Equipment RFQ_20090427_Leopard_UniBOM_ME_0602 3" xfId="22197"/>
    <cellStyle name="一般 5 4 3" xfId="22198"/>
    <cellStyle name="好_Creek EE BOM cost_20090425_Creek RFQ feedback 04_28_2009_FD Update_Leopard_UniBOM_ME_0602_Bolt RFQ_Foxlink_03.1 2011_nego meeting@MACH 2 2" xfId="22199"/>
    <cellStyle name="一般 6 3 2 2 2" xfId="22200"/>
    <cellStyle name="好_Creek EE BOM cost_20090425_Creek RFQ feedback 04_28_2009_FD Update_Leopard_UniBOM_ME_0602_Bolt RFQ_Foxlink_03.1 2011_nego meeting@MACH 2 3" xfId="22201"/>
    <cellStyle name="一般 6 3 2 2 3" xfId="22202"/>
    <cellStyle name="差_HP  專案(設備&amp;治工具需夠買)update_MS Bolt wireless mouse FixtureEquipment Cost_A5_2010_02_21 2 4" xfId="22203"/>
    <cellStyle name="好_Creek EE BOM cost_20090425_Creek RFQ feedback 04_28_2009_FD Update_Leopard_UniBOM_ME_0602_Bolt RFQ_Foxlink_03.1 2011_nego meeting@MACH 3" xfId="22204"/>
    <cellStyle name="一般 6 3 2 3" xfId="22205"/>
    <cellStyle name="好_Creek EE BOM cost_20090425_Creek RFQ feedback 04_28_2009_FD Update_Leopard_UniBOM_ME_0602_Bolt RFQ_Foxlink_03.1 2011_nego meeting@MACH 3 3" xfId="22206"/>
    <cellStyle name="一般 6 3 2 3 3" xfId="22207"/>
    <cellStyle name="好_Creek Assembly Fixture  Test Equipment RFQ_20090427_Xl0000002_Squirrel RFQ ME BOM Costs-0623_Bolt RFQ_Foxlink_03.1 2011_nego meeting@MACH" xfId="22208"/>
    <cellStyle name="一般 6 3 3 3" xfId="22209"/>
    <cellStyle name="一般 6 3 4" xfId="22210"/>
    <cellStyle name="一般 6 4" xfId="22211"/>
    <cellStyle name="差_Creak Pearl Reliability Fixture RFQ_2009 04 24_Creek RFQ feedback 04_28_2009_FD Update_Leopard Lemur Squirrel UniBom-06.22.2010_EE cost _update_internal_Bolt RFQ Proposal_Foxlink_ (Pricing Summary) 2 25 2011 2" xfId="22212"/>
    <cellStyle name="好_River EE BOM_Creak Pearl Reliability Fixture RFQ_2009 04 24_Pearl RFQ(Submittal)ver2_05_12_2009 _Leopard RFQ ME BOM Costs-0618 2 4" xfId="22213"/>
    <cellStyle name="一般 6 4 3" xfId="22214"/>
    <cellStyle name="差_Creak Pearl Reliability Fixture RFQ_2009 04 24_Pearl RFQ(Submittal)ver2_05_12_2009 _Squirrel UniBom-06 23 2010_update_internal" xfId="22215"/>
    <cellStyle name="一般 6 5" xfId="22216"/>
    <cellStyle name="差_Creak Pearl Reliability Fixture RFQ_2009 04 24_Leopard_UniBOM_ME_0603-2_Bolt RFQ_Foxlink_03.1 2011_nego meeting@MACH 3 2" xfId="22217"/>
    <cellStyle name="好_Creek EE BOM cost_20090425_Leopard RFQ ME BOM Costs-0618_Bolt RFQ Proposal_Foxlink_ (Pricing Summary) 2 25 2011 2" xfId="22218"/>
    <cellStyle name="一般 7 2" xfId="22219"/>
    <cellStyle name="好_River EE BOM_Creak Pearl Reliability Fixture RFQ_2009 04 24_Xl0000002_Leopard_UniBOM_ME_0602_Bolt RFQ_Foxlink_03.1 2011 5" xfId="22220"/>
    <cellStyle name="一般 88 4" xfId="22221"/>
    <cellStyle name="好_River EE BOM_Creek RFQ feedback 04_28_2009_FD Update_Leopard UniBom_Foxlink_6 21 2010-ME_nego_Bolt RFQ_Foxlink_03.1 2011_nego meeting@MACH 4" xfId="22222"/>
    <cellStyle name="好_River EE BOM_Creek RFQ feedback 04_28_2009_FD Update_Leopard RFQ ME BOM Costs-0618 3" xfId="22223"/>
    <cellStyle name="好_Creek Assembly Fixture  Test Equipment RFQ_20090427_Leopard_UniBOM_ME_0602-1_Bolt_Cliff 2 2 3" xfId="22224"/>
    <cellStyle name="一般_各課耗材表" xfId="22225"/>
    <cellStyle name="好_River EE BOM_Creek RFQ feedback 04_28_2009_FD Update_Leopard RFQ ME BOM Costs-0618-2 2" xfId="22226"/>
    <cellStyle name="一般_耗材使用1" xfId="22227"/>
    <cellStyle name="一般_履歷表" xfId="22228"/>
    <cellStyle name="入力" xfId="22229"/>
    <cellStyle name="千分位 2" xfId="22230"/>
    <cellStyle name="千分位 2 3" xfId="22231"/>
    <cellStyle name="千分位 2 3 2" xfId="22232"/>
    <cellStyle name="注释 3 3" xfId="22233"/>
    <cellStyle name="千分位 2_Lemur" xfId="22234"/>
    <cellStyle name="千分位 3 2" xfId="22235"/>
    <cellStyle name="差_F3   SMT設備明細_效益分析_Dallas flow chart&amp;設備&amp;治工具清單(12-8 A0)_Flow chart and Fixture(Jackson)_A1_Jackson 效益分析 (2-1 B0 上系統)_Leopard效益分析08-17" xfId="22236"/>
    <cellStyle name="千分位 5 2 2" xfId="22237"/>
    <cellStyle name="千分位[0] 2" xfId="22238"/>
    <cellStyle name="千位分隔 2 3" xfId="22239"/>
    <cellStyle name="差_Creak Pearl Reliability Fixture RFQ_2009 04 24_Squirrel RFQ ME BOM Costs-0623_Bolt RFQ Proposal_Foxlink_ (Pricing Summary) 2 25 2011 7" xfId="22240"/>
    <cellStyle name="千位分隔 3" xfId="22241"/>
    <cellStyle name="差_Creak Pearl Reliability Fixture RFQ_2009 04 24_Pearl RFQ(Submittal)ver2_05_12_2009 _Leopard_UniBOM_ME_0602 2 4" xfId="22242"/>
    <cellStyle name="千位分隔 3 2" xfId="22243"/>
    <cellStyle name="中等 2" xfId="22244"/>
    <cellStyle name="好_River EE BOM_Xl0000002_Leopard_UniBOM_ME_0531_Bolt RFQ Proposal_Foxlink_ (Pricing Summary) 2 25 2011 3 3" xfId="22245"/>
    <cellStyle name="好_River EE BOM_Creak Pearl Reliability Fixture RFQ_2009 04 24_Leopard RFQ ME BOM Costs-0618-2_Bolt RFQ Proposal_Foxlink_ (Pricing Summary) 2 25 2011 2 2 2" xfId="22246"/>
    <cellStyle name="文字列" xfId="22247"/>
    <cellStyle name="好_Creek Assembly Fixture  Test Equipment RFQ_20090427_Leopard UniBom_Foxlink_6 21 2010-ME_nego_Bolt RFQ_Foxlink_03.1 2011_nego meeting@MACH 3 3" xfId="22248"/>
    <cellStyle name="好_River EE BOM_Xl0000002_Leopard_UniBOM_ME_0602-1_Bolt RFQ_Foxlink_03.1 2011_nego meeting@MACH 3" xfId="22249"/>
    <cellStyle name="文字列 2" xfId="22250"/>
    <cellStyle name="计算 2" xfId="22251"/>
    <cellStyle name="计算 2 2" xfId="22252"/>
    <cellStyle name="计算 2 2 2 2" xfId="22253"/>
    <cellStyle name="差_Rio QA Report-1.25" xfId="22254"/>
    <cellStyle name="好_Creek Assembly Fixture  Test Equipment RFQ_20090427_Leopard_UniBOM_ME_0602_Bolt RFQ_Foxlink_03.1 2011_nego meeting@MACH 2" xfId="22255"/>
    <cellStyle name="好_River EE BOM_Creak Pearl Reliability Fixture RFQ_2009 04 24_Creek RFQ feedback 04_28_2009_FD Update_Leopard RFQ ME BOM Costs-0618-2_Bolt RFQ_Foxlink_03.1 2011_nego meeting@MACH 3 2" xfId="22256"/>
    <cellStyle name="好_Creek Assembly Fixture  Test Equipment RFQ_20090427_Leopard_UniBOM_ME_0602_Bolt RFQ_Foxlink_03.1 2011_nego meeting@MACH 4" xfId="22257"/>
    <cellStyle name="计算 2 2 2 4" xfId="22258"/>
    <cellStyle name="好_Creek Assembly Fixture  Test Equipment RFQ_20090427_Leopard Lemur Squirrel UniBom-06.22.2010_EE cost _update_internal" xfId="22259"/>
    <cellStyle name="计算 2 2 3" xfId="22260"/>
    <cellStyle name="计算 2 3 2" xfId="22261"/>
    <cellStyle name="差_Creak Pearl Reliability Fixture RFQ_2009 04 24_Pearl RFQ(Submittal)ver2_05_12_2009 _Leopard Lemur Squirrel UniBom-06.22.2010_EE cost _update_internal_Bolt RFQ Proposal_Foxlink_ (Pricing Summary) 2 25 2011 3" xfId="22262"/>
    <cellStyle name="计算 2 3 2 2" xfId="22263"/>
    <cellStyle name="差_Creak Pearl Reliability Fixture RFQ_2009 04 24_Pearl RFQ(Submittal)ver2_05_12_2009 _Leopard Lemur Squirrel UniBom-06.22.2010_EE cost _update_internal_Bolt RFQ Proposal_Foxlink_ (Pricing Summary) 2 25 2011 4" xfId="22264"/>
    <cellStyle name="计算 2 3 2 3" xfId="22265"/>
    <cellStyle name="计算 2 3 3" xfId="22266"/>
    <cellStyle name="计算 2 3 3 3" xfId="22267"/>
    <cellStyle name="好_Creek Assembly Fixture  Test Equipment RFQ_20090427_Leopard Lemur Squirrel UniBom-06.22.2010_EE cost _update_internal_Bolt RFQ_Foxlink_03.1 2011_nego meeting@MACH 2 3" xfId="22268"/>
    <cellStyle name="计算 2 4" xfId="22269"/>
    <cellStyle name="计算 2 5" xfId="22270"/>
    <cellStyle name="计算 3 2 2" xfId="22271"/>
    <cellStyle name="计算 3 2 2 2" xfId="22272"/>
    <cellStyle name="好_Creek EE BOM cost_20090425_Leopard_UniBOM_ME_0531_Bolt RFQ_Foxlink_03.1 2011 2 2" xfId="22273"/>
    <cellStyle name="计算 3 2 3" xfId="22274"/>
    <cellStyle name="计算 3 2 3 2" xfId="22275"/>
    <cellStyle name="好_River EE BOM_Creak Pearl Reliability Fixture RFQ_2009 04 24_Creek  Pearl RFQ_May 12_Leopard_UniBOM_ME_0603-2_Bolt RFQ Proposal_Foxlink_ (Pricing Summary) 2 25 2011 3" xfId="22276"/>
    <cellStyle name="计算 3 2 3 3" xfId="22277"/>
    <cellStyle name="好_River EE BOM_Creak Pearl Reliability Fixture RFQ_2009 04 24_Creek  Pearl RFQ_May 12_Leopard_UniBOM_ME_0603-2_Bolt RFQ Proposal_Foxlink_ (Pricing Summary) 2 25 2011 4" xfId="22278"/>
    <cellStyle name="差_效益分析_Dallas效益分析&amp;投資回收期 (12-2 A1)_Jackson 效益分析 testing update_16th Jan111_Jackson 效益分析 (2-1 B0 上系統)_Leopard Flowchart &amp; 產能評估" xfId="22279"/>
    <cellStyle name="好_Creek EE BOM cost_20090425_Leopard_UniBOM_ME_0531_Bolt RFQ_Foxlink_03.1 2011 2 3" xfId="22280"/>
    <cellStyle name="计算 3 2 4" xfId="22281"/>
    <cellStyle name="计算 3 2 5" xfId="22282"/>
    <cellStyle name="好_Creek Assembly Fixture  Test Equipment RFQ_20090427_Leopard_UniBOM_ME_0602_Bolt RFQ_Foxlink_03.1 2011_Bolt_Cliff 2 2 3" xfId="22283"/>
    <cellStyle name="好_Creek Assembly Fixture  Test Equipment RFQ_20090427_Leopard Lemur Squirrel UniBom-06.22.2010_EE cost _update_internal_Bolt RFQ_Foxlink_03.1 2011_nego meeting@MACH 3 2" xfId="22284"/>
    <cellStyle name="计算 3 3" xfId="22285"/>
    <cellStyle name="好_Creek Assembly Fixture  Test Equipment RFQ_20090427_Leopard Lemur Squirrel UniBom-06.22.2010_EE cost _update_internal_Bolt RFQ_Foxlink_03.1 2011_nego meeting@MACH 3 3" xfId="22286"/>
    <cellStyle name="计算 3 4" xfId="22287"/>
    <cellStyle name="计算 4 2" xfId="22288"/>
    <cellStyle name="计算 4 2 2" xfId="22289"/>
    <cellStyle name="计算 4 2 2 2" xfId="22290"/>
    <cellStyle name="汇总 2 3 2 2" xfId="22291"/>
    <cellStyle name="计算 4 2 2 3" xfId="22292"/>
    <cellStyle name="差_Creak Pearl Reliability Fixture RFQ_2009 04 24_Xl0000002_Foxlink_Shadow RFQ NREUni BOM_12032009_Bolt RFQ_Foxlink_03.1 2011 2 2" xfId="22293"/>
    <cellStyle name="计算 4 2 3" xfId="22294"/>
    <cellStyle name="好_River EE BOM_Creak Pearl Reliability Fixture RFQ_2009 04 24_Creek RFQ feedback 04_28_2009_FD Update_Leopard RFQ ME BOM Costs-0618-2_Bolt RFQ Proposal_Foxlink_ (Pricing Summary) 2 25 2011" xfId="22295"/>
    <cellStyle name="计算 4 2 3 3" xfId="22296"/>
    <cellStyle name="好_River EE BOM_Creak Pearl Reliability Fixture RFQ_2009 04 24_Creek RFQ feedback 04_28_2009_FD Update_Leopard RFQ ME BOM Costs-0618-2_Bolt RFQ Proposal_Foxlink_ (Pricing Summary) 2 25 2011 3" xfId="22297"/>
    <cellStyle name="汇总 2 3 3 2" xfId="22298"/>
    <cellStyle name="计算 4 2 5" xfId="22299"/>
    <cellStyle name="好_Creek Assembly Fixture  Test Equipment RFQ_20090427_Leopard_UniBOM_ME_0602_Bolt RFQ_Foxlink_03.1 2011_Bolt_Cliff 2 4" xfId="22300"/>
    <cellStyle name="计算 5" xfId="22301"/>
    <cellStyle name="计算 5 2" xfId="22302"/>
    <cellStyle name="差_Creak Pearl Reliability Fixture RFQ_2009 04 24_Leopard Lemur Squirrel UniBom-06.22.2010_EE cost _update_internal 3 2" xfId="22303"/>
    <cellStyle name="计算 5 3" xfId="22304"/>
    <cellStyle name="好_River EE BOM_Xl0000002_Squirrel UniBom-06.23.2010_update_internal_Bolt RFQ Proposal_Foxlink_ (Pricing Summary) 2 25 2011 2 2 2" xfId="22305"/>
    <cellStyle name="计算 5 5" xfId="22306"/>
    <cellStyle name="未定義" xfId="22307"/>
    <cellStyle name="汇总 2" xfId="22308"/>
    <cellStyle name="汇总 2 2 2" xfId="22309"/>
    <cellStyle name="汇总 2 2 2 3" xfId="22310"/>
    <cellStyle name="汇总 2 2 2 4" xfId="22311"/>
    <cellStyle name="汇总 2 2 3" xfId="22312"/>
    <cellStyle name="差_F3   SMT設備明細_M1 SuedeFixtureEquipment Cost_A0_2010_10_15_Bolt RFQ Proposal_Foxlink_ (Pricing Summary) 2 25 2011 7" xfId="22313"/>
    <cellStyle name="汇总 2 3 2" xfId="22314"/>
    <cellStyle name="汇总 2 3 2 3" xfId="22315"/>
    <cellStyle name="差_Erie Trial run  QA Report-1103_Dolce   QA Report 2010_0902 (A3)_Dolce   QA Report 2010_0902" xfId="22316"/>
    <cellStyle name="汇总 2 3 3" xfId="22317"/>
    <cellStyle name="好_River EE BOM_Creak Pearl Reliability Fixture RFQ_2009 04 24_Creek RFQ feedback 04_28_2009_FD Update_Leopard RFQ ME BOM Costs-0618-2_Bolt RFQ Proposal_Foxlink_ (Pricing Summary) 2 25 2011 4" xfId="22318"/>
    <cellStyle name="汇总 2 3 3 3" xfId="22319"/>
    <cellStyle name="差_MB9月管審誤判超標 8D_2009MB KPI_MBO3F製造部hp0209-01 5 2 2" xfId="22320"/>
    <cellStyle name="汇总 2 3 4" xfId="22321"/>
    <cellStyle name="差_MB9月管審誤判超標 8D_2009MB KPI_MBO3F製造部hp0209-01 5 2 3" xfId="22322"/>
    <cellStyle name="汇总 2 3 5" xfId="22323"/>
    <cellStyle name="好_River QA Report- 8.23_Dolce   QA Report 2010_0902 (A3)_Dolce   QA Report 2010_0902" xfId="22324"/>
    <cellStyle name="汇总 2 5" xfId="22325"/>
    <cellStyle name="汇总 3" xfId="22326"/>
    <cellStyle name="汇总 3 2 2" xfId="22327"/>
    <cellStyle name="汇总 3 2 2 3" xfId="22328"/>
    <cellStyle name="好_River EE BOM_Creek RFQ feedback 04_28_2009_FD Update 2 2 2" xfId="22329"/>
    <cellStyle name="汇总 3 2 3 2" xfId="22330"/>
    <cellStyle name="好_River EE BOM_Creek RFQ feedback 04_28_2009_FD Update 2 2 3" xfId="22331"/>
    <cellStyle name="汇总 3 2 3 3" xfId="22332"/>
    <cellStyle name="好_River EE BOM_Creek RFQ feedback 04_28_2009_FD Update 2 4" xfId="22333"/>
    <cellStyle name="汇总 3 2 5" xfId="22334"/>
    <cellStyle name="差_Xl0000000_Leopard_UniBOM_ME_0603-2_Bolt RFQ Proposal_Foxlink_ (Pricing Summary) 2 25 2011 2" xfId="22335"/>
    <cellStyle name="汇总 4 2" xfId="22336"/>
    <cellStyle name="差_Xl0000000_Leopard_UniBOM_ME_0603-2_Bolt RFQ Proposal_Foxlink_ (Pricing Summary) 2 25 2011 2 2" xfId="22337"/>
    <cellStyle name="汇总 4 2 2" xfId="22338"/>
    <cellStyle name="差_Xl0000000_Leopard_UniBOM_ME_0603-2_Bolt RFQ Proposal_Foxlink_ (Pricing Summary) 2 25 2011 2 2 2" xfId="22339"/>
    <cellStyle name="汇总 4 2 2 2" xfId="22340"/>
    <cellStyle name="差_Xl0000000_Leopard_UniBOM_ME_0603-2_Bolt RFQ Proposal_Foxlink_ (Pricing Summary) 2 25 2011 2 2 3" xfId="22341"/>
    <cellStyle name="汇总 4 2 2 3" xfId="22342"/>
    <cellStyle name="差_Xl0000000_Leopard_UniBOM_ME_0603-2_Bolt RFQ Proposal_Foxlink_ (Pricing Summary) 2 25 2011 2 3" xfId="22343"/>
    <cellStyle name="汇总 4 2 3" xfId="22344"/>
    <cellStyle name="汇总 4 2 3 3" xfId="22345"/>
    <cellStyle name="差_Xl0000000_Leopard_UniBOM_ME_0603-2_Bolt RFQ Proposal_Foxlink_ (Pricing Summary) 2 25 2011 2 4" xfId="22346"/>
    <cellStyle name="汇总 4 2 4" xfId="22347"/>
    <cellStyle name="壞_Creek Assembly Fixture  Test Equipment RFQ_20090427_Xl0000002_Leopard UniBom_Foxlink_6 21 2010-ME_nego 2" xfId="22348"/>
    <cellStyle name="汇总 5 2" xfId="22349"/>
    <cellStyle name="壞_Creek Assembly Fixture  Test Equipment RFQ_20090427_Xl0000002_Leopard UniBom_Foxlink_6 21 2010-ME_nego 4" xfId="22350"/>
    <cellStyle name="汇总 5 4" xfId="22351"/>
    <cellStyle name="合計 2" xfId="22352"/>
    <cellStyle name="差_RIO Trial run (Pre-PV 100PCS) QA Report-0610_Rio QA Report-8.12_Suede QA report for EV2.1 _20110301_Update" xfId="22353"/>
    <cellStyle name="差_jupite r設備&amp;治工具LIST (總)_pq_Jackson 效益分析 testing update_16th Jan111_Jackson 效益分析 (2-1 B0 上系統)_squirrel效益分析08-17" xfId="22354"/>
    <cellStyle name="合計 2 2" xfId="22355"/>
    <cellStyle name="合計 2 2 3" xfId="22356"/>
    <cellStyle name="差_Creak Pearl Reliability Fixture RFQ_2009 04 24_Creek  Pearl RFQ_May 12_Foxlink_Shadow RFQ NREUni BOM_12032009_Bolt RFQ_Foxlink_03.1 2011 3 2" xfId="22357"/>
    <cellStyle name="好 3" xfId="22358"/>
    <cellStyle name="差_Creak Pearl Reliability Fixture RFQ_2009 04 24_Creek  Pearl RFQ_May 12_Foxlink_Shadow RFQ NREUni BOM_12032009_Bolt RFQ_Foxlink_03.1 2011 3 3" xfId="22359"/>
    <cellStyle name="好 4" xfId="22360"/>
    <cellStyle name="好 4 3" xfId="22361"/>
    <cellStyle name="好 5" xfId="22362"/>
    <cellStyle name="好 6" xfId="22363"/>
    <cellStyle name="差_HP  專案(設備&amp;治工具需夠買)update_M1 SuedeFixtureEquipment Cost_A0_2010_10_15_Wedge_ME_BOM-v00-11v0630 2" xfId="22364"/>
    <cellStyle name="好_~1454463" xfId="22365"/>
    <cellStyle name="好_Creek Assembly Fixture  Test Equipment RFQ_20090427_Xl0000002_Squirrel UniBom-06.23.2010_update_internal_Bolt RFQ Proposal_Foxlink_ (Pricing Summary) 2 25 2011 2 3" xfId="22366"/>
    <cellStyle name="好_~4684819" xfId="22367"/>
    <cellStyle name="好_~7519239" xfId="22368"/>
    <cellStyle name="差_Creek RFQ feedback 04_28_2009_FD Update_Leopard Lemur Squirrel UniBom-06.22.2010_EE cost _update_internal 2 3" xfId="22369"/>
    <cellStyle name="好_~9527068" xfId="22370"/>
    <cellStyle name="好_~9527068_Dolce   QA Report 2010_0902" xfId="22371"/>
    <cellStyle name="好_~9527068_Dolce   QA Report 2010_0902 (A3)" xfId="22372"/>
    <cellStyle name="好_River EE BOM_Creak Pearl Reliability Fixture RFQ_2009 04 24_Leopard_UniBOM_ME_0603-2_Bolt RFQ Proposal_Foxlink_ (Pricing Summary) 2 25 2011 2 4" xfId="22373"/>
    <cellStyle name="好_~9527068_Dolce   QA Report 2010_0902 (A3)_~7519239" xfId="22374"/>
    <cellStyle name="差_Xl0000002_Foxlink_Shadow RFQ NREUni BOM_12032009_Bolt RFQ_Foxlink_03.1 2011_nego meeting@MACH 2" xfId="22375"/>
    <cellStyle name="好_~9527068_Dolce   QA Report 2010_0902 (A3)_Dolce   QA Report 2010_0902" xfId="22376"/>
    <cellStyle name="好_~9527068_Dolce   QA Report 2010_0902_~7519239" xfId="22377"/>
    <cellStyle name="差_治具工程課2009年KPI_2009MB KPI-0205 3 3" xfId="22378"/>
    <cellStyle name="好_~9527068_Xl0000010" xfId="22379"/>
    <cellStyle name="好_0842周 顯卡報廢超標8D" xfId="22380"/>
    <cellStyle name="好_0842周 顯卡報廢超標8D 2 2 2 3" xfId="22381"/>
    <cellStyle name="好_0842周 顯卡報廢超標8D 2 2 4" xfId="22382"/>
    <cellStyle name="差_Flow chart and Fixture(Jackson)_A1_Jackson 效益分析 (2-1 B0 上系統)_squirrel效益分析08-17" xfId="22383"/>
    <cellStyle name="好_River EE BOM_Creak Pearl Reliability Fixture RFQ_2009 04 24_Pearl RFQ(Submittal)ver2_05_12_2009 _Squirrel RFQ ME BOM Costs-0623_Bolt RFQ_Foxlink_03.1 2011_nego meeting@MACH 3" xfId="22384"/>
    <cellStyle name="好_0842周 顯卡報廢超標8D 2 3" xfId="22385"/>
    <cellStyle name="差_Squirrel EV2 Cross build plan 2010_11_11" xfId="22386"/>
    <cellStyle name="好_River EE BOM_Creak Pearl Reliability Fixture RFQ_2009 04 24_Pearl RFQ(Submittal)ver2_05_12_2009 _Squirrel RFQ ME BOM Costs-0623_Bolt RFQ_Foxlink_03.1 2011_nego meeting@MACH 3 3" xfId="22387"/>
    <cellStyle name="好_0842周 顯卡報廢超標8D 2 3 3" xfId="22388"/>
    <cellStyle name="好_River EE BOM_Creak Pearl Reliability Fixture RFQ_2009 04 24_Pearl RFQ(Submittal)ver2_05_12_2009 _Squirrel RFQ ME BOM Costs-0623_Bolt RFQ_Foxlink_03.1 2011_nego meeting@MACH 4" xfId="22389"/>
    <cellStyle name="好_0842周 顯卡報廢超標8D 2 4" xfId="22390"/>
    <cellStyle name="好_River EE BOM_Creak Pearl Reliability Fixture RFQ_2009 04 24_Pearl RFQ(Submittal)ver2_05_12_2009 _Squirrel RFQ ME BOM Costs-0623_Bolt RFQ_Foxlink_03.1 2011_nego meeting@MACH 5" xfId="22391"/>
    <cellStyle name="好_0842周 顯卡報廢超標8D 2 5" xfId="22392"/>
    <cellStyle name="好_0842周 顯卡報廢超標8D 5" xfId="22393"/>
    <cellStyle name="差_Creek RFQ feedback 04_28_2009_FD Update_Leopard Lemur Squirrel UniBom-06.22.2010_EE cost _update_internal 2 2 2" xfId="22394"/>
    <cellStyle name="差_Creak Pearl Reliability Fixture RFQ_2009 04 24_Leopard UniBom_Foxlink_6 21 2010-ME_nego 2 2 3" xfId="22395"/>
    <cellStyle name="好_0842周 顯卡報廢超標8D 5 2" xfId="22396"/>
    <cellStyle name="好_0842周 顯卡報廢超標8D 5 2 2" xfId="22397"/>
    <cellStyle name="好_0842周 顯卡報廢超標8D 5 4" xfId="22398"/>
    <cellStyle name="好_0842周 顯卡報廢超標8D 6" xfId="22399"/>
    <cellStyle name="差_Creek RFQ feedback 04_28_2009_FD Update_Leopard Lemur Squirrel UniBom-06.22.2010_EE cost _update_internal 2 2 3" xfId="22400"/>
    <cellStyle name="好_0842周 顯卡報廢超標8D_2009MB KPI_MBO3F製造部hp0209-01" xfId="22401"/>
    <cellStyle name="好_River EE BOM_Creek RFQ feedback 04_28_2009_FD Update_Leopard RFQ ME BOM Costs-0618-2 3 3" xfId="22402"/>
    <cellStyle name="好_0842周 顯卡報廢超標8D_2009MB KPI_MBO3F製造部hp0209-01 2" xfId="22403"/>
    <cellStyle name="好_River EE BOM_Xl0000002_Leopard RFQ ME BOM Costs-0618-2_Bolt RFQ Proposal_Foxlink_ (Pricing Summary) 2 25 2011 5 3" xfId="22404"/>
    <cellStyle name="好_0842周 顯卡報廢超標8D_2009MB KPI_MBO3F製造部hp0209-01 2 2 2 3" xfId="22405"/>
    <cellStyle name="好_0842周 顯卡報廢超標8D_2009MB KPI_MBO3F製造部hp0209-01 2 3 2" xfId="22406"/>
    <cellStyle name="好_0842周 顯卡報廢超標8D_2009MB KPI_MBO3F製造部hp0209-01 2 3 3" xfId="22407"/>
    <cellStyle name="好_0842周 顯卡報廢超標8D_2009MB KPI_MBO3F製造部hp0209-01 3" xfId="22408"/>
    <cellStyle name="好_River EE BOM_Xl0000002_Squirrel UniBom-06.23.2010_update_internal 2 2 3" xfId="22409"/>
    <cellStyle name="差_F3   SMT設備明細_效益分析_flow chart 2009.12.12_效益分析(總 12-28 Update)_Jackson 效益分析 (2-1 B0 上系統)_Leopard效益分析08-17" xfId="22410"/>
    <cellStyle name="好_River EE BOM_Xl0000002_Squirrel RFQ ME BOM Costs-0623_Bolt RFQ Proposal_Foxlink_ (Pricing Summary) 2 25 2011 3" xfId="22411"/>
    <cellStyle name="好_0842周 顯卡報廢超標8D_2009MB KPI_MBO3F製造部hp0209-01 3 2" xfId="22412"/>
    <cellStyle name="好_River EE BOM_Xl0000002_Squirrel RFQ ME BOM Costs-0623_Bolt RFQ Proposal_Foxlink_ (Pricing Summary) 2 25 2011 3 2" xfId="22413"/>
    <cellStyle name="好_0842周 顯卡報廢超標8D_2009MB KPI_MBO3F製造部hp0209-01 3 2 2" xfId="22414"/>
    <cellStyle name="好_River EE BOM_Xl0000002_Squirrel RFQ ME BOM Costs-0623_Bolt RFQ Proposal_Foxlink_ (Pricing Summary) 2 25 2011 4" xfId="22415"/>
    <cellStyle name="好_Erie Assembly Fixture  Test Equip Cost_20090716_Foxlink_Shadow RFQ NREUni BOM_12032009 2 2 2" xfId="22416"/>
    <cellStyle name="好_0842周 顯卡報廢超標8D_2009MB KPI_MBO3F製造部hp0209-01 3 3" xfId="22417"/>
    <cellStyle name="好_0842周 顯卡報廢超標8D_2009MB KPI_MBO3F製造部hp0209-01 5" xfId="22418"/>
    <cellStyle name="好_0842周 顯卡報廢超標8D_2009MB KPI_MBO3F製造部hp0209-01 5 2" xfId="22419"/>
    <cellStyle name="差_Creak Pearl Reliability Fixture RFQ_2009 04 24_Creek RFQ feedback 04_28_2009_FD Update_Leopard_UniBOM_ME_0603-2_Bolt RFQ_Foxlink_03.1 2011 2" xfId="22420"/>
    <cellStyle name="差_Flow Chart&amp;PQ分析(12-1)_Flow Chart&amp;設備治工具清單 _Jackson 效益分析 (2-1 B0 上系統)_Leopard Flowchart &amp; 產能評估" xfId="22421"/>
    <cellStyle name="好_0842周 顯卡報廢超標8D_2009MB KPI_MBO3F製造部hp0209-01 5 3" xfId="22422"/>
    <cellStyle name="差_Creak Pearl Reliability Fixture RFQ_2009 04 24_Creek RFQ feedback 04_28_2009_FD Update_Leopard_UniBOM_ME_0603-2_Bolt RFQ_Foxlink_03.1 2011 3" xfId="22423"/>
    <cellStyle name="差_HP Mouse 產能評估(Forecast更改後)_Erie 效益分析 (Update)_Flow Chart&amp;設備治工具清單 _squirrel效益分析08-17" xfId="22424"/>
    <cellStyle name="差_Creak Pearl Reliability Fixture RFQ_2009 04 24_Creek RFQ feedback 04_28_2009_FD Update_Squirrel RFQ ME BOM Costs-0623_Bolt RFQ Proposal_Foxlink_ (Pricing Summary) 2 25 2011 3 2" xfId="22425"/>
    <cellStyle name="好_0842周 顯卡報廢超標8D_2009MB KPI_MBO3F製造部hp0209-01 5 4" xfId="22426"/>
    <cellStyle name="好_0842周 顯卡報廢超標8D_2009MB KPI_MBO3F製造部hp0209-01 6 2" xfId="22427"/>
    <cellStyle name="好_0842周 顯卡報廢超標8D_2009MB KPI_MBO3F製造部hp0209-01 6 3" xfId="22428"/>
    <cellStyle name="好_0842周 顯卡報廢超標8D_HP 2" xfId="22429"/>
    <cellStyle name="好_0842周 顯卡報廢超標8D_HP 2 2" xfId="22430"/>
    <cellStyle name="差_Flow Chart&amp;PQ分析(12-1)_Leopard效益分析08-17" xfId="22431"/>
    <cellStyle name="好_0842周 顯卡報廢超標8D_HP 2 2 3" xfId="22432"/>
    <cellStyle name="好_0842周 顯卡報廢超標8D_HP 2 2 4" xfId="22433"/>
    <cellStyle name="差_Xl0000000_Squirrel UniBom-06.23.2010_update_internal_Bolt RFQ_Foxlink_03.1 2011" xfId="22434"/>
    <cellStyle name="好_0842周 顯卡報廢超標8D_HP 2 3 3" xfId="22435"/>
    <cellStyle name="好_0842周 顯卡報廢超標8D_HP 3 2" xfId="22436"/>
    <cellStyle name="好_0842周 顯卡報廢超標8D_HP 3 2 2" xfId="22437"/>
    <cellStyle name="好_River EE BOM_Xl0000000_Leopard RFQ ME BOM Costs-0618_Bolt RFQ_Foxlink_03.1 2011 3" xfId="22438"/>
    <cellStyle name="好_0842周 顯卡報廢超標8D_HP 3 4" xfId="22439"/>
    <cellStyle name="好_0842周 顯卡報廢超標8D_HP 5" xfId="22440"/>
    <cellStyle name="好_0842周 顯卡報廢超標8D_HP 5 2" xfId="22441"/>
    <cellStyle name="好_0842周 顯卡報廢超標8D_HP 5 2 3" xfId="22442"/>
    <cellStyle name="好_0842周 顯卡報廢超標8D_HP 5 3" xfId="22443"/>
    <cellStyle name="好_0842周 顯卡報廢超標8D_HP 5 4" xfId="22444"/>
    <cellStyle name="好_0842周 顯卡報廢超標8D_HP 6" xfId="22445"/>
    <cellStyle name="壞_Erie Assembly Fixture  Test Equip Cost_20090716 2" xfId="22446"/>
    <cellStyle name="好_2010銷售明細實績-201006" xfId="22447"/>
    <cellStyle name="好_River EE BOM_Creek RFQ feedback 04_28_2009_FD Update_Leopard UniBom_Foxlink_6 21 2010-ME_nego 3" xfId="22448"/>
    <cellStyle name="好_2011 TE KPI" xfId="22449"/>
    <cellStyle name="好_2011年 KPI  QA 12 15" xfId="22450"/>
    <cellStyle name="好_2011年 KPI  QA 12 15 2" xfId="22451"/>
    <cellStyle name="好_Bolt Measurement Drawing and data_20110825" xfId="22452"/>
    <cellStyle name="差_Creak Pearl Reliability Fixture RFQ_2009 04 24 3" xfId="22453"/>
    <cellStyle name="好_Bolt RFI ME BOM -1206" xfId="22454"/>
    <cellStyle name="好_River EE BOM_Creek RFQ feedback 04_28_2009_FD Update_Foxlink_Shadow RFQ NREUni BOM_12032009_Bolt RFQ_Foxlink_03.1 2011_nego meeting@MACH 3" xfId="22455"/>
    <cellStyle name="好_Bolt RFQ Template NRE-Uni BOM- EMC  certification - 20110222_by ADT" xfId="22456"/>
    <cellStyle name="好_Bolt RFQ Template NRE-Uni BOM- EMC  certification_by ADT" xfId="22457"/>
    <cellStyle name="好_Bristol  cost 20100914Rev.A 2" xfId="22458"/>
    <cellStyle name="好_Bristol  cost 20100914Rev.A 2_Bristol ME parts tooling cost 20101022 updated" xfId="22459"/>
    <cellStyle name="好_Bristol  cost 20100914Rev.A 2_Bristol ME parts tooling cost 20101022 updated_Bristol MP quote update_08182011_MS" xfId="22460"/>
    <cellStyle name="差_Creak Pearl Reliability Fixture RFQ_2009 04 24_Pearl RFQ(Submittal)ver2_05_12_2009 _Foxlink_Shadow RFQ NREUni BOM_12032009_Bolt RFQ_Foxlink_03.1 2011 2" xfId="22461"/>
    <cellStyle name="好_Bristol  cost 20100914Rev.A 2_Bristol ME parts tooling cost 20101022 updated_Bristol TC Estimate Update 07292011" xfId="22462"/>
    <cellStyle name="好_River EE BOM_Xl0000000_Leopard_UniBOM_ME_0602_Bolt RFQ_Foxlink_03.1 2011_nego meeting@MACH 3 3" xfId="22463"/>
    <cellStyle name="好_Creek EE BOM cost_20090425_Foxlink_Shadow RFQ NREUni BOM_12032009_Bolt RFQ_Foxlink_03.1 2011_nego meeting@MACH 3 2" xfId="22464"/>
    <cellStyle name="好_Bristol  cost 20100914Rev.A 2_Bristol ME parts tooling cost 20101022 updated_Bristol TC Estimate Update 08012011" xfId="22465"/>
    <cellStyle name="好_Bristol  cost 20100914Rev.A 2_Bristol ME parts tooling cost 20101022 updated_Bristol TC Estimate Update 08112011_internal working file" xfId="22466"/>
    <cellStyle name="好_Bristol  cost 20100914Rev.A 2_Bristol RFQ response _20101102_internal (4)" xfId="22467"/>
    <cellStyle name="好_Bristol  cost 20100914Rev.A 2_Bristol RFQ response _20101102_internal (4)_Bristol MP quote update_08182011_MS" xfId="22468"/>
    <cellStyle name="好_Bristol  cost 20100914Rev.A 2_Bristol RFQ response _20101102_internal (4)_Bristol TC Estimate Update 07292011_internal from Tony" xfId="22469"/>
    <cellStyle name="好_Bristol  cost 20100914Rev.A 2_Bristol RFQ response _20101102_internal (4)_Bristol TC Estimate Update 08012011" xfId="22470"/>
    <cellStyle name="好_Creek EE BOM cost_20090425_Leopard_UniBOM_ME_0602-1_Bolt RFQ Proposal_Foxlink_ (Pricing Summary) 2 25 2011" xfId="22471"/>
    <cellStyle name="好_Bristol  cost 20100914Rev.A 2_Bristol RFQ response _20101102_internal (4)_Bristol TC Estimate Update 08042011_MS" xfId="22472"/>
    <cellStyle name="好_Bristol  cost 20100914Rev.A 2_Bristol RFQ response _20101102_internal (4)_Bristol TC Estimate Update 08112011_internal working file" xfId="22473"/>
    <cellStyle name="差_Creak Pearl Reliability Fixture RFQ_2009 04 24_Leopard RFQ ME BOM Costs-0618-2_Bolt RFQ_Foxlink_03.1 2011 2 2" xfId="22474"/>
    <cellStyle name="好_Bristol  cost 20100914Rev.A 2_foxlink Bristol for 10063D-2010-10-11_Bristol ME parts tooling cost 20101022 updated" xfId="22475"/>
    <cellStyle name="好_Bristol  cost 20100914Rev.A 2_foxlink Bristol for 10063D-2010-10-11_Bristol ME parts tooling cost 20101022 updated_Bristol MP quote update_08182011_MS" xfId="22476"/>
    <cellStyle name="好_River EE BOM_Creak Pearl Reliability Fixture RFQ_2009 04 24_Creek RFQ feedback 04_28_2009_FD Update_Leopard RFQ ME BOM Costs-0618 2 2 3" xfId="22477"/>
    <cellStyle name="好_Bristol  cost 20100914Rev.A 2_foxlink Bristol for 10063D-2010-10-11_Bristol ME parts tooling cost 20101022 updated_Bristol TC Estimate Update 07292011_internal from Tony" xfId="22478"/>
    <cellStyle name="好_治具工程課2009年KPI_產線生產規劃KPI 3 3" xfId="22479"/>
    <cellStyle name="好_Bristol  cost 20100914Rev.A 2_foxlink Bristol for 10063D-2010-10-11_Bristol ME parts tooling cost 20101022 updated_Bristol TC Estimate Update 08112011_internal working file" xfId="22480"/>
    <cellStyle name="好_Bristol  cost 20100914Rev.A 2_foxlink Bristol for 10063D-2010-10-11_Bristol RFQ response _20101102_internal (4)" xfId="22481"/>
    <cellStyle name="好_Bristol  cost 20100914Rev.A 2_foxlink Bristol for 10063D-2010-10-11_Bristol RFQ response _20101102_internal (4)_Bristol MP quote update_08182011_MS" xfId="22482"/>
    <cellStyle name="好_Bristol  cost 20100914Rev.A 2_foxlink Bristol for 10063D-2010-10-11_Bristol RFQ response _20101102_internal (4)_Bristol TC Estimate Update 07292011" xfId="22483"/>
    <cellStyle name="差_F3   SMT設備明細_效益分析_~3106354_Jackson 效益分析 (2-1 B0 上系統)_Leopard Flowchart &amp; 產能評估" xfId="22484"/>
    <cellStyle name="好_Bristol  cost 20100914Rev.A 2_foxlink Bristol for 10063D-2010-10-11_Bristol RFQ response _20101102_internal (4)_Bristol TC Estimate Update 07292011_internal from Tony" xfId="22485"/>
    <cellStyle name="标题 3 2" xfId="22486"/>
    <cellStyle name="好_Bristol  cost 20100914Rev.A 2_foxlink Bristol for 10063D-2010-10-11_Bristol RFQ response _20101102_internal (4)_Bristol TC Estimate Update 08012011" xfId="22487"/>
    <cellStyle name="好_Bristol  cost 20100914Rev.A 2_foxlink Bristol for 10063D-2010-10-11_Bristol RFQ response _20101102_internal (4)_Bristol TC Estimate Update 08042011_MS" xfId="22488"/>
    <cellStyle name="好_Bristol  cost 20100914Rev.A 2_foxlink Bristol for 10063D-2010-10-11_Bristol RFQ response _20101102_internal (4)_Bristol TC Estimate Update 08112011_internal working file" xfId="22489"/>
    <cellStyle name="好_Bristol  cost 20100914Rev.A_Bristol ME parts tooling cost 20101022 updated" xfId="22490"/>
    <cellStyle name="好_River EE BOM_Xl0000000_Leopard Lemur Squirrel UniBom-06.22.2010_EE cost _update_internal_Bolt RFQ_Foxlink_03.1 2011_nego meeting@MACH 3" xfId="22491"/>
    <cellStyle name="好_Bristol  cost 20100914Rev.A_Bristol ME parts tooling cost 20101022 updated_Bristol MP quote update_08182011_MS" xfId="22492"/>
    <cellStyle name="好_River EE BOM_Creak Pearl Reliability Fixture RFQ_2009 04 24_Leopard_UniBOM_ME_0602-1_Bolt RFQ_Foxlink_03.1 2011 3 2" xfId="22493"/>
    <cellStyle name="好_Bristol  cost 20100914Rev.A_Bristol ME parts tooling cost 20101022 updated_Bristol TC Estimate Update 07292011" xfId="22494"/>
    <cellStyle name="好_Bristol  cost 20100914Rev.A_Bristol ME parts tooling cost 20101022 updated_Bristol TC Estimate Update 07292011_internal from Tony" xfId="22495"/>
    <cellStyle name="好_Bristol  cost 20100914Rev.A_Bristol RFQ response _20101102_internal (4)" xfId="22496"/>
    <cellStyle name="好_Bristol  cost 20100914Rev.A_Bristol RFQ response _20101102_internal (4)_Bristol TC Estimate Update 07292011" xfId="22497"/>
    <cellStyle name="差_F3   SMT設備明細_MS Bolt wireless mouse FixtureEquipment Cost_A5_2010_02_21_Bolt RFQ Proposal_Foxlink_ (Pricing Summary) 2 25 2011 2 3" xfId="22498"/>
    <cellStyle name="好_Creek EE BOM cost_20090425_Leopard_UniBOM_ME_0602-1 2 3" xfId="22499"/>
    <cellStyle name="差_Creak Pearl Reliability Fixture RFQ_2009 04 24_Pearl RFQ(Submittal)ver2_05_12_2009 _Leopard_UniBOM_ME_0531_Bolt RFQ Proposal_Foxlink_ (Pricing Summary) 2 25 2011 3 3" xfId="22500"/>
    <cellStyle name="好_Bristol  cost 20100914Rev.A_Bristol RFQ response _20101102_internal (4)_Bristol TC Estimate Update 07292011_internal from Tony" xfId="22501"/>
    <cellStyle name="差_Creak Pearl Reliability Fixture RFQ_2009 04 24_Xl0000002_Leopard Lemur Squirrel UniBom-06.22.2010_EE cost _update_internal_Bolt RFQ_Foxlink_03.1 2011_nego meeting@MACH 2 3" xfId="22502"/>
    <cellStyle name="好_Bristol  cost 20100914Rev.A_Bristol RFQ response _20101102_internal (4)_Bristol TC Estimate Update 08012011" xfId="22503"/>
    <cellStyle name="好_River EE BOM_Xl0000002_Leopard RFQ ME BOM Costs-0618-2_Bolt RFQ_Foxlink_03.1 2011 4" xfId="22504"/>
    <cellStyle name="好_Creek Assembly Fixture  Test Equipment RFQ_20090427_Foxlink_Shadow RFQ NREUni BOM_12032009_Bolt RFQ_Foxlink_03.1 2011 5" xfId="22505"/>
    <cellStyle name="好_Bristol  cost 20100914Rev.A_Bristol RFQ response _20101102_internal (4)_Bristol TC Estimate Update 08042011_MS" xfId="22506"/>
    <cellStyle name="差_Xl0000002_Foxlink_Shadow RFQ NREUni BOM_12032009_Bolt RFQ_Foxlink_03.1 2011_nego meeting@MACH 3 2" xfId="22507"/>
    <cellStyle name="好_Bristol  cost 20100914Rev.A_Bristol RFQ response _20101102_internal (4)_Bristol TC Estimate Update 08112011_internal working file" xfId="22508"/>
    <cellStyle name="好_Bristol  cost 20100914Rev.A_foxlink Bristol for 10063D-2010-10-11" xfId="22509"/>
    <cellStyle name="好_Bristol  cost 20100914Rev.A_foxlink Bristol for 10063D-2010-10-11_Bristol ME parts tooling cost 20101022 updated" xfId="22510"/>
    <cellStyle name="好_Bristol  cost 20100914Rev.A_foxlink Bristol for 10063D-2010-10-11_Bristol ME parts tooling cost 20101022 updated_Bristol MP quote update_08182011_MS" xfId="22511"/>
    <cellStyle name="好_Bristol  cost 20100914Rev.A_foxlink Bristol for 10063D-2010-10-11_Bristol ME parts tooling cost 20101022 updated_Bristol TC Estimate Update 07292011" xfId="22512"/>
    <cellStyle name="好_Bristol  cost 20100914Rev.A_foxlink Bristol for 10063D-2010-10-11_Bristol ME parts tooling cost 20101022 updated_Bristol TC Estimate Update 07292011_internal from Tony" xfId="22513"/>
    <cellStyle name="好_Bristol  cost 20100914Rev.A_foxlink Bristol for 10063D-2010-10-11_Bristol ME parts tooling cost 20101022 updated_Bristol TC Estimate Update 08012011" xfId="22514"/>
    <cellStyle name="好_Bristol  cost 20100914Rev.A_foxlink Bristol for 10063D-2010-10-11_Bristol RFQ response _20101102_internal (4)" xfId="22515"/>
    <cellStyle name="差_Creak Pearl Reliability Fixture RFQ_2009 04 24_Xl0000002_Leopard RFQ ME BOM Costs-0618 2 2 3" xfId="22516"/>
    <cellStyle name="差_Creak Pearl Reliability Fixture RFQ_2009 04 24_Creek  Pearl RFQ_May 12_Jackson and Shadow BOM cost_mainfile_2010 0324 rev.1_Bristol UniBom_Foxlink_02082011 RevA" xfId="22517"/>
    <cellStyle name="好_Bristol  cost 20100914Rev.A_foxlink Bristol for 10063D-2010-10-11_Bristol RFQ response _20101102_internal (4)_Bristol MP quote update_08182011_MS" xfId="22518"/>
    <cellStyle name="好_Bristol  cost 20100914Rev.A_foxlink Bristol for 10063D-2010-10-11_Bristol RFQ response _20101102_internal (4)_Bristol TC Estimate Update 07292011" xfId="22519"/>
    <cellStyle name="好_River EE BOM_Creak Pearl Reliability Fixture RFQ_2009 04 24_Creek RFQ feedback 04_28_2009_FD Update_Leopard RFQ ME BOM Costs-0618_Bolt RFQ_Foxlink_03.1 2011 3 2" xfId="22520"/>
    <cellStyle name="好_Bristol  cost 20100914Rev.A_foxlink Bristol for 10063D-2010-10-11_Bristol RFQ response _20101102_internal (4)_Bristol TC Estimate Update 07292011_internal from Tony" xfId="22521"/>
    <cellStyle name="好_Bristol  cost 20100914Rev.A_foxlink Bristol for 10063D-2010-10-11_Bristol RFQ response _20101102_internal (4)_Bristol TC Estimate Update 08042011_MS" xfId="22522"/>
    <cellStyle name="差_HP Mouse 產能評估(上系統)_MS Bolt wireless mouse FixtureEquipment Cost_A5_2010_02_21_Bolt RFQ Proposal_Foxlink_ (Pricing Summary) 2 25 2011" xfId="22523"/>
    <cellStyle name="好_Bristol  cost 20100914Rev.A_foxlink Bristol for 10063D-2010-10-11_Bristol RFQ response _20101102_internal (4)_Bristol TC Estimate Update 08112011_internal working file" xfId="22524"/>
    <cellStyle name="好_Bristol EE cost_10.29_fm FD" xfId="22525"/>
    <cellStyle name="好_Bristol EV3 EE BOM Cost 02252011" xfId="22526"/>
    <cellStyle name="差_Xl0000002_Leopard UniBom_Foxlink_6 21 2010-ME_nego_Bolt RFQ_Foxlink_03.1 2011_nego meeting@MACH 3 3" xfId="22527"/>
    <cellStyle name="好_Bristol EV3 TC breakdown worksheet_03172011_JCopinion" xfId="22528"/>
    <cellStyle name="差_Xl0000000_Leopard Lemur Squirrel UniBom-06.22.2010_EE cost _update_internal_Bolt RFQ Proposal_Foxlink_ (Pricing Summary) 2 25 2011 5 2" xfId="22529"/>
    <cellStyle name="好_Bristol LEFT LED EV1 BOM (2)" xfId="22530"/>
    <cellStyle name="好_Bristol ME parts quotation 20101021-Rev4_Bristol RFQ response _20101102_internal (4)_Bristol MP quote update_08182011_MS" xfId="22531"/>
    <cellStyle name="好_Bristol ME parts quotation 20101021-Rev4_Bristol RFQ response _20101102_internal (4)_Bristol TC Estimate Update 07292011" xfId="22532"/>
    <cellStyle name="好_River EE BOM_Xl0000000_Leopard UniBom_Foxlink_6 21 2010-ME_nego_Bolt RFQ Proposal_Foxlink_ (Pricing Summary) 2 25 2011 2 2" xfId="22533"/>
    <cellStyle name="好_Creek Assembly Fixture  Test Equipment RFQ_20090427_Bolt_Cliff 2 3" xfId="22534"/>
    <cellStyle name="好_Bristol ME parts quotation 20101021-Rev4_Bristol RFQ response _20101102_internal (4)_Bristol TC Estimate Update 07292011_internal from Tony" xfId="22535"/>
    <cellStyle name="差_Creak Pearl Reliability Fixture RFQ_2009 04 24_Creek  Pearl RFQ_May 12_Leopard RFQ ME BOM Costs-0618-2_Bolt RFQ_Foxlink_03.1 2011 2 2" xfId="22536"/>
    <cellStyle name="好_Bristol ME parts quotation 20101021-Rev4_Bristol RFQ response _20101102_internal (4)_Bristol TC Estimate Update 08012011" xfId="22537"/>
    <cellStyle name="好_Bristol ME parts quotation 20101021-Rev4_Bristol RFQ response _20101102_internal (4)_Bristol TC Estimate Update 08042011_MS" xfId="22538"/>
    <cellStyle name="差_Creak Pearl Reliability Fixture RFQ_2009 04 24_Leopard_UniBOM_ME_0531_Bolt RFQ Proposal_Foxlink_ (Pricing Summary) 2 25 2011 2 3" xfId="22539"/>
    <cellStyle name="好_Bristol ME parts quotation 20101021-Rev4_Bristol RFQ response _20101102_internal (4)_Bristol TC Estimate Update 08112011_internal working file" xfId="22540"/>
    <cellStyle name="好_Bristol Oct20 BOM with cost total" xfId="22541"/>
    <cellStyle name="好_Bristol RFQ response _20101102_internal (4)" xfId="22542"/>
    <cellStyle name="差_效益分析&amp;產能評估_Bolt RFQ_Foxlink_03.1 2011_nego meeting@MACH 3 2" xfId="22543"/>
    <cellStyle name="差_HP Mouse 產能評估(Forecast更改後)_M1 Bolt wireless mouse FixtureEquipment Cost_A2_2010_12_07 3" xfId="22544"/>
    <cellStyle name="好_Bristol TC Estimate Update 07292011" xfId="22545"/>
    <cellStyle name="好_Bristol TC Estimate Update 07292011_internal from Tony" xfId="22546"/>
    <cellStyle name="好_Bristol TC Estimate Update 08012011" xfId="22547"/>
    <cellStyle name="好_Bristol TC Estimate Update 08042011_MS" xfId="22548"/>
    <cellStyle name="好_Bristol TC estimate update_03162011" xfId="22549"/>
    <cellStyle name="好_River EE BOM_Creak Pearl Reliability Fixture RFQ_2009 04 24_Pearl RFQ(Submittal)ver2_05_12_2009 _Leopard RFQ ME BOM Costs-0618_Bolt RFQ Proposal_Foxlink_ (Pricing Summary) 2 25 2011 2 2 2" xfId="22550"/>
    <cellStyle name="好_Creek Assembly Fixture  Test Equipment RFQ_20090427_Squirrel UniBom-06.23.2010_update_internal_Bolt RFQ Proposal_Foxlink_ (Pricing Summary) 2 25 2011 3" xfId="22551"/>
    <cellStyle name="好_Creek Assembly Fixture  Test Equipment RFQ_20090427 2" xfId="22552"/>
    <cellStyle name="好_Creek Assembly Fixture  Test Equipment RFQ_20090427_Squirrel UniBom-06.23.2010_update_internal_Bolt RFQ Proposal_Foxlink_ (Pricing Summary) 2 25 2011 3 2" xfId="22553"/>
    <cellStyle name="好_Creek Assembly Fixture  Test Equipment RFQ_20090427 2 2" xfId="22554"/>
    <cellStyle name="壞_Creek EE BOM cost_20090425_Creek RFQ feedback 04_28_2009_FD Update_Leopard_UniBOM_ME_0531_Bolt RFQ_Foxlink_03.1 2011 4" xfId="22555"/>
    <cellStyle name="差_Creak Pearl Reliability Fixture RFQ_2009 04 24_Pearl RFQ(Submittal)ver2_05_12_2009 _Leopard_UniBOM_ME_0531_Bolt RFQ_Foxlink_03.1 2011_nego meeting@MACH 3" xfId="22556"/>
    <cellStyle name="好_Creek Assembly Fixture  Test Equipment RFQ_20090427 2 4" xfId="22557"/>
    <cellStyle name="好_River EE BOM_Creak Pearl Reliability Fixture RFQ_2009 04 24_Pearl RFQ(Submittal)ver2_05_12_2009 _Leopard RFQ ME BOM Costs-0618_Bolt RFQ Proposal_Foxlink_ (Pricing Summary) 2 25 2011 2 2 3" xfId="22558"/>
    <cellStyle name="好_Creek Assembly Fixture  Test Equipment RFQ_20090427_Squirrel UniBom-06.23.2010_update_internal_Bolt RFQ Proposal_Foxlink_ (Pricing Summary) 2 25 2011 4" xfId="22559"/>
    <cellStyle name="好_Creek Assembly Fixture  Test Equipment RFQ_20090427 3" xfId="22560"/>
    <cellStyle name="好_River EE BOM_Xl0000002_Leopard RFQ ME BOM Costs-0618_Bolt RFQ_Foxlink_03.1 2011_nego meeting@MACH 5" xfId="22561"/>
    <cellStyle name="好_Creek Assembly Fixture  Test Equipment RFQ_20090427_Squirrel UniBom-06.23.2010_update_internal_Bolt RFQ Proposal_Foxlink_ (Pricing Summary) 2 25 2011 4 3" xfId="22562"/>
    <cellStyle name="好_Creek EE BOM cost_20090425_Creek RFQ feedback 04_28_2009_FD Update_Leopard_UniBOM_ME_0602-1_Bolt RFQ Proposal_Foxlink_ (Pricing Summary) 2 25 2011 6" xfId="22563"/>
    <cellStyle name="好_Creek Assembly Fixture  Test Equipment RFQ_20090427 3 3" xfId="22564"/>
    <cellStyle name="好_Creek Assembly Fixture  Test Equipment RFQ_20090427_Squirrel UniBom-06.23.2010_update_internal_Bolt RFQ Proposal_Foxlink_ (Pricing Summary) 2 25 2011 6" xfId="22565"/>
    <cellStyle name="好_Creek Assembly Fixture  Test Equipment RFQ_20090427 5" xfId="22566"/>
    <cellStyle name="差_Creak Pearl Reliability Fixture RFQ_2009 04 24_Bolt RFQ_Foxlink_03.1 2011_nego meeting@MACH" xfId="22567"/>
    <cellStyle name="好_Creek Assembly Fixture  Test Equipment RFQ_20090427_Bolt RFQ Proposal_Foxlink_ (Pricing Summary) 2 25 2011" xfId="22568"/>
    <cellStyle name="差_Xl0000000_Squirrel RFQ ME BOM Costs-0623_Bolt RFQ Proposal_Foxlink_ (Pricing Summary) 2 25 2011 4 3" xfId="22569"/>
    <cellStyle name="差_Creak Pearl Reliability Fixture RFQ_2009 04 24_Bolt RFQ_Foxlink_03.1 2011_nego meeting@MACH 2" xfId="22570"/>
    <cellStyle name="好_Creek Assembly Fixture  Test Equipment RFQ_20090427_Bolt RFQ Proposal_Foxlink_ (Pricing Summary) 2 25 2011 2" xfId="22571"/>
    <cellStyle name="好_Creek Assembly Fixture  Test Equipment RFQ_20090427_Bolt RFQ Proposal_Foxlink_ (Pricing Summary) 2 25 2011 2 2 2" xfId="22572"/>
    <cellStyle name="好_Creek Assembly Fixture  Test Equipment RFQ_20090427_Bolt RFQ Proposal_Foxlink_ (Pricing Summary) 2 25 2011 2 2 3" xfId="22573"/>
    <cellStyle name="好_效益分析&amp;產能評估_M1 SuedeFixtureEquipment Cost_A0_2010_10_15_Bolt RFQ_Foxlink_03.1 2011 2 3" xfId="22574"/>
    <cellStyle name="好_Creek Assembly Fixture  Test Equipment RFQ_20090427_Bolt RFQ Proposal_Foxlink_ (Pricing Summary) 2 25 2011 2 4" xfId="22575"/>
    <cellStyle name="差_Creak Pearl Reliability Fixture RFQ_2009 04 24_Bolt RFQ_Foxlink_03.1 2011_nego meeting@MACH 3" xfId="22576"/>
    <cellStyle name="好_Creek Assembly Fixture  Test Equipment RFQ_20090427_Bolt RFQ Proposal_Foxlink_ (Pricing Summary) 2 25 2011 3" xfId="22577"/>
    <cellStyle name="差_Creak Pearl Reliability Fixture RFQ_2009 04 24_Bolt RFQ_Foxlink_03.1 2011_nego meeting@MACH 3 3" xfId="22578"/>
    <cellStyle name="好_效益分析&amp;產能評估_M1 SuedeFixtureEquipment Cost_A0_2010_10_15_Bolt RFQ_Foxlink_03.1 2011 3 2" xfId="22579"/>
    <cellStyle name="好_Creek Assembly Fixture  Test Equipment RFQ_20090427_Bolt RFQ Proposal_Foxlink_ (Pricing Summary) 2 25 2011 3 3" xfId="22580"/>
    <cellStyle name="差_Creak Pearl Reliability Fixture RFQ_2009 04 24_Bolt RFQ_Foxlink_03.1 2011_nego meeting@MACH 4" xfId="22581"/>
    <cellStyle name="好_Creek Assembly Fixture  Test Equipment RFQ_20090427_Xl0000002_Leopard_UniBOM_ME_0602-1_Bolt RFQ Proposal_Foxlink_ (Pricing Summary) 2 25 2011 2 2 2" xfId="22582"/>
    <cellStyle name="好_Creek Assembly Fixture  Test Equipment RFQ_20090427_Bolt RFQ Proposal_Foxlink_ (Pricing Summary) 2 25 2011 4" xfId="22583"/>
    <cellStyle name="好_River EE BOM_Creak Pearl Reliability Fixture RFQ_2009 04 24_Creek RFQ feedback 04_28_2009_FD Update_Foxlink_Shadow RFQ NREUni BOM_12032009_Bolt RFQ_Foxlink_03.1 2011 2 3" xfId="22584"/>
    <cellStyle name="好_Creek Assembly Fixture  Test Equipment RFQ_20090427_Bolt RFQ Proposal_Foxlink_ (Pricing Summary) 2 25 2011 4 2" xfId="22585"/>
    <cellStyle name="好_Creek Assembly Fixture  Test Equipment RFQ_20090427_Bolt RFQ Proposal_Foxlink_ (Pricing Summary) 2 25 2011 4 3" xfId="22586"/>
    <cellStyle name="好_Creek Assembly Fixture  Test Equipment RFQ_20090427_Bolt RFQ Proposal_Foxlink_ (Pricing Summary) 2 25 2011 5 3" xfId="22587"/>
    <cellStyle name="好_Creek Assembly Fixture  Test Equipment RFQ_20090427_Bolt RFQ Proposal_Foxlink_ (Pricing Summary) 2 25 2011 6" xfId="22588"/>
    <cellStyle name="好_Creek Assembly Fixture  Test Equipment RFQ_20090427_Bolt RFQ Proposal_Foxlink_ (Pricing Summary) 2 25 2011 7" xfId="22589"/>
    <cellStyle name="好_Creek Assembly Fixture  Test Equipment RFQ_20090427_Bolt RFQ_Foxlink_03.1 2011" xfId="22590"/>
    <cellStyle name="好_River EE BOM_Creak Pearl Reliability Fixture RFQ_2009 04 24_Leopard_UniBOM_ME_0602-1_Bolt RFQ_Foxlink_03.1 2011_nego meeting@MACH 3" xfId="22591"/>
    <cellStyle name="好_River EE BOM_Creak Pearl Reliability Fixture RFQ_2009 04 24_Creek  Pearl RFQ_May 12_Leopard RFQ ME BOM Costs-0618-2_Bolt RFQ_Foxlink_03.1 2011 3 2" xfId="22592"/>
    <cellStyle name="好_Creek Assembly Fixture  Test Equipment RFQ_20090427_Bolt RFQ_Foxlink_03.1 2011 2 2" xfId="22593"/>
    <cellStyle name="好_River EE BOM_Creak Pearl Reliability Fixture RFQ_2009 04 24_Leopard_UniBOM_ME_0602-1_Bolt RFQ_Foxlink_03.1 2011_nego meeting@MACH 4" xfId="22594"/>
    <cellStyle name="好_River EE BOM_Creak Pearl Reliability Fixture RFQ_2009 04 24_Creek  Pearl RFQ_May 12_Leopard RFQ ME BOM Costs-0618-2_Bolt RFQ_Foxlink_03.1 2011 3 3" xfId="22595"/>
    <cellStyle name="好_Creek Assembly Fixture  Test Equipment RFQ_20090427_Bolt RFQ_Foxlink_03.1 2011 2 3" xfId="22596"/>
    <cellStyle name="好_River EE BOM_Creak Pearl Reliability Fixture RFQ_2009 04 24_Creek  Pearl RFQ_May 12_Leopard RFQ ME BOM Costs-0618-2_Bolt RFQ_Foxlink_03.1 2011 4" xfId="22597"/>
    <cellStyle name="好_Creek Assembly Fixture  Test Equipment RFQ_20090427_Bolt RFQ_Foxlink_03.1 2011 3" xfId="22598"/>
    <cellStyle name="好_Creek Assembly Fixture  Test Equipment RFQ_20090427_Bolt RFQ_Foxlink_03.1 2011 3 2" xfId="22599"/>
    <cellStyle name="好_Creek Assembly Fixture  Test Equipment RFQ_20090427_Bolt RFQ_Foxlink_03.1 2011 3 3" xfId="22600"/>
    <cellStyle name="好_Creek Assembly Fixture  Test Equipment RFQ_20090427_Bolt RFQ_Foxlink_03.1 2011 5" xfId="22601"/>
    <cellStyle name="好_Creek Assembly Fixture  Test Equipment RFQ_20090427_Bolt RFQ_Foxlink_03.1 2011_Bolt_Cliff" xfId="22602"/>
    <cellStyle name="好_Creek Assembly Fixture  Test Equipment RFQ_20090427_Bolt RFQ_Foxlink_03.1 2011_Bolt_Cliff 2" xfId="22603"/>
    <cellStyle name="好_Creek Assembly Fixture  Test Equipment RFQ_20090427_Bolt RFQ_Foxlink_03.1 2011_Bolt_Cliff 2 2" xfId="22604"/>
    <cellStyle name="差_Creak Pearl Reliability Fixture RFQ_2009 04 24_Leopard UniBom_Foxlink_6 21 2010-ME_nego 3" xfId="22605"/>
    <cellStyle name="好_Creek Assembly Fixture  Test Equipment RFQ_20090427_Leopard_UniBOM_ME_0603-2" xfId="22606"/>
    <cellStyle name="好_Creek Assembly Fixture  Test Equipment RFQ_20090427_Bolt RFQ_Foxlink_03.1 2011_Bolt_Cliff 2 2 2" xfId="22607"/>
    <cellStyle name="差_Creak Pearl Reliability Fixture RFQ_2009 04 24_Leopard UniBom_Foxlink_6 21 2010-ME_nego 3 2" xfId="22608"/>
    <cellStyle name="好_Creek Assembly Fixture  Test Equipment RFQ_20090427_Leopard_UniBOM_ME_0603-2 2" xfId="22609"/>
    <cellStyle name="好_Creek Assembly Fixture  Test Equipment RFQ_20090427_Bolt RFQ_Foxlink_03.1 2011_Bolt_Cliff 2 2 3" xfId="22610"/>
    <cellStyle name="差_Creak Pearl Reliability Fixture RFQ_2009 04 24_Leopard UniBom_Foxlink_6 21 2010-ME_nego 3 3" xfId="22611"/>
    <cellStyle name="好_Creek Assembly Fixture  Test Equipment RFQ_20090427_Leopard_UniBOM_ME_0603-2 3" xfId="22612"/>
    <cellStyle name="好_Creek Assembly Fixture  Test Equipment RFQ_20090427_Bolt RFQ_Foxlink_03.1 2011_Bolt_Cliff 2 4" xfId="22613"/>
    <cellStyle name="好_Creek Assembly Fixture  Test Equipment RFQ_20090427_Bolt RFQ_Foxlink_03.1 2011_Bolt_Cliff 3 2" xfId="22614"/>
    <cellStyle name="好_Creek Assembly Fixture  Test Equipment RFQ_20090427_Bolt RFQ_Foxlink_03.1 2011_Bolt_Cliff 4 2" xfId="22615"/>
    <cellStyle name="好_Creek Assembly Fixture  Test Equipment RFQ_20090427_Bolt RFQ_Foxlink_03.1 2011_Bolt_Cliff 4 3" xfId="22616"/>
    <cellStyle name="好_Creek Assembly Fixture  Test Equipment RFQ_20090427_Bolt RFQ_Foxlink_03.1 2011_Bolt_Cliff 5" xfId="22617"/>
    <cellStyle name="好_Creek Assembly Fixture  Test Equipment RFQ_20090427_Bolt RFQ_Foxlink_03.1 2011_Bolt_Cliff 5 2" xfId="22618"/>
    <cellStyle name="好_Creek Assembly Fixture  Test Equipment RFQ_20090427_Bolt RFQ_Foxlink_03.1 2011_Bolt_Cliff 6" xfId="22619"/>
    <cellStyle name="好_Creek Assembly Fixture  Test Equipment RFQ_20090427_Bolt RFQ_Foxlink_03.1 2011_Bolt_Cliff 7" xfId="22620"/>
    <cellStyle name="差_Creak Pearl Reliability Fixture RFQ_2009 04 24_Creek RFQ feedback 04_28_2009_FD Update_Leopard UniBom_Foxlink_6 21 2010-ME_nego_Bolt RFQ_Foxlink_03.1 2011_nego meeting@MACH 2" xfId="22621"/>
    <cellStyle name="好_Creek Assembly Fixture  Test Equipment RFQ_20090427_Bolt RFQ_Foxlink_03.1 2011_nego meeting@MACH 2 2" xfId="22622"/>
    <cellStyle name="好_Creek Assembly Fixture  Test Equipment RFQ_20090427_Bolt RFQ_Foxlink_03.1 2011_nego meeting@MACH 3 2" xfId="22623"/>
    <cellStyle name="差_MS Bolt wireless mouse FixtureEquipment Cost_A5_2010_02_21 2 2" xfId="22624"/>
    <cellStyle name="好_Creek Assembly Fixture  Test Equipment RFQ_20090427_Bolt RFQ_Foxlink_03.1 2011_nego meeting@MACH 4" xfId="22625"/>
    <cellStyle name="好_Creek Assembly Fixture  Test Equipment RFQ_20090427_Bolt RFQ_Foxlink_03.1 2011_nego meeting@MACH_Bolt_Cliff" xfId="22626"/>
    <cellStyle name="差_效益分析&amp;產能評估_MS Bolt wireless mouse FixtureEquipment Cost_A5_2010_02_21_Bolt RFQ Proposal_Foxlink_ (Pricing Summary) 2 25 2011 6" xfId="22627"/>
    <cellStyle name="好_Creek Assembly Fixture  Test Equipment RFQ_20090427_Bolt RFQ_Foxlink_03.1 2011_nego meeting@MACH_Bolt_Cliff 2" xfId="22628"/>
    <cellStyle name="差_Xl0000002_Leopard RFQ ME BOM Costs-0618-2_Bolt RFQ_Foxlink_03.1 2011 4" xfId="22629"/>
    <cellStyle name="好_Creek Assembly Fixture  Test Equipment RFQ_20090427_Bolt RFQ_Foxlink_03.1 2011_nego meeting@MACH_Bolt_Cliff 2 2 3" xfId="22630"/>
    <cellStyle name="好_Creek Assembly Fixture  Test Equipment RFQ_20090427_Bolt RFQ_Foxlink_03.1 2011_nego meeting@MACH_Bolt_Cliff 2 3" xfId="22631"/>
    <cellStyle name="好_Creek Assembly Fixture  Test Equipment RFQ_20090427_Bolt RFQ_Foxlink_03.1 2011_nego meeting@MACH_Bolt_Cliff 2 4" xfId="22632"/>
    <cellStyle name="差_效益分析&amp;產能評估_MS Bolt wireless mouse FixtureEquipment Cost_A5_2010_02_21_Bolt RFQ Proposal_Foxlink_ (Pricing Summary) 2 25 2011 7" xfId="22633"/>
    <cellStyle name="好_Creek Assembly Fixture  Test Equipment RFQ_20090427_Bolt RFQ_Foxlink_03.1 2011_nego meeting@MACH_Bolt_Cliff 3" xfId="22634"/>
    <cellStyle name="好_Creek Assembly Fixture  Test Equipment RFQ_20090427_Bolt RFQ_Foxlink_03.1 2011_nego meeting@MACH_Bolt_Cliff 3 2" xfId="22635"/>
    <cellStyle name="好_Creek Assembly Fixture  Test Equipment RFQ_20090427_Bolt RFQ_Foxlink_03.1 2011_nego meeting@MACH_Bolt_Cliff 3 3" xfId="22636"/>
    <cellStyle name="好_Creek Assembly Fixture  Test Equipment RFQ_20090427_Bolt RFQ_Foxlink_03.1 2011_nego meeting@MACH_Bolt_Cliff 4 2" xfId="22637"/>
    <cellStyle name="好_Creek Assembly Fixture  Test Equipment RFQ_20090427_Bolt RFQ_Foxlink_03.1 2011_nego meeting@MACH_Bolt_Cliff 7" xfId="22638"/>
    <cellStyle name="好_Creek Assembly Fixture  Test Equipment RFQ_20090427_Bolt_Cliff 2" xfId="22639"/>
    <cellStyle name="差_Xl0000002_Leopard RFQ ME BOM Costs-0618-2_Bolt RFQ_Foxlink_03.1 2011 3 2" xfId="22640"/>
    <cellStyle name="好_Creek Assembly Fixture  Test Equipment RFQ_20090427_Bolt_Cliff 2 2" xfId="22641"/>
    <cellStyle name="好_Creek Assembly Fixture  Test Equipment RFQ_20090427_Bolt_Cliff 3" xfId="22642"/>
    <cellStyle name="差_Xl0000002_Leopard RFQ ME BOM Costs-0618-2_Bolt RFQ_Foxlink_03.1 2011 3 3" xfId="22643"/>
    <cellStyle name="好_River EE BOM_Creak Pearl Reliability Fixture RFQ_2009 04 24_Creek  Pearl RFQ_May 12_Leopard_UniBOM_ME_0602_Bolt RFQ Proposal_Foxlink_ (Pricing Summary) 2 25 2011 2 2" xfId="22644"/>
    <cellStyle name="好_River EE BOM_Creak Pearl Reliability Fixture RFQ_2009 04 24_Creek  Pearl RFQ_May 12_Leopard_UniBOM_ME_0602_Bolt RFQ Proposal_Foxlink_ (Pricing Summary) 2 25 2011 2 2 2" xfId="22645"/>
    <cellStyle name="好_Creek Assembly Fixture  Test Equipment RFQ_20090427_Bolt_Cliff 3 2" xfId="22646"/>
    <cellStyle name="好_River EE BOM_Xl0000000_Leopard UniBom_Foxlink_6 21 2010-ME_nego_Bolt RFQ Proposal_Foxlink_ (Pricing Summary) 2 25 2011 3 2" xfId="22647"/>
    <cellStyle name="好_River EE BOM_Creak Pearl Reliability Fixture RFQ_2009 04 24_Creek  Pearl RFQ_May 12_Leopard_UniBOM_ME_0602_Bolt RFQ Proposal_Foxlink_ (Pricing Summary) 2 25 2011 2 2 3" xfId="22648"/>
    <cellStyle name="好_Creek Assembly Fixture  Test Equipment RFQ_20090427_Bolt_Cliff 3 3" xfId="22649"/>
    <cellStyle name="好_River EE BOM_Creak Pearl Reliability Fixture RFQ_2009 04 24_Creek  Pearl RFQ_May 12_Leopard_UniBOM_ME_0602_Bolt RFQ Proposal_Foxlink_ (Pricing Summary) 2 25 2011 2 3" xfId="22650"/>
    <cellStyle name="好_Creek Assembly Fixture  Test Equipment RFQ_20090427_Bolt_Cliff 4" xfId="22651"/>
    <cellStyle name="好_Creek EE BOM cost_20090425_Leopard_UniBOM_ME_0602-1_Bolt RFQ Proposal_Foxlink_ (Pricing Summary) 2 25 2011 4" xfId="22652"/>
    <cellStyle name="好_Creek Assembly Fixture  Test Equipment RFQ_20090427_Bolt_Cliff 5 2" xfId="22653"/>
    <cellStyle name="好_River EE BOM_Xl0000000_Leopard UniBom_Foxlink_6 21 2010-ME_nego_Bolt RFQ Proposal_Foxlink_ (Pricing Summary) 2 25 2011 5 2" xfId="22654"/>
    <cellStyle name="好_Creek EE BOM cost_20090425_Leopard_UniBOM_ME_0602-1_Bolt RFQ Proposal_Foxlink_ (Pricing Summary) 2 25 2011 5" xfId="22655"/>
    <cellStyle name="好_Creek Assembly Fixture  Test Equipment RFQ_20090427_Bolt_Cliff 5 3" xfId="22656"/>
    <cellStyle name="好_Creek Assembly Fixture  Test Equipment RFQ_20090427_Bolt_Cliff 6" xfId="22657"/>
    <cellStyle name="好_Creek Assembly Fixture  Test Equipment RFQ_20090427_Bolt_Cliff 7" xfId="22658"/>
    <cellStyle name="好_Creek Assembly Fixture  Test Equipment RFQ_20090427_Foxlink_Shadow RFQ NREUni BOM_12032009" xfId="22659"/>
    <cellStyle name="差_Creak Pearl Reliability Fixture RFQ_2009 04 24_Foxlink_Shadow RFQ NREUni BOM_12032009 2 2" xfId="22660"/>
    <cellStyle name="好_Creek Assembly Fixture  Test Equipment RFQ_20090427_Foxlink_Shadow RFQ NREUni BOM_12032009 2" xfId="22661"/>
    <cellStyle name="差_Creak Pearl Reliability Fixture RFQ_2009 04 24_Foxlink_Shadow RFQ NREUni BOM_12032009 2 2 2" xfId="22662"/>
    <cellStyle name="好_Creek Assembly Fixture  Test Equipment RFQ_20090427_Foxlink_Shadow RFQ NREUni BOM_12032009 2 2" xfId="22663"/>
    <cellStyle name="好_River EE BOM_Creek RFQ feedback 04_28_2009_FD Update_Squirrel RFQ ME BOM Costs-0623_Bolt RFQ Proposal_Foxlink_ (Pricing Summary) 2 25 2011 2 3" xfId="22664"/>
    <cellStyle name="好_Creek EE BOM cost_20090425_Creek RFQ feedback 04_28_2009_FD Update_Squirrel RFQ ME BOM Costs-0623_Bolt RFQ Proposal_Foxlink_ (Pricing Summary) 2 25 2011" xfId="22665"/>
    <cellStyle name="差_效益分析_flow chart 2009.12.12_Jackson 效益分析 (2-1 B0 上系統)_squirrel效益分析08-17" xfId="22666"/>
    <cellStyle name="好_Creek Assembly Fixture  Test Equipment RFQ_20090427_Foxlink_Shadow RFQ NREUni BOM_12032009 2 2 3" xfId="22667"/>
    <cellStyle name="好_Creek Assembly Fixture  Test Equipment RFQ_20090427_Foxlink_Shadow RFQ NREUni BOM_12032009 2 3" xfId="22668"/>
    <cellStyle name="好_River EE BOM_Creek RFQ feedback 04_28_2009_FD Update_Squirrel RFQ ME BOM Costs-0623_Bolt RFQ Proposal_Foxlink_ (Pricing Summary) 2 25 2011 2 4" xfId="22669"/>
    <cellStyle name="好_Creek Assembly Fixture  Test Equipment RFQ_20090427_Foxlink_Shadow RFQ NREUni BOM_12032009 2 4" xfId="22670"/>
    <cellStyle name="好_Creek Assembly Fixture  Test Equipment RFQ_20090427_Foxlink_Shadow RFQ NREUni BOM_12032009 3" xfId="22671"/>
    <cellStyle name="差_Creak Pearl Reliability Fixture RFQ_2009 04 24_Foxlink_Shadow RFQ NREUni BOM_12032009 2 2 3" xfId="22672"/>
    <cellStyle name="壞_foxlink Bristol for 10063D-2010-10-11_Bristol RFQ response _20101102_internal (4)_Bristol MP quote update_08182011_MS" xfId="22673"/>
    <cellStyle name="差_dallas產能評估_Flow Chart(shadow)-b (1-4 Update)_Leopard Flowchart &amp; 產能評估" xfId="22674"/>
    <cellStyle name="好_Creek Assembly Fixture  Test Equipment RFQ_20090427_Foxlink_Shadow RFQ NREUni BOM_12032009 3 2" xfId="22675"/>
    <cellStyle name="好_River EE BOM_Creek RFQ feedback 04_28_2009_FD Update_Squirrel RFQ ME BOM Costs-0623_Bolt RFQ Proposal_Foxlink_ (Pricing Summary) 2 25 2011 3 3" xfId="22676"/>
    <cellStyle name="好_Creek Assembly Fixture  Test Equipment RFQ_20090427_Foxlink_Shadow RFQ NREUni BOM_12032009 3 3" xfId="22677"/>
    <cellStyle name="好_River EE BOM_Creak Pearl Reliability Fixture RFQ_2009 04 24_Xl0000002_Leopard_UniBOM_ME_0602-1_Bolt RFQ_Foxlink_03.1 2011 3" xfId="22678"/>
    <cellStyle name="好_Creek Assembly Fixture  Test Equipment RFQ_20090427_Foxlink_Shadow RFQ NREUni BOM_12032009_Bolt RFQ Proposal_Foxlink_ (Pricing Summary) 2 25 2011 2" xfId="22679"/>
    <cellStyle name="好_River EE BOM_Creak Pearl Reliability Fixture RFQ_2009 04 24_Xl0000002_Leopard_UniBOM_ME_0602-1_Bolt RFQ_Foxlink_03.1 2011 3 2" xfId="22680"/>
    <cellStyle name="好_Creek Assembly Fixture  Test Equipment RFQ_20090427_Foxlink_Shadow RFQ NREUni BOM_12032009_Bolt RFQ Proposal_Foxlink_ (Pricing Summary) 2 25 2011 2 2" xfId="22681"/>
    <cellStyle name="好_Creek Assembly Fixture  Test Equipment RFQ_20090427_Foxlink_Shadow RFQ NREUni BOM_12032009_Bolt RFQ Proposal_Foxlink_ (Pricing Summary) 2 25 2011 2 2 2" xfId="22682"/>
    <cellStyle name="好_River EE BOM_Creak Pearl Reliability Fixture RFQ_2009 04 24_Xl0000002_Leopard_UniBOM_ME_0602-1_Bolt RFQ_Foxlink_03.1 2011 3 3" xfId="22683"/>
    <cellStyle name="好_Creek Assembly Fixture  Test Equipment RFQ_20090427_Foxlink_Shadow RFQ NREUni BOM_12032009_Bolt RFQ Proposal_Foxlink_ (Pricing Summary) 2 25 2011 2 3" xfId="22684"/>
    <cellStyle name="好_Creek Assembly Fixture  Test Equipment RFQ_20090427_Foxlink_Shadow RFQ NREUni BOM_12032009_Bolt RFQ Proposal_Foxlink_ (Pricing Summary) 2 25 2011 2 4" xfId="22685"/>
    <cellStyle name="好_Creek Assembly Fixture  Test Equipment RFQ_20090427_Foxlink_Shadow RFQ NREUni BOM_12032009_Bolt RFQ Proposal_Foxlink_ (Pricing Summary) 2 25 2011 3 2" xfId="22686"/>
    <cellStyle name="好_Creek Assembly Fixture  Test Equipment RFQ_20090427_Foxlink_Shadow RFQ NREUni BOM_12032009_Bolt RFQ Proposal_Foxlink_ (Pricing Summary) 2 25 2011 3 3" xfId="22687"/>
    <cellStyle name="好_Creek Assembly Fixture  Test Equipment RFQ_20090427_Foxlink_Shadow RFQ NREUni BOM_12032009_Bolt RFQ Proposal_Foxlink_ (Pricing Summary) 2 25 2011 4 3" xfId="22688"/>
    <cellStyle name="好_Creek Assembly Fixture  Test Equipment RFQ_20090427_Foxlink_Shadow RFQ NREUni BOM_12032009_Bolt RFQ Proposal_Foxlink_ (Pricing Summary) 2 25 2011 5" xfId="22689"/>
    <cellStyle name="好_Creek Assembly Fixture  Test Equipment RFQ_20090427_Foxlink_Shadow RFQ NREUni BOM_12032009_Bolt RFQ Proposal_Foxlink_ (Pricing Summary) 2 25 2011 5 2" xfId="22690"/>
    <cellStyle name="好_Creek Assembly Fixture  Test Equipment RFQ_20090427_Foxlink_Shadow RFQ NREUni BOM_12032009_Bolt RFQ Proposal_Foxlink_ (Pricing Summary) 2 25 2011 5 3" xfId="22691"/>
    <cellStyle name="好_Creek Assembly Fixture  Test Equipment RFQ_20090427_Foxlink_Shadow RFQ NREUni BOM_12032009_Bolt RFQ Proposal_Foxlink_ (Pricing Summary) 2 25 2011 6" xfId="22692"/>
    <cellStyle name="好_Creek Assembly Fixture  Test Equipment RFQ_20090427_Foxlink_Shadow RFQ NREUni BOM_12032009_Bolt RFQ_Foxlink_03.1 2011 2 2" xfId="22693"/>
    <cellStyle name="好_Creek Assembly Fixture  Test Equipment RFQ_20090427_Foxlink_Shadow RFQ NREUni BOM_12032009_Bolt RFQ_Foxlink_03.1 2011 2 3" xfId="22694"/>
    <cellStyle name="好_Creek Assembly Fixture  Test Equipment RFQ_20090427_Foxlink_Shadow RFQ NREUni BOM_12032009_Bolt RFQ_Foxlink_03.1 2011 3" xfId="22695"/>
    <cellStyle name="好_Creek Assembly Fixture  Test Equipment RFQ_20090427_Foxlink_Shadow RFQ NREUni BOM_12032009_Bolt RFQ_Foxlink_03.1 2011 3 3" xfId="22696"/>
    <cellStyle name="好_Creek Assembly Fixture  Test Equipment RFQ_20090427_Foxlink_Shadow RFQ NREUni BOM_12032009_Bolt RFQ_Foxlink_03.1 2011 4" xfId="22697"/>
    <cellStyle name="好_Creek Assembly Fixture  Test Equipment RFQ_20090427_Foxlink_Shadow RFQ NREUni BOM_12032009_Bolt RFQ_Foxlink_03.1 2011_Bolt_Cliff" xfId="22698"/>
    <cellStyle name="好_Creek Assembly Fixture  Test Equipment RFQ_20090427_Foxlink_Shadow RFQ NREUni BOM_12032009_Bolt RFQ_Foxlink_03.1 2011_Bolt_Cliff 2 2 2" xfId="22699"/>
    <cellStyle name="好_Creek Assembly Fixture  Test Equipment RFQ_20090427_Foxlink_Shadow RFQ NREUni BOM_12032009_Bolt RFQ_Foxlink_03.1 2011_Bolt_Cliff 2 3" xfId="22700"/>
    <cellStyle name="差_Erie mouse 效益分析( 11-19 A1)_Leopard Flowchart &amp; 產能評估" xfId="22701"/>
    <cellStyle name="好_River EE BOM_Creak Pearl Reliability Fixture RFQ_2009 04 24_Xl0000002_Leopard RFQ ME BOM Costs-0618_Bolt RFQ_Foxlink_03.1 2011_nego meeting@MACH 2 2" xfId="22702"/>
    <cellStyle name="好_Creek Assembly Fixture  Test Equipment RFQ_20090427_Foxlink_Shadow RFQ NREUni BOM_12032009_Bolt RFQ_Foxlink_03.1 2011_Bolt_Cliff 2 4" xfId="22703"/>
    <cellStyle name="好_River EE BOM_Creak Pearl Reliability Fixture RFQ_2009 04 24_Creek RFQ feedback 04_28_2009_FD Update_Leopard_UniBOM_ME_0602-1_Bolt RFQ_Foxlink_03.1 2011 2" xfId="22704"/>
    <cellStyle name="好_Creek Assembly Fixture  Test Equipment RFQ_20090427_Foxlink_Shadow RFQ NREUni BOM_12032009_Bolt RFQ_Foxlink_03.1 2011_Bolt_Cliff 3 2" xfId="22705"/>
    <cellStyle name="差_HP  專案(設備&amp;治工具需夠買)update_Erie 效益分析 (Update)_效益分析(總 12-28 Update)" xfId="22706"/>
    <cellStyle name="好_River EE BOM_Creak Pearl Reliability Fixture RFQ_2009 04 24_Creek RFQ feedback 04_28_2009_FD Update_Leopard_UniBOM_ME_0602-1_Bolt RFQ_Foxlink_03.1 2011 3" xfId="22707"/>
    <cellStyle name="好_Creek Assembly Fixture  Test Equipment RFQ_20090427_Foxlink_Shadow RFQ NREUni BOM_12032009_Bolt RFQ_Foxlink_03.1 2011_Bolt_Cliff 3 3" xfId="22708"/>
    <cellStyle name="好_River EE BOM_Creak Pearl Reliability Fixture RFQ_2009 04 24_Creek  Pearl RFQ_May 12_Leopard RFQ ME BOM Costs-0618_Bolt RFQ Proposal_Foxlink_ (Pricing Summary) 2 25 2011 2 4" xfId="22709"/>
    <cellStyle name="好_Creek Assembly Fixture  Test Equipment RFQ_20090427_Foxlink_Shadow RFQ NREUni BOM_12032009_Bolt RFQ_Foxlink_03.1 2011_Bolt_Cliff 4 2" xfId="22710"/>
    <cellStyle name="好_Creek Assembly Fixture  Test Equipment RFQ_20090427_Foxlink_Shadow RFQ NREUni BOM_12032009_Bolt RFQ_Foxlink_03.1 2011_Bolt_Cliff 4 3" xfId="22711"/>
    <cellStyle name="好_Creek Assembly Fixture  Test Equipment RFQ_20090427_Foxlink_Shadow RFQ NREUni BOM_12032009_Bolt RFQ_Foxlink_03.1 2011_Bolt_Cliff 5 2" xfId="22712"/>
    <cellStyle name="好_Creek Assembly Fixture  Test Equipment RFQ_20090427_Foxlink_Shadow RFQ NREUni BOM_12032009_Bolt RFQ_Foxlink_03.1 2011_Bolt_Cliff 5 3" xfId="22713"/>
    <cellStyle name="好_Creek Assembly Fixture  Test Equipment RFQ_20090427_Foxlink_Shadow RFQ NREUni BOM_12032009_Bolt RFQ_Foxlink_03.1 2011_Bolt_Cliff 6" xfId="22714"/>
    <cellStyle name="好_Creek Assembly Fixture  Test Equipment RFQ_20090427_Foxlink_Shadow RFQ NREUni BOM_12032009_Bolt RFQ_Foxlink_03.1 2011_Bolt_Cliff 7" xfId="22715"/>
    <cellStyle name="好_Creek Assembly Fixture  Test Equipment RFQ_20090427_Foxlink_Shadow RFQ NREUni BOM_12032009_Bolt RFQ_Foxlink_03.1 2011_nego meeting@MACH" xfId="22716"/>
    <cellStyle name="好_Creek Assembly Fixture  Test Equipment RFQ_20090427_Foxlink_Shadow RFQ NREUni BOM_12032009_Bolt RFQ_Foxlink_03.1 2011_nego meeting@MACH 2" xfId="22717"/>
    <cellStyle name="差_Creak Pearl Reliability Fixture RFQ_2009 04 24_Xl0000002_Leopard RFQ ME BOM Costs-0618-2" xfId="22718"/>
    <cellStyle name="好_Creek Assembly Fixture  Test Equipment RFQ_20090427_Foxlink_Shadow RFQ NREUni BOM_12032009_Bolt RFQ_Foxlink_03.1 2011_nego meeting@MACH 2 2" xfId="22719"/>
    <cellStyle name="好_River EE BOM_Xl0000000_Leopard RFQ ME BOM Costs-0618_Bolt RFQ Proposal_Foxlink_ (Pricing Summary) 2 25 2011 3 3" xfId="22720"/>
    <cellStyle name="差_Creak Pearl Reliability Fixture RFQ_2009 04 24_Xl0000002_Leopard RFQ ME BOM Costs-0618-2 2" xfId="22721"/>
    <cellStyle name="好_Creek Assembly Fixture  Test Equipment RFQ_20090427_Foxlink_Shadow RFQ NREUni BOM_12032009_Bolt RFQ_Foxlink_03.1 2011_nego meeting@MACH 3" xfId="22722"/>
    <cellStyle name="好_Creek Assembly Fixture  Test Equipment RFQ_20090427_Foxlink_Shadow RFQ NREUni BOM_12032009_Bolt RFQ_Foxlink_03.1 2011_nego meeting@MACH 3 2" xfId="22723"/>
    <cellStyle name="好_River EE BOM_Xl0000000_Leopard RFQ ME BOM Costs-0618_Bolt RFQ Proposal_Foxlink_ (Pricing Summary) 2 25 2011 4 3" xfId="22724"/>
    <cellStyle name="好_Creek Assembly Fixture  Test Equipment RFQ_20090427_Foxlink_Shadow RFQ NREUni BOM_12032009_Bolt RFQ_Foxlink_03.1 2011_nego meeting@MACH 3 3" xfId="22725"/>
    <cellStyle name="差_Erie mouse 效益分析( 11-19 A1)_Jackson 效益分析 testing update_16th Jan111_Jackson 效益分析 (2-1 B0 上系統)_squirrel效益分析08-17" xfId="22726"/>
    <cellStyle name="好_Creek Assembly Fixture  Test Equipment RFQ_20090427_Foxlink_Shadow RFQ NREUni BOM_12032009_Bolt RFQ_Foxlink_03.1 2011_nego meeting@MACH 4" xfId="22727"/>
    <cellStyle name="好_Creek Assembly Fixture  Test Equipment RFQ_20090427_Foxlink_Shadow RFQ NREUni BOM_12032009_Bolt RFQ_Foxlink_03.1 2011_nego meeting@MACH 5" xfId="22728"/>
    <cellStyle name="好_Creek Assembly Fixture  Test Equipment RFQ_20090427_Foxlink_Shadow RFQ NREUni BOM_12032009_Bolt RFQ_Foxlink_03.1 2011_nego meeting@MACH_Bolt_Cliff" xfId="22729"/>
    <cellStyle name="好_Creek Assembly Fixture  Test Equipment RFQ_20090427_Foxlink_Shadow RFQ NREUni BOM_12032009_Bolt RFQ_Foxlink_03.1 2011_nego meeting@MACH_Bolt_Cliff 2" xfId="22730"/>
    <cellStyle name="好_Creek Assembly Fixture  Test Equipment RFQ_20090427_Foxlink_Shadow RFQ NREUni BOM_12032009_Bolt RFQ_Foxlink_03.1 2011_nego meeting@MACH_Bolt_Cliff 2 2" xfId="22731"/>
    <cellStyle name="好_Creek Assembly Fixture  Test Equipment RFQ_20090427_Foxlink_Shadow RFQ NREUni BOM_12032009_Bolt RFQ_Foxlink_03.1 2011_nego meeting@MACH_Bolt_Cliff 2 2 2" xfId="22732"/>
    <cellStyle name="好_Creek Assembly Fixture  Test Equipment RFQ_20090427_Foxlink_Shadow RFQ NREUni BOM_12032009_Bolt RFQ_Foxlink_03.1 2011_nego meeting@MACH_Bolt_Cliff 2 2 3" xfId="22733"/>
    <cellStyle name="好_Creek Assembly Fixture  Test Equipment RFQ_20090427_Foxlink_Shadow RFQ NREUni BOM_12032009_Bolt RFQ_Foxlink_03.1 2011_nego meeting@MACH_Bolt_Cliff 2 3" xfId="22734"/>
    <cellStyle name="好_Creek Assembly Fixture  Test Equipment RFQ_20090427_Foxlink_Shadow RFQ NREUni BOM_12032009_Bolt RFQ_Foxlink_03.1 2011_nego meeting@MACH_Bolt_Cliff 2 4" xfId="22735"/>
    <cellStyle name="好_Creek Assembly Fixture  Test Equipment RFQ_20090427_Foxlink_Shadow RFQ NREUni BOM_12032009_Bolt RFQ_Foxlink_03.1 2011_nego meeting@MACH_Bolt_Cliff 3 2" xfId="22736"/>
    <cellStyle name="好_Creek Assembly Fixture  Test Equipment RFQ_20090427_Foxlink_Shadow RFQ NREUni BOM_12032009_Bolt RFQ_Foxlink_03.1 2011_nego meeting@MACH_Bolt_Cliff 3 3" xfId="22737"/>
    <cellStyle name="差_Creak Pearl Reliability Fixture RFQ_2009 04 24_Foxlink_Shadow RFQ NREUni BOM_12032009_Bolt RFQ_Foxlink_03.1 2011_nego meeting@MACH 2" xfId="22738"/>
    <cellStyle name="好_Creek Assembly Fixture  Test Equipment RFQ_20090427_Foxlink_Shadow RFQ NREUni BOM_12032009_Bolt RFQ_Foxlink_03.1 2011_nego meeting@MACH_Bolt_Cliff 4 3" xfId="22739"/>
    <cellStyle name="好_Erie Assembly Fixture  Test Equip Cost_20090716_Foxlink_Shadow RFQ NREUni BOM_12032009" xfId="22740"/>
    <cellStyle name="好_Creek Assembly Fixture  Test Equipment RFQ_20090427_Foxlink_Shadow RFQ NREUni BOM_12032009_Bolt RFQ_Foxlink_03.1 2011_nego meeting@MACH_Bolt_Cliff 5 2" xfId="22741"/>
    <cellStyle name="好_Creek Assembly Fixture  Test Equipment RFQ_20090427_Foxlink_Shadow RFQ NREUni BOM_12032009_Bolt RFQ_Foxlink_03.1 2011_nego meeting@MACH_Bolt_Cliff 5 3" xfId="22742"/>
    <cellStyle name="好_Creek Assembly Fixture  Test Equipment RFQ_20090427_Leopard Lemur Squirrel UniBom-06.22.2010_EE cost _update_internal_Bolt RFQ_Foxlink_03.1 2011 4" xfId="22743"/>
    <cellStyle name="好_Creek Assembly Fixture  Test Equipment RFQ_20090427_Foxlink_Shadow RFQ NREUni BOM_12032009_Bolt_Cliff" xfId="22744"/>
    <cellStyle name="好_Creek Assembly Fixture  Test Equipment RFQ_20090427_Foxlink_Shadow RFQ NREUni BOM_12032009_Bolt_Cliff 2" xfId="22745"/>
    <cellStyle name="好_Creek Assembly Fixture  Test Equipment RFQ_20090427_Foxlink_Shadow RFQ NREUni BOM_12032009_Bolt_Cliff 2 2 2" xfId="22746"/>
    <cellStyle name="好_Creek Assembly Fixture  Test Equipment RFQ_20090427_Foxlink_Shadow RFQ NREUni BOM_12032009_Bolt_Cliff 2 4" xfId="22747"/>
    <cellStyle name="好_Creek Assembly Fixture  Test Equipment RFQ_20090427_Foxlink_Shadow RFQ NREUni BOM_12032009_Bolt_Cliff 3" xfId="22748"/>
    <cellStyle name="好_Creek Assembly Fixture  Test Equipment RFQ_20090427_Xl0000002_Leopard_UniBOM_ME_0603-2_Bolt RFQ Proposal_Foxlink_ (Pricing Summary) 2 25 2011 5" xfId="22749"/>
    <cellStyle name="好_Creek Assembly Fixture  Test Equipment RFQ_20090427_Foxlink_Shadow RFQ NREUni BOM_12032009_Bolt_Cliff 3 2" xfId="22750"/>
    <cellStyle name="好_Creek Assembly Fixture  Test Equipment RFQ_20090427_Xl0000002_Leopard_UniBOM_ME_0603-2_Bolt RFQ Proposal_Foxlink_ (Pricing Summary) 2 25 2011 6" xfId="22751"/>
    <cellStyle name="好_Creek Assembly Fixture  Test Equipment RFQ_20090427_Foxlink_Shadow RFQ NREUni BOM_12032009_Bolt_Cliff 3 3" xfId="22752"/>
    <cellStyle name="好_Creek Assembly Fixture  Test Equipment RFQ_20090427_Foxlink_Shadow RFQ NREUni BOM_12032009_Bolt_Cliff 4" xfId="22753"/>
    <cellStyle name="好_MB9月管審誤判超標 8D_HP 6" xfId="22754"/>
    <cellStyle name="好_Creek Assembly Fixture  Test Equipment RFQ_20090427_Foxlink_Shadow RFQ NREUni BOM_12032009_Bolt_Cliff 4 2" xfId="22755"/>
    <cellStyle name="差_F3   SMT設備明細_效益分析_Dallas效益分析&amp;投資回收期 (12-2 A1)_Flow Chart&amp;設備治工具清單 " xfId="22756"/>
    <cellStyle name="好_Creek Assembly Fixture  Test Equipment RFQ_20090427_Foxlink_Shadow RFQ NREUni BOM_12032009_Bolt_Cliff 4 3" xfId="22757"/>
    <cellStyle name="好_Creek Assembly Fixture  Test Equipment RFQ_20090427_Foxlink_Shadow RFQ NREUni BOM_12032009_Bolt_Cliff 5" xfId="22758"/>
    <cellStyle name="好_Creek Assembly Fixture  Test Equipment RFQ_20090427_Foxlink_Shadow RFQ NREUni BOM_12032009_Bolt_Cliff 5 3" xfId="22759"/>
    <cellStyle name="好_Creek Assembly Fixture  Test Equipment RFQ_20090427_Foxlink_Shadow RFQ NREUni BOM_12032009_Bolt_Cliff 6" xfId="22760"/>
    <cellStyle name="好_Creek Assembly Fixture  Test Equipment RFQ_20090427_Foxlink_Shadow RFQ NREUni BOM_12032009_Bolt_Cliff 7" xfId="22761"/>
    <cellStyle name="好_Creek Assembly Fixture  Test Equipment RFQ_20090427_Jackson and Shadow BOM cost_mainfile_2010 0324 rev.1_Leopard UniBom_Foxlink_12272010 RevF_shirley" xfId="22762"/>
    <cellStyle name="好_Creek Assembly Fixture  Test Equipment RFQ_20090427_Jackson NRE Uni BOM_update _05072010 rev K" xfId="22763"/>
    <cellStyle name="好_Creek Assembly Fixture  Test Equipment RFQ_20090427_Leopard Lemur Squirrel UniBom-06.22.2010_EE cost _update_internal 2" xfId="22764"/>
    <cellStyle name="好_Creek Assembly Fixture  Test Equipment RFQ_20090427_Leopard Lemur Squirrel UniBom-06.22.2010_EE cost _update_internal 2 2" xfId="22765"/>
    <cellStyle name="好_River EE BOM_Creek RFQ feedback 04_28_2009_FD Update_Leopard UniBom_Foxlink_6 21 2010-ME_nego 2 2 2" xfId="22766"/>
    <cellStyle name="好_Creek Assembly Fixture  Test Equipment RFQ_20090427_Leopard Lemur Squirrel UniBom-06.22.2010_EE cost _update_internal 2 3" xfId="22767"/>
    <cellStyle name="好_River EE BOM_Creek RFQ feedback 04_28_2009_FD Update_Leopard UniBom_Foxlink_6 21 2010-ME_nego 2 2 3" xfId="22768"/>
    <cellStyle name="差_jupite r設備&amp;治工具LIST (總)_Dallas flow chart&amp;設備&amp;治工具清單(12-8 A0)" xfId="22769"/>
    <cellStyle name="好_Creek Assembly Fixture  Test Equipment RFQ_20090427_Leopard Lemur Squirrel UniBom-06.22.2010_EE cost _update_internal 2 4" xfId="22770"/>
    <cellStyle name="好_Creek Assembly Fixture  Test Equipment RFQ_20090427_Leopard Lemur Squirrel UniBom-06.22.2010_EE cost _update_internal 3 2" xfId="22771"/>
    <cellStyle name="好_Creek Assembly Fixture  Test Equipment RFQ_20090427_Leopard Lemur Squirrel UniBom-06.22.2010_EE cost _update_internal_Bolt RFQ Proposal_Foxlink_ (Pricing Summary) 2 25 2011" xfId="22772"/>
    <cellStyle name="好_Creek Assembly Fixture  Test Equipment RFQ_20090427_Leopard Lemur Squirrel UniBom-06.22.2010_EE cost _update_internal_Bolt RFQ Proposal_Foxlink_ (Pricing Summary) 2 25 2011 2" xfId="22773"/>
    <cellStyle name="好_Creek Assembly Fixture  Test Equipment RFQ_20090427_Leopard Lemur Squirrel UniBom-06.22.2010_EE cost _update_internal_Bolt RFQ Proposal_Foxlink_ (Pricing Summary) 2 25 2011 2 2" xfId="22774"/>
    <cellStyle name="差_MS Bolt wireless mouse FixtureEquipment Cost_A5_2010_02_21" xfId="22775"/>
    <cellStyle name="好_Creek Assembly Fixture  Test Equipment RFQ_20090427_Leopard Lemur Squirrel UniBom-06.22.2010_EE cost _update_internal_Bolt RFQ Proposal_Foxlink_ (Pricing Summary) 2 25 2011 2 2 2" xfId="22776"/>
    <cellStyle name="好_Creek Assembly Fixture  Test Equipment RFQ_20090427_Leopard Lemur Squirrel UniBom-06.22.2010_EE cost _update_internal_Bolt RFQ Proposal_Foxlink_ (Pricing Summary) 2 25 2011 2 2 3" xfId="22777"/>
    <cellStyle name="好_Creek Assembly Fixture  Test Equipment RFQ_20090427_Leopard Lemur Squirrel UniBom-06.22.2010_EE cost _update_internal_Bolt RFQ Proposal_Foxlink_ (Pricing Summary) 2 25 2011 3" xfId="22778"/>
    <cellStyle name="差_dallas產能評估_Dallas效益分析&amp;投資回收期 (12-2 A1)_Jackson 效益分析 (2-1 B0 上系統)_squirrel效益分析08-17" xfId="22779"/>
    <cellStyle name="好_River EE BOM_Creak Pearl Reliability Fixture RFQ_2009 04 24_Creek RFQ feedback 04_28_2009_FD Update_Squirrel UniBom-06.23.2010_update_internal_Bolt RFQ_Foxlink_03.1 2011 2" xfId="22780"/>
    <cellStyle name="好_River EE BOM_Creak Pearl Reliability Fixture RFQ_2009 04 24_Xl0000002_Squirrel UniBom-06.23.2010_update_internal 2" xfId="22781"/>
    <cellStyle name="好_River EE BOM_Creak Pearl Reliability Fixture RFQ_2009 04 24_Creek RFQ feedback 04_28_2009_FD Update_Squirrel UniBom-06.23.2010_update_internal_Bolt RFQ_Foxlink_03.1 2011 2 3" xfId="22782"/>
    <cellStyle name="好_Creek Assembly Fixture  Test Equipment RFQ_20090427_Leopard Lemur Squirrel UniBom-06.22.2010_EE cost _update_internal_Bolt RFQ Proposal_Foxlink_ (Pricing Summary) 2 25 2011 3 3" xfId="22783"/>
    <cellStyle name="好_River EE BOM_Creak Pearl Reliability Fixture RFQ_2009 04 24_Creek RFQ feedback 04_28_2009_FD Update_Squirrel UniBom-06.23.2010_update_internal_Bolt RFQ_Foxlink_03.1 2011 3 2" xfId="22784"/>
    <cellStyle name="壞_Creek Assembly Fixture  Test Equipment RFQ_20090427_Leopard Lemur Squirrel UniBom-06.22.2010_EE cost _update_internal_Bolt RFQ_Foxlink_03.1 2011_nego meeting@MACH 2 3" xfId="22785"/>
    <cellStyle name="好_Creek Assembly Fixture  Test Equipment RFQ_20090427_Leopard Lemur Squirrel UniBom-06.22.2010_EE cost _update_internal_Bolt RFQ Proposal_Foxlink_ (Pricing Summary) 2 25 2011 4 2" xfId="22786"/>
    <cellStyle name="好_River EE BOM_Creak Pearl Reliability Fixture RFQ_2009 04 24_Creek RFQ feedback 04_28_2009_FD Update_Squirrel UniBom-06.23.2010_update_internal_Bolt RFQ_Foxlink_03.1 2011 3 3" xfId="22787"/>
    <cellStyle name="好_Creek Assembly Fixture  Test Equipment RFQ_20090427_Leopard Lemur Squirrel UniBom-06.22.2010_EE cost _update_internal_Bolt RFQ Proposal_Foxlink_ (Pricing Summary) 2 25 2011 4 3" xfId="22788"/>
    <cellStyle name="好_River EE BOM_Creak Pearl Reliability Fixture RFQ_2009 04 24_Creek RFQ feedback 04_28_2009_FD Update_Squirrel UniBom-06.23.2010_update_internal_Bolt RFQ_Foxlink_03.1 2011 4" xfId="22789"/>
    <cellStyle name="好_Creek Assembly Fixture  Test Equipment RFQ_20090427_Leopard Lemur Squirrel UniBom-06.22.2010_EE cost _update_internal_Bolt RFQ Proposal_Foxlink_ (Pricing Summary) 2 25 2011 5" xfId="22790"/>
    <cellStyle name="好_Creek Assembly Fixture  Test Equipment RFQ_20090427_Leopard Lemur Squirrel UniBom-06.22.2010_EE cost _update_internal_Bolt RFQ Proposal_Foxlink_ (Pricing Summary) 2 25 2011 5 3" xfId="22791"/>
    <cellStyle name="好_River EE BOM_Creak Pearl Reliability Fixture RFQ_2009 04 24_Creek RFQ feedback 04_28_2009_FD Update_Squirrel UniBom-06.23.2010_update_internal_Bolt RFQ_Foxlink_03.1 2011 5" xfId="22792"/>
    <cellStyle name="好_Creek Assembly Fixture  Test Equipment RFQ_20090427_Leopard Lemur Squirrel UniBom-06.22.2010_EE cost _update_internal_Bolt RFQ Proposal_Foxlink_ (Pricing Summary) 2 25 2011 6" xfId="22793"/>
    <cellStyle name="好_Creek Assembly Fixture  Test Equipment RFQ_20090427_Leopard Lemur Squirrel UniBom-06.22.2010_EE cost _update_internal_Bolt RFQ Proposal_Foxlink_ (Pricing Summary) 2 25 2011 7" xfId="22794"/>
    <cellStyle name="好_Creek Assembly Fixture  Test Equipment RFQ_20090427_Leopard Lemur Squirrel UniBom-06.22.2010_EE cost _update_internal_Bolt RFQ_Foxlink_03.1 2011" xfId="22795"/>
    <cellStyle name="好_Creek Assembly Fixture  Test Equipment RFQ_20090427_Leopard Lemur Squirrel UniBom-06.22.2010_EE cost _update_internal_Bolt RFQ_Foxlink_03.1 2011 2" xfId="22796"/>
    <cellStyle name="好_River EE BOM_Creak Pearl Reliability Fixture RFQ_2009 04 24_Creek  Pearl RFQ_May 12_Leopard_UniBOM_ME_0531 2 3" xfId="22797"/>
    <cellStyle name="好_LLS_EV2_DVE_Plan_20101117" xfId="22798"/>
    <cellStyle name="好_Creek Assembly Fixture  Test Equipment RFQ_20090427_Leopard Lemur Squirrel UniBom-06.22.2010_EE cost _update_internal_Bolt RFQ_Foxlink_03.1 2011 2 2" xfId="22799"/>
    <cellStyle name="好_River EE BOM_Creak Pearl Reliability Fixture RFQ_2009 04 24_Creek  Pearl RFQ_May 12_Leopard_UniBOM_ME_0531 3 3" xfId="22800"/>
    <cellStyle name="好_Creek Assembly Fixture  Test Equipment RFQ_20090427_Leopard Lemur Squirrel UniBom-06.22.2010_EE cost _update_internal_Bolt RFQ_Foxlink_03.1 2011 3 2" xfId="22801"/>
    <cellStyle name="好_Creek Assembly Fixture  Test Equipment RFQ_20090427_Leopard Lemur Squirrel UniBom-06.22.2010_EE cost _update_internal_Bolt RFQ_Foxlink_03.1 2011_Bolt_Cliff 2 2 2" xfId="22802"/>
    <cellStyle name="好_Creek Assembly Fixture  Test Equipment RFQ_20090427_Leopard Lemur Squirrel UniBom-06.22.2010_EE cost _update_internal_Bolt RFQ_Foxlink_03.1 2011_Bolt_Cliff 2 2 3" xfId="22803"/>
    <cellStyle name="好_Creek Assembly Fixture  Test Equipment RFQ_20090427_Leopard Lemur Squirrel UniBom-06.22.2010_EE cost _update_internal_Bolt RFQ_Foxlink_03.1 2011_Bolt_Cliff 2 3" xfId="22804"/>
    <cellStyle name="好_Creek EE BOM cost_20090425_Foxlink_Shadow RFQ NREUni BOM_12032009_Bolt RFQ Proposal_Foxlink_ (Pricing Summary) 2 25 2011 7" xfId="22805"/>
    <cellStyle name="好_Creek Assembly Fixture  Test Equipment RFQ_20090427_Leopard Lemur Squirrel UniBom-06.22.2010_EE cost _update_internal_Bolt RFQ_Foxlink_03.1 2011_Bolt_Cliff 3 3" xfId="22806"/>
    <cellStyle name="好_Creek Assembly Fixture  Test Equipment RFQ_20090427_Leopard Lemur Squirrel UniBom-06.22.2010_EE cost _update_internal_Bolt RFQ_Foxlink_03.1 2011_Bolt_Cliff 4" xfId="22807"/>
    <cellStyle name="好_River EE BOM_Creak Pearl Reliability Fixture RFQ_2009 04 24_Creek  Pearl RFQ_May 12_Leopard_UniBOM_ME_0602-1_Bolt RFQ Proposal_Foxlink_ (Pricing Summary) 2 25 2011 2 2 3" xfId="22808"/>
    <cellStyle name="好_Creek Assembly Fixture  Test Equipment RFQ_20090427_Leopard Lemur Squirrel UniBom-06.22.2010_EE cost _update_internal_Bolt RFQ_Foxlink_03.1 2011_Bolt_Cliff 4 2" xfId="22809"/>
    <cellStyle name="好_Creek Assembly Fixture  Test Equipment RFQ_20090427_Leopard Lemur Squirrel UniBom-06.22.2010_EE cost _update_internal_Bolt RFQ_Foxlink_03.1 2011_Bolt_Cliff 4 3" xfId="22810"/>
    <cellStyle name="好_Creek Assembly Fixture  Test Equipment RFQ_20090427_Leopard Lemur Squirrel UniBom-06.22.2010_EE cost _update_internal_Bolt RFQ_Foxlink_03.1 2011_Bolt_Cliff 5" xfId="22811"/>
    <cellStyle name="好_Creek Assembly Fixture  Test Equipment RFQ_20090427_Leopard Lemur Squirrel UniBom-06.22.2010_EE cost _update_internal_Bolt RFQ_Foxlink_03.1 2011_Bolt_Cliff 5 3" xfId="22812"/>
    <cellStyle name="好_Creek Assembly Fixture  Test Equipment RFQ_20090427_Leopard Lemur Squirrel UniBom-06.22.2010_EE cost _update_internal_Bolt RFQ_Foxlink_03.1 2011_Bolt_Cliff 7" xfId="22813"/>
    <cellStyle name="好_Creek Assembly Fixture  Test Equipment RFQ_20090427_Leopard Lemur Squirrel UniBom-06.22.2010_EE cost _update_internal_Bolt RFQ_Foxlink_03.1 2011_nego meeting@MACH" xfId="22814"/>
    <cellStyle name="差_Creak Pearl Reliability Fixture RFQ_2009 04 24_Leopard Lemur Squirrel UniBom-06.22.2010_EE cost _update_internal 2" xfId="22815"/>
    <cellStyle name="好_Creek Assembly Fixture  Test Equipment RFQ_20090427_Leopard Lemur Squirrel UniBom-06.22.2010_EE cost _update_internal_Bolt RFQ_Foxlink_03.1 2011_nego meeting@MACH 4" xfId="22816"/>
    <cellStyle name="差_Creak Pearl Reliability Fixture RFQ_2009 04 24_Leopard Lemur Squirrel UniBom-06.22.2010_EE cost _update_internal 3" xfId="22817"/>
    <cellStyle name="好_Creek Assembly Fixture  Test Equipment RFQ_20090427_Leopard Lemur Squirrel UniBom-06.22.2010_EE cost _update_internal_Bolt RFQ_Foxlink_03.1 2011_nego meeting@MACH 5" xfId="22818"/>
    <cellStyle name="好_Creek Assembly Fixture  Test Equipment RFQ_20090427_Leopard Lemur Squirrel UniBom-06.22.2010_EE cost _update_internal_Bolt RFQ_Foxlink_03.1 2011_nego meeting@MACH_Bolt_Cliff 2" xfId="22819"/>
    <cellStyle name="好_Creek Assembly Fixture  Test Equipment RFQ_20090427_Leopard Lemur Squirrel UniBom-06.22.2010_EE cost _update_internal_Bolt RFQ_Foxlink_03.1 2011_nego meeting@MACH_Bolt_Cliff 2 2" xfId="22820"/>
    <cellStyle name="好_Creek Assembly Fixture  Test Equipment RFQ_20090427_Leopard Lemur Squirrel UniBom-06.22.2010_EE cost _update_internal_Bolt RFQ_Foxlink_03.1 2011_nego meeting@MACH_Bolt_Cliff 2 2 3" xfId="22821"/>
    <cellStyle name="好_River EE BOM_Creak Pearl Reliability Fixture RFQ_2009 04 24_Pearl RFQ(Submittal)ver2_05_12_2009 _Leopard_UniBOM_ME_0602_Bolt RFQ_Foxlink_03.1 2011_nego meeting@MACH 2 2" xfId="22822"/>
    <cellStyle name="好_Creek Assembly Fixture  Test Equipment RFQ_20090427_Leopard Lemur Squirrel UniBom-06.22.2010_EE cost _update_internal_Bolt RFQ_Foxlink_03.1 2011_nego meeting@MACH_Bolt_Cliff 2 3" xfId="22823"/>
    <cellStyle name="好_Creek Assembly Fixture  Test Equipment RFQ_20090427_Leopard Lemur Squirrel UniBom-06.22.2010_EE cost _update_internal_Bolt RFQ_Foxlink_03.1 2011_nego meeting@MACH_Bolt_Cliff 3" xfId="22824"/>
    <cellStyle name="差_F3   SMT設備明細_M1 SuedeFixtureEquipment Cost_A0_2010_10_15_Bolt RFQ_Foxlink_03.1 2011_nego meeting@MACH 3" xfId="22825"/>
    <cellStyle name="好_Creek Assembly Fixture  Test Equipment RFQ_20090427_Leopard Lemur Squirrel UniBom-06.22.2010_EE cost _update_internal_Bolt RFQ_Foxlink_03.1 2011_nego meeting@MACH_Bolt_Cliff 3 2" xfId="22826"/>
    <cellStyle name="好_River EE BOM_Creak Pearl Reliability Fixture RFQ_2009 04 24_Pearl RFQ(Submittal)ver2_05_12_2009 _Leopard_UniBOM_ME_0602_Bolt RFQ_Foxlink_03.1 2011_nego meeting@MACH 3 2" xfId="22827"/>
    <cellStyle name="差_F3   SMT設備明細_M1 SuedeFixtureEquipment Cost_A0_2010_10_15_Bolt RFQ_Foxlink_03.1 2011_nego meeting@MACH 4" xfId="22828"/>
    <cellStyle name="好_Creek Assembly Fixture  Test Equipment RFQ_20090427_Leopard Lemur Squirrel UniBom-06.22.2010_EE cost _update_internal_Bolt RFQ_Foxlink_03.1 2011_nego meeting@MACH_Bolt_Cliff 3 3" xfId="22829"/>
    <cellStyle name="好_Creek Assembly Fixture  Test Equipment RFQ_20090427_Leopard Lemur Squirrel UniBom-06.22.2010_EE cost _update_internal_Bolt RFQ_Foxlink_03.1 2011_nego meeting@MACH_Bolt_Cliff 4" xfId="22830"/>
    <cellStyle name="好_Creek Assembly Fixture  Test Equipment RFQ_20090427_Leopard Lemur Squirrel UniBom-06.22.2010_EE cost _update_internal_Bolt RFQ_Foxlink_03.1 2011_nego meeting@MACH_Bolt_Cliff 4 2" xfId="22831"/>
    <cellStyle name="差_MB9月管審誤判超標 8D_HP 6" xfId="22832"/>
    <cellStyle name="好_River EE BOM_Xl0000000_Leopard_UniBOM_ME_0531_Bolt RFQ_Foxlink_03.1 2011" xfId="22833"/>
    <cellStyle name="好_Creek Assembly Fixture  Test Equipment RFQ_20090427_Leopard Lemur Squirrel UniBom-06.22.2010_EE cost _update_internal_Bolt RFQ_Foxlink_03.1 2011_nego meeting@MACH_Bolt_Cliff 4 3" xfId="22834"/>
    <cellStyle name="好_Creek Assembly Fixture  Test Equipment RFQ_20090427_Leopard Lemur Squirrel UniBom-06.22.2010_EE cost _update_internal_Bolt RFQ_Foxlink_03.1 2011_nego meeting@MACH_Bolt_Cliff 5 2" xfId="22835"/>
    <cellStyle name="好_Creek Assembly Fixture  Test Equipment RFQ_20090427_Leopard Lemur Squirrel UniBom-06.22.2010_EE cost _update_internal_Bolt RFQ_Foxlink_03.1 2011_nego meeting@MACH_Bolt_Cliff 5 3" xfId="22836"/>
    <cellStyle name="好_Creek Assembly Fixture  Test Equipment RFQ_20090427_Leopard Lemur Squirrel UniBom-06.22.2010_EE cost _update_internal_Bolt RFQ_Foxlink_03.1 2011_nego meeting@MACH_Bolt_Cliff 7" xfId="22837"/>
    <cellStyle name="好_Creek Assembly Fixture  Test Equipment RFQ_20090427_Leopard Lemur Squirrel UniBom-06.22.2010_EE cost _update_internal_Bolt_Cliff" xfId="22838"/>
    <cellStyle name="好_Creek Assembly Fixture  Test Equipment RFQ_20090427_Leopard Lemur Squirrel UniBom-06.22.2010_EE cost _update_internal_Bolt_Cliff 2" xfId="22839"/>
    <cellStyle name="差_Xl0000000_Bolt RFQ Proposal_Foxlink_ (Pricing Summary) 2 25 2011 2 2 3" xfId="22840"/>
    <cellStyle name="好_Creek Assembly Fixture  Test Equipment RFQ_20090427_Leopard Lemur Squirrel UniBom-06.22.2010_EE cost _update_internal_Bolt_Cliff 2 2" xfId="22841"/>
    <cellStyle name="好_River EE BOM_Xl0000002_Leopard Lemur Squirrel UniBom-06.22.2010_EE cost _update_internal_Bolt RFQ_Foxlink_03.1 2011_nego meeting@MACH 3" xfId="22842"/>
    <cellStyle name="好_Creek Assembly Fixture  Test Equipment RFQ_20090427_Leopard Lemur Squirrel UniBom-06.22.2010_EE cost _update_internal_Bolt_Cliff 2 2 2" xfId="22843"/>
    <cellStyle name="差_F3   SMT設備明細_jupite r設備&amp;治工具LIST (總)_Dallas效益分析&amp;投資回收期 (12-2 A1)_Jackson 效益分析 testing update_16th Jan1_Jackson 效益分析 (2-1 B0 上系統)_Leopard效益分析08-17" xfId="22844"/>
    <cellStyle name="好_Creek Assembly Fixture  Test Equipment RFQ_20090427_Leopard Lemur Squirrel UniBom-06.22.2010_EE cost _update_internal_Bolt_Cliff 2 4" xfId="22845"/>
    <cellStyle name="好_Creek Assembly Fixture  Test Equipment RFQ_20090427_Leopard Lemur Squirrel UniBom-06.22.2010_EE cost _update_internal_Bolt_Cliff 3 2" xfId="22846"/>
    <cellStyle name="差_F3   SMT設備明細_jupite r設備&amp;治工具LIST (總)_Flow Chart&amp;PQ分析(12-1)_Jackson 效益分析 testing update_16th Jan111_Jackson 效益分析 (2-1 B0 上系統)_Leopard效益分析08-17" xfId="22847"/>
    <cellStyle name="好_Creek Assembly Fixture  Test Equipment RFQ_20090427_Leopard Lemur Squirrel UniBom-06.22.2010_EE cost _update_internal_Bolt_Cliff 4 2" xfId="22848"/>
    <cellStyle name="好_Creek Assembly Fixture  Test Equipment RFQ_20090427_Leopard Lemur Squirrel UniBom-06.22.2010_EE cost _update_internal_Bolt_Cliff 4 3" xfId="22849"/>
    <cellStyle name="好_Creek Assembly Fixture  Test Equipment RFQ_20090427_Leopard Lemur Squirrel UniBom-06.22.2010_EE cost _update_internal_Bolt_Cliff 5" xfId="22850"/>
    <cellStyle name="好_River EE BOM_Creak Pearl Reliability Fixture RFQ_2009 04 24_Creek RFQ feedback 04_28_2009_FD Update_Leopard_UniBOM_ME_0602-1 2 2 3" xfId="22851"/>
    <cellStyle name="好_Creek Assembly Fixture  Test Equipment RFQ_20090427_Leopard Lemur Squirrel UniBom-06.22.2010_EE cost _update_internal_Bolt_Cliff 5 2" xfId="22852"/>
    <cellStyle name="好_Creek Assembly Fixture  Test Equipment RFQ_20090427_Leopard Lemur Squirrel UniBom-06.22.2010_EE cost _update_internal_Bolt_Cliff 5 3" xfId="22853"/>
    <cellStyle name="好_Creek Assembly Fixture  Test Equipment RFQ_20090427_Leopard Lemur Squirrel UniBom-06.22.2010_EE cost _update_internal_Bolt_Cliff 6" xfId="22854"/>
    <cellStyle name="好_Creek EE BOM cost_20090425_Creek RFQ feedback 04_28_2009_FD Update_Leopard RFQ ME BOM Costs-0618_Bolt RFQ Proposal_Foxlink_ (Pricing Summary) 2 25 2011 4 2" xfId="22855"/>
    <cellStyle name="好_Creek Assembly Fixture  Test Equipment RFQ_20090427_Leopard Lemur Squirrel UniBom-06.22.2010_EE cost _update_internal_Bolt_Cliff 7" xfId="22856"/>
    <cellStyle name="好_Creek Assembly Fixture  Test Equipment RFQ_20090427_Leopard RFQ ME BOM Costs-0618" xfId="22857"/>
    <cellStyle name="好_Creek Assembly Fixture  Test Equipment RFQ_20090427_Leopard RFQ ME BOM Costs-0623" xfId="22858"/>
    <cellStyle name="好_Creek Assembly Fixture  Test Equipment RFQ_20090427_Leopard RFQ ME BOM Costs-0618 2" xfId="22859"/>
    <cellStyle name="好_Creek Assembly Fixture  Test Equipment RFQ_20090427_Leopard UniBom_Foxlink_12092010 RevD-jen" xfId="22860"/>
    <cellStyle name="好_Creek Assembly Fixture  Test Equipment RFQ_20090427_Leopard RFQ ME BOM Costs-0618 2 2" xfId="22861"/>
    <cellStyle name="差_Xl0000002_Squirrel RFQ ME BOM Costs-0623_Bolt RFQ_Foxlink_03.1 2011 5" xfId="22862"/>
    <cellStyle name="好_Creek Assembly Fixture  Test Equipment RFQ_20090427_Leopard RFQ ME BOM Costs-0618 2 2 3" xfId="22863"/>
    <cellStyle name="好_Creek Assembly Fixture  Test Equipment RFQ_20090427_Leopard RFQ ME BOM Costs-0618 2 4" xfId="22864"/>
    <cellStyle name="好_Creek Assembly Fixture  Test Equipment RFQ_20090427_Leopard RFQ ME BOM Costs-0618 3 2" xfId="22865"/>
    <cellStyle name="好_Creek Assembly Fixture  Test Equipment RFQ_20090427_Leopard RFQ ME BOM Costs-0618 3 3" xfId="22866"/>
    <cellStyle name="好_Creek Assembly Fixture  Test Equipment RFQ_20090427_Leopard RFQ ME BOM Costs-0618_Bolt RFQ Proposal_Foxlink_ (Pricing Summary) 2 25 2011 2" xfId="22867"/>
    <cellStyle name="好_Creek Assembly Fixture  Test Equipment RFQ_20090427_Leopard RFQ ME BOM Costs-0618_Bolt RFQ Proposal_Foxlink_ (Pricing Summary) 2 25 2011 2 2 2" xfId="22868"/>
    <cellStyle name="好_Creek Assembly Fixture  Test Equipment RFQ_20090427_Leopard RFQ ME BOM Costs-0618_Bolt RFQ Proposal_Foxlink_ (Pricing Summary) 2 25 2011 2 2 3" xfId="22869"/>
    <cellStyle name="好_Creek Assembly Fixture  Test Equipment RFQ_20090427_Leopard RFQ ME BOM Costs-0618_Bolt RFQ Proposal_Foxlink_ (Pricing Summary) 2 25 2011 2 3" xfId="22870"/>
    <cellStyle name="好_River EE BOM_Creak Pearl Reliability Fixture RFQ_2009 04 24_Leopard_UniBOM_ME_0602-1_Bolt RFQ Proposal_Foxlink_ (Pricing Summary) 2 25 2011 4 2" xfId="22871"/>
    <cellStyle name="好_Creek Assembly Fixture  Test Equipment RFQ_20090427_Leopard RFQ ME BOM Costs-0618_Bolt RFQ Proposal_Foxlink_ (Pricing Summary) 2 25 2011 2 4" xfId="22872"/>
    <cellStyle name="差_F3   SMT設備明細_jupite r設備&amp;治工具LIST (總)_Flow Chart&amp;PQ分析(12-1)_Jackson 效益分析 (2-1 B0 上系統)_Leopard效益分析08-17" xfId="22873"/>
    <cellStyle name="好_Creek Assembly Fixture  Test Equipment RFQ_20090427_Leopard RFQ ME BOM Costs-0618_Bolt RFQ Proposal_Foxlink_ (Pricing Summary) 2 25 2011 3" xfId="22874"/>
    <cellStyle name="好_Creek Assembly Fixture  Test Equipment RFQ_20090427_Leopard RFQ ME BOM Costs-0618_Bolt RFQ Proposal_Foxlink_ (Pricing Summary) 2 25 2011 3 2" xfId="22875"/>
    <cellStyle name="好_River EE BOM_Xl0000000_Leopard RFQ ME BOM Costs-0618-2_Bolt RFQ Proposal_Foxlink_ (Pricing Summary) 2 25 2011 7" xfId="22876"/>
    <cellStyle name="好_Creek Assembly Fixture  Test Equipment RFQ_20090427_Leopard RFQ ME BOM Costs-0618_Bolt RFQ Proposal_Foxlink_ (Pricing Summary) 2 25 2011 5 3" xfId="22877"/>
    <cellStyle name="好_Creek EE BOM cost_20090425 4" xfId="22878"/>
    <cellStyle name="好_Creek Assembly Fixture  Test Equipment RFQ_20090427_Leopard RFQ ME BOM Costs-0618_Bolt RFQ_Foxlink_03.1 2011" xfId="22879"/>
    <cellStyle name="好_Creek Assembly Fixture  Test Equipment RFQ_20090427_Leopard RFQ ME BOM Costs-0618_Bolt RFQ_Foxlink_03.1 2011 2 2" xfId="22880"/>
    <cellStyle name="好_Creek Assembly Fixture  Test Equipment RFQ_20090427_Leopard RFQ ME BOM Costs-0618_Bolt RFQ_Foxlink_03.1 2011 2 3" xfId="22881"/>
    <cellStyle name="好_Creek Assembly Fixture  Test Equipment RFQ_20090427_Leopard RFQ ME BOM Costs-0618_Bolt RFQ_Foxlink_03.1 2011 3" xfId="22882"/>
    <cellStyle name="好_River EE BOM_Xl0000002_Squirrel RFQ ME BOM Costs-0623" xfId="22883"/>
    <cellStyle name="好_Creek Assembly Fixture  Test Equipment RFQ_20090427_Leopard RFQ ME BOM Costs-0618_Bolt RFQ_Foxlink_03.1 2011 4" xfId="22884"/>
    <cellStyle name="好_River EE BOM_Xl0000002_Leopard_UniBOM_ME_0602_Bolt RFQ_Foxlink_03.1 2011" xfId="22885"/>
    <cellStyle name="好_River EE BOM_Xl0000002_Squirrel RFQ ME BOM Costs-0624" xfId="22886"/>
    <cellStyle name="好_Creek Assembly Fixture  Test Equipment RFQ_20090427_Leopard RFQ ME BOM Costs-0618_Bolt RFQ_Foxlink_03.1 2011 5" xfId="22887"/>
    <cellStyle name="好_Creek Assembly Fixture  Test Equipment RFQ_20090427_Leopard RFQ ME BOM Costs-0618_Bolt RFQ_Foxlink_03.1 2011_Bolt_Cliff 2" xfId="22888"/>
    <cellStyle name="差_F3   SMT設備明細_jupite r設備&amp;治工具LIST (總)_Dallas flow chart&amp;設備&amp;治工具清單(12-8 A0)_Flow Chart&amp;設備治工具清單 _Jackson 效益分析 (2-1 B0 上系統)" xfId="22889"/>
    <cellStyle name="好_Creek Assembly Fixture  Test Equipment RFQ_20090427_Leopard RFQ ME BOM Costs-0618_Bolt RFQ_Foxlink_03.1 2011_Bolt_Cliff 2 2" xfId="22890"/>
    <cellStyle name="好_Creek Assembly Fixture  Test Equipment RFQ_20090427_Leopard RFQ ME BOM Costs-0618_Bolt RFQ_Foxlink_03.1 2011_Bolt_Cliff 2 2 2" xfId="22891"/>
    <cellStyle name="好_Creek Assembly Fixture  Test Equipment RFQ_20090427_Leopard RFQ ME BOM Costs-0618_Bolt RFQ_Foxlink_03.1 2011_Bolt_Cliff 2 2 3" xfId="22892"/>
    <cellStyle name="差_HP  專案(設備&amp;治工具需夠買)update_M1 SuedeFixtureEquipment Cost_A0_2010_10_15_Bolt RFQ_Foxlink_03.1 2011_nego meeting@MACH 2" xfId="22893"/>
    <cellStyle name="好_Creek EE BOM cost_20090425_Leopard UniBom_Foxlink_6 21 2010-ME_nego_Bolt RFQ Proposal_Foxlink_ (Pricing Summary) 2 25 2011 5 2" xfId="22894"/>
    <cellStyle name="好_Creek Assembly Fixture  Test Equipment RFQ_20090427_Leopard RFQ ME BOM Costs-0618_Bolt RFQ_Foxlink_03.1 2011_Bolt_Cliff 2 4" xfId="22895"/>
    <cellStyle name="好_Creek Assembly Fixture  Test Equipment RFQ_20090427_Leopard RFQ ME BOM Costs-0618_Bolt RFQ_Foxlink_03.1 2011_Bolt_Cliff 3" xfId="22896"/>
    <cellStyle name="好_Creek Assembly Fixture  Test Equipment RFQ_20090427_Leopard RFQ ME BOM Costs-0618_Bolt RFQ_Foxlink_03.1 2011_Bolt_Cliff 4" xfId="22897"/>
    <cellStyle name="好_Creek Assembly Fixture  Test Equipment RFQ_20090427_Leopard RFQ ME BOM Costs-0618_Bolt RFQ_Foxlink_03.1 2011_Bolt_Cliff 4 2" xfId="22898"/>
    <cellStyle name="好_Creek Assembly Fixture  Test Equipment RFQ_20090427_Leopard RFQ ME BOM Costs-0618_Bolt RFQ_Foxlink_03.1 2011_Bolt_Cliff 4 3" xfId="22899"/>
    <cellStyle name="好_Creek Assembly Fixture  Test Equipment RFQ_20090427_Leopard RFQ ME BOM Costs-0618_Bolt RFQ_Foxlink_03.1 2011_Bolt_Cliff 5 2" xfId="22900"/>
    <cellStyle name="好_Creek Assembly Fixture  Test Equipment RFQ_20090427_Leopard RFQ ME BOM Costs-0618_Bolt RFQ_Foxlink_03.1 2011_Bolt_Cliff 5 3" xfId="22901"/>
    <cellStyle name="好_Creek Assembly Fixture  Test Equipment RFQ_20090427_Leopard RFQ ME BOM Costs-0618_Bolt RFQ_Foxlink_03.1 2011_Bolt_Cliff 6" xfId="22902"/>
    <cellStyle name="差_HP Mouse 產能評估(Forecast更改後)_M1 SuedeFixtureEquipment Cost_A0_2010_10_15_Bolt RFQ Proposal_Foxlink_ (Pricing Summary) 2 25 2011 2 2 3" xfId="22903"/>
    <cellStyle name="好_Creek Assembly Fixture  Test Equipment RFQ_20090427_Leopard RFQ ME BOM Costs-0618_Bolt RFQ_Foxlink_03.1 2011_nego meeting@MACH" xfId="22904"/>
    <cellStyle name="好_Creek Assembly Fixture  Test Equipment RFQ_20090427_Leopard RFQ ME BOM Costs-0618_Bolt RFQ_Foxlink_03.1 2011_nego meeting@MACH 2" xfId="22905"/>
    <cellStyle name="好_Creek Assembly Fixture  Test Equipment RFQ_20090427_Leopard RFQ ME BOM Costs-0618_Bolt RFQ_Foxlink_03.1 2011_nego meeting@MACH 2 2" xfId="22906"/>
    <cellStyle name="好_Creek Assembly Fixture  Test Equipment RFQ_20090427_Leopard RFQ ME BOM Costs-0618_Bolt RFQ_Foxlink_03.1 2011_nego meeting@MACH 2 3" xfId="22907"/>
    <cellStyle name="好_Creek Assembly Fixture  Test Equipment RFQ_20090427_Leopard RFQ ME BOM Costs-0618_Bolt RFQ_Foxlink_03.1 2011_nego meeting@MACH 3 2" xfId="22908"/>
    <cellStyle name="好_Creek Assembly Fixture  Test Equipment RFQ_20090427_Leopard RFQ ME BOM Costs-0618_Bolt RFQ_Foxlink_03.1 2011_nego meeting@MACH 4" xfId="22909"/>
    <cellStyle name="好_Creek Assembly Fixture  Test Equipment RFQ_20090427_Leopard RFQ ME BOM Costs-0618_Bolt RFQ_Foxlink_03.1 2011_nego meeting@MACH 5" xfId="22910"/>
    <cellStyle name="好_Creek Assembly Fixture  Test Equipment RFQ_20090427_Leopard RFQ ME BOM Costs-0618_Bolt RFQ_Foxlink_03.1 2011_nego meeting@MACH_Bolt_Cliff 2 2" xfId="22911"/>
    <cellStyle name="好_Creek Assembly Fixture  Test Equipment RFQ_20090427_Leopard RFQ ME BOM Costs-0618_Bolt RFQ_Foxlink_03.1 2011_nego meeting@MACH_Bolt_Cliff 2 2 2" xfId="22912"/>
    <cellStyle name="好_Creek Assembly Fixture  Test Equipment RFQ_20090427_Leopard RFQ ME BOM Costs-0618_Bolt RFQ_Foxlink_03.1 2011_nego meeting@MACH_Bolt_Cliff 2 2 3" xfId="22913"/>
    <cellStyle name="好_Creek Assembly Fixture  Test Equipment RFQ_20090427_Leopard RFQ ME BOM Costs-0618_Bolt RFQ_Foxlink_03.1 2011_nego meeting@MACH_Bolt_Cliff 2 3" xfId="22914"/>
    <cellStyle name="好_治具工程課2009年KPI 3 2 2" xfId="22915"/>
    <cellStyle name="好_Creek Assembly Fixture  Test Equipment RFQ_20090427_Leopard RFQ ME BOM Costs-0618_Bolt RFQ_Foxlink_03.1 2011_nego meeting@MACH_Bolt_Cliff 2 4" xfId="22916"/>
    <cellStyle name="好_治具工程課2009年KPI 3 2 3" xfId="22917"/>
    <cellStyle name="好_Creek Assembly Fixture  Test Equipment RFQ_20090427_Leopard RFQ ME BOM Costs-0618_Bolt RFQ_Foxlink_03.1 2011_nego meeting@MACH_Bolt_Cliff 3" xfId="22918"/>
    <cellStyle name="好_Creek Assembly Fixture  Test Equipment RFQ_20090427_Leopard RFQ ME BOM Costs-0618_Bolt RFQ_Foxlink_03.1 2011_nego meeting@MACH_Bolt_Cliff 3 2" xfId="22919"/>
    <cellStyle name="好_Creek Assembly Fixture  Test Equipment RFQ_20090427_Leopard RFQ ME BOM Costs-0618_Bolt RFQ_Foxlink_03.1 2011_nego meeting@MACH_Bolt_Cliff 3 3" xfId="22920"/>
    <cellStyle name="好_Creek Assembly Fixture  Test Equipment RFQ_20090427_Leopard RFQ ME BOM Costs-0618_Bolt RFQ_Foxlink_03.1 2011_nego meeting@MACH_Bolt_Cliff 4" xfId="22921"/>
    <cellStyle name="好_Creek Assembly Fixture  Test Equipment RFQ_20090427_Leopard RFQ ME BOM Costs-0618_Bolt RFQ_Foxlink_03.1 2011_nego meeting@MACH_Bolt_Cliff 4 2" xfId="22922"/>
    <cellStyle name="好_Creek Assembly Fixture  Test Equipment RFQ_20090427_Leopard RFQ ME BOM Costs-0618_Bolt RFQ_Foxlink_03.1 2011_nego meeting@MACH_Bolt_Cliff 5" xfId="22923"/>
    <cellStyle name="好_Creek Assembly Fixture  Test Equipment RFQ_20090427_Leopard RFQ ME BOM Costs-0618_Bolt RFQ_Foxlink_03.1 2011_nego meeting@MACH_Bolt_Cliff 5 2" xfId="22924"/>
    <cellStyle name="好_Creek Assembly Fixture  Test Equipment RFQ_20090427_Leopard RFQ ME BOM Costs-0618_Bolt RFQ_Foxlink_03.1 2011_nego meeting@MACH_Bolt_Cliff 5 3" xfId="22925"/>
    <cellStyle name="好_費用統計_Leopard效益分析08-17" xfId="22926"/>
    <cellStyle name="好_Creek Assembly Fixture  Test Equipment RFQ_20090427_Leopard RFQ ME BOM Costs-0618_Bolt_Cliff" xfId="22927"/>
    <cellStyle name="差_Xl0000000" xfId="22928"/>
    <cellStyle name="差_Creak Pearl Reliability Fixture RFQ_2009 04 24_Creek  Pearl RFQ_May 12_Leopard UniBom_Foxlink_6 21 2010-ME_nego_Bolt RFQ Proposal_Foxlink_ (Pricing Summary) 2 25 2011 7" xfId="22929"/>
    <cellStyle name="好_Creek Assembly Fixture  Test Equipment RFQ_20090427_Leopard RFQ ME BOM Costs-0618_Bolt_Cliff 2" xfId="22930"/>
    <cellStyle name="差_Xl0000000 2" xfId="22931"/>
    <cellStyle name="好_Creek Assembly Fixture  Test Equipment RFQ_20090427_Leopard RFQ ME BOM Costs-0618_Bolt_Cliff 2 2" xfId="22932"/>
    <cellStyle name="差_Xl0000000 2 2" xfId="22933"/>
    <cellStyle name="好_Creek Assembly Fixture  Test Equipment RFQ_20090427_Leopard RFQ ME BOM Costs-0618_Bolt_Cliff 2 2 2" xfId="22934"/>
    <cellStyle name="差_Xl0000000 2 3" xfId="22935"/>
    <cellStyle name="好_Creek Assembly Fixture  Test Equipment RFQ_20090427_Leopard RFQ ME BOM Costs-0618_Bolt_Cliff 2 2 3" xfId="22936"/>
    <cellStyle name="差_Xl0000000 4" xfId="22937"/>
    <cellStyle name="好_Creek Assembly Fixture  Test Equipment RFQ_20090427_Leopard RFQ ME BOM Costs-0618_Bolt_Cliff 2 4" xfId="22938"/>
    <cellStyle name="好_Creek Assembly Fixture  Test Equipment RFQ_20090427_Leopard RFQ ME BOM Costs-0618_Bolt_Cliff 3" xfId="22939"/>
    <cellStyle name="好_Creek Assembly Fixture  Test Equipment RFQ_20090427_Leopard RFQ ME BOM Costs-0618_Bolt_Cliff 3 2" xfId="22940"/>
    <cellStyle name="差_Xl0000002" xfId="22941"/>
    <cellStyle name="好_Creek Assembly Fixture  Test Equipment RFQ_20090427_Leopard RFQ ME BOM Costs-0618_Bolt_Cliff 4" xfId="22942"/>
    <cellStyle name="差_Xl0000002 2" xfId="22943"/>
    <cellStyle name="好_Creek Assembly Fixture  Test Equipment RFQ_20090427_Leopard_UniBOM_ME_0602-1 3" xfId="22944"/>
    <cellStyle name="好_Creek Assembly Fixture  Test Equipment RFQ_20090427_Leopard RFQ ME BOM Costs-0618_Bolt_Cliff 4 2" xfId="22945"/>
    <cellStyle name="差_Xl0000002 3" xfId="22946"/>
    <cellStyle name="好_Creek Assembly Fixture  Test Equipment RFQ_20090427_Leopard RFQ ME BOM Costs-0618_Bolt_Cliff 4 3" xfId="22947"/>
    <cellStyle name="好_Creek Assembly Fixture  Test Equipment RFQ_20090427_Leopard RFQ ME BOM Costs-0618_Bolt_Cliff 5" xfId="22948"/>
    <cellStyle name="好_Creek Assembly Fixture  Test Equipment RFQ_20090427_Leopard RFQ ME BOM Costs-0618_Bolt_Cliff 5 2" xfId="22949"/>
    <cellStyle name="好_Creek Assembly Fixture  Test Equipment RFQ_20090427_Leopard RFQ ME BOM Costs-0618_Bolt_Cliff 5 3" xfId="22950"/>
    <cellStyle name="好_Creek Assembly Fixture  Test Equipment RFQ_20090427_Leopard RFQ ME BOM Costs-0618_Bolt_Cliff 6" xfId="22951"/>
    <cellStyle name="好_Creek Assembly Fixture  Test Equipment RFQ_20090427_Squirrel RFQ ME BOM Costs-0623_Bolt RFQ Proposal_Foxlink_ (Pricing Summary) 2 25 2011 2 2" xfId="22952"/>
    <cellStyle name="好_Creek Assembly Fixture  Test Equipment RFQ_20090427_Leopard RFQ ME BOM Costs-0618_Bolt_Cliff 7" xfId="22953"/>
    <cellStyle name="好_Creek Assembly Fixture  Test Equipment RFQ_20090427_Leopard RFQ ME BOM Costs-0618-2 2 2" xfId="22954"/>
    <cellStyle name="好_Creek Assembly Fixture  Test Equipment RFQ_20090427_Leopard RFQ ME BOM Costs-0618-2 2 2 2" xfId="22955"/>
    <cellStyle name="好_Creek Assembly Fixture  Test Equipment RFQ_20090427_Leopard RFQ ME BOM Costs-0618-2 2 3" xfId="22956"/>
    <cellStyle name="好_Creek Assembly Fixture  Test Equipment RFQ_20090427_Leopard RFQ ME BOM Costs-0618-2 3 2" xfId="22957"/>
    <cellStyle name="差_Creak Pearl Reliability Fixture RFQ_2009 04 24_Xl0000002_Leopard Lemur Squirrel UniBom-06.22.2010_EE cost _update_internal_Bolt RFQ Proposal_Foxlink_ (Pricing Summary) 2 25 2011 2" xfId="22958"/>
    <cellStyle name="差_HP Mouse 產能評估(Forecast更改後) 2 2 2" xfId="22959"/>
    <cellStyle name="好_Creek Assembly Fixture  Test Equipment RFQ_20090427_Leopard RFQ ME BOM Costs-0618-2_Bolt RFQ Proposal_Foxlink_ (Pricing Summary) 2 25 2011" xfId="22960"/>
    <cellStyle name="差_Creak Pearl Reliability Fixture RFQ_2009 04 24_Pearl RFQ(Submittal)ver2_05_12_2009 _Leopard Lemur Squirrel UniBom-06.22.2010_EE cost _update_internal_Bolt RFQ_Foxlink_03.1 2011 3" xfId="22961"/>
    <cellStyle name="好_River EE BOM_Creak Pearl Reliability Fixture RFQ_2009 04 24_Creek RFQ feedback 04_28_2009_FD Update_Leopard_UniBOM_ME_0531 2" xfId="22962"/>
    <cellStyle name="好_Creek Assembly Fixture  Test Equipment RFQ_20090427_Leopard RFQ ME BOM Costs-0618-2_Bolt RFQ Proposal_Foxlink_ (Pricing Summary) 2 25 2011 2 2 2" xfId="22963"/>
    <cellStyle name="差_Creak Pearl Reliability Fixture RFQ_2009 04 24_Pearl RFQ(Submittal)ver2_05_12_2009 _Leopard Lemur Squirrel UniBom-06.22.2010_EE cost _update_internal_Bolt RFQ_Foxlink_03.1 2011 4" xfId="22964"/>
    <cellStyle name="好_River EE BOM_Creak Pearl Reliability Fixture RFQ_2009 04 24_Creek RFQ feedback 04_28_2009_FD Update_Leopard_UniBOM_ME_0531 3" xfId="22965"/>
    <cellStyle name="好_Creek Assembly Fixture  Test Equipment RFQ_20090427_Leopard RFQ ME BOM Costs-0618-2_Bolt RFQ Proposal_Foxlink_ (Pricing Summary) 2 25 2011 2 2 3" xfId="22966"/>
    <cellStyle name="好_Creek Assembly Fixture  Test Equipment RFQ_20090427_Leopard RFQ ME BOM Costs-0618-2_Bolt RFQ Proposal_Foxlink_ (Pricing Summary) 2 25 2011 3" xfId="22967"/>
    <cellStyle name="好_Creek Assembly Fixture  Test Equipment RFQ_20090427_Leopard RFQ ME BOM Costs-0618-2_Bolt RFQ Proposal_Foxlink_ (Pricing Summary) 2 25 2011 3 2" xfId="22968"/>
    <cellStyle name="好_Creek Assembly Fixture  Test Equipment RFQ_20090427_Leopard RFQ ME BOM Costs-0618-2_Bolt RFQ Proposal_Foxlink_ (Pricing Summary) 2 25 2011 4" xfId="22969"/>
    <cellStyle name="好_Creek Assembly Fixture  Test Equipment RFQ_20090427_Leopard RFQ ME BOM Costs-0618-2_Bolt RFQ Proposal_Foxlink_ (Pricing Summary) 2 25 2011 5" xfId="22970"/>
    <cellStyle name="好_Creek Assembly Fixture  Test Equipment RFQ_20090427_Leopard RFQ ME BOM Costs-0618-2_Bolt RFQ Proposal_Foxlink_ (Pricing Summary) 2 25 2011 7" xfId="22971"/>
    <cellStyle name="好_Creek Assembly Fixture  Test Equipment RFQ_20090427_Leopard RFQ ME BOM Costs-0618-2_Bolt RFQ_Foxlink_03.1 2011" xfId="22972"/>
    <cellStyle name="好_Creek Assembly Fixture  Test Equipment RFQ_20090427_Leopard RFQ ME BOM Costs-0618-2_Bolt RFQ_Foxlink_03.1 2011 2" xfId="22973"/>
    <cellStyle name="差_Creak Pearl Reliability Fixture RFQ_2009 04 24_Creek RFQ feedback 04_28_2009_FD Update_Leopard RFQ ME BOM Costs-0618_Bolt RFQ_Foxlink_03.1 2011_nego meeting@MACH 2 3" xfId="22974"/>
    <cellStyle name="差_F3   SMT設備明細_效益分析_Dallas flow chart&amp;設備&amp;治工具清單(12-8 A0)_Flow chart and Fixture(1-4)_Jackson 效益分析 (2-1 B0 上系統)_Leopard效益分析08-17" xfId="22975"/>
    <cellStyle name="好_Creek Assembly Fixture  Test Equipment RFQ_20090427_Leopard RFQ ME BOM Costs-0618-2_Bolt RFQ_Foxlink_03.1 2011 2 2" xfId="22976"/>
    <cellStyle name="好_Creek Assembly Fixture  Test Equipment RFQ_20090427_Leopard RFQ ME BOM Costs-0618-2_Bolt RFQ_Foxlink_03.1 2011 2 3" xfId="22977"/>
    <cellStyle name="壞_Creek EE BOM cost_20090425_Leopard_UniBOM_ME_0602-1_Bolt RFQ Proposal_Foxlink_ (Pricing Summary) 2 25 2011 4 2" xfId="22978"/>
    <cellStyle name="好_Creek Assembly Fixture  Test Equipment RFQ_20090427_Leopard RFQ ME BOM Costs-0618-2_Bolt RFQ_Foxlink_03.1 2011 3" xfId="22979"/>
    <cellStyle name="好_Creek Assembly Fixture  Test Equipment RFQ_20090427_Leopard RFQ ME BOM Costs-0618-2_Bolt RFQ_Foxlink_03.1 2011 3 2" xfId="22980"/>
    <cellStyle name="好_Creek Assembly Fixture  Test Equipment RFQ_20090427_Leopard RFQ ME BOM Costs-0618-2_Bolt RFQ_Foxlink_03.1 2011 3 3" xfId="22981"/>
    <cellStyle name="好_Creek EE BOM cost_20090425_Creek RFQ feedback 04_28_2009_FD Update_Squirrel UniBom-06.23.2010_update_internal 2 2 2" xfId="22982"/>
    <cellStyle name="好_Creek Assembly Fixture  Test Equipment RFQ_20090427_Leopard RFQ ME BOM Costs-0618-2_Bolt RFQ_Foxlink_03.1 2011_Bolt_Cliff 2 2 2" xfId="22983"/>
    <cellStyle name="好_Creek Assembly Fixture  Test Equipment RFQ_20090427_Leopard RFQ ME BOM Costs-0618-2_Bolt RFQ_Foxlink_03.1 2011_Bolt_Cliff 2 2 3" xfId="22984"/>
    <cellStyle name="好_Creek Assembly Fixture  Test Equipment RFQ_20090427_Leopard RFQ ME BOM Costs-0618-2_Bolt RFQ_Foxlink_03.1 2011_Bolt_Cliff 3 2" xfId="22985"/>
    <cellStyle name="好_River EE BOM_Creak Pearl Reliability Fixture RFQ_2009 04 24_Pearl RFQ(Submittal)ver2_05_12_2009 _Squirrel UniBom-06.23.2010_update_internal_Bolt RFQ_Foxlink_03.1 2011 2" xfId="22986"/>
    <cellStyle name="好_Creek Assembly Fixture  Test Equipment RFQ_20090427_Leopard RFQ ME BOM Costs-0618-2_Bolt RFQ_Foxlink_03.1 2011_Bolt_Cliff 4 2" xfId="22987"/>
    <cellStyle name="好_Creek Assembly Fixture  Test Equipment RFQ_20090427_Leopard RFQ ME BOM Costs-0618-2_Bolt RFQ_Foxlink_03.1 2011_Bolt_Cliff 4 3" xfId="22988"/>
    <cellStyle name="好_Creek Assembly Fixture  Test Equipment RFQ_20090427_Leopard RFQ ME BOM Costs-0618-2_Bolt RFQ_Foxlink_03.1 2011_Bolt_Cliff 5 3" xfId="22989"/>
    <cellStyle name="好_River EE BOM_Creak Pearl Reliability Fixture RFQ_2009 04 24_Creek RFQ feedback 04_28_2009_FD Update_Jackson NRE Uni BOM_update _05072010 rev K" xfId="22990"/>
    <cellStyle name="好_Creek Assembly Fixture  Test Equipment RFQ_20090427_Leopard RFQ ME BOM Costs-0618-2_Bolt RFQ_Foxlink_03.1 2011_Bolt_Cliff 6" xfId="22991"/>
    <cellStyle name="差_Xl0000000_Foxlink_Shadow RFQ NREUni BOM_12032009_Bolt RFQ Proposal_Foxlink_ (Pricing Summary) 2 25 2011 3" xfId="22992"/>
    <cellStyle name="好_Creek Assembly Fixture  Test Equipment RFQ_20090427_Xl0000002_Leopard_UniBOM_ME_0602-1 3 3" xfId="22993"/>
    <cellStyle name="好_Creek Assembly Fixture  Test Equipment RFQ_20090427_Leopard RFQ ME BOM Costs-0618-2_Bolt RFQ_Foxlink_03.1 2011_nego meeting@MACH" xfId="22994"/>
    <cellStyle name="差_Xl0000000_Foxlink_Shadow RFQ NREUni BOM_12032009_Bolt RFQ Proposal_Foxlink_ (Pricing Summary) 2 25 2011 3 2" xfId="22995"/>
    <cellStyle name="好_River EE BOM_Xl0000002_Leopard RFQ ME BOM Costs-0618_Bolt RFQ_Foxlink_03.1 2011_nego meeting@MACH 2 3" xfId="22996"/>
    <cellStyle name="好_Creek Assembly Fixture  Test Equipment RFQ_20090427_Leopard RFQ ME BOM Costs-0618-2_Bolt RFQ_Foxlink_03.1 2011_nego meeting@MACH 2" xfId="22997"/>
    <cellStyle name="好_Creek EE BOM cost_20090425_Creek RFQ feedback 04_28_2009_FD Update_Leopard_UniBOM_ME_0602-1_Bolt RFQ Proposal_Foxlink_ (Pricing Summary) 2 25 2011 3 3" xfId="22998"/>
    <cellStyle name="好_Creek Assembly Fixture  Test Equipment RFQ_20090427_Leopard RFQ ME BOM Costs-0618-2_Bolt RFQ_Foxlink_03.1 2011_nego meeting@MACH 2 2" xfId="22999"/>
    <cellStyle name="差_Creak Pearl Reliability Fixture RFQ_2009 04 24_Creek  Pearl RFQ_May 12 2" xfId="23000"/>
    <cellStyle name="好_Creek Assembly Fixture  Test Equipment RFQ_20090427_Leopard RFQ ME BOM Costs-0618-2_Bolt RFQ_Foxlink_03.1 2011_nego meeting@MACH 3 2" xfId="23001"/>
    <cellStyle name="好_Creek Assembly Fixture  Test Equipment RFQ_20090427_Leopard RFQ ME BOM Costs-0618-2_Bolt RFQ_Foxlink_03.1 2011_nego meeting@MACH_Bolt_Cliff" xfId="23002"/>
    <cellStyle name="好_Creek Assembly Fixture  Test Equipment RFQ_20090427_Leopard RFQ ME BOM Costs-0618-2_Bolt RFQ_Foxlink_03.1 2011_nego meeting@MACH_Bolt_Cliff 2 2 3" xfId="23003"/>
    <cellStyle name="好_Creek Assembly Fixture  Test Equipment RFQ_20090427_Leopard RFQ ME BOM Costs-0618-2_Bolt RFQ_Foxlink_03.1 2011_nego meeting@MACH_Bolt_Cliff 2 3" xfId="23004"/>
    <cellStyle name="好_Creek Assembly Fixture  Test Equipment RFQ_20090427_Leopard RFQ ME BOM Costs-0618-2_Bolt RFQ_Foxlink_03.1 2011_nego meeting@MACH_Bolt_Cliff 3" xfId="23005"/>
    <cellStyle name="好_Creek Assembly Fixture  Test Equipment RFQ_20090427_Leopard RFQ ME BOM Costs-0618-2_Bolt RFQ_Foxlink_03.1 2011_nego meeting@MACH_Bolt_Cliff 3 3" xfId="23006"/>
    <cellStyle name="好_Creek Assembly Fixture  Test Equipment RFQ_20090427_Leopard RFQ ME BOM Costs-0618-2_Bolt RFQ_Foxlink_03.1 2011_nego meeting@MACH_Bolt_Cliff 6" xfId="23007"/>
    <cellStyle name="好_Creek Assembly Fixture  Test Equipment RFQ_20090427_Leopard RFQ ME BOM Costs-0618-2_Bolt RFQ_Foxlink_03.1 2011_nego meeting@MACH_Bolt_Cliff 7" xfId="23008"/>
    <cellStyle name="好_效益分析&amp;產能評估_M1 SuedeFixtureEquipment Cost_A0_2010_10_15_Bolt RFQ Proposal_Foxlink_ (Pricing Summary) 2 25 2011 4" xfId="23009"/>
    <cellStyle name="好_Creek Assembly Fixture  Test Equipment RFQ_20090427_Leopard RFQ ME BOM Costs-0618-2_Bolt_Cliff" xfId="23010"/>
    <cellStyle name="好_效益分析&amp;產能評估_M1 SuedeFixtureEquipment Cost_A0_2010_10_15_Bolt RFQ Proposal_Foxlink_ (Pricing Summary) 2 25 2011 4 2" xfId="23011"/>
    <cellStyle name="好_Creek Assembly Fixture  Test Equipment RFQ_20090427_Leopard RFQ ME BOM Costs-0618-2_Bolt_Cliff 2" xfId="23012"/>
    <cellStyle name="好_Creek Assembly Fixture  Test Equipment RFQ_20090427_Leopard RFQ ME BOM Costs-0618-2_Bolt_Cliff 2 2 3" xfId="23013"/>
    <cellStyle name="好_Creek Assembly Fixture  Test Equipment RFQ_20090427_Leopard RFQ ME BOM Costs-0618-2_Bolt_Cliff 2 3" xfId="23014"/>
    <cellStyle name="好_效益分析&amp;產能評估_M1 SuedeFixtureEquipment Cost_A0_2010_10_15_Bolt RFQ Proposal_Foxlink_ (Pricing Summary) 2 25 2011 4 3" xfId="23015"/>
    <cellStyle name="好_Creek Assembly Fixture  Test Equipment RFQ_20090427_Leopard RFQ ME BOM Costs-0618-2_Bolt_Cliff 3" xfId="23016"/>
    <cellStyle name="好_Creek Assembly Fixture  Test Equipment RFQ_20090427_Leopard RFQ ME BOM Costs-0618-2_Bolt_Cliff 3 2" xfId="23017"/>
    <cellStyle name="好_Creek Assembly Fixture  Test Equipment RFQ_20090427_Leopard RFQ ME BOM Costs-0618-2_Bolt_Cliff 3 3" xfId="23018"/>
    <cellStyle name="差_Creak Pearl Reliability Fixture RFQ_2009 04 24_Creek  Pearl RFQ_May 12_Bolt RFQ_Foxlink_03.1 2011_nego meeting@MACH 2 2" xfId="23019"/>
    <cellStyle name="强调 1" xfId="23020"/>
    <cellStyle name="好_Creek Assembly Fixture  Test Equipment RFQ_20090427_Leopard RFQ ME BOM Costs-0618-2_Bolt_Cliff 4" xfId="23021"/>
    <cellStyle name="好_Creek Assembly Fixture  Test Equipment RFQ_20090427_Leopard RFQ ME BOM Costs-0618-2_Bolt_Cliff 4 2" xfId="23022"/>
    <cellStyle name="好_Creek Assembly Fixture  Test Equipment RFQ_20090427_Leopard RFQ ME BOM Costs-0618-2_Bolt_Cliff 4 3" xfId="23023"/>
    <cellStyle name="差_Creak Pearl Reliability Fixture RFQ_2009 04 24_Creek  Pearl RFQ_May 12_Bolt RFQ_Foxlink_03.1 2011_nego meeting@MACH 2 3" xfId="23024"/>
    <cellStyle name="强调 2" xfId="23025"/>
    <cellStyle name="好_Creek Assembly Fixture  Test Equipment RFQ_20090427_Leopard RFQ ME BOM Costs-0618-2_Bolt_Cliff 5" xfId="23026"/>
    <cellStyle name="差_Xl0000002_Leopard_UniBOM_ME_0531 2 4" xfId="23027"/>
    <cellStyle name="好_Creek Assembly Fixture  Test Equipment RFQ_20090427_Leopard RFQ ME BOM Costs-0618-2_Bolt_Cliff 5 2" xfId="23028"/>
    <cellStyle name="好_Creek Assembly Fixture  Test Equipment RFQ_20090427_Leopard RFQ ME BOM Costs-0618-2_Bolt_Cliff 5 3" xfId="23029"/>
    <cellStyle name="好_Creek Assembly Fixture  Test Equipment RFQ_20090427_Leopard UniBom_Foxlink_12272010 RevF_shirley" xfId="23030"/>
    <cellStyle name="好_Creek Assembly Fixture  Test Equipment RFQ_20090427_Leopard UniBom_Foxlink_6 21 2010-ME_nego 2 2" xfId="23031"/>
    <cellStyle name="好_Creek Assembly Fixture  Test Equipment RFQ_20090427_Leopard UniBom_Foxlink_6 21 2010-ME_nego 2 2 2" xfId="23032"/>
    <cellStyle name="好_Creek Assembly Fixture  Test Equipment RFQ_20090427_Leopard UniBom_Foxlink_6 21 2010-ME_nego 2 3" xfId="23033"/>
    <cellStyle name="好_Creek Assembly Fixture  Test Equipment RFQ_20090427_Leopard UniBom_Foxlink_6 21 2010-ME_nego_Bolt RFQ Proposal_Foxlink_ (Pricing Summary) 2 25 2011 2" xfId="23034"/>
    <cellStyle name="好_Creek Assembly Fixture  Test Equipment RFQ_20090427_Leopard UniBom_Foxlink_6 21 2010-ME_nego_Bolt RFQ Proposal_Foxlink_ (Pricing Summary) 2 25 2011 2 2 2" xfId="23035"/>
    <cellStyle name="好_Creek Assembly Fixture  Test Equipment RFQ_20090427_Leopard UniBom_Foxlink_6 21 2010-ME_nego_Bolt RFQ Proposal_Foxlink_ (Pricing Summary) 2 25 2011 2 2 3" xfId="23036"/>
    <cellStyle name="差_jupite r設備&amp;治工具LIST (總)_Dallas flow chart&amp;設備&amp;治工具清單(12-8 A0)_Jackson 效益分析 testing update_16th Jan1_Jackson 效益分析 (2-1 B0 上系統)_Leopard效益分析08-17" xfId="23037"/>
    <cellStyle name="差_Creak Pearl Reliability Fixture RFQ_2009 04 24_Pearl RFQ(Submittal)ver2_05_12_2009 _Leopard RFQ ME BOM Costs-0618-2_Bolt RFQ_Foxlink_03.1 2011_nego meeting@MACH 2" xfId="23038"/>
    <cellStyle name="好_Creek Assembly Fixture  Test Equipment RFQ_20090427_Leopard UniBom_Foxlink_6 21 2010-ME_nego_Bolt RFQ Proposal_Foxlink_ (Pricing Summary) 2 25 2011 2 3" xfId="23039"/>
    <cellStyle name="差_Creak Pearl Reliability Fixture RFQ_2009 04 24_Pearl RFQ(Submittal)ver2_05_12_2009 _Leopard RFQ ME BOM Costs-0618-2_Bolt RFQ_Foxlink_03.1 2011_nego meeting@MACH 3" xfId="23040"/>
    <cellStyle name="好_Creek Assembly Fixture  Test Equipment RFQ_20090427_Leopard UniBom_Foxlink_6 21 2010-ME_nego_Bolt RFQ Proposal_Foxlink_ (Pricing Summary) 2 25 2011 2 4" xfId="23041"/>
    <cellStyle name="好_Creek Assembly Fixture  Test Equipment RFQ_20090427_Leopard UniBom_Foxlink_6 21 2010-ME_nego_Bolt RFQ Proposal_Foxlink_ (Pricing Summary) 2 25 2011 3" xfId="23042"/>
    <cellStyle name="好_Creek Assembly Fixture  Test Equipment RFQ_20090427_Leopard UniBom_Foxlink_6 21 2010-ME_nego_Bolt RFQ Proposal_Foxlink_ (Pricing Summary) 2 25 2011 3 2" xfId="23043"/>
    <cellStyle name="好_Creek Assembly Fixture  Test Equipment RFQ_20090427_Leopard UniBom_Foxlink_6 21 2010-ME_nego_Bolt RFQ Proposal_Foxlink_ (Pricing Summary) 2 25 2011 4" xfId="23044"/>
    <cellStyle name="好_Creek Assembly Fixture  Test Equipment RFQ_20090427_Leopard UniBom_Foxlink_6 21 2010-ME_nego_Bolt RFQ Proposal_Foxlink_ (Pricing Summary) 2 25 2011 4 2" xfId="23045"/>
    <cellStyle name="差_Xl0000000_Leopard_UniBOM_ME_0602-1_Bolt RFQ_Foxlink_03.1 2011_nego meeting@MACH 2" xfId="23046"/>
    <cellStyle name="好_Creek Assembly Fixture  Test Equipment RFQ_20090427_Leopard UniBom_Foxlink_6 21 2010-ME_nego_Bolt RFQ Proposal_Foxlink_ (Pricing Summary) 2 25 2011 4 3" xfId="23047"/>
    <cellStyle name="好_Creek Assembly Fixture  Test Equipment RFQ_20090427_Leopard UniBom_Foxlink_6 21 2010-ME_nego_Bolt RFQ Proposal_Foxlink_ (Pricing Summary) 2 25 2011 5" xfId="23048"/>
    <cellStyle name="好_Creek Assembly Fixture  Test Equipment RFQ_20090427_Leopard_UniBOM_ME_0531_Bolt RFQ Proposal_Foxlink_ (Pricing Summary) 2 25 2011 3 2" xfId="23049"/>
    <cellStyle name="好_Creek Assembly Fixture  Test Equipment RFQ_20090427_Leopard UniBom_Foxlink_6 21 2010-ME_nego_Bolt RFQ Proposal_Foxlink_ (Pricing Summary) 2 25 2011 5 2" xfId="23050"/>
    <cellStyle name="好_Creek Assembly Fixture  Test Equipment RFQ_20090427_Leopard UniBom_Foxlink_6 21 2010-ME_nego_Bolt RFQ Proposal_Foxlink_ (Pricing Summary) 2 25 2011 5 3" xfId="23051"/>
    <cellStyle name="好_Creek Assembly Fixture  Test Equipment RFQ_20090427_Leopard UniBom_Foxlink_6 21 2010-ME_nego_Bolt RFQ Proposal_Foxlink_ (Pricing Summary) 2 25 2011 6" xfId="23052"/>
    <cellStyle name="好_Creek Assembly Fixture  Test Equipment RFQ_20090427_Leopard_UniBOM_ME_0531_Bolt RFQ Proposal_Foxlink_ (Pricing Summary) 2 25 2011 3 3" xfId="23053"/>
    <cellStyle name="好_Creek Assembly Fixture  Test Equipment RFQ_20090427_Leopard UniBom_Foxlink_6 21 2010-ME_nego_Bolt RFQ Proposal_Foxlink_ (Pricing Summary) 2 25 2011 7" xfId="23054"/>
    <cellStyle name="好_Creek Assembly Fixture  Test Equipment RFQ_20090427_Xl0000002_Leopard_UniBOM_ME_0602 3 2" xfId="23055"/>
    <cellStyle name="差_Xl0000000_Leopard_UniBOM_ME_0603-2_Bolt RFQ_Foxlink_03.1 2011 2 3" xfId="23056"/>
    <cellStyle name="好_Creek Assembly Fixture  Test Equipment RFQ_20090427_Leopard UniBom_Foxlink_6 21 2010-ME_nego_Bolt RFQ_Foxlink_03.1 2011" xfId="23057"/>
    <cellStyle name="好_Creek Assembly Fixture  Test Equipment RFQ_20090427_Leopard UniBom_Foxlink_6 21 2010-ME_nego_Bolt RFQ_Foxlink_03.1 2011 2 2" xfId="23058"/>
    <cellStyle name="好_Creek Assembly Fixture  Test Equipment RFQ_20090427_Leopard UniBom_Foxlink_6 21 2010-ME_nego_Bolt RFQ_Foxlink_03.1 2011 3" xfId="23059"/>
    <cellStyle name="好_Erie Trial run  QA Report-1103_Xl0000010" xfId="23060"/>
    <cellStyle name="好_Creek Assembly Fixture  Test Equipment RFQ_20090427_Leopard UniBom_Foxlink_6 21 2010-ME_nego_Bolt RFQ_Foxlink_03.1 2011 3 2" xfId="23061"/>
    <cellStyle name="差_Creek RFQ feedback 04_28_2009_FD Update_Squirrel RFQ ME BOM Costs-0623_Bolt RFQ_Foxlink_03.1 2011 2" xfId="23062"/>
    <cellStyle name="好_Creek Assembly Fixture  Test Equipment RFQ_20090427_Leopard UniBom_Foxlink_6 21 2010-ME_nego_Bolt RFQ_Foxlink_03.1 2011 4" xfId="23063"/>
    <cellStyle name="差_Creek RFQ feedback 04_28_2009_FD Update_Squirrel RFQ ME BOM Costs-0623_Bolt RFQ_Foxlink_03.1 2011 3" xfId="23064"/>
    <cellStyle name="好_Creek Assembly Fixture  Test Equipment RFQ_20090427_Leopard UniBom_Foxlink_6 21 2010-ME_nego_Bolt RFQ_Foxlink_03.1 2011 5" xfId="23065"/>
    <cellStyle name="好_Creek Assembly Fixture  Test Equipment RFQ_20090427_Leopard UniBom_Foxlink_6 21 2010-ME_nego_Bolt RFQ_Foxlink_03.1 2011_Bolt_Cliff 2 2" xfId="23066"/>
    <cellStyle name="好_Creek Assembly Fixture  Test Equipment RFQ_20090427_Leopard UniBom_Foxlink_6 21 2010-ME_nego_Bolt RFQ_Foxlink_03.1 2011_Bolt_Cliff 2 2 3" xfId="23067"/>
    <cellStyle name="好_Creek Assembly Fixture  Test Equipment RFQ_20090427_Leopard UniBom_Foxlink_6 21 2010-ME_nego_Bolt RFQ_Foxlink_03.1 2011_Bolt_Cliff 2 3" xfId="23068"/>
    <cellStyle name="好_Creek Assembly Fixture  Test Equipment RFQ_20090427_Leopard UniBom_Foxlink_6 21 2010-ME_nego_Bolt RFQ_Foxlink_03.1 2011_Bolt_Cliff 3" xfId="23069"/>
    <cellStyle name="好_Creek Assembly Fixture  Test Equipment RFQ_20090427_Leopard UniBom_Foxlink_6 21 2010-ME_nego_Bolt RFQ_Foxlink_03.1 2011_Bolt_Cliff 3 2" xfId="23070"/>
    <cellStyle name="好_Creek Assembly Fixture  Test Equipment RFQ_20090427_Leopard UniBom_Foxlink_6 21 2010-ME_nego_Bolt RFQ_Foxlink_03.1 2011_Bolt_Cliff 3 3" xfId="23071"/>
    <cellStyle name="好_Creek Assembly Fixture  Test Equipment RFQ_20090427_Leopard UniBom_Foxlink_6 21 2010-ME_nego_Bolt RFQ_Foxlink_03.1 2011_Bolt_Cliff 4" xfId="23072"/>
    <cellStyle name="好_Creek Assembly Fixture  Test Equipment RFQ_20090427_Leopard UniBom_Foxlink_6 21 2010-ME_nego_Bolt RFQ_Foxlink_03.1 2011_Bolt_Cliff 4 2" xfId="23073"/>
    <cellStyle name="好_Creek Assembly Fixture  Test Equipment RFQ_20090427_Leopard UniBom_Foxlink_6 21 2010-ME_nego_Bolt RFQ_Foxlink_03.1 2011_Bolt_Cliff 4 3" xfId="23074"/>
    <cellStyle name="好_River EE BOM_Xl0000000_Leopard Lemur Squirrel UniBom-06.22.2010_EE cost _update_internal_Bolt RFQ Proposal_Foxlink_ (Pricing Summary) 2 25 2011 4" xfId="23075"/>
    <cellStyle name="好_Creek Assembly Fixture  Test Equipment RFQ_20090427_Leopard UniBom_Foxlink_6 21 2010-ME_nego_Bolt RFQ_Foxlink_03.1 2011_Bolt_Cliff 7" xfId="23076"/>
    <cellStyle name="好_River EE BOM_Xl0000002_Leopard_UniBOM_ME_0531_Bolt RFQ Proposal_Foxlink_ (Pricing Summary) 2 25 2011 2 2" xfId="23077"/>
    <cellStyle name="好_Creek Assembly Fixture  Test Equipment RFQ_20090427_Leopard UniBom_Foxlink_6 21 2010-ME_nego_Bolt RFQ_Foxlink_03.1 2011_nego meeting@MACH 2 2" xfId="23078"/>
    <cellStyle name="差_Creak Pearl Reliability Fixture RFQ_2009 04 24_Pearl RFQ(Submittal)ver2_05_12_2009 _Leopard RFQ ME BOM Costs-0618-2_Bolt RFQ Proposal_Foxlink_ (Pricing Summary) 2 25 2011 2" xfId="23079"/>
    <cellStyle name="好_River EE BOM_Xl0000002_Leopard_UniBOM_ME_0531_Bolt RFQ Proposal_Foxlink_ (Pricing Summary) 2 25 2011 2 3" xfId="23080"/>
    <cellStyle name="好_Creek Assembly Fixture  Test Equipment RFQ_20090427_Leopard UniBom_Foxlink_6 21 2010-ME_nego_Bolt RFQ_Foxlink_03.1 2011_nego meeting@MACH 2 3" xfId="23081"/>
    <cellStyle name="好_River EE BOM_Xl0000002_Leopard_UniBOM_ME_0531_Bolt RFQ Proposal_Foxlink_ (Pricing Summary) 2 25 2011 3 2" xfId="23082"/>
    <cellStyle name="好_Creek Assembly Fixture  Test Equipment RFQ_20090427_Leopard UniBom_Foxlink_6 21 2010-ME_nego_Bolt RFQ_Foxlink_03.1 2011_nego meeting@MACH 3 2" xfId="23083"/>
    <cellStyle name="好_River EE BOM_Xl0000002_Leopard_UniBOM_ME_0531_Bolt RFQ Proposal_Foxlink_ (Pricing Summary) 2 25 2011 5" xfId="23084"/>
    <cellStyle name="好_Creek Assembly Fixture  Test Equipment RFQ_20090427_Leopard UniBom_Foxlink_6 21 2010-ME_nego_Bolt RFQ_Foxlink_03.1 2011_nego meeting@MACH 5" xfId="23085"/>
    <cellStyle name="好_Creek Assembly Fixture  Test Equipment RFQ_20090427_Leopard UniBom_Foxlink_6 21 2010-ME_nego_Bolt RFQ_Foxlink_03.1 2011_nego meeting@MACH_Bolt_Cliff" xfId="23086"/>
    <cellStyle name="好_Creek Assembly Fixture  Test Equipment RFQ_20090427_Leopard UniBom_Foxlink_6 21 2010-ME_nego_Bolt RFQ_Foxlink_03.1 2011_nego meeting@MACH_Bolt_Cliff 2" xfId="23087"/>
    <cellStyle name="好_Creek Assembly Fixture  Test Equipment RFQ_20090427_Leopard UniBom_Foxlink_6 21 2010-ME_nego_Bolt RFQ_Foxlink_03.1 2011_nego meeting@MACH_Bolt_Cliff 2 4" xfId="23088"/>
    <cellStyle name="好_Creek Assembly Fixture  Test Equipment RFQ_20090427_Leopard UniBom_Foxlink_6 21 2010-ME_nego_Bolt RFQ_Foxlink_03.1 2011_nego meeting@MACH_Bolt_Cliff 3" xfId="23089"/>
    <cellStyle name="好_Creek Assembly Fixture  Test Equipment RFQ_20090427_Leopard UniBom_Foxlink_6 21 2010-ME_nego_Bolt RFQ_Foxlink_03.1 2011_nego meeting@MACH_Bolt_Cliff 3 3" xfId="23090"/>
    <cellStyle name="差_Xl0000002_Leopard_UniBOM_ME_0602 2 4" xfId="23091"/>
    <cellStyle name="好_Creek Assembly Fixture  Test Equipment RFQ_20090427_Leopard UniBom_Foxlink_6 21 2010-ME_nego_Bolt RFQ_Foxlink_03.1 2011_nego meeting@MACH_Bolt_Cliff 4 2" xfId="23092"/>
    <cellStyle name="好_Creek Assembly Fixture  Test Equipment RFQ_20090427_Leopard UniBom_Foxlink_6 21 2010-ME_nego_Bolt RFQ_Foxlink_03.1 2011_nego meeting@MACH_Bolt_Cliff 4 3" xfId="23093"/>
    <cellStyle name="差_dallas產能評估_Dallas效益分析&amp;投資回收期 (12-2 A1)_squirrel效益分析08-17" xfId="23094"/>
    <cellStyle name="好_Creek Assembly Fixture  Test Equipment RFQ_20090427_Leopard UniBom_Foxlink_6 21 2010-ME_nego_Bolt RFQ_Foxlink_03.1 2011_nego meeting@MACH_Bolt_Cliff 5" xfId="23095"/>
    <cellStyle name="好_Creek Assembly Fixture  Test Equipment RFQ_20090427_Leopard UniBom_Foxlink_6 21 2010-ME_nego_Bolt RFQ_Foxlink_03.1 2011_nego meeting@MACH_Bolt_Cliff 5 2" xfId="23096"/>
    <cellStyle name="好_Creek Assembly Fixture  Test Equipment RFQ_20090427_Leopard UniBom_Foxlink_6 21 2010-ME_nego_Bolt RFQ_Foxlink_03.1 2011_nego meeting@MACH_Bolt_Cliff 5 3" xfId="23097"/>
    <cellStyle name="好_Creek Assembly Fixture  Test Equipment RFQ_20090427_Leopard UniBom_Foxlink_6 21 2010-ME_nego_Bolt RFQ_Foxlink_03.1 2011_nego meeting@MACH_Bolt_Cliff 6" xfId="23098"/>
    <cellStyle name="好_Creek Assembly Fixture  Test Equipment RFQ_20090427_Leopard UniBom_Foxlink_6 21 2010-ME_nego_Bolt RFQ_Foxlink_03.1 2011_nego meeting@MACH_Bolt_Cliff 7" xfId="23099"/>
    <cellStyle name="好_Creek Assembly Fixture  Test Equipment RFQ_20090427_Leopard UniBom_Foxlink_6 21 2010-ME_nego_Bolt_Cliff 2 2" xfId="23100"/>
    <cellStyle name="好_Creek Assembly Fixture  Test Equipment RFQ_20090427_Leopard UniBom_Foxlink_6 21 2010-ME_nego_Bolt_Cliff 2 2 2" xfId="23101"/>
    <cellStyle name="好_Creek Assembly Fixture  Test Equipment RFQ_20090427_Leopard UniBom_Foxlink_6 21 2010-ME_nego_Bolt_Cliff 2 2 3" xfId="23102"/>
    <cellStyle name="好_Creek Assembly Fixture  Test Equipment RFQ_20090427_Leopard UniBom_Foxlink_6 21 2010-ME_nego_Bolt_Cliff 2 3" xfId="23103"/>
    <cellStyle name="好_Creek Assembly Fixture  Test Equipment RFQ_20090427_Leopard UniBom_Foxlink_6 21 2010-ME_nego_Bolt_Cliff 2 4" xfId="23104"/>
    <cellStyle name="好_Creek Assembly Fixture  Test Equipment RFQ_20090427_Leopard UniBom_Foxlink_6 21 2010-ME_nego_Bolt_Cliff 4" xfId="23105"/>
    <cellStyle name="好_Creek Assembly Fixture  Test Equipment RFQ_20090427_Leopard UniBom_Foxlink_6 21 2010-ME_nego_Bolt_Cliff 4 2" xfId="23106"/>
    <cellStyle name="差_Creak Pearl Reliability Fixture RFQ_2009 04 24_Creek RFQ feedback 04_28_2009_FD Update_Jackson EE BOM " xfId="23107"/>
    <cellStyle name="好_Creek Assembly Fixture  Test Equipment RFQ_20090427_Leopard UniBom_Foxlink_6 21 2010-ME_nego_Bolt_Cliff 4 3" xfId="23108"/>
    <cellStyle name="好_Creek Assembly Fixture  Test Equipment RFQ_20090427_Leopard UniBom_Foxlink_6 21 2010-ME_nego_Bolt_Cliff 5" xfId="23109"/>
    <cellStyle name="好_River EE BOM_Creak Pearl Reliability Fixture RFQ_2009 04 24_Pearl RFQ(Submittal)ver2_05_12_2009 _Jackson EE BOM " xfId="23110"/>
    <cellStyle name="好_Creek Assembly Fixture  Test Equipment RFQ_20090427_Leopard UniBom_Foxlink_6 21 2010-ME_nego_Bolt_Cliff 5 3" xfId="23111"/>
    <cellStyle name="好_Creek Assembly Fixture  Test Equipment RFQ_20090427_Leopard UniBom_Foxlink_6 21 2010-ME_nego_Bolt_Cliff 6" xfId="23112"/>
    <cellStyle name="好_Creek Assembly Fixture  Test Equipment RFQ_20090427_Leopard UniBom_Foxlink_6 21 2010-ME_nego_Bolt_Cliff 7" xfId="23113"/>
    <cellStyle name="差_F3   SMT設備明細_費用統計_~1159284" xfId="23114"/>
    <cellStyle name="好_Creek Assembly Fixture  Test Equipment RFQ_20090427_Leopard UniBom_Foxlink_6 21 2010-nego" xfId="23115"/>
    <cellStyle name="好_River EE BOM_Creak Pearl Reliability Fixture RFQ_2009 04 24_Leopard Lemur Squirrel UniBom-06.22.2010_EE cost _update_internal_Bolt RFQ_Foxlink_03.1 2011_nego meeting@MACH 3 3" xfId="23116"/>
    <cellStyle name="好_Creek Assembly Fixture  Test Equipment RFQ_20090427_Leopard UniBom-06 22 2010_update_internal" xfId="23117"/>
    <cellStyle name="好_Creek Assembly Fixture  Test Equipment RFQ_20090427_Leopard_UniBOM_ME_0531 2 2" xfId="23118"/>
    <cellStyle name="好_Creek Assembly Fixture  Test Equipment RFQ_20090427_Leopard_UniBOM_ME_0531 2 2 2" xfId="23119"/>
    <cellStyle name="好_Creek Assembly Fixture  Test Equipment RFQ_20090427_Leopard_UniBOM_ME_0531 2 2 3" xfId="23120"/>
    <cellStyle name="好_RIO Trial run QA Report-7.21（SEA97217)" xfId="23121"/>
    <cellStyle name="好_Creek Assembly Fixture  Test Equipment RFQ_20090427_Leopard_UniBOM_ME_0531 2 3" xfId="23122"/>
    <cellStyle name="差_F3   SMT設備明細_效益分析_flow chart 2009.12.12_~5631336_Jackson 效益分析 (2-1 B0 上系統)_squirrel效益分析08-17" xfId="23123"/>
    <cellStyle name="好_Creek Assembly Fixture  Test Equipment RFQ_20090427_Leopard_UniBOM_ME_0531 2 4" xfId="23124"/>
    <cellStyle name="好_Creek Assembly Fixture  Test Equipment RFQ_20090427_Leopard_UniBOM_ME_0531 3 2" xfId="23125"/>
    <cellStyle name="好_RIO Trial run (Pre-PV 100PCS) QA Report-0610_Suede QA report for EV2.1 _20110301_Update" xfId="23126"/>
    <cellStyle name="好_Creek Assembly Fixture  Test Equipment RFQ_20090427_Leopard_UniBOM_ME_0602-1_Bolt RFQ_Foxlink_03.1 2011" xfId="23127"/>
    <cellStyle name="好_Creek Assembly Fixture  Test Equipment RFQ_20090427_Leopard_UniBOM_ME_0531 3 3" xfId="23128"/>
    <cellStyle name="好_Creek Assembly Fixture  Test Equipment RFQ_20090427_Leopard_UniBOM_ME_0531_Bolt RFQ Proposal_Foxlink_ (Pricing Summary) 2 25 2011" xfId="23129"/>
    <cellStyle name="好_Creek Assembly Fixture  Test Equipment RFQ_20090427_Leopard_UniBOM_ME_0531_Bolt RFQ Proposal_Foxlink_ (Pricing Summary) 2 25 2011 2 2" xfId="23130"/>
    <cellStyle name="好_Creek Assembly Fixture  Test Equipment RFQ_20090427_Leopard_UniBOM_ME_0531_Bolt RFQ Proposal_Foxlink_ (Pricing Summary) 2 25 2011 2 2 2" xfId="23131"/>
    <cellStyle name="好_Creek Assembly Fixture  Test Equipment RFQ_20090427_Leopard_UniBOM_ME_0531_Bolt RFQ Proposal_Foxlink_ (Pricing Summary) 2 25 2011 2 2 3" xfId="23132"/>
    <cellStyle name="好_Creek Assembly Fixture  Test Equipment RFQ_20090427_Leopard_UniBOM_ME_0531_Bolt RFQ Proposal_Foxlink_ (Pricing Summary) 2 25 2011 2 3" xfId="23133"/>
    <cellStyle name="好_Creek Assembly Fixture  Test Equipment RFQ_20090427_Leopard_UniBOM_ME_0531_Bolt RFQ Proposal_Foxlink_ (Pricing Summary) 2 25 2011 2 4" xfId="23134"/>
    <cellStyle name="好_Creek Assembly Fixture  Test Equipment RFQ_20090427_Xl0000002_Leopard_UniBOM_ME_0602 2 2" xfId="23135"/>
    <cellStyle name="好_Creek Assembly Fixture  Test Equipment RFQ_20090427_Leopard_UniBOM_ME_0531_Bolt RFQ Proposal_Foxlink_ (Pricing Summary) 2 25 2011 3" xfId="23136"/>
    <cellStyle name="好_Creek Assembly Fixture  Test Equipment RFQ_20090427_Leopard_UniBOM_ME_0531_Bolt RFQ Proposal_Foxlink_ (Pricing Summary) 2 25 2011 4 2" xfId="23137"/>
    <cellStyle name="好_Creek Assembly Fixture  Test Equipment RFQ_20090427_Leopard_UniBOM_ME_0531_Bolt RFQ Proposal_Foxlink_ (Pricing Summary) 2 25 2011 4 3" xfId="23138"/>
    <cellStyle name="好_Creek Assembly Fixture  Test Equipment RFQ_20090427_Leopard_UniBOM_ME_0531_Bolt RFQ Proposal_Foxlink_ (Pricing Summary) 2 25 2011 5 2" xfId="23139"/>
    <cellStyle name="差_jupite r設備&amp;治工具LIST (總)_Dallas效益分析&amp;投資回收期 (12-2 A1)_Leopard Flowchart &amp; 產能評估" xfId="23140"/>
    <cellStyle name="好_Creek Assembly Fixture  Test Equipment RFQ_20090427_Leopard_UniBOM_ME_0531_Bolt RFQ Proposal_Foxlink_ (Pricing Summary) 2 25 2011 6" xfId="23141"/>
    <cellStyle name="好_Creek Assembly Fixture  Test Equipment RFQ_20090427_Leopard_UniBOM_ME_0531_Bolt RFQ_Foxlink_03.1 2011" xfId="23142"/>
    <cellStyle name="好_Creek Assembly Fixture  Test Equipment RFQ_20090427_Leopard_UniBOM_ME_0531_Bolt RFQ_Foxlink_03.1 2011 2" xfId="23143"/>
    <cellStyle name="好_River EE BOM_Creak Pearl Reliability Fixture RFQ_2009 04 24_Xl0000002_Leopard_UniBOM_ME_0531 2 3" xfId="23144"/>
    <cellStyle name="好_Creek Assembly Fixture  Test Equipment RFQ_20090427_Leopard_UniBOM_ME_0531_Bolt RFQ_Foxlink_03.1 2011 2 2" xfId="23145"/>
    <cellStyle name="好_Creek Assembly Fixture  Test Equipment RFQ_20090427_Leopard_UniBOM_ME_0531_Bolt RFQ_Foxlink_03.1 2011 3" xfId="23146"/>
    <cellStyle name="好_River EE BOM_Creak Pearl Reliability Fixture RFQ_2009 04 24_Xl0000002_Leopard_UniBOM_ME_0531 3 3" xfId="23147"/>
    <cellStyle name="好_Creek Assembly Fixture  Test Equipment RFQ_20090427_Leopard_UniBOM_ME_0531_Bolt RFQ_Foxlink_03.1 2011 3 2" xfId="23148"/>
    <cellStyle name="好_Creek Assembly Fixture  Test Equipment RFQ_20090427_Leopard_UniBOM_ME_0531_Bolt RFQ_Foxlink_03.1 2011_Bolt_Cliff" xfId="23149"/>
    <cellStyle name="好_Creek Assembly Fixture  Test Equipment RFQ_20090427_Leopard_UniBOM_ME_0531_Bolt RFQ_Foxlink_03.1 2011_Bolt_Cliff 2 2 2" xfId="23150"/>
    <cellStyle name="好_River EE BOM_Creek RFQ feedback 04_28_2009_FD Update_Leopard Lemur Squirrel UniBom-06.22.2010_EE cost _update_internal 3 3" xfId="23151"/>
    <cellStyle name="好_River EE BOM_Xl0000000_Leopard UniBom_Foxlink_6 21 2010-ME_nego_Bolt RFQ_Foxlink_03.1 2011_nego meeting@MACH" xfId="23152"/>
    <cellStyle name="好_Creek Assembly Fixture  Test Equipment RFQ_20090427_Leopard_UniBOM_ME_0531_Bolt RFQ_Foxlink_03.1 2011_Bolt_Cliff 2 3" xfId="23153"/>
    <cellStyle name="差_Creak Pearl Reliability Fixture RFQ_2009 04 24_Creek  Pearl RFQ_May 12_Squirrel RFQ ME BOM Costs-0623_Bolt RFQ_Foxlink_03.1 2011" xfId="23154"/>
    <cellStyle name="好_River EE BOM_Creak Pearl Reliability Fixture RFQ_2009 04 24_Leopard UniBom_Foxlink_6 21 2010-ME_nego_Bolt RFQ_Foxlink_03.1 2011_nego meeting@MACH 2" xfId="23155"/>
    <cellStyle name="好_Creek Assembly Fixture  Test Equipment RFQ_20090427_Leopard_UniBOM_ME_0531_Bolt RFQ_Foxlink_03.1 2011_Bolt_Cliff 3" xfId="23156"/>
    <cellStyle name="好_River EE BOM_Creak Pearl Reliability Fixture RFQ_2009 04 24_Leopard UniBom_Foxlink_6 21 2010-ME_nego_Bolt RFQ_Foxlink_03.1 2011_nego meeting@MACH 3" xfId="23157"/>
    <cellStyle name="好_Creek Assembly Fixture  Test Equipment RFQ_20090427_Leopard_UniBOM_ME_0531_Bolt RFQ_Foxlink_03.1 2011_Bolt_Cliff 4" xfId="23158"/>
    <cellStyle name="差_Creak Pearl Reliability Fixture RFQ_2009 04 24_Creek RFQ feedback 04_28_2009_FD Update_Leopard_UniBOM_ME_0531 2 2 3" xfId="23159"/>
    <cellStyle name="好_River EE BOM_Creak Pearl Reliability Fixture RFQ_2009 04 24_Leopard UniBom_Foxlink_6 21 2010-ME_nego_Bolt RFQ_Foxlink_03.1 2011_nego meeting@MACH 3 2" xfId="23160"/>
    <cellStyle name="好_Creek Assembly Fixture  Test Equipment RFQ_20090427_Leopard_UniBOM_ME_0531_Bolt RFQ_Foxlink_03.1 2011_Bolt_Cliff 4 2" xfId="23161"/>
    <cellStyle name="好_River EE BOM_Creak Pearl Reliability Fixture RFQ_2009 04 24_Leopard UniBom_Foxlink_6 21 2010-ME_nego_Bolt RFQ_Foxlink_03.1 2011_nego meeting@MACH 3 3" xfId="23162"/>
    <cellStyle name="好_Creek Assembly Fixture  Test Equipment RFQ_20090427_Leopard_UniBOM_ME_0531_Bolt RFQ_Foxlink_03.1 2011_Bolt_Cliff 4 3" xfId="23163"/>
    <cellStyle name="好_River EE BOM_Creak Pearl Reliability Fixture RFQ_2009 04 24_Xl0000002_Squirrel UniBom-06.23.2010_update_internal_Bolt RFQ_Foxlink_03.1 2011 3 3" xfId="23164"/>
    <cellStyle name="好_Creek Assembly Fixture  Test Equipment RFQ_20090427_Leopard_UniBOM_ME_0531_Bolt RFQ_Foxlink_03.1 2011_Bolt_Cliff 7" xfId="23165"/>
    <cellStyle name="好_Creek Assembly Fixture  Test Equipment RFQ_20090427_Leopard_UniBOM_ME_0531_Bolt RFQ_Foxlink_03.1 2011_nego meeting@MACH 2 2" xfId="23166"/>
    <cellStyle name="好_Creek Assembly Fixture  Test Equipment RFQ_20090427_Leopard_UniBOM_ME_0531_Bolt RFQ_Foxlink_03.1 2011_nego meeting@MACH 2 3" xfId="23167"/>
    <cellStyle name="好_River EE BOM_Creak Pearl Reliability Fixture RFQ_2009 04 24_Pearl RFQ(Submittal)ver2_05_12_2009 _Foxlink_Shadow RFQ NREUni BOM_12032009_Bolt RFQ_Foxlink_03.1 2011 3 2" xfId="23168"/>
    <cellStyle name="好_Creek Assembly Fixture  Test Equipment RFQ_20090427_Leopard_UniBOM_ME_0531_Bolt RFQ_Foxlink_03.1 2011_nego meeting@MACH 3" xfId="23169"/>
    <cellStyle name="好_Creek Assembly Fixture  Test Equipment RFQ_20090427_Leopard_UniBOM_ME_0531_Bolt RFQ_Foxlink_03.1 2011_nego meeting@MACH 3 3" xfId="23170"/>
    <cellStyle name="好_Creek Assembly Fixture  Test Equipment RFQ_20090427_Leopard_UniBOM_ME_0531_Bolt RFQ_Foxlink_03.1 2011_nego meeting@MACH 4" xfId="23171"/>
    <cellStyle name="好_治具工程課2009年KPI_HP 2 2 2" xfId="23172"/>
    <cellStyle name="好_Creek Assembly Fixture  Test Equipment RFQ_20090427_Leopard_UniBOM_ME_0531_Bolt RFQ_Foxlink_03.1 2011_nego meeting@MACH 5" xfId="23173"/>
    <cellStyle name="好_River EE BOM_Creak Pearl Reliability Fixture RFQ_2009 04 24_Xl0000002_Leopard UniBom_Foxlink_6 21 2010-ME_nego_Bolt RFQ Proposal_Foxlink_ (Pricing Summary) 2 25 2011 2" xfId="23174"/>
    <cellStyle name="好_Creek Assembly Fixture  Test Equipment RFQ_20090427_Leopard_UniBOM_ME_0531_Bolt RFQ_Foxlink_03.1 2011_nego meeting@MACH_Bolt_Cliff" xfId="23175"/>
    <cellStyle name="差_Creak Pearl Reliability Fixture RFQ_2009 04 24_Pearl RFQ(Submittal)ver2_05_12_2009 _Squirrel UniBom-06.23.2010_update_internal_Bolt RFQ Proposal_Foxlink_ (Pricing Summary) 2 25 2011 5" xfId="23176"/>
    <cellStyle name="好_River EE BOM_Creak Pearl Reliability Fixture RFQ_2009 04 24_Creek  Pearl RFQ_May 12_Bolt RFQ Proposal_Foxlink_ (Pricing Summary) 2 25 2011 3 3" xfId="23177"/>
    <cellStyle name="好_Creek Assembly Fixture  Test Equipment RFQ_20090427_Leopard_UniBOM_ME_0531_Bolt RFQ_Foxlink_03.1 2011_nego meeting@MACH_Bolt_Cliff 2" xfId="23178"/>
    <cellStyle name="差_Creak Pearl Reliability Fixture RFQ_2009 04 24_Pearl RFQ(Submittal)ver2_05_12_2009 _Squirrel UniBom-06.23.2010_update_internal_Bolt RFQ Proposal_Foxlink_ (Pricing Summary) 2 25 2011 5 2" xfId="23179"/>
    <cellStyle name="差_Creak Pearl Reliability Fixture RFQ_2009 04 24_Pearl RFQ(Submittal)ver2_05_12_2009 _Foxlink_Shadow RFQ NREUni BOM_12032009_Bolt RFQ Proposal_Foxlink_ (Pricing Summary) 2 25 2011 4 3" xfId="23180"/>
    <cellStyle name="好_Creek Assembly Fixture  Test Equipment RFQ_20090427_Leopard_UniBOM_ME_0531_Bolt RFQ_Foxlink_03.1 2011_nego meeting@MACH_Bolt_Cliff 2 2" xfId="23181"/>
    <cellStyle name="差_HP Mouse 產能評估(Forecast更改後)_M1 Bolt wireless mouse FixtureEquipment Cost_A2_2010_12_07 3 2" xfId="23182"/>
    <cellStyle name="好_Creek Assembly Fixture  Test Equipment RFQ_20090427_Leopard_UniBOM_ME_0531_Bolt RFQ_Foxlink_03.1 2011_nego meeting@MACH_Bolt_Cliff 2 2 3" xfId="23183"/>
    <cellStyle name="好_Creek Assembly Fixture  Test Equipment RFQ_20090427_Leopard_UniBOM_ME_0531_Bolt RFQ_Foxlink_03.1 2011_nego meeting@MACH_Bolt_Cliff 2 3" xfId="23184"/>
    <cellStyle name="好_Creek Assembly Fixture  Test Equipment RFQ_20090427_Leopard_UniBOM_ME_0531_Bolt RFQ_Foxlink_03.1 2011_nego meeting@MACH_Bolt_Cliff 3" xfId="23185"/>
    <cellStyle name="差_Creak Pearl Reliability Fixture RFQ_2009 04 24_Pearl RFQ(Submittal)ver2_05_12_2009 _Squirrel UniBom-06.23.2010_update_internal_Bolt RFQ Proposal_Foxlink_ (Pricing Summary) 2 25 2011 5 3" xfId="23186"/>
    <cellStyle name="差_Creak Pearl Reliability Fixture RFQ_2009 04 24_Pearl RFQ(Submittal)ver2_05_12_2009 _Foxlink_Shadow RFQ NREUni BOM_12032009_Bolt RFQ Proposal_Foxlink_ (Pricing Summary) 2 25 2011 5 3" xfId="23187"/>
    <cellStyle name="好_Creek Assembly Fixture  Test Equipment RFQ_20090427_Leopard_UniBOM_ME_0531_Bolt RFQ_Foxlink_03.1 2011_nego meeting@MACH_Bolt_Cliff 3 2" xfId="23188"/>
    <cellStyle name="好_Creek Assembly Fixture  Test Equipment RFQ_20090427_Leopard_UniBOM_ME_0531_Bolt RFQ_Foxlink_03.1 2011_nego meeting@MACH_Bolt_Cliff 3 3" xfId="23189"/>
    <cellStyle name="好_Creek Assembly Fixture  Test Equipment RFQ_20090427_Leopard_UniBOM_ME_0531_Bolt RFQ_Foxlink_03.1 2011_nego meeting@MACH_Bolt_Cliff 4 2" xfId="23190"/>
    <cellStyle name="好_Creek Assembly Fixture  Test Equipment RFQ_20090427_Leopard_UniBOM_ME_0531_Bolt RFQ_Foxlink_03.1 2011_nego meeting@MACH_Bolt_Cliff 4 3" xfId="23191"/>
    <cellStyle name="好_Creek Assembly Fixture  Test Equipment RFQ_20090427_Leopard_UniBOM_ME_0531_Bolt RFQ_Foxlink_03.1 2011_nego meeting@MACH_Bolt_Cliff 5 3" xfId="23192"/>
    <cellStyle name="好_Creek Assembly Fixture  Test Equipment RFQ_20090427_Leopard_UniBOM_ME_0531_Bolt RFQ_Foxlink_03.1 2011_nego meeting@MACH_Bolt_Cliff 7" xfId="23193"/>
    <cellStyle name="好_Creek Assembly Fixture  Test Equipment RFQ_20090427_Leopard_UniBOM_ME_0531_Bolt_Cliff 2" xfId="23194"/>
    <cellStyle name="差_效益分析&amp;產能評估_M1 SuedeFixtureEquipment Cost_A0_2010_10_15_Bolt RFQ Proposal_Foxlink_ (Pricing Summary) 2 25 2011 2 2 3" xfId="23195"/>
    <cellStyle name="好_Creek Assembly Fixture  Test Equipment RFQ_20090427_Leopard_UniBOM_ME_0531_Bolt_Cliff 2 2 2" xfId="23196"/>
    <cellStyle name="好_Creek Assembly Fixture  Test Equipment RFQ_20090427_Leopard_UniBOM_ME_0531_Bolt_Cliff 2 2 3" xfId="23197"/>
    <cellStyle name="差_Xl0000000_Squirrel UniBom-06.23.2010_update_internal" xfId="23198"/>
    <cellStyle name="好_Creek Assembly Fixture  Test Equipment RFQ_20090427_Leopard_UniBOM_ME_0531_Bolt_Cliff 2 4" xfId="23199"/>
    <cellStyle name="好_Creek Assembly Fixture  Test Equipment RFQ_20090427_Leopard_UniBOM_ME_0531_Bolt_Cliff 3" xfId="23200"/>
    <cellStyle name="好_Creek EE BOM cost_20090425_Creek RFQ feedback 04_28_2009_FD Update_Leopard Lemur Squirrel UniBom-06.22.2010_EE cost _update_internal_Bolt RFQ Proposal_Foxlink_ (Pricing Summary) 2 25 2011 2 2 3" xfId="23201"/>
    <cellStyle name="好_Creek Assembly Fixture  Test Equipment RFQ_20090427_Leopard_UniBOM_ME_0531_Bolt_Cliff 3 2" xfId="23202"/>
    <cellStyle name="好_Creek Assembly Fixture  Test Equipment RFQ_20090427_Leopard_UniBOM_ME_0531_Bolt_Cliff 3 3" xfId="23203"/>
    <cellStyle name="好_Creek Assembly Fixture  Test Equipment RFQ_20090427_Leopard_UniBOM_ME_0531_Bolt_Cliff 4 2" xfId="23204"/>
    <cellStyle name="好_Creek Assembly Fixture  Test Equipment RFQ_20090427_Leopard_UniBOM_ME_0531_Bolt_Cliff 4 3" xfId="23205"/>
    <cellStyle name="好_Creek Assembly Fixture  Test Equipment RFQ_20090427_Leopard_UniBOM_ME_0531_Bolt_Cliff 5 3" xfId="23206"/>
    <cellStyle name="好_Creek Assembly Fixture  Test Equipment RFQ_20090427_Leopard_UniBOM_ME_0531_Bolt_Cliff 6" xfId="23207"/>
    <cellStyle name="差_dallas產能評估_flow chart 2009.12.12_Jackson 效益分析 testing update_16th Jan111_Jackson 效益分析 (2-1 B0 上系統)_Leopard效益分析08-17" xfId="23208"/>
    <cellStyle name="好_Creek Assembly Fixture  Test Equipment RFQ_20090427_Leopard_UniBOM_ME_0531_Bolt_Cliff 7" xfId="23209"/>
    <cellStyle name="好_Creek Assembly Fixture  Test Equipment RFQ_20090427_Leopard_UniBOM_ME_0602" xfId="23210"/>
    <cellStyle name="好_Creek Assembly Fixture  Test Equipment RFQ_20090427_Leopard_UniBOM_ME_0602 2" xfId="23211"/>
    <cellStyle name="好_Creek Assembly Fixture  Test Equipment RFQ_20090427_Xl0000002_Leopard_UniBOM_ME_0602_Bolt RFQ_Foxlink_03.1 2011 5" xfId="23212"/>
    <cellStyle name="好_Creek Assembly Fixture  Test Equipment RFQ_20090427_Leopard_UniBOM_ME_0602 2 2 2" xfId="23213"/>
    <cellStyle name="差_jupite r設備&amp;治工具LIST (總)_~3106354_Jackson 效益分析 (2-1 B0 上系統)_Leopard Flowchart &amp; 產能評估" xfId="23214"/>
    <cellStyle name="好_Creek Assembly Fixture  Test Equipment RFQ_20090427_Leopard_UniBOM_ME_0602 2 2 3" xfId="23215"/>
    <cellStyle name="好_Creek Assembly Fixture  Test Equipment RFQ_20090427_Leopard_UniBOM_ME_0602 3 2" xfId="23216"/>
    <cellStyle name="好_River EE BOM_Xl0000002_Leopard Lemur Squirrel UniBom-06.22.2010_EE cost _update_internal_Bolt RFQ Proposal_Foxlink_ (Pricing Summary) 2 25 2011 3" xfId="23217"/>
    <cellStyle name="好_Creek Assembly Fixture  Test Equipment RFQ_20090427_Leopard_UniBOM_ME_0602_Bolt RFQ Proposal_Foxlink_ (Pricing Summary) 2 25 2011 2" xfId="23218"/>
    <cellStyle name="差_Xl0000000_Leopard RFQ ME BOM Costs-0618-2_Bolt RFQ Proposal_Foxlink_ (Pricing Summary) 2 25 2011 5" xfId="23219"/>
    <cellStyle name="好_River EE BOM_Xl0000002_Leopard Lemur Squirrel UniBom-06.22.2010_EE cost _update_internal_Bolt RFQ Proposal_Foxlink_ (Pricing Summary) 2 25 2011 3 2" xfId="23220"/>
    <cellStyle name="好_Creek Assembly Fixture  Test Equipment RFQ_20090427_Leopard_UniBOM_ME_0602_Bolt RFQ Proposal_Foxlink_ (Pricing Summary) 2 25 2011 2 2" xfId="23221"/>
    <cellStyle name="差_Xl0000000_Leopard RFQ ME BOM Costs-0618-2_Bolt RFQ Proposal_Foxlink_ (Pricing Summary) 2 25 2011 5 3" xfId="23222"/>
    <cellStyle name="好_Creek Assembly Fixture  Test Equipment RFQ_20090427_Leopard_UniBOM_ME_0602_Bolt RFQ Proposal_Foxlink_ (Pricing Summary) 2 25 2011 2 2 3" xfId="23223"/>
    <cellStyle name="好_River EE BOM_Xl0000002_Leopard Lemur Squirrel UniBom-06.22.2010_EE cost _update_internal_Bolt RFQ Proposal_Foxlink_ (Pricing Summary) 2 25 2011 5" xfId="23224"/>
    <cellStyle name="好_Creek Assembly Fixture  Test Equipment RFQ_20090427_Leopard_UniBOM_ME_0602_Bolt RFQ Proposal_Foxlink_ (Pricing Summary) 2 25 2011 4" xfId="23225"/>
    <cellStyle name="好_River EE BOM_Creak Pearl Reliability Fixture RFQ_2009 04 24_Creek  Pearl RFQ_May 12_Bolt RFQ_Foxlink_03.1 2011_nego meeting@MACH 3 3" xfId="23226"/>
    <cellStyle name="好_River EE BOM_Xl0000002_Leopard Lemur Squirrel UniBom-06.22.2010_EE cost _update_internal_Bolt RFQ Proposal_Foxlink_ (Pricing Summary) 2 25 2011 5 2" xfId="23227"/>
    <cellStyle name="好_Creek Assembly Fixture  Test Equipment RFQ_20090427_Leopard_UniBOM_ME_0602_Bolt RFQ Proposal_Foxlink_ (Pricing Summary) 2 25 2011 4 2" xfId="23228"/>
    <cellStyle name="好_River EE BOM_Xl0000002_Leopard Lemur Squirrel UniBom-06.22.2010_EE cost _update_internal_Bolt RFQ Proposal_Foxlink_ (Pricing Summary) 2 25 2011 6" xfId="23229"/>
    <cellStyle name="好_Creek Assembly Fixture  Test Equipment RFQ_20090427_Leopard_UniBOM_ME_0602_Bolt RFQ Proposal_Foxlink_ (Pricing Summary) 2 25 2011 5" xfId="23230"/>
    <cellStyle name="好_Creek Assembly Fixture  Test Equipment RFQ_20090427_Leopard_UniBOM_ME_0602_Bolt RFQ Proposal_Foxlink_ (Pricing Summary) 2 25 2011 5 2" xfId="23231"/>
    <cellStyle name="好_River EE BOM_Xl0000000_Squirrel RFQ ME BOM Costs-0623 2 2 3" xfId="23232"/>
    <cellStyle name="好_River EE BOM_Creak Pearl Reliability Fixture RFQ_2009 04 24_Pearl RFQ(Submittal)ver2_05_12_2009 _Leopard RFQ ME BOM Costs-0618 2" xfId="23233"/>
    <cellStyle name="好_Creek Assembly Fixture  Test Equipment RFQ_20090427_Leopard_UniBOM_ME_0602_Bolt RFQ Proposal_Foxlink_ (Pricing Summary) 2 25 2011 7" xfId="23234"/>
    <cellStyle name="差_Creak Pearl Reliability Fixture RFQ_2009 04 24_Pearl RFQ(Submittal)ver2_05_12_2009 _Leopard Lemur Squirrel UniBom-06.22.2010_EE cost _update_internal 3 3" xfId="23235"/>
    <cellStyle name="好_Creek Assembly Fixture  Test Equipment RFQ_20090427_Leopard_UniBOM_ME_0602_Bolt RFQ_Foxlink_03.1 2011 2" xfId="23236"/>
    <cellStyle name="好_Creek Assembly Fixture  Test Equipment RFQ_20090427_Leopard_UniBOM_ME_0602_Bolt RFQ_Foxlink_03.1 2011 3" xfId="23237"/>
    <cellStyle name="好_Creek Assembly Fixture  Test Equipment RFQ_20090427_Leopard_UniBOM_ME_0602_Bolt RFQ_Foxlink_03.1 2011 3 2" xfId="23238"/>
    <cellStyle name="差_F3   SMT設備明細_費用統計_Jackson 效益分析 (2-1 B0 上系統)" xfId="23239"/>
    <cellStyle name="好_Creek Assembly Fixture  Test Equipment RFQ_20090427_Leopard_UniBOM_ME_0602_Bolt RFQ_Foxlink_03.1 2011 3 3" xfId="23240"/>
    <cellStyle name="好_River EE BOM_Creak Pearl Reliability Fixture RFQ_2009 04 24_Pearl RFQ(Submittal)ver2_05_12_2009 _Leopard Lemur Squirrel UniBom-06.22.2010_EE cost _update_internal_Bolt RFQ Proposal_Foxlink_ (Pricing Summary) 2 25 2011 2 2" xfId="23241"/>
    <cellStyle name="好_Creek Assembly Fixture  Test Equipment RFQ_20090427_Leopard_UniBOM_ME_0602_Bolt RFQ_Foxlink_03.1 2011 4" xfId="23242"/>
    <cellStyle name="好_Creek Assembly Fixture  Test Equipment RFQ_20090427_Leopard_UniBOM_ME_0602_Bolt RFQ_Foxlink_03.1 2011 5" xfId="23243"/>
    <cellStyle name="差_Creek RFQ feedback 04_28_2009_FD Update_Squirrel RFQ ME BOM Costs-0623_Bolt RFQ_Foxlink_03.1 2011_nego meeting@MACH 2 2" xfId="23244"/>
    <cellStyle name="好_River EE BOM_Creak Pearl Reliability Fixture RFQ_2009 04 24_Pearl RFQ(Submittal)ver2_05_12_2009 _Leopard Lemur Squirrel UniBom-06.22.2010_EE cost _update_internal_Bolt RFQ Proposal_Foxlink_ (Pricing Summary) 2 25 2011 2 3" xfId="23245"/>
    <cellStyle name="好_Creek Assembly Fixture  Test Equipment RFQ_20090427_Leopard_UniBOM_ME_0602_Bolt RFQ_Foxlink_03.1 2011_Bolt_Cliff" xfId="23246"/>
    <cellStyle name="差_Creak Pearl Reliability Fixture RFQ_2009 04 24_Creek  Pearl RFQ_May 12_Squirrel RFQ ME BOM Costs-0623_Bolt RFQ_Foxlink_03.1 2011_nego meeting@MACH 4" xfId="23247"/>
    <cellStyle name="差_Creak Pearl Reliability Fixture RFQ_2009 04 24_Pearl RFQ(Submittal)ver2_05_12_2009 _Leopard_UniBOM_ME_0602_Bolt RFQ_Foxlink_03.1 2011 4" xfId="23248"/>
    <cellStyle name="好_Creek Assembly Fixture  Test Equipment RFQ_20090427_Leopard_UniBOM_ME_0602_Bolt RFQ_Foxlink_03.1 2011_Bolt_Cliff 2" xfId="23249"/>
    <cellStyle name="好_Creek Assembly Fixture  Test Equipment RFQ_20090427_Leopard_UniBOM_ME_0602_Bolt RFQ_Foxlink_03.1 2011_Bolt_Cliff 3 2" xfId="23250"/>
    <cellStyle name="差_Creak Pearl Reliability Fixture RFQ_2009 04 24_Creek  Pearl RFQ_May 12_Foxlink_Shadow RFQ NREUni BOM_12032009_Bolt RFQ_Foxlink_03.1 2011_nego meeting@MACH" xfId="23251"/>
    <cellStyle name="好_Creek Assembly Fixture  Test Equipment RFQ_20090427_Leopard_UniBOM_ME_0602_Bolt RFQ_Foxlink_03.1 2011_Bolt_Cliff 3 3" xfId="23252"/>
    <cellStyle name="好_Creek Assembly Fixture  Test Equipment RFQ_20090427_Leopard_UniBOM_ME_0602_Bolt RFQ_Foxlink_03.1 2011_Bolt_Cliff 4" xfId="23253"/>
    <cellStyle name="好_Creek Assembly Fixture  Test Equipment RFQ_20090427_Leopard_UniBOM_ME_0602_Bolt RFQ_Foxlink_03.1 2011_Bolt_Cliff 5" xfId="23254"/>
    <cellStyle name="差_HP Mouse 產能評估(Forecast更改後)_Erie 效益分析 (Update)_Flow Chart&amp;設備治工具清單 _Jackson 效益分析 (2-1 B0 上系統)_squirrel效益分析08-17" xfId="23255"/>
    <cellStyle name="好_Creek Assembly Fixture  Test Equipment RFQ_20090427_Leopard_UniBOM_ME_0602_Bolt RFQ_Foxlink_03.1 2011_Bolt_Cliff 5 2" xfId="23256"/>
    <cellStyle name="好_Creek Assembly Fixture  Test Equipment RFQ_20090427_Leopard_UniBOM_ME_0602_Bolt RFQ_Foxlink_03.1 2011_Bolt_Cliff 5 3" xfId="23257"/>
    <cellStyle name="好_Creek Assembly Fixture  Test Equipment RFQ_20090427_Leopard_UniBOM_ME_0602_Bolt RFQ_Foxlink_03.1 2011_Bolt_Cliff 7" xfId="23258"/>
    <cellStyle name="差_Creak Pearl Reliability Fixture RFQ_2009 04 24_Pearl RFQ(Submittal)ver2_05_12_2009 _Leopard_UniBOM_ME_0602_Bolt RFQ Proposal_Foxlink_ (Pricing Summary) 2 25 2011 4" xfId="23259"/>
    <cellStyle name="好_Creek Assembly Fixture  Test Equipment RFQ_20090427_Leopard_UniBOM_ME_0602_Bolt RFQ_Foxlink_03.1 2011_nego meeting@MACH 3 2" xfId="23260"/>
    <cellStyle name="差_Creak Pearl Reliability Fixture RFQ_2009 04 24_Pearl RFQ(Submittal)ver2_05_12_2009 _Leopard_UniBOM_ME_0602_Bolt RFQ Proposal_Foxlink_ (Pricing Summary) 2 25 2011 5" xfId="23261"/>
    <cellStyle name="差_Creak Pearl Reliability Fixture RFQ_2009 04 24_Creek  Pearl RFQ_May 12_Leopard UniBom-06 22 2010_update_internal" xfId="23262"/>
    <cellStyle name="好_Creek Assembly Fixture  Test Equipment RFQ_20090427_Leopard_UniBOM_ME_0602_Bolt RFQ_Foxlink_03.1 2011_nego meeting@MACH 3 3" xfId="23263"/>
    <cellStyle name="好_Creek Assembly Fixture  Test Equipment RFQ_20090427_Leopard_UniBOM_ME_0602_Bolt RFQ_Foxlink_03.1 2011_nego meeting@MACH_Bolt_Cliff" xfId="23264"/>
    <cellStyle name="好_Creek Assembly Fixture  Test Equipment RFQ_20090427_Leopard_UniBOM_ME_0602_Bolt RFQ_Foxlink_03.1 2011_nego meeting@MACH_Bolt_Cliff 2" xfId="23265"/>
    <cellStyle name="好_Creek Assembly Fixture  Test Equipment RFQ_20090427_Leopard_UniBOM_ME_0602_Bolt RFQ_Foxlink_03.1 2011_nego meeting@MACH_Bolt_Cliff 2 4" xfId="23266"/>
    <cellStyle name="好_Creek Assembly Fixture  Test Equipment RFQ_20090427_Leopard_UniBOM_ME_0602_Bolt RFQ_Foxlink_03.1 2011_nego meeting@MACH_Bolt_Cliff 3 3" xfId="23267"/>
    <cellStyle name="好_Creek EE BOM cost_20090425_Bolt RFQ Proposal_Foxlink_ (Pricing Summary) 2 25 2011 5" xfId="23268"/>
    <cellStyle name="好_Creek Assembly Fixture  Test Equipment RFQ_20090427_Leopard_UniBOM_ME_0602_Bolt RFQ_Foxlink_03.1 2011_nego meeting@MACH_Bolt_Cliff 4 2" xfId="23269"/>
    <cellStyle name="好_Creek EE BOM cost_20090425_Bolt RFQ Proposal_Foxlink_ (Pricing Summary) 2 25 2011 6" xfId="23270"/>
    <cellStyle name="好_Creek Assembly Fixture  Test Equipment RFQ_20090427_Leopard_UniBOM_ME_0602_Bolt RFQ_Foxlink_03.1 2011_nego meeting@MACH_Bolt_Cliff 4 3" xfId="23271"/>
    <cellStyle name="好_Creek Assembly Fixture  Test Equipment RFQ_20090427_Leopard_UniBOM_ME_0602_Bolt RFQ_Foxlink_03.1 2011_nego meeting@MACH_Bolt_Cliff 5" xfId="23272"/>
    <cellStyle name="差_pq_Jackson 效益分析 testing update_16th Jan111_Jackson 效益分析 (2-1 B0 上系統)_Leopard Flowchart &amp; 產能評估" xfId="23273"/>
    <cellStyle name="好_Creek Assembly Fixture  Test Equipment RFQ_20090427_Leopard_UniBOM_ME_0602_Bolt RFQ_Foxlink_03.1 2011_nego meeting@MACH_Bolt_Cliff 5 2" xfId="23274"/>
    <cellStyle name="好_Creek Assembly Fixture  Test Equipment RFQ_20090427_Leopard_UniBOM_ME_0602_Bolt RFQ_Foxlink_03.1 2011_nego meeting@MACH_Bolt_Cliff 5 3" xfId="23275"/>
    <cellStyle name="好_Creek Assembly Fixture  Test Equipment RFQ_20090427_Leopard_UniBOM_ME_0602_Bolt RFQ_Foxlink_03.1 2011_nego meeting@MACH_Bolt_Cliff 6" xfId="23276"/>
    <cellStyle name="好_Creek Assembly Fixture  Test Equipment RFQ_20090427_Leopard_UniBOM_ME_0602_Bolt RFQ_Foxlink_03.1 2011_nego meeting@MACH_Bolt_Cliff 7" xfId="23277"/>
    <cellStyle name="好_Creek Assembly Fixture  Test Equipment RFQ_20090427_Leopard_UniBOM_ME_0602_Bolt_Cliff" xfId="23278"/>
    <cellStyle name="好_Creek Assembly Fixture  Test Equipment RFQ_20090427_Leopard_UniBOM_ME_0602_Bolt_Cliff 2" xfId="23279"/>
    <cellStyle name="好_Creek Assembly Fixture  Test Equipment RFQ_20090427_Leopard_UniBOM_ME_0602_Bolt_Cliff 2 2" xfId="23280"/>
    <cellStyle name="好_Creek Assembly Fixture  Test Equipment RFQ_20090427_Leopard_UniBOM_ME_0602_Bolt_Cliff 2 2 3" xfId="23281"/>
    <cellStyle name="差_jupite r設備&amp;治工具LIST (總)_Dallas flow chart&amp;設備&amp;治工具清單(12-8 A0)_~5631336_Jackson 效益分析 (2-1 B0 上系統)_Leopard Flowchart &amp; 產能評估" xfId="23282"/>
    <cellStyle name="差_F3   SMT設備明細_M1 SuedeFixtureEquipment Cost_A0_2010_10_15 2 2" xfId="23283"/>
    <cellStyle name="好_Creek Assembly Fixture  Test Equipment RFQ_20090427_Leopard_UniBOM_ME_0602_Bolt_Cliff 2 3" xfId="23284"/>
    <cellStyle name="好_Creek Assembly Fixture  Test Equipment RFQ_20090427_Leopard_UniBOM_ME_0602_Bolt_Cliff 3" xfId="23285"/>
    <cellStyle name="好_River EE BOM_Xl0000000_Bolt RFQ Proposal_Foxlink_ (Pricing Summary) 2 25 2011 3" xfId="23286"/>
    <cellStyle name="好_Creek Assembly Fixture  Test Equipment RFQ_20090427_Leopard_UniBOM_ME_0602_Bolt_Cliff 3 2" xfId="23287"/>
    <cellStyle name="好_Creek Assembly Fixture  Test Equipment RFQ_20090427_Leopard_UniBOM_ME_0602_Bolt_Cliff 4 2" xfId="23288"/>
    <cellStyle name="好_Creek Assembly Fixture  Test Equipment RFQ_20090427_Leopard_UniBOM_ME_0602_Bolt_Cliff 4 3" xfId="23289"/>
    <cellStyle name="差_Erie Trial run  QA Report-1105_Dolce   QA Report 2010_0902 (A3)_~7519239" xfId="23290"/>
    <cellStyle name="好_Erie Assembly Fixture  Test Equip Cost_20090716_Foxlink_Shadow RFQ NREUni BOM_12032009_Wedge_ME_BOM-v00-11v0630 2" xfId="23291"/>
    <cellStyle name="好_Creek Assembly Fixture  Test Equipment RFQ_20090427_Leopard_UniBOM_ME_0602_Bolt_Cliff 5" xfId="23292"/>
    <cellStyle name="好_Erie Assembly Fixture  Test Equip Cost_20090716_Foxlink_Shadow RFQ NREUni BOM_12032009_Wedge_ME_BOM-v00-11v0630 2 2" xfId="23293"/>
    <cellStyle name="好_Creek Assembly Fixture  Test Equipment RFQ_20090427_Leopard_UniBOM_ME_0602_Bolt_Cliff 5 2" xfId="23294"/>
    <cellStyle name="好_Creek Assembly Fixture  Test Equipment RFQ_20090427_Leopard_UniBOM_ME_0602_Bolt_Cliff 6" xfId="23295"/>
    <cellStyle name="好_Creek Assembly Fixture  Test Equipment RFQ_20090427_Leopard_UniBOM_ME_0602_Bolt_Cliff 7" xfId="23296"/>
    <cellStyle name="好_Creek Assembly Fixture  Test Equipment RFQ_20090427_Leopard_UniBOM_ME_0602-1 2" xfId="23297"/>
    <cellStyle name="好_Creek Assembly Fixture  Test Equipment RFQ_20090427_Leopard_UniBOM_ME_0602-1 2 2 2" xfId="23298"/>
    <cellStyle name="好_Creek Assembly Fixture  Test Equipment RFQ_20090427_Leopard_UniBOM_ME_0602-1 2 3" xfId="23299"/>
    <cellStyle name="好_Creek Assembly Fixture  Test Equipment RFQ_20090427_Leopard_UniBOM_ME_0602-1 2 4" xfId="23300"/>
    <cellStyle name="差_Xl0000002 2 2" xfId="23301"/>
    <cellStyle name="好_Creek Assembly Fixture  Test Equipment RFQ_20090427_Leopard_UniBOM_ME_0602-1 3 2" xfId="23302"/>
    <cellStyle name="差_Xl0000002 2 3" xfId="23303"/>
    <cellStyle name="好_Creek Assembly Fixture  Test Equipment RFQ_20090427_Leopard_UniBOM_ME_0602-1 3 3" xfId="23304"/>
    <cellStyle name="差_Creek RFQ feedback 04_28_2009_FD Update_Leopard_UniBOM_ME_0531_Bolt RFQ_Foxlink_03.1 2011_nego meeting@MACH 2" xfId="23305"/>
    <cellStyle name="好_Creek Assembly Fixture  Test Equipment RFQ_20090427_Leopard_UniBOM_ME_0602-1_Bolt RFQ Proposal_Foxlink_ (Pricing Summary) 2 25 2011" xfId="23306"/>
    <cellStyle name="差_Creek RFQ feedback 04_28_2009_FD Update_Leopard_UniBOM_ME_0531_Bolt RFQ_Foxlink_03.1 2011_nego meeting@MACH 2 2" xfId="23307"/>
    <cellStyle name="好_Creek Assembly Fixture  Test Equipment RFQ_20090427_Leopard_UniBOM_ME_0602-1_Bolt RFQ Proposal_Foxlink_ (Pricing Summary) 2 25 2011 2" xfId="23308"/>
    <cellStyle name="差_Creek RFQ feedback 04_28_2009_FD Update_Leopard_UniBOM_ME_0531_Bolt RFQ_Foxlink_03.1 2011_nego meeting@MACH 2 3" xfId="23309"/>
    <cellStyle name="差_pq_效益分析(總 12-28 Update)_~1159284" xfId="23310"/>
    <cellStyle name="好_Creek Assembly Fixture  Test Equipment RFQ_20090427_Leopard_UniBOM_ME_0602-1_Bolt RFQ Proposal_Foxlink_ (Pricing Summary) 2 25 2011 3" xfId="23311"/>
    <cellStyle name="好_River EE BOM_Creak Pearl Reliability Fixture RFQ_2009 04 24_Squirrel UniBom-06 23 2010_update_internal" xfId="23312"/>
    <cellStyle name="好_Creek Assembly Fixture  Test Equipment RFQ_20090427_Leopard_UniBOM_ME_0602-1_Bolt RFQ Proposal_Foxlink_ (Pricing Summary) 2 25 2011 4" xfId="23313"/>
    <cellStyle name="好_Creek Assembly Fixture  Test Equipment RFQ_20090427_Leopard_UniBOM_ME_0602-1_Bolt RFQ Proposal_Foxlink_ (Pricing Summary) 2 25 2011 4 3" xfId="23314"/>
    <cellStyle name="好_Creek Assembly Fixture  Test Equipment RFQ_20090427_Leopard_UniBOM_ME_0602-1_Bolt RFQ Proposal_Foxlink_ (Pricing Summary) 2 25 2011 5" xfId="23315"/>
    <cellStyle name="好_Creek Assembly Fixture  Test Equipment RFQ_20090427_Leopard_UniBOM_ME_0602-1_Bolt RFQ Proposal_Foxlink_ (Pricing Summary) 2 25 2011 5 3" xfId="23316"/>
    <cellStyle name="差_F3   SMT設備明細_Flow chart and Fixture(1-4)_Jackson 效益分析 (2-1 B0 上系統)_Leopard效益分析08-17" xfId="23317"/>
    <cellStyle name="差_Creak Pearl Reliability Fixture RFQ_2009 04 24_Leopard_UniBOM_ME_0531_Bolt RFQ Proposal_Foxlink_ (Pricing Summary) 2 25 2011 5" xfId="23318"/>
    <cellStyle name="差_F3   SMT設備明細_jupite r設備&amp;治工具LIST (總)_pq_效益分析(總 12-28 Update)_Jackson 效益分析 (2-1 B0 上系統)_Leopard效益分析08-17" xfId="23319"/>
    <cellStyle name="好_Creek Assembly Fixture  Test Equipment RFQ_20090427_Leopard_UniBOM_ME_0602-1_Bolt RFQ Proposal_Foxlink_ (Pricing Summary) 2 25 2011 7" xfId="23320"/>
    <cellStyle name="好_Creek Assembly Fixture  Test Equipment RFQ_20090427_Leopard_UniBOM_ME_0602-1_Bolt RFQ_Foxlink_03.1 2011 2" xfId="23321"/>
    <cellStyle name="好_Creek Assembly Fixture  Test Equipment RFQ_20090427_Leopard_UniBOM_ME_0602-1_Bolt RFQ_Foxlink_03.1 2011 2 3" xfId="23322"/>
    <cellStyle name="好_Creek Assembly Fixture  Test Equipment RFQ_20090427_Leopard_UniBOM_ME_0602-1_Bolt RFQ_Foxlink_03.1 2011 3" xfId="23323"/>
    <cellStyle name="好_Creek Assembly Fixture  Test Equipment RFQ_20090427_Leopard_UniBOM_ME_0602-1_Bolt RFQ_Foxlink_03.1 2011 3 2" xfId="23324"/>
    <cellStyle name="好_Creek Assembly Fixture  Test Equipment RFQ_20090427_Leopard_UniBOM_ME_0602-1_Bolt RFQ_Foxlink_03.1 2011 4" xfId="23325"/>
    <cellStyle name="好_Creek Assembly Fixture  Test Equipment RFQ_20090427_Leopard_UniBOM_ME_0602-1_Bolt RFQ_Foxlink_03.1 2011_Bolt_Cliff" xfId="23326"/>
    <cellStyle name="好_Creek Assembly Fixture  Test Equipment RFQ_20090427_Leopard_UniBOM_ME_0602-1_Bolt RFQ_Foxlink_03.1 2011_Bolt_Cliff 2 2 3" xfId="23327"/>
    <cellStyle name="好_Creek Assembly Fixture  Test Equipment RFQ_20090427_Leopard_UniBOM_ME_0602-1_Bolt RFQ_Foxlink_03.1 2011_Bolt_Cliff 2 3" xfId="23328"/>
    <cellStyle name="好_Creek Assembly Fixture  Test Equipment RFQ_20090427_Leopard_UniBOM_ME_0602-1_Bolt RFQ_Foxlink_03.1 2011_Bolt_Cliff 2 4" xfId="23329"/>
    <cellStyle name="好_Creek Assembly Fixture  Test Equipment RFQ_20090427_Leopard_UniBOM_ME_0602-1_Bolt RFQ_Foxlink_03.1 2011_Bolt_Cliff 3" xfId="23330"/>
    <cellStyle name="好_Creek Assembly Fixture  Test Equipment RFQ_20090427_Leopard_UniBOM_ME_0602-1_Bolt RFQ_Foxlink_03.1 2011_Bolt_Cliff 3 2" xfId="23331"/>
    <cellStyle name="好_Creek Assembly Fixture  Test Equipment RFQ_20090427_Leopard_UniBOM_ME_0602-1_Bolt RFQ_Foxlink_03.1 2011_Bolt_Cliff 3 3" xfId="23332"/>
    <cellStyle name="好_Creek Assembly Fixture  Test Equipment RFQ_20090427_Leopard_UniBOM_ME_0602-1_Bolt RFQ_Foxlink_03.1 2011_Bolt_Cliff 4" xfId="23333"/>
    <cellStyle name="好_Creek Assembly Fixture  Test Equipment RFQ_20090427_Leopard_UniBOM_ME_0602-1_Bolt RFQ_Foxlink_03.1 2011_Bolt_Cliff 4 2" xfId="23334"/>
    <cellStyle name="好_Creek Assembly Fixture  Test Equipment RFQ_20090427_Leopard_UniBOM_ME_0602-1_Bolt RFQ_Foxlink_03.1 2011_Bolt_Cliff 4 3" xfId="23335"/>
    <cellStyle name="好_Creek Assembly Fixture  Test Equipment RFQ_20090427_Leopard_UniBOM_ME_0602-1_Bolt RFQ_Foxlink_03.1 2011_Bolt_Cliff 6" xfId="23336"/>
    <cellStyle name="差_Xl0000002_Leopard RFQ ME BOM Costs-0618 2 2 2" xfId="23337"/>
    <cellStyle name="好_Creek Assembly Fixture  Test Equipment RFQ_20090427_Leopard_UniBOM_ME_0602-1_Bolt RFQ_Foxlink_03.1 2011_Bolt_Cliff 7" xfId="23338"/>
    <cellStyle name="好_Creek Assembly Fixture  Test Equipment RFQ_20090427_Leopard_UniBOM_ME_0602-1_Bolt RFQ_Foxlink_03.1 2011_nego meeting@MACH 2" xfId="23339"/>
    <cellStyle name="差_jupite r設備&amp;治工具LIST (總)_pq_Jackson 效益分析 testing update_16th Jan1_Jackson 效益分析 (2-1 B0 上系統)_Leopard Flowchart &amp; 產能評估" xfId="23340"/>
    <cellStyle name="好_River EE BOM_Xl0000000_Leopard_UniBOM_ME_0603-2_Bolt RFQ Proposal_Foxlink_ (Pricing Summary) 2 25 2011 3 2" xfId="23341"/>
    <cellStyle name="好_Creek Assembly Fixture  Test Equipment RFQ_20090427_Leopard_UniBOM_ME_0602-1_Bolt RFQ_Foxlink_03.1 2011_nego meeting@MACH 2 3" xfId="23342"/>
    <cellStyle name="好_Creek Assembly Fixture  Test Equipment RFQ_20090427_Leopard_UniBOM_ME_0602-1_Bolt RFQ_Foxlink_03.1 2011_nego meeting@MACH 3" xfId="23343"/>
    <cellStyle name="差_jupite r設備&amp;治工具LIST (總)_Jackson 效益分析 testing update_16th Jan1_Jackson 效益分析 (2-1 B0 上系統)" xfId="23344"/>
    <cellStyle name="差_Creak Pearl Reliability Fixture RFQ_2009 04 24_Creek  Pearl RFQ_May 12_Leopard_UniBOM_ME_0531 2 2" xfId="23345"/>
    <cellStyle name="好_Creek Assembly Fixture  Test Equipment RFQ_20090427_Leopard_UniBOM_ME_0602-1_Bolt RFQ_Foxlink_03.1 2011_nego meeting@MACH 4" xfId="23346"/>
    <cellStyle name="差_Creak Pearl Reliability Fixture RFQ_2009 04 24_Creek  Pearl RFQ_May 12_Leopard_UniBOM_ME_0531 2 3" xfId="23347"/>
    <cellStyle name="好_Creek Assembly Fixture  Test Equipment RFQ_20090427_Leopard_UniBOM_ME_0602-1_Bolt RFQ_Foxlink_03.1 2011_nego meeting@MACH 5" xfId="23348"/>
    <cellStyle name="差_HP Mouse 產能評估(Forecast更改後)_Bolt RFQ Proposal_Foxlink_ (Pricing Summary) 2 25 2011 5 3" xfId="23349"/>
    <cellStyle name="好_River EE BOM_Creak Pearl Reliability Fixture RFQ_2009 04 24_Pearl RFQ(Submittal)ver2_05_12_2009 _Leopard RFQ ME BOM Costs-0618-2_Bolt RFQ Proposal_Foxlink_ (Pricing Summary) 2 25 2011 3 2" xfId="23350"/>
    <cellStyle name="好_Creek Assembly Fixture  Test Equipment RFQ_20090427_Leopard_UniBOM_ME_0602-1_Bolt RFQ_Foxlink_03.1 2011_nego meeting@MACH_Bolt_Cliff 2" xfId="23351"/>
    <cellStyle name="差_Creak Pearl Reliability Fixture RFQ_2009 04 24_Creek RFQ feedback 04_28_2009_FD Update_Leopard_UniBOM_ME_0602-1_Bolt RFQ_Foxlink_03.1 2011_nego meeting@MACH 5" xfId="23352"/>
    <cellStyle name="差_HP Mouse 產能評估(上系統)_MS Bolt wireless mouse FixtureEquipment Cost_A5_2010_02_21_Bolt RFQ Proposal_Foxlink_ (Pricing Summary) 2 25 2011 7" xfId="23353"/>
    <cellStyle name="好_Creek Assembly Fixture  Test Equipment RFQ_20090427_Leopard_UniBOM_ME_0602-1_Bolt RFQ_Foxlink_03.1 2011_nego meeting@MACH_Bolt_Cliff 2 2" xfId="23354"/>
    <cellStyle name="好_Creek Assembly Fixture  Test Equipment RFQ_20090427_Leopard_UniBOM_ME_0602-1_Bolt RFQ_Foxlink_03.1 2011_nego meeting@MACH_Bolt_Cliff 2 2 2" xfId="23355"/>
    <cellStyle name="好_Creek Assembly Fixture  Test Equipment RFQ_20090427_Leopard_UniBOM_ME_0602-1_Bolt RFQ_Foxlink_03.1 2011_nego meeting@MACH_Bolt_Cliff 2 2 3" xfId="23356"/>
    <cellStyle name="好_Creek Assembly Fixture  Test Equipment RFQ_20090427_Leopard_UniBOM_ME_0602-1_Bolt RFQ_Foxlink_03.1 2011_nego meeting@MACH_Bolt_Cliff 2 3" xfId="23357"/>
    <cellStyle name="好_Creek Assembly Fixture  Test Equipment RFQ_20090427_Leopard_UniBOM_ME_0602-1_Bolt RFQ_Foxlink_03.1 2011_nego meeting@MACH_Bolt_Cliff 2 4" xfId="23358"/>
    <cellStyle name="好_Creek Assembly Fixture  Test Equipment RFQ_20090427_Leopard_UniBOM_ME_0602-1_Bolt RFQ_Foxlink_03.1 2011_nego meeting@MACH_Bolt_Cliff 3" xfId="23359"/>
    <cellStyle name="差_Creek RFQ feedback 04_28_2009_FD Update_Leopard RFQ ME BOM Costs-0618-2_Bolt RFQ Proposal_Foxlink_ (Pricing Summary) 2 25 2011 2" xfId="23360"/>
    <cellStyle name="好_River EE BOM_Creak Pearl Reliability Fixture RFQ_2009 04 24_Pearl RFQ(Submittal)ver2_05_12_2009 _Leopard RFQ ME BOM Costs-0618-2_Bolt RFQ Proposal_Foxlink_ (Pricing Summary) 2 25 2011 3 3" xfId="23361"/>
    <cellStyle name="好_Creek Assembly Fixture  Test Equipment RFQ_20090427_Leopard_UniBOM_ME_0602-1_Bolt RFQ_Foxlink_03.1 2011_nego meeting@MACH_Bolt_Cliff 3 2" xfId="23362"/>
    <cellStyle name="差_Creek RFQ feedback 04_28_2009_FD Update_Leopard RFQ ME BOM Costs-0618-2_Bolt RFQ Proposal_Foxlink_ (Pricing Summary) 2 25 2011 2 2" xfId="23363"/>
    <cellStyle name="好_Creek Assembly Fixture  Test Equipment RFQ_20090427_Leopard_UniBOM_ME_0602-1_Bolt RFQ_Foxlink_03.1 2011_nego meeting@MACH_Bolt_Cliff 3 3" xfId="23364"/>
    <cellStyle name="差_Creek RFQ feedback 04_28_2009_FD Update_Leopard RFQ ME BOM Costs-0618-2_Bolt RFQ Proposal_Foxlink_ (Pricing Summary) 2 25 2011 2 3" xfId="23365"/>
    <cellStyle name="好_Creek Assembly Fixture  Test Equipment RFQ_20090427_Leopard_UniBOM_ME_0602-1_Bolt RFQ_Foxlink_03.1 2011_nego meeting@MACH_Bolt_Cliff 4 2" xfId="23366"/>
    <cellStyle name="差_Creek RFQ feedback 04_28_2009_FD Update_Leopard RFQ ME BOM Costs-0618-2_Bolt RFQ Proposal_Foxlink_ (Pricing Summary) 2 25 2011 3 2" xfId="23367"/>
    <cellStyle name="好_Creek Assembly Fixture  Test Equipment RFQ_20090427_Leopard_UniBOM_ME_0602-1_Bolt RFQ_Foxlink_03.1 2011_nego meeting@MACH_Bolt_Cliff 4 3" xfId="23368"/>
    <cellStyle name="差_Creek RFQ feedback 04_28_2009_FD Update_Leopard RFQ ME BOM Costs-0618-2_Bolt RFQ Proposal_Foxlink_ (Pricing Summary) 2 25 2011 3 3" xfId="23369"/>
    <cellStyle name="好_Creek Assembly Fixture  Test Equipment RFQ_20090427_Leopard_UniBOM_ME_0602-1_Bolt RFQ_Foxlink_03.1 2011_nego meeting@MACH_Bolt_Cliff 5 2" xfId="23370"/>
    <cellStyle name="差_Creek RFQ feedback 04_28_2009_FD Update_Leopard RFQ ME BOM Costs-0618-2_Bolt RFQ Proposal_Foxlink_ (Pricing Summary) 2 25 2011 4 2" xfId="23371"/>
    <cellStyle name="差_Xl0000000_Bolt RFQ_Foxlink_03.1 2011_nego meeting@MACH 3" xfId="23372"/>
    <cellStyle name="差_F3   SMT設備明細_Erie 效益分析 (Update)_Jackson 效益分析 testing update_16th Jan1_Jackson 效益分析 (2-1 B0 上系統)_Leopard Flowchart &amp; 產能評估" xfId="23373"/>
    <cellStyle name="好_Creek Assembly Fixture  Test Equipment RFQ_20090427_Leopard_UniBOM_ME_0602-1_Bolt RFQ_Foxlink_03.1 2011_nego meeting@MACH_Bolt_Cliff 6" xfId="23374"/>
    <cellStyle name="差_Creek RFQ feedback 04_28_2009_FD Update_Leopard RFQ ME BOM Costs-0618-2_Bolt RFQ Proposal_Foxlink_ (Pricing Summary) 2 25 2011 5" xfId="23375"/>
    <cellStyle name="好_Creek Assembly Fixture  Test Equipment RFQ_20090427_Leopard_UniBOM_ME_0602-1_Bolt_Cliff" xfId="23376"/>
    <cellStyle name="好_Creek Assembly Fixture  Test Equipment RFQ_20090427_Xl0000002_Foxlink_Shadow RFQ NREUni BOM_12032009_Bolt RFQ_Foxlink_03.1 2011_nego meeting@MACH 2" xfId="23377"/>
    <cellStyle name="好_MB9月管審換線超時8d_HP 5 2 3" xfId="23378"/>
    <cellStyle name="好_Creek Assembly Fixture  Test Equipment RFQ_20090427_Leopard_UniBOM_ME_0602-1_Bolt_Cliff 2" xfId="23379"/>
    <cellStyle name="好_Creek Assembly Fixture  Test Equipment RFQ_20090427_Xl0000002_Foxlink_Shadow RFQ NREUni BOM_12032009_Bolt RFQ_Foxlink_03.1 2011_nego meeting@MACH 2 2" xfId="23380"/>
    <cellStyle name="好_River EE BOM_Creek RFQ feedback 04_28_2009_FD Update_Leopard RFQ ME BOM Costs-0618" xfId="23381"/>
    <cellStyle name="好_River EE BOM_Creek RFQ feedback 04_28_2009_FD Update_Leopard RFQ ME BOM Costs-0623" xfId="23382"/>
    <cellStyle name="好_Creek Assembly Fixture  Test Equipment RFQ_20090427_Leopard_UniBOM_ME_0602-1_Bolt_Cliff 2 2" xfId="23383"/>
    <cellStyle name="好_Creek Assembly Fixture  Test Equipment RFQ_20090427_Leopard_UniBOM_ME_0602-1_Bolt_Cliff 2 3" xfId="23384"/>
    <cellStyle name="好_Creek Assembly Fixture  Test Equipment RFQ_20090427_Leopard_UniBOM_ME_0602-1_Bolt_Cliff 3" xfId="23385"/>
    <cellStyle name="好_Creek Assembly Fixture  Test Equipment RFQ_20090427_Xl0000002_Foxlink_Shadow RFQ NREUni BOM_12032009_Bolt RFQ_Foxlink_03.1 2011_nego meeting@MACH 2 3" xfId="23386"/>
    <cellStyle name="好_Creek Assembly Fixture  Test Equipment RFQ_20090427_Leopard_UniBOM_ME_0602-1_Bolt_Cliff 3 2" xfId="23387"/>
    <cellStyle name="差_Creak Pearl Reliability Fixture RFQ_2009 04 24_Creek  Pearl RFQ_May 12_Foxlink_Shadow RFQ NREUni BOM_12032009_Bolt RFQ_Foxlink_03.1 2011" xfId="23388"/>
    <cellStyle name="好_Creek Assembly Fixture  Test Equipment RFQ_20090427_Leopard_UniBOM_ME_0602-1_Bolt_Cliff 3 3" xfId="23389"/>
    <cellStyle name="好_Creek Assembly Fixture  Test Equipment RFQ_20090427_Leopard_UniBOM_ME_0602-1_Bolt_Cliff 4" xfId="23390"/>
    <cellStyle name="好_River EE BOM_Creak Pearl Reliability Fixture RFQ_2009 04 24_Leopard RFQ ME BOM Costs-0618-2 2 4" xfId="23391"/>
    <cellStyle name="好_Creek Assembly Fixture  Test Equipment RFQ_20090427_Leopard_UniBOM_ME_0602-1_Bolt_Cliff 4 2" xfId="23392"/>
    <cellStyle name="好_Creek Assembly Fixture  Test Equipment RFQ_20090427_Leopard_UniBOM_ME_0602-1_Bolt_Cliff 4 3" xfId="23393"/>
    <cellStyle name="好_Creek Assembly Fixture  Test Equipment RFQ_20090427_Leopard_UniBOM_ME_0602-1_Bolt_Cliff 5" xfId="23394"/>
    <cellStyle name="好_Creek EE BOM cost_20090425_Squirrel RFQ ME BOM Costs-0623_Bolt RFQ_Foxlink_03.1 2011 2 3" xfId="23395"/>
    <cellStyle name="好_Creek Assembly Fixture  Test Equipment RFQ_20090427_Leopard_UniBOM_ME_0602-1_Bolt_Cliff 5 2" xfId="23396"/>
    <cellStyle name="差_F3   SMT設備明細_jupite r設備&amp;治工具LIST (總)_Dallas效益分析&amp;投資回收期 (12-2 A1)_Flow Chart&amp;設備治工具清單 _squirrel效益分析08-17" xfId="23397"/>
    <cellStyle name="好_Creek Assembly Fixture  Test Equipment RFQ_20090427_Leopard_UniBOM_ME_0602-1_Bolt_Cliff 5 3" xfId="23398"/>
    <cellStyle name="好_Creek Assembly Fixture  Test Equipment RFQ_20090427_Leopard_UniBOM_ME_0602-1_Bolt_Cliff 6" xfId="23399"/>
    <cellStyle name="好_Creek Assembly Fixture  Test Equipment RFQ_20090427_Leopard_UniBOM_ME_0603-2 2 2" xfId="23400"/>
    <cellStyle name="好_Creek Assembly Fixture  Test Equipment RFQ_20090427_Leopard_UniBOM_ME_0603-2 2 2 3" xfId="23401"/>
    <cellStyle name="好_Creek Assembly Fixture  Test Equipment RFQ_20090427_Leopard_UniBOM_ME_0603-2 2 3" xfId="23402"/>
    <cellStyle name="好_Creek Assembly Fixture  Test Equipment RFQ_20090427_Leopard_UniBOM_ME_0603-2 2 4" xfId="23403"/>
    <cellStyle name="好_Creek Assembly Fixture  Test Equipment RFQ_20090427_Leopard_UniBOM_ME_0603-2 3 3" xfId="23404"/>
    <cellStyle name="好_Creek Assembly Fixture  Test Equipment RFQ_20090427_Leopard_UniBOM_ME_0603-2_Bolt RFQ Proposal_Foxlink_ (Pricing Summary) 2 25 2011" xfId="23405"/>
    <cellStyle name="好_Creek Assembly Fixture  Test Equipment RFQ_20090427_Leopard_UniBOM_ME_0603-2_Bolt RFQ Proposal_Foxlink_ (Pricing Summary) 2 25 2011 2 2 2" xfId="23406"/>
    <cellStyle name="好_Creek Assembly Fixture  Test Equipment RFQ_20090427_Leopard_UniBOM_ME_0603-2_Bolt RFQ Proposal_Foxlink_ (Pricing Summary) 2 25 2011 2 3" xfId="23407"/>
    <cellStyle name="好_Creek Assembly Fixture  Test Equipment RFQ_20090427_Leopard_UniBOM_ME_0603-2_Bolt RFQ Proposal_Foxlink_ (Pricing Summary) 2 25 2011 2 4" xfId="23408"/>
    <cellStyle name="好_Creek Assembly Fixture  Test Equipment RFQ_20090427_Leopard_UniBOM_ME_0603-2_Bolt RFQ Proposal_Foxlink_ (Pricing Summary) 2 25 2011 3 3" xfId="23409"/>
    <cellStyle name="好_River EE BOM_Creak Pearl Reliability Fixture RFQ_2009 04 24_Creek  Pearl RFQ_May 12_Leopard_UniBOM_ME_0602-1_Bolt RFQ Proposal_Foxlink_ (Pricing Summary) 2 25 2011 3 2" xfId="23410"/>
    <cellStyle name="好_Creek Assembly Fixture  Test Equipment RFQ_20090427_Leopard_UniBOM_ME_0603-2_Bolt RFQ Proposal_Foxlink_ (Pricing Summary) 2 25 2011 4" xfId="23411"/>
    <cellStyle name="好_Creek Assembly Fixture  Test Equipment RFQ_20090427_Leopard_UniBOM_ME_0603-2_Bolt RFQ Proposal_Foxlink_ (Pricing Summary) 2 25 2011 4 2" xfId="23412"/>
    <cellStyle name="差_HP  專案(設備&amp;治工具需夠買)update_Erie 效益分析 (Update)_Flow Chart&amp;設備治工具清單 _squirrel效益分析08-17" xfId="23413"/>
    <cellStyle name="好_Creek Assembly Fixture  Test Equipment RFQ_20090427_Leopard_UniBOM_ME_0603-2_Bolt RFQ Proposal_Foxlink_ (Pricing Summary) 2 25 2011 4 3" xfId="23414"/>
    <cellStyle name="好_River EE BOM_Creak Pearl Reliability Fixture RFQ_2009 04 24_Creek  Pearl RFQ_May 12_Leopard_UniBOM_ME_0602-1_Bolt RFQ Proposal_Foxlink_ (Pricing Summary) 2 25 2011 3 3" xfId="23415"/>
    <cellStyle name="好_Creek Assembly Fixture  Test Equipment RFQ_20090427_Leopard_UniBOM_ME_0603-2_Bolt RFQ Proposal_Foxlink_ (Pricing Summary) 2 25 2011 5" xfId="23416"/>
    <cellStyle name="好_Creek Assembly Fixture  Test Equipment RFQ_20090427_Leopard_UniBOM_ME_0603-2_Bolt RFQ Proposal_Foxlink_ (Pricing Summary) 2 25 2011 5 2" xfId="23417"/>
    <cellStyle name="好_Creek Assembly Fixture  Test Equipment RFQ_20090427_Leopard_UniBOM_ME_0603-2_Bolt RFQ Proposal_Foxlink_ (Pricing Summary) 2 25 2011 6" xfId="23418"/>
    <cellStyle name="好_Creek Assembly Fixture  Test Equipment RFQ_20090427_Leopard_UniBOM_ME_0603-2_Bolt RFQ Proposal_Foxlink_ (Pricing Summary) 2 25 2011 7" xfId="23419"/>
    <cellStyle name="好_River EE BOM_Xl0000002_Jackson NRE Uni BOM_update _05072010 rev K" xfId="23420"/>
    <cellStyle name="好_Creek Assembly Fixture  Test Equipment RFQ_20090427_Leopard_UniBOM_ME_0603-2_Bolt RFQ_Foxlink_03.1 2011" xfId="23421"/>
    <cellStyle name="好_Creek Assembly Fixture  Test Equipment RFQ_20090427_Leopard_UniBOM_ME_0603-2_Bolt RFQ_Foxlink_03.1 2011 2" xfId="23422"/>
    <cellStyle name="好_Creek Assembly Fixture  Test Equipment RFQ_20090427_Leopard_UniBOM_ME_0603-2_Bolt RFQ_Foxlink_03.1 2011 2 2" xfId="23423"/>
    <cellStyle name="差_Creak Pearl Reliability Fixture RFQ_2009 04 24_Creek  Pearl RFQ_May 12_Squirrel RFQ ME BOM Costs-0623_Bolt RFQ_Foxlink_03.1 2011_nego meeting@MACH 2 2" xfId="23424"/>
    <cellStyle name="差_Creak Pearl Reliability Fixture RFQ_2009 04 24_Pearl RFQ(Submittal)ver2_05_12_2009 _Leopard_UniBOM_ME_0602_Bolt RFQ_Foxlink_03.1 2011 2 2" xfId="23425"/>
    <cellStyle name="好_Creek Assembly Fixture  Test Equipment RFQ_20090427_Leopard_UniBOM_ME_0603-2_Bolt RFQ_Foxlink_03.1 2011 2 3" xfId="23426"/>
    <cellStyle name="好_River EE BOM_Creak Pearl Reliability Fixture RFQ_2009 04 24_Xl0000002_Leopard_UniBOM_ME_0602_Bolt RFQ Proposal_Foxlink_ (Pricing Summary) 2 25 2011" xfId="23427"/>
    <cellStyle name="差_Creak Pearl Reliability Fixture RFQ_2009 04 24_Xl0000002_Bolt RFQ Proposal_Foxlink_ (Pricing Summary) 2 25 2011 5 2" xfId="23428"/>
    <cellStyle name="好_Creek Assembly Fixture  Test Equipment RFQ_20090427_Leopard_UniBOM_ME_0603-2_Bolt RFQ_Foxlink_03.1 2011 3" xfId="23429"/>
    <cellStyle name="好_Creek Assembly Fixture  Test Equipment RFQ_20090427_Leopard_UniBOM_ME_0603-2_Bolt RFQ_Foxlink_03.1 2011 3 2" xfId="23430"/>
    <cellStyle name="差_Creak Pearl Reliability Fixture RFQ_2009 04 24_Creek  Pearl RFQ_May 12_Squirrel RFQ ME BOM Costs-0623_Bolt RFQ_Foxlink_03.1 2011_nego meeting@MACH 3 2" xfId="23431"/>
    <cellStyle name="差_Creak Pearl Reliability Fixture RFQ_2009 04 24_Pearl RFQ(Submittal)ver2_05_12_2009 _Leopard_UniBOM_ME_0602_Bolt RFQ_Foxlink_03.1 2011 3 2" xfId="23432"/>
    <cellStyle name="好_Creek Assembly Fixture  Test Equipment RFQ_20090427_Leopard_UniBOM_ME_0603-2_Bolt RFQ_Foxlink_03.1 2011 3 3" xfId="23433"/>
    <cellStyle name="好_Creek Assembly Fixture  Test Equipment RFQ_20090427_Leopard_UniBOM_ME_0603-2_Bolt RFQ_Foxlink_03.1 2011 5" xfId="23434"/>
    <cellStyle name="好_Creek Assembly Fixture  Test Equipment RFQ_20090427_Leopard_UniBOM_ME_0603-2_Bolt RFQ_Foxlink_03.1 2011_Bolt_Cliff" xfId="23435"/>
    <cellStyle name="好_Creek Assembly Fixture  Test Equipment RFQ_20090427_Leopard_UniBOM_ME_0603-2_Bolt RFQ_Foxlink_03.1 2011_Bolt_Cliff 2" xfId="23436"/>
    <cellStyle name="好_Creek Assembly Fixture  Test Equipment RFQ_20090427_Leopard_UniBOM_ME_0603-2_Bolt RFQ_Foxlink_03.1 2011_Bolt_Cliff 2 2" xfId="23437"/>
    <cellStyle name="好_Creek Assembly Fixture  Test Equipment RFQ_20090427_Leopard_UniBOM_ME_0603-2_Bolt RFQ_Foxlink_03.1 2011_Bolt_Cliff 2 3" xfId="23438"/>
    <cellStyle name="差_Xl0000002_Leopard RFQ ME BOM Costs-0618_Bolt RFQ Proposal_Foxlink_ (Pricing Summary) 2 25 2011 3 2" xfId="23439"/>
    <cellStyle name="好_River EE BOM_Xl0000002_Leopard RFQ ME BOM Costs-0618_Bolt RFQ_Foxlink_03.1 2011 3 2" xfId="23440"/>
    <cellStyle name="好_Creek Assembly Fixture  Test Equipment RFQ_20090427_Leopard_UniBOM_ME_0603-2_Bolt RFQ_Foxlink_03.1 2011_Bolt_Cliff 2 4" xfId="23441"/>
    <cellStyle name="好_Creek Assembly Fixture  Test Equipment RFQ_20090427_Leopard_UniBOM_ME_0603-2_Bolt RFQ_Foxlink_03.1 2011_Bolt_Cliff 3 2" xfId="23442"/>
    <cellStyle name="差_Creek RFQ feedback 04_28_2009_FD Update_Leopard_UniBOM_ME_0602-1" xfId="23443"/>
    <cellStyle name="好_Creek Assembly Fixture  Test Equipment RFQ_20090427_Leopard_UniBOM_ME_0603-2_Bolt RFQ_Foxlink_03.1 2011_Bolt_Cliff 3 3" xfId="23444"/>
    <cellStyle name="好_Creek Assembly Fixture  Test Equipment RFQ_20090427_Leopard_UniBOM_ME_0603-2_Bolt RFQ_Foxlink_03.1 2011_Bolt_Cliff 4" xfId="23445"/>
    <cellStyle name="好_Creek Assembly Fixture  Test Equipment RFQ_20090427_Leopard_UniBOM_ME_0603-2_Bolt RFQ_Foxlink_03.1 2011_Bolt_Cliff 4 2" xfId="23446"/>
    <cellStyle name="好_Creek Assembly Fixture  Test Equipment RFQ_20090427_Leopard_UniBOM_ME_0603-2_Bolt RFQ_Foxlink_03.1 2011_Bolt_Cliff 4 3" xfId="23447"/>
    <cellStyle name="好_Erie 效益分析 (Update)_Jackson 效益分析 testing update_16th Jan111_Jackson 效益分析 (2-1 B0 上系統)_Leopard效益分析08-17" xfId="23448"/>
    <cellStyle name="好_Creek Assembly Fixture  Test Equipment RFQ_20090427_Leopard_UniBOM_ME_0603-2_Bolt RFQ_Foxlink_03.1 2011_Bolt_Cliff 5" xfId="23449"/>
    <cellStyle name="差_Creak Pearl Reliability Fixture RFQ_2009 04 24_Pearl RFQ(Submittal)ver2_05_12_2009 _Leopard_UniBOM_ME_0603-2_Bolt RFQ Proposal_Foxlink_ (Pricing Summary) 2 25 2011" xfId="23450"/>
    <cellStyle name="好_Creek Assembly Fixture  Test Equipment RFQ_20090427_Leopard_UniBOM_ME_0603-2_Bolt RFQ_Foxlink_03.1 2011_Bolt_Cliff 5 3" xfId="23451"/>
    <cellStyle name="好_Creek Assembly Fixture  Test Equipment RFQ_20090427_Leopard_UniBOM_ME_0603-2_Bolt RFQ_Foxlink_03.1 2011_Bolt_Cliff 6" xfId="23452"/>
    <cellStyle name="好_Creek Assembly Fixture  Test Equipment RFQ_20090427_Leopard_UniBOM_ME_0603-2_Bolt RFQ_Foxlink_03.1 2011_Bolt_Cliff 7" xfId="23453"/>
    <cellStyle name="好_Creek Assembly Fixture  Test Equipment RFQ_20090427_Leopard_UniBOM_ME_0603-2_Bolt RFQ_Foxlink_03.1 2011_nego meeting@MACH 2 2" xfId="23454"/>
    <cellStyle name="好_Creek Assembly Fixture  Test Equipment RFQ_20090427_Leopard_UniBOM_ME_0603-2_Bolt RFQ_Foxlink_03.1 2011_nego meeting@MACH 2 3" xfId="23455"/>
    <cellStyle name="差_Creak Pearl Reliability Fixture RFQ_2009 04 24_Pearl RFQ(Submittal)ver2_05_12_2009 _Squirrel RFQ ME BOM Costs-0623_Bolt RFQ Proposal_Foxlink_ (Pricing Summary) 2 25 2011" xfId="23456"/>
    <cellStyle name="壞_Creek Assembly Fixture  Test Equipment RFQ_20090427_Leopard RFQ ME BOM Costs-0618_Bolt RFQ_Foxlink_03.1 2011_nego meeting@MACH 4" xfId="23457"/>
    <cellStyle name="好_Creek Assembly Fixture  Test Equipment RFQ_20090427_Leopard_UniBOM_ME_0603-2_Bolt RFQ_Foxlink_03.1 2011_nego meeting@MACH 3 2" xfId="23458"/>
    <cellStyle name="好_Creek Assembly Fixture  Test Equipment RFQ_20090427_Leopard_UniBOM_ME_0603-2_Bolt_Cliff 2" xfId="23459"/>
    <cellStyle name="好_效益分析&amp;產能評估_MS Bolt wireless mouse FixtureEquipment Cost_A5_2010_02_21_Bolt RFQ Proposal_Foxlink_ (Pricing Summary) 2 25 2011 4" xfId="23460"/>
    <cellStyle name="好_Creek Assembly Fixture  Test Equipment RFQ_20090427_Leopard_UniBOM_ME_0603-2_Bolt_Cliff 2 2" xfId="23461"/>
    <cellStyle name="好_效益分析&amp;產能評估_MS Bolt wireless mouse FixtureEquipment Cost_A5_2010_02_21_Bolt RFQ Proposal_Foxlink_ (Pricing Summary) 2 25 2011 4 2" xfId="23462"/>
    <cellStyle name="好_Creek Assembly Fixture  Test Equipment RFQ_20090427_Leopard_UniBOM_ME_0603-2_Bolt_Cliff 2 2 2" xfId="23463"/>
    <cellStyle name="好_Creek Assembly Fixture  Test Equipment RFQ_20090427_Leopard_UniBOM_ME_0603-2_Bolt_Cliff 2 2 3" xfId="23464"/>
    <cellStyle name="好_Creek Assembly Fixture  Test Equipment RFQ_20090427_Leopard_UniBOM_ME_0603-2_Bolt_Cliff 2 3" xfId="23465"/>
    <cellStyle name="好_效益分析&amp;產能評估_MS Bolt wireless mouse FixtureEquipment Cost_A5_2010_02_21_Bolt RFQ Proposal_Foxlink_ (Pricing Summary) 2 25 2011 4 3" xfId="23466"/>
    <cellStyle name="好_Creek Assembly Fixture  Test Equipment RFQ_20090427_Leopard_UniBOM_ME_0603-2_Bolt_Cliff 2 4" xfId="23467"/>
    <cellStyle name="好_Creek Assembly Fixture  Test Equipment RFQ_20090427_Leopard_UniBOM_ME_0603-2_Bolt_Cliff 3 2" xfId="23468"/>
    <cellStyle name="好_效益分析&amp;產能評估_MS Bolt wireless mouse FixtureEquipment Cost_A5_2010_02_21_Bolt RFQ Proposal_Foxlink_ (Pricing Summary) 2 25 2011 5 2" xfId="23469"/>
    <cellStyle name="好_Creek Assembly Fixture  Test Equipment RFQ_20090427_Leopard_UniBOM_ME_0603-2_Bolt_Cliff 3 3" xfId="23470"/>
    <cellStyle name="好_Creek EE BOM cost_20090425_Creek RFQ feedback 04_28_2009_FD Update_Leopard RFQ ME BOM Costs-0618_Bolt RFQ_Foxlink_03.1 2011" xfId="23471"/>
    <cellStyle name="好_效益分析&amp;產能評估_MS Bolt wireless mouse FixtureEquipment Cost_A5_2010_02_21_Bolt RFQ Proposal_Foxlink_ (Pricing Summary) 2 25 2011 5 3" xfId="23472"/>
    <cellStyle name="好_Creek Assembly Fixture  Test Equipment RFQ_20090427_Leopard_UniBOM_ME_0603-2_Bolt_Cliff 4" xfId="23473"/>
    <cellStyle name="好_效益分析&amp;產能評估_MS Bolt wireless mouse FixtureEquipment Cost_A5_2010_02_21_Bolt RFQ Proposal_Foxlink_ (Pricing Summary) 2 25 2011 6" xfId="23474"/>
    <cellStyle name="好_Creek Assembly Fixture  Test Equipment RFQ_20090427_Leopard_UniBOM_ME_0603-2_Bolt_Cliff 4 3" xfId="23475"/>
    <cellStyle name="好_Creek Assembly Fixture  Test Equipment RFQ_20090427_Leopard_UniBOM_ME_0603-2_Bolt_Cliff 5 2" xfId="23476"/>
    <cellStyle name="好_Creek Assembly Fixture  Test Equipment RFQ_20090427_Leopard_UniBOM_ME_0603-2_Bolt_Cliff 5 3" xfId="23477"/>
    <cellStyle name="差_F3   SMT設備明細_jupite r設備&amp;治工具LIST (總)_flow chart 2009.12.12_Jackson 效益分析 (1-18 A7)" xfId="23478"/>
    <cellStyle name="好_Creek Assembly Fixture  Test Equipment RFQ_20090427_Leopard_UniBOM_ME_0603-2_Bolt_Cliff 6" xfId="23479"/>
    <cellStyle name="好_River EE BOM_Creak Pearl Reliability Fixture RFQ_2009 04 24_Creek RFQ feedback 04_28_2009_FD Update_Leopard Lemur Squirrel UniBom-06.22.2010_EE cost _update_internal_Bolt RFQ Proposal_Foxlink_ (Pricing Summary) 2 25 2011 3 2" xfId="23480"/>
    <cellStyle name="好_Creek Assembly Fixture  Test Equipment RFQ_20090427_Leopard_UniBOM_ME_0603-2_Bolt_Cliff 7" xfId="23481"/>
    <cellStyle name="好_Creek Assembly Fixture  Test Equipment RFQ_20090427_Squirrel RFQ ME BOM Costs-0623_Bolt RFQ Proposal_Foxlink_ (Pricing Summary) 2 25 2011" xfId="23482"/>
    <cellStyle name="好_River EE BOM_Xl0000002 2 2 3" xfId="23483"/>
    <cellStyle name="好_River EE BOM_Creak Pearl Reliability Fixture RFQ_2009 04 24_Xl0000002_Leopard_UniBOM_ME_0603-2_Bolt RFQ Proposal_Foxlink_ (Pricing Summary) 2 25 2011 7" xfId="23484"/>
    <cellStyle name="好_Creek Assembly Fixture  Test Equipment RFQ_20090427_Squirrel RFQ ME BOM Costs-0623_Bolt RFQ Proposal_Foxlink_ (Pricing Summary) 2 25 2011 2" xfId="23485"/>
    <cellStyle name="好_Creek Assembly Fixture  Test Equipment RFQ_20090427_Squirrel RFQ ME BOM Costs-0623_Bolt RFQ Proposal_Foxlink_ (Pricing Summary) 2 25 2011 2 2 2" xfId="23486"/>
    <cellStyle name="好_Creek Assembly Fixture  Test Equipment RFQ_20090427_Squirrel RFQ ME BOM Costs-0623_Bolt RFQ Proposal_Foxlink_ (Pricing Summary) 2 25 2011 2 2 3" xfId="23487"/>
    <cellStyle name="好_Creek Assembly Fixture  Test Equipment RFQ_20090427_Squirrel RFQ ME BOM Costs-0623_Bolt RFQ Proposal_Foxlink_ (Pricing Summary) 2 25 2011 2 4" xfId="23488"/>
    <cellStyle name="好_Creek Assembly Fixture  Test Equipment RFQ_20090427_Squirrel RFQ ME BOM Costs-0623_Bolt RFQ Proposal_Foxlink_ (Pricing Summary) 2 25 2011 3 2" xfId="23489"/>
    <cellStyle name="好_Creek Assembly Fixture  Test Equipment RFQ_20090427_Squirrel RFQ ME BOM Costs-0623_Bolt RFQ Proposal_Foxlink_ (Pricing Summary) 2 25 2011 3 3" xfId="23490"/>
    <cellStyle name="好_Creek Assembly Fixture  Test Equipment RFQ_20090427_Squirrel RFQ ME BOM Costs-0623_Bolt RFQ Proposal_Foxlink_ (Pricing Summary) 2 25 2011 4" xfId="23491"/>
    <cellStyle name="差_Creak Pearl Reliability Fixture RFQ_2009 04 24_Creek  Pearl RFQ_May 12_Foxlink_Shadow RFQ NREUni BOM_12032009_Bolt RFQ Proposal_Foxlink_ (Pricing Summary) 2 25 2011 2 2 3" xfId="23492"/>
    <cellStyle name="好_Creek Assembly Fixture  Test Equipment RFQ_20090427_Squirrel RFQ ME BOM Costs-0623_Bolt RFQ Proposal_Foxlink_ (Pricing Summary) 2 25 2011 4 2" xfId="23493"/>
    <cellStyle name="好_Creek Assembly Fixture  Test Equipment RFQ_20090427_Squirrel RFQ ME BOM Costs-0623_Bolt RFQ Proposal_Foxlink_ (Pricing Summary) 2 25 2011 5" xfId="23494"/>
    <cellStyle name="差_Creak Pearl Reliability Fixture RFQ_2009 04 24_Creek  Pearl RFQ_May 12_Leopard_UniBOM_ME_0602_Bolt RFQ_Foxlink_03.1 2011_nego meeting@MACH 5" xfId="23495"/>
    <cellStyle name="差_jupite r設備&amp;治工具LIST (總)_~8644671" xfId="23496"/>
    <cellStyle name="好_Creek Assembly Fixture  Test Equipment RFQ_20090427_Squirrel RFQ ME BOM Costs-0623_Bolt RFQ Proposal_Foxlink_ (Pricing Summary) 2 25 2011 5 3" xfId="23497"/>
    <cellStyle name="好_Creek Assembly Fixture  Test Equipment RFQ_20090427_Squirrel RFQ ME BOM Costs-0623_Bolt RFQ Proposal_Foxlink_ (Pricing Summary) 2 25 2011 6" xfId="23498"/>
    <cellStyle name="好_Creek Assembly Fixture  Test Equipment RFQ_20090427_Squirrel RFQ ME BOM Costs-0623_Bolt RFQ Proposal_Foxlink_ (Pricing Summary) 2 25 2011 7" xfId="23499"/>
    <cellStyle name="好_Creek Assembly Fixture  Test Equipment RFQ_20090427_Squirrel RFQ ME BOM Costs-0623_Bolt RFQ_Foxlink_03.1 2011 2" xfId="23500"/>
    <cellStyle name="好_Creek Assembly Fixture  Test Equipment RFQ_20090427_Squirrel RFQ ME BOM Costs-0623_Bolt RFQ_Foxlink_03.1 2011 2 2" xfId="23501"/>
    <cellStyle name="好_Creek Assembly Fixture  Test Equipment RFQ_20090427_Squirrel RFQ ME BOM Costs-0623_Bolt RFQ_Foxlink_03.1 2011 2 3" xfId="23502"/>
    <cellStyle name="好_Creek Assembly Fixture  Test Equipment RFQ_20090427_Squirrel RFQ ME BOM Costs-0623_Bolt RFQ_Foxlink_03.1 2011 3" xfId="23503"/>
    <cellStyle name="好_Creek Assembly Fixture  Test Equipment RFQ_20090427_Squirrel RFQ ME BOM Costs-0623_Bolt RFQ_Foxlink_03.1 2011 3 2" xfId="23504"/>
    <cellStyle name="差_F3   SMT設備明細_效益分析_Jackson 效益分析 testing update_16th Jan1_Jackson 效益分析 (2-1 B0 上系統)_Leopard效益分析08-17" xfId="23505"/>
    <cellStyle name="好_Creek Assembly Fixture  Test Equipment RFQ_20090427_Squirrel RFQ ME BOM Costs-0623_Bolt RFQ_Foxlink_03.1 2011 3 3" xfId="23506"/>
    <cellStyle name="好_Creek Assembly Fixture  Test Equipment RFQ_20090427_Squirrel RFQ ME BOM Costs-0623_Bolt RFQ_Foxlink_03.1 2011_nego meeting@MACH" xfId="23507"/>
    <cellStyle name="差_Creak Pearl Reliability Fixture RFQ_2009 04 24_Pearl RFQ(Submittal)ver2_05_12_2009 _Leopard RFQ ME BOM Costs-0618-2 3 3" xfId="23508"/>
    <cellStyle name="好_Creek Assembly Fixture  Test Equipment RFQ_20090427_Squirrel RFQ ME BOM Costs-0623_Bolt RFQ_Foxlink_03.1 2011_nego meeting@MACH 2 2" xfId="23509"/>
    <cellStyle name="好_Creek Assembly Fixture  Test Equipment RFQ_20090427_Squirrel RFQ ME BOM Costs-0623_Bolt RFQ_Foxlink_03.1 2011_nego meeting@MACH 3 2" xfId="23510"/>
    <cellStyle name="好_Creek Assembly Fixture  Test Equipment RFQ_20090427_Squirrel RFQ ME BOM Costs-0623_Bolt RFQ_Foxlink_03.1 2011_nego meeting@MACH 3 3" xfId="23511"/>
    <cellStyle name="差_F3   SMT設備明細_jupite r設備&amp;治工具LIST (總)_Flow Chart&amp;PQ分析(12-1)_效益分析(總 12-28 Update)_~1159284" xfId="23512"/>
    <cellStyle name="好_Creek Assembly Fixture  Test Equipment RFQ_20090427_Squirrel RFQ ME BOM Costs-0623_Bolt RFQ_Foxlink_03.1 2011_nego meeting@MACH 4" xfId="23513"/>
    <cellStyle name="好_Creek Assembly Fixture  Test Equipment RFQ_20090427_Squirrel RFQ ME BOM Costs-0623_Bolt RFQ_Foxlink_03.1 2011_nego meeting@MACH 5" xfId="23514"/>
    <cellStyle name="好_Creek Assembly Fixture  Test Equipment RFQ_20090427_Squirrel RFQ ME BOM Costs-0624" xfId="23515"/>
    <cellStyle name="好_Creek Assembly Fixture  Test Equipment RFQ_20090427_Squirrel UniBom_Foxlink_7.27.2010" xfId="23516"/>
    <cellStyle name="差_Creak Pearl Reliability Fixture RFQ_2009 04 24_Leopard_UniBOM_ME_0531_Bolt RFQ_Foxlink_03.1 2011 3 2" xfId="23517"/>
    <cellStyle name="好_Creek Assembly Fixture  Test Equipment RFQ_20090427_Squirrel UniBom-06 23 2010_update_internal" xfId="23518"/>
    <cellStyle name="好_River EE BOM_Creak Pearl Reliability Fixture RFQ_2009 04 24_Xl0000002_Leopard_UniBOM_ME_0602_Bolt RFQ Proposal_Foxlink_ (Pricing Summary) 2 25 2011 5" xfId="23519"/>
    <cellStyle name="好_Creek Assembly Fixture  Test Equipment RFQ_20090427_Squirrel UniBom-06.23.2010_update_internal" xfId="23520"/>
    <cellStyle name="好_River EE BOM_Creak Pearl Reliability Fixture RFQ_2009 04 24_Xl0000002_Leopard_UniBOM_ME_0602_Bolt RFQ Proposal_Foxlink_ (Pricing Summary) 2 25 2011 5 2" xfId="23521"/>
    <cellStyle name="好_River EE BOM_Xl0000002_Foxlink_Shadow RFQ NREUni BOM_12032009_Bolt RFQ_Foxlink_03.1 2011_nego meeting@MACH 3 3" xfId="23522"/>
    <cellStyle name="好_River EE BOM_Xl0000002_Bolt RFQ Proposal_Foxlink_ (Pricing Summary) 2 25 2011 5" xfId="23523"/>
    <cellStyle name="好_Creek Assembly Fixture  Test Equipment RFQ_20090427_Squirrel UniBom-06.23.2010_update_internal 2" xfId="23524"/>
    <cellStyle name="好_River EE BOM_Xl0000002_Bolt RFQ Proposal_Foxlink_ (Pricing Summary) 2 25 2011 5 2" xfId="23525"/>
    <cellStyle name="好_Creek Assembly Fixture  Test Equipment RFQ_20090427_Squirrel UniBom-06.23.2010_update_internal 2 2" xfId="23526"/>
    <cellStyle name="好_Creek Assembly Fixture  Test Equipment RFQ_20090427_Squirrel UniBom-06.23.2010_update_internal 2 2 2" xfId="23527"/>
    <cellStyle name="好_Creek Assembly Fixture  Test Equipment RFQ_20090427_Squirrel UniBom-06.23.2010_update_internal 2 2 3" xfId="23528"/>
    <cellStyle name="好_Creek Assembly Fixture  Test Equipment RFQ_20090427_Squirrel UniBom-06.23.2010_update_internal 2 4" xfId="23529"/>
    <cellStyle name="好_Creek Assembly Fixture  Test Equipment RFQ_20090427_Squirrel UniBom-06.23.2010_update_internal 3 3" xfId="23530"/>
    <cellStyle name="差_F3   SMT設備明細_jupite r設備&amp;治工具LIST (總)_Flow Chart&amp;PQ分析(12-1)_Flow chart and Fixture(1-4)_Jackson 效益分析 (2-1 B0 上系統)" xfId="23531"/>
    <cellStyle name="好_Creek Assembly Fixture  Test Equipment RFQ_20090427_Xl0000002_Leopard_UniBOM_ME_0602_Bolt RFQ_Foxlink_03.1 2011_nego meeting@MACH 2 2" xfId="23532"/>
    <cellStyle name="好_Creek Assembly Fixture  Test Equipment RFQ_20090427_Squirrel UniBom-06.23.2010_update_internal 5" xfId="23533"/>
    <cellStyle name="好_Creek Assembly Fixture  Test Equipment RFQ_20090427_Squirrel UniBom-06.23.2010_update_internal_Bolt RFQ Proposal_Foxlink_ (Pricing Summary) 2 25 2011 2" xfId="23534"/>
    <cellStyle name="好_Creek Assembly Fixture  Test Equipment RFQ_20090427_Squirrel UniBom-06.23.2010_update_internal_Bolt RFQ Proposal_Foxlink_ (Pricing Summary) 2 25 2011 2 2" xfId="23535"/>
    <cellStyle name="好_產能評估表(IE)_M1 Lemur Capacity planFixtureEquipment Cost_A2_06192010" xfId="23536"/>
    <cellStyle name="好_Creek Assembly Fixture  Test Equipment RFQ_20090427_Squirrel UniBom-06.23.2010_update_internal_Bolt RFQ Proposal_Foxlink_ (Pricing Summary) 2 25 2011 2 2 2" xfId="23537"/>
    <cellStyle name="好_Creek Assembly Fixture  Test Equipment RFQ_20090427_Squirrel UniBom-06.23.2010_update_internal_Bolt RFQ Proposal_Foxlink_ (Pricing Summary) 2 25 2011 2 2 3" xfId="23538"/>
    <cellStyle name="好_Creek Assembly Fixture  Test Equipment RFQ_20090427_Squirrel UniBom-06.23.2010_update_internal_Bolt RFQ Proposal_Foxlink_ (Pricing Summary) 2 25 2011 2 3" xfId="23539"/>
    <cellStyle name="好_Creek Assembly Fixture  Test Equipment RFQ_20090427_Squirrel UniBom-06.23.2010_update_internal_Bolt RFQ Proposal_Foxlink_ (Pricing Summary) 2 25 2011 2 4" xfId="23540"/>
    <cellStyle name="差_Creak Pearl Reliability Fixture RFQ_2009 04 24_Pearl RFQ(Submittal)ver2_05_12_2009 _Leopard Lemur Squirrel UniBom-06.22.2010_EE cost _update_internal 3" xfId="23541"/>
    <cellStyle name="好_Creek Assembly Fixture  Test Equipment RFQ_20090427_Squirrel UniBom-06.23.2010_update_internal_Bolt RFQ Proposal_Foxlink_ (Pricing Summary) 2 25 2011 5 2" xfId="23542"/>
    <cellStyle name="好_Creek Assembly Fixture  Test Equipment RFQ_20090427_Squirrel UniBom-06.23.2010_update_internal_Bolt RFQ Proposal_Foxlink_ (Pricing Summary) 2 25 2011 5 3" xfId="23543"/>
    <cellStyle name="好_Creek Assembly Fixture  Test Equipment RFQ_20090427_Squirrel UniBom-06.23.2010_update_internal_Bolt RFQ Proposal_Foxlink_ (Pricing Summary) 2 25 2011 7" xfId="23544"/>
    <cellStyle name="好_Creek Assembly Fixture  Test Equipment RFQ_20090427_Squirrel UniBom-06.23.2010_update_internal_Bolt RFQ_Foxlink_03.1 2011 2" xfId="23545"/>
    <cellStyle name="好_Creek Assembly Fixture  Test Equipment RFQ_20090427_Squirrel UniBom-06.23.2010_update_internal_Bolt RFQ_Foxlink_03.1 2011 2 2" xfId="23546"/>
    <cellStyle name="好_Creek Assembly Fixture  Test Equipment RFQ_20090427_Squirrel UniBom-06.23.2010_update_internal_Bolt RFQ_Foxlink_03.1 2011 3" xfId="23547"/>
    <cellStyle name="差_F3   SMT設備明細_效益分析_Flow Chart(shadow)-b (1-4 Update)_Jackson 效益分析 (2-1 B0 上系統)" xfId="23548"/>
    <cellStyle name="好_Creek Assembly Fixture  Test Equipment RFQ_20090427_Squirrel UniBom-06.23.2010_update_internal_Bolt RFQ_Foxlink_03.1 2011 3 2" xfId="23549"/>
    <cellStyle name="好_Creek Assembly Fixture  Test Equipment RFQ_20090427_Squirrel UniBom-06.23.2010_update_internal_Bolt RFQ_Foxlink_03.1 2011 4" xfId="23550"/>
    <cellStyle name="百分比 3 2" xfId="23551"/>
    <cellStyle name="差_Creak Pearl Reliability Fixture RFQ_2009 04 24_Creek  Pearl RFQ_May 12_Leopard_UniBOM_ME_0602_Bolt RFQ Proposal_Foxlink_ (Pricing Summary) 2 25 2011 5 3" xfId="23552"/>
    <cellStyle name="好_Creek Assembly Fixture  Test Equipment RFQ_20090427_Squirrel UniBom-06.23.2010_update_internal_Bolt RFQ_Foxlink_03.1 2011_nego meeting@MACH 3 2" xfId="23553"/>
    <cellStyle name="百分比 3 3" xfId="23554"/>
    <cellStyle name="好_Creek Assembly Fixture  Test Equipment RFQ_20090427_Squirrel UniBom-06.23.2010_update_internal_Bolt RFQ_Foxlink_03.1 2011_nego meeting@MACH 3 3" xfId="23555"/>
    <cellStyle name="百分比 4" xfId="23556"/>
    <cellStyle name="好_Creek Assembly Fixture  Test Equipment RFQ_20090427_Squirrel UniBom-06.23.2010_update_internal_Bolt RFQ_Foxlink_03.1 2011_nego meeting@MACH 4" xfId="23557"/>
    <cellStyle name="好_Creek Assembly Fixture  Test Equipment RFQ_20090427_Squirrel UniBom-06.23.2010_update_internal_Bolt RFQ_Foxlink_03.1 2011_nego meeting@MACH 5" xfId="23558"/>
    <cellStyle name="好_Creek Assembly Fixture  Test Equipment RFQ_20090427_Xl0000002" xfId="23559"/>
    <cellStyle name="好_Creek Assembly Fixture  Test Equipment RFQ_20090427_Xl0000002 2" xfId="23560"/>
    <cellStyle name="好_Creek Assembly Fixture  Test Equipment RFQ_20090427_Xl0000002 2 2 3" xfId="23561"/>
    <cellStyle name="好_原物料" xfId="23562"/>
    <cellStyle name="好_Creek Assembly Fixture  Test Equipment RFQ_20090427_Xl0000002 2 3" xfId="23563"/>
    <cellStyle name="好_Creek Assembly Fixture  Test Equipment RFQ_20090427_Xl0000002 2 4" xfId="23564"/>
    <cellStyle name="差_Creak Pearl Reliability Fixture RFQ_2009 04 24_Creek  Pearl RFQ_May 12_Foxlink_Shadow RFQ NREUni BOM_12032009 2" xfId="23565"/>
    <cellStyle name="好_Creek Assembly Fixture  Test Equipment RFQ_20090427_Xl0000002 3" xfId="23566"/>
    <cellStyle name="差_Creak Pearl Reliability Fixture RFQ_2009 04 24_Creek  Pearl RFQ_May 12_Foxlink_Shadow RFQ NREUni BOM_12032009 2 2" xfId="23567"/>
    <cellStyle name="好_Creek Assembly Fixture  Test Equipment RFQ_20090427_Xl0000002 3 2" xfId="23568"/>
    <cellStyle name="差_Creak Pearl Reliability Fixture RFQ_2009 04 24_Creek  Pearl RFQ_May 12_Foxlink_Shadow RFQ NREUni BOM_12032009 2 3" xfId="23569"/>
    <cellStyle name="好_Creek Assembly Fixture  Test Equipment RFQ_20090427_Xl0000002 3 3" xfId="23570"/>
    <cellStyle name="差_Creak Pearl Reliability Fixture RFQ_2009 04 24_Creek  Pearl RFQ_May 12_Foxlink_Shadow RFQ NREUni BOM_12032009 3" xfId="23571"/>
    <cellStyle name="好_Creek Assembly Fixture  Test Equipment RFQ_20090427_Xl0000002 4" xfId="23572"/>
    <cellStyle name="差_Creak Pearl Reliability Fixture RFQ_2009 04 24_Leopard_UniBOM_ME_0602 2 2 2" xfId="23573"/>
    <cellStyle name="好_Creek Assembly Fixture  Test Equipment RFQ_20090427_Xl0000002_Bolt RFQ Proposal_Foxlink_ (Pricing Summary) 2 25 2011 2 2 2" xfId="23574"/>
    <cellStyle name="差_Creak Pearl Reliability Fixture RFQ_2009 04 24_Leopard_UniBOM_ME_0602 2 2 3" xfId="23575"/>
    <cellStyle name="好_Creek Assembly Fixture  Test Equipment RFQ_20090427_Xl0000002_Bolt RFQ Proposal_Foxlink_ (Pricing Summary) 2 25 2011 2 2 3" xfId="23576"/>
    <cellStyle name="差_Creak Pearl Reliability Fixture RFQ_2009 04 24_Leopard_UniBOM_ME_0602 3 2" xfId="23577"/>
    <cellStyle name="好_Creek Assembly Fixture  Test Equipment RFQ_20090427_Xl0000002_Bolt RFQ Proposal_Foxlink_ (Pricing Summary) 2 25 2011 3 2" xfId="23578"/>
    <cellStyle name="好_Creek Assembly Fixture  Test Equipment RFQ_20090427_Xl0000002_Bolt RFQ Proposal_Foxlink_ (Pricing Summary) 2 25 2011 4 2" xfId="23579"/>
    <cellStyle name="好_River EE BOM_Creak Pearl Reliability Fixture RFQ_2009 04 24_Pearl RFQ(Submittal)ver2_05_12_2009 _Leopard RFQ ME BOM Costs-0618_Bolt RFQ_Foxlink_03.1 2011_nego meeting@MACH 2" xfId="23580"/>
    <cellStyle name="好_Creek Assembly Fixture  Test Equipment RFQ_20090427_Xl0000002_Bolt RFQ Proposal_Foxlink_ (Pricing Summary) 2 25 2011 4 3" xfId="23581"/>
    <cellStyle name="好_Creek Assembly Fixture  Test Equipment RFQ_20090427_Xl0000002_Bolt RFQ Proposal_Foxlink_ (Pricing Summary) 2 25 2011 5" xfId="23582"/>
    <cellStyle name="好_Creek Assembly Fixture  Test Equipment RFQ_20090427_Xl0000002_Bolt RFQ Proposal_Foxlink_ (Pricing Summary) 2 25 2011 5 2" xfId="23583"/>
    <cellStyle name="好_Creek Assembly Fixture  Test Equipment RFQ_20090427_Xl0000002_Bolt RFQ Proposal_Foxlink_ (Pricing Summary) 2 25 2011 6" xfId="23584"/>
    <cellStyle name="好_Creek Assembly Fixture  Test Equipment RFQ_20090427_Xl0000002_Bolt RFQ Proposal_Foxlink_ (Pricing Summary) 2 25 2011 7" xfId="23585"/>
    <cellStyle name="好_Creek Assembly Fixture  Test Equipment RFQ_20090427_Xl0000002_Bolt RFQ_Foxlink_03.1 2011 3" xfId="23586"/>
    <cellStyle name="好_River EE BOM_Creak Pearl Reliability Fixture RFQ_2009 04 24_Creek RFQ feedback 04_28_2009_FD Update_Squirrel UniBom-06.23.2010_update_internal_Bolt RFQ_Foxlink_03.1 2011_nego meeting@MACH 2" xfId="23587"/>
    <cellStyle name="好_Creek Assembly Fixture  Test Equipment RFQ_20090427_Xl0000002_Bolt RFQ_Foxlink_03.1 2011 4" xfId="23588"/>
    <cellStyle name="差_F3   SMT設備明細_jupite r設備&amp;治工具LIST (總)_Dallas flow chart&amp;設備&amp;治工具清單(12-8 A0)_Jackson 效益分析 testing update_16th Jan1_Jackson 效益分析 (2-1 B0 上系統)" xfId="23589"/>
    <cellStyle name="好_River EE BOM_Creak Pearl Reliability Fixture RFQ_2009 04 24_Creek RFQ feedback 04_28_2009_FD Update_Squirrel UniBom-06.23.2010_update_internal_Bolt RFQ_Foxlink_03.1 2011_nego meeting@MACH 3" xfId="23590"/>
    <cellStyle name="好_Creek Assembly Fixture  Test Equipment RFQ_20090427_Xl0000002_Bolt RFQ_Foxlink_03.1 2011 5" xfId="23591"/>
    <cellStyle name="好_River EE BOM_Creak Pearl Reliability Fixture RFQ_2009 04 24_Squirrel UniBom-06.23.2010_update_internal 2 2" xfId="23592"/>
    <cellStyle name="好_Creek Assembly Fixture  Test Equipment RFQ_20090427_Xl0000002_Bolt RFQ_Foxlink_03.1 2011_nego meeting@MACH" xfId="23593"/>
    <cellStyle name="好_River EE BOM_Creak Pearl Reliability Fixture RFQ_2009 04 24_Squirrel UniBom-06.23.2010_update_internal 2 2 2" xfId="23594"/>
    <cellStyle name="好_Creek Assembly Fixture  Test Equipment RFQ_20090427_Xl0000002_Bolt RFQ_Foxlink_03.1 2011_nego meeting@MACH 2" xfId="23595"/>
    <cellStyle name="好_Creek Assembly Fixture  Test Equipment RFQ_20090427_Xl0000002_Bolt RFQ_Foxlink_03.1 2011_nego meeting@MACH 2 2" xfId="23596"/>
    <cellStyle name="好_River EE BOM_Creak Pearl Reliability Fixture RFQ_2009 04 24_Squirrel UniBom-06.23.2010_update_internal 2 2 3" xfId="23597"/>
    <cellStyle name="好_Creek Assembly Fixture  Test Equipment RFQ_20090427_Xl0000002_Bolt RFQ_Foxlink_03.1 2011_nego meeting@MACH 3" xfId="23598"/>
    <cellStyle name="好_Creek Assembly Fixture  Test Equipment RFQ_20090427_Xl0000002_Bolt RFQ_Foxlink_03.1 2011_nego meeting@MACH 3 3" xfId="23599"/>
    <cellStyle name="好_Creek Assembly Fixture  Test Equipment RFQ_20090427_Xl0000002_Bolt RFQ_Foxlink_03.1 2011_nego meeting@MACH 4" xfId="23600"/>
    <cellStyle name="差_Creak Pearl Reliability Fixture RFQ_2009 04 24_Creek  Pearl RFQ_May 12_Squirrel RFQ ME BOM Costs-0623_Bolt RFQ Proposal_Foxlink_ (Pricing Summary) 2 25 2011 3 3" xfId="23601"/>
    <cellStyle name="好_Creek Assembly Fixture  Test Equipment RFQ_20090427_Xl0000002_Bristol UniBom_Foxlink_02082011 RevA" xfId="23602"/>
    <cellStyle name="好_Creek Assembly Fixture  Test Equipment RFQ_20090427_Xl0000002_Foxlink_Shadow RFQ NREUni BOM_12032009 2 2" xfId="23603"/>
    <cellStyle name="好_Creek Assembly Fixture  Test Equipment RFQ_20090427_Xl0000002_Foxlink_Shadow RFQ NREUni BOM_12032009 2 3" xfId="23604"/>
    <cellStyle name="好_Creek Assembly Fixture  Test Equipment RFQ_20090427_Xl0000002_Foxlink_Shadow RFQ NREUni BOM_12032009 2 4" xfId="23605"/>
    <cellStyle name="好_Creek Assembly Fixture  Test Equipment RFQ_20090427_Xl0000002_Leopard RFQ ME BOM Costs-0618_Bolt RFQ_Foxlink_03.1 2011_nego meeting@MACH 2 3" xfId="23606"/>
    <cellStyle name="好_Creek Assembly Fixture  Test Equipment RFQ_20090427_Xl0000002_Foxlink_Shadow RFQ NREUni BOM_12032009 3" xfId="23607"/>
    <cellStyle name="好_Creek Assembly Fixture  Test Equipment RFQ_20090427_Xl0000002_Foxlink_Shadow RFQ NREUni BOM_12032009 3 2" xfId="23608"/>
    <cellStyle name="差_Xl0000000_Squirrel RFQ ME BOM Costs-0623_Bolt RFQ_Foxlink_03.1 2011_nego meeting@MACH 4" xfId="23609"/>
    <cellStyle name="好_MB9月管審換線超時8d_2009MB KPI_MBO3F製造部hp0209-01 2 2" xfId="23610"/>
    <cellStyle name="好_Creek Assembly Fixture  Test Equipment RFQ_20090427_Xl0000002_Leopard_UniBOM_ME_0602-1_Bolt RFQ_Foxlink_03.1 2011" xfId="23611"/>
    <cellStyle name="好_Creek Assembly Fixture  Test Equipment RFQ_20090427_Xl0000002_Foxlink_Shadow RFQ NREUni BOM_12032009_Bolt RFQ Proposal_Foxlink_ (Pricing Summary) 2 25 2011" xfId="23612"/>
    <cellStyle name="好_River EE BOM_Jackson and Shadow test cost update _7th Feb 2010 (2)" xfId="23613"/>
    <cellStyle name="好_MB9月管審換線超時8d_2009MB KPI_MBO3F製造部hp0209-01 2 2 3" xfId="23614"/>
    <cellStyle name="好_Creek Assembly Fixture  Test Equipment RFQ_20090427_Xl0000002_Leopard_UniBOM_ME_0602-1_Bolt RFQ_Foxlink_03.1 2011 3" xfId="23615"/>
    <cellStyle name="好_Creek Assembly Fixture  Test Equipment RFQ_20090427_Xl0000002_Foxlink_Shadow RFQ NREUni BOM_12032009_Bolt RFQ Proposal_Foxlink_ (Pricing Summary) 2 25 2011 3" xfId="23616"/>
    <cellStyle name="好_Creek Assembly Fixture  Test Equipment RFQ_20090427_Xl0000002_Leopard_UniBOM_ME_0602-1_Bolt RFQ_Foxlink_03.1 2011 3 2" xfId="23617"/>
    <cellStyle name="好_Creek Assembly Fixture  Test Equipment RFQ_20090427_Xl0000002_Foxlink_Shadow RFQ NREUni BOM_12032009_Bolt RFQ Proposal_Foxlink_ (Pricing Summary) 2 25 2011 3 2" xfId="23618"/>
    <cellStyle name="好_Creek Assembly Fixture  Test Equipment RFQ_20090427_Xl0000002_Leopard_UniBOM_ME_0602-1_Bolt RFQ_Foxlink_03.1 2011 3 3" xfId="23619"/>
    <cellStyle name="好_Creek Assembly Fixture  Test Equipment RFQ_20090427_Xl0000002_Foxlink_Shadow RFQ NREUni BOM_12032009_Bolt RFQ Proposal_Foxlink_ (Pricing Summary) 2 25 2011 3 3" xfId="23620"/>
    <cellStyle name="好_MB9月管審換線超時8d_2009MB KPI_MBO3F製造部hp0209-01 2 2 4" xfId="23621"/>
    <cellStyle name="好_Creek Assembly Fixture  Test Equipment RFQ_20090427_Xl0000002_Leopard_UniBOM_ME_0602-1_Bolt RFQ_Foxlink_03.1 2011 4" xfId="23622"/>
    <cellStyle name="好_Creek Assembly Fixture  Test Equipment RFQ_20090427_Xl0000002_Foxlink_Shadow RFQ NREUni BOM_12032009_Bolt RFQ Proposal_Foxlink_ (Pricing Summary) 2 25 2011 4" xfId="23623"/>
    <cellStyle name="好_Creek Assembly Fixture  Test Equipment RFQ_20090427_Xl0000002_Foxlink_Shadow RFQ NREUni BOM_12032009_Bolt RFQ Proposal_Foxlink_ (Pricing Summary) 2 25 2011 4 2" xfId="23624"/>
    <cellStyle name="差_HP Mouse 產能評估(上系統)_Bolt RFQ_Foxlink_03.1 2011" xfId="23625"/>
    <cellStyle name="好_Creek Assembly Fixture  Test Equipment RFQ_20090427_Xl0000002_Foxlink_Shadow RFQ NREUni BOM_12032009_Bolt RFQ Proposal_Foxlink_ (Pricing Summary) 2 25 2011 4 3" xfId="23626"/>
    <cellStyle name="好_Creek Assembly Fixture  Test Equipment RFQ_20090427_Xl0000002_Leopard_UniBOM_ME_0602-1_Bolt RFQ_Foxlink_03.1 2011 5" xfId="23627"/>
    <cellStyle name="好_Creek Assembly Fixture  Test Equipment RFQ_20090427_Xl0000002_Foxlink_Shadow RFQ NREUni BOM_12032009_Bolt RFQ Proposal_Foxlink_ (Pricing Summary) 2 25 2011 5" xfId="23628"/>
    <cellStyle name="好_Creek Assembly Fixture  Test Equipment RFQ_20090427_Xl0000002_Foxlink_Shadow RFQ NREUni BOM_12032009_Bolt RFQ Proposal_Foxlink_ (Pricing Summary) 2 25 2011 5 2" xfId="23629"/>
    <cellStyle name="好_Creek Assembly Fixture  Test Equipment RFQ_20090427_Xl0000002_Foxlink_Shadow RFQ NREUni BOM_12032009_Bolt RFQ Proposal_Foxlink_ (Pricing Summary) 2 25 2011 6" xfId="23630"/>
    <cellStyle name="好_Creek Assembly Fixture  Test Equipment RFQ_20090427_Xl0000002_Foxlink_Shadow RFQ NREUni BOM_12032009_Bolt RFQ_Foxlink_03.1 2011" xfId="23631"/>
    <cellStyle name="好_River EE BOM_Creak Pearl Reliability Fixture RFQ_2009 04 24_Creek RFQ feedback 04_28_2009_FD Update_Leopard RFQ ME BOM Costs-0618-2_Bolt RFQ_Foxlink_03.1 2011 2" xfId="23632"/>
    <cellStyle name="好_Creek EE BOM cost_20090425_Creek RFQ feedback 04_28_2009_FD Update_Leopard RFQ ME BOM Costs-0618_Bolt RFQ_Foxlink_03.1 2011_nego meeting@MACH 2" xfId="23633"/>
    <cellStyle name="好_Creek EE BOM cost_20090425_Creek RFQ feedback 04_28_2009_FD Update_Leopard_UniBOM_ME_0603-2_Bolt RFQ Proposal_Foxlink_ (Pricing Summary) 2 25 2011 4 2" xfId="23634"/>
    <cellStyle name="好_Creek Assembly Fixture  Test Equipment RFQ_20090427_Xl0000002_Foxlink_Shadow RFQ NREUni BOM_12032009_Bolt RFQ_Foxlink_03.1 2011 3" xfId="23635"/>
    <cellStyle name="好_River EE BOM_Creak Pearl Reliability Fixture RFQ_2009 04 24_Creek RFQ feedback 04_28_2009_FD Update_Leopard RFQ ME BOM Costs-0618-2_Bolt RFQ_Foxlink_03.1 2011 2 3" xfId="23636"/>
    <cellStyle name="好_Creek EE BOM cost_20090425_Creek RFQ feedback 04_28_2009_FD Update_Leopard RFQ ME BOM Costs-0618_Bolt RFQ_Foxlink_03.1 2011_nego meeting@MACH 2 3" xfId="23637"/>
    <cellStyle name="好_Creek Assembly Fixture  Test Equipment RFQ_20090427_Xl0000002_Foxlink_Shadow RFQ NREUni BOM_12032009_Bolt RFQ_Foxlink_03.1 2011 3 3" xfId="23638"/>
    <cellStyle name="好_Creek Assembly Fixture  Test Equipment RFQ_20090427_Xl0000002_Foxlink_Shadow RFQ NREUni BOM_12032009_Bolt RFQ_Foxlink_03.1 2011 4" xfId="23639"/>
    <cellStyle name="好_Creek Assembly Fixture  Test Equipment RFQ_20090427_Xl0000002_Foxlink_Shadow RFQ NREUni BOM_12032009_Bolt RFQ_Foxlink_03.1 2011 5" xfId="23640"/>
    <cellStyle name="好_Creek Assembly Fixture  Test Equipment RFQ_20090427_Xl0000002_Foxlink_Shadow RFQ NREUni BOM_12032009_Bolt RFQ_Foxlink_03.1 2011_nego meeting@MACH" xfId="23641"/>
    <cellStyle name="好_Creek Assembly Fixture  Test Equipment RFQ_20090427_Xl0000002_Foxlink_Shadow RFQ NREUni BOM_12032009_Bolt RFQ_Foxlink_03.1 2011_nego meeting@MACH 3 2" xfId="23642"/>
    <cellStyle name="差_Foxlink_Shadow RFQ NREUni BOM_12032009_Bolt RFQ_Foxlink_03.1 2011 2 2" xfId="23643"/>
    <cellStyle name="好_Creek Assembly Fixture  Test Equipment RFQ_20090427_Xl0000002_Foxlink_Shadow RFQ NREUni BOM_12032009_Bolt RFQ_Foxlink_03.1 2011_nego meeting@MACH 3 3" xfId="23644"/>
    <cellStyle name="好_Creek Assembly Fixture  Test Equipment RFQ_20090427_Xl0000002_Foxlink_Shadow RFQ NREUni BOM_12032009_Bolt RFQ_Foxlink_03.1 2011_nego meeting@MACH 4" xfId="23645"/>
    <cellStyle name="差_效益分析_Dallas效益分析&amp;投資回收期 (12-2 A1)_效益分析(總 12-28 Update)_Jackson 效益分析 (2-1 B0 上系統)_squirrel效益分析08-17" xfId="23646"/>
    <cellStyle name="好_Creek Assembly Fixture  Test Equipment RFQ_20090427_Xl0000002_Jackson and Shadow BOM cost_mainfile_2010 0324 rev.1" xfId="23647"/>
    <cellStyle name="好_Creek Assembly Fixture  Test Equipment RFQ_20090427_Xl0000002_Jackson and Shadow BOM cost_mainfile_2010 0324 rev.1_Bristol UniBom_Foxlink_02082011 RevA" xfId="23648"/>
    <cellStyle name="好_Creek Assembly Fixture  Test Equipment RFQ_20090427_Xl0000002_Jackson and Shadow BOM cost_mainfile_2010 0324 rev.1_Leopard UniBom_Foxlink_12092010 RevD-jen" xfId="23649"/>
    <cellStyle name="好_Creek Assembly Fixture  Test Equipment RFQ_20090427_Xl0000002_Jackson and Shadow BOM cost_mainfile_2010 0324 rev.1_Leopard UniBom_Foxlink_12272010 RevF_shirley" xfId="23650"/>
    <cellStyle name="好_River EE BOM_Creak Pearl Reliability Fixture RFQ_2009 04 24_Pearl RFQ(Submittal)ver2_05_12_2009 _Leopard_UniBOM_ME_0602 2" xfId="23651"/>
    <cellStyle name="好_Creek Assembly Fixture  Test Equipment RFQ_20090427_Xl0000002_Jackson NRE Uni BOM_update _05072010 rev K" xfId="23652"/>
    <cellStyle name="好_Erie 效益分析 (Update)_Leopard Flowchart &amp; 產能評估" xfId="23653"/>
    <cellStyle name="好_Creek Assembly Fixture  Test Equipment RFQ_20090427_Xl0000002_Lemur RFQ ME BOM Costs-0623" xfId="23654"/>
    <cellStyle name="好_Creek Assembly Fixture  Test Equipment RFQ_20090427_Xl0000002_Leopard Lemur Squirrel UniBom-06.22.2010_EE cost _update_internal" xfId="23655"/>
    <cellStyle name="好_River EE BOM_Creak Pearl Reliability Fixture RFQ_2009 04 24_Leopard_UniBOM_ME_0602-1_Bolt RFQ Proposal_Foxlink_ (Pricing Summary) 2 25 2011 5 3" xfId="23656"/>
    <cellStyle name="好_Creek Assembly Fixture  Test Equipment RFQ_20090427_Xl0000002_Leopard Lemur Squirrel UniBom-06.22.2010_EE cost _update_internal 2" xfId="23657"/>
    <cellStyle name="好_Creek Assembly Fixture  Test Equipment RFQ_20090427_Xl0000002_Leopard Lemur Squirrel UniBom-06.22.2010_EE cost _update_internal 2 2" xfId="23658"/>
    <cellStyle name="好_Creek Assembly Fixture  Test Equipment RFQ_20090427_Xl0000002_Leopard Lemur Squirrel UniBom-06.22.2010_EE cost _update_internal 2 2 2" xfId="23659"/>
    <cellStyle name="好_Creek Assembly Fixture  Test Equipment RFQ_20090427_Xl0000002_Leopard Lemur Squirrel UniBom-06.22.2010_EE cost _update_internal 2 2 3" xfId="23660"/>
    <cellStyle name="好_Creek Assembly Fixture  Test Equipment RFQ_20090427_Xl0000002_Leopard Lemur Squirrel UniBom-06.22.2010_EE cost _update_internal 2 3" xfId="23661"/>
    <cellStyle name="好_Creek Assembly Fixture  Test Equipment RFQ_20090427_Xl0000002_Leopard Lemur Squirrel UniBom-06.22.2010_EE cost _update_internal 3 2" xfId="23662"/>
    <cellStyle name="好_Creek Assembly Fixture  Test Equipment RFQ_20090427_Xl0000002_Leopard Lemur Squirrel UniBom-06.22.2010_EE cost _update_internal_Bolt RFQ Proposal_Foxlink_ (Pricing Summary) 2 25 2011" xfId="23663"/>
    <cellStyle name="好_Creek Assembly Fixture  Test Equipment RFQ_20090427_Xl0000002_Leopard Lemur Squirrel UniBom-06.22.2010_EE cost _update_internal_Bolt RFQ Proposal_Foxlink_ (Pricing Summary) 2 25 2011 2" xfId="23664"/>
    <cellStyle name="好_Creek Assembly Fixture  Test Equipment RFQ_20090427_Xl0000002_Leopard Lemur Squirrel UniBom-06.22.2010_EE cost _update_internal_Bolt RFQ Proposal_Foxlink_ (Pricing Summary) 2 25 2011 2 2" xfId="23665"/>
    <cellStyle name="好_Creek Assembly Fixture  Test Equipment RFQ_20090427_Xl0000002_Leopard Lemur Squirrel UniBom-06.22.2010_EE cost _update_internal_Bolt RFQ Proposal_Foxlink_ (Pricing Summary) 2 25 2011 2 2 2" xfId="23666"/>
    <cellStyle name="好_Creek Assembly Fixture  Test Equipment RFQ_20090427_Xl0000002_Leopard Lemur Squirrel UniBom-06.22.2010_EE cost _update_internal_Bolt RFQ Proposal_Foxlink_ (Pricing Summary) 2 25 2011 2 2 3" xfId="23667"/>
    <cellStyle name="差_Flow Chart&amp;PQ分析(12-1)_~5631336_Jackson 效益分析 (2-1 B0 上系統)" xfId="23668"/>
    <cellStyle name="好_River EE BOM_Xl0000002_Squirrel UniBom-06.23.2010_update_internal 3 2" xfId="23669"/>
    <cellStyle name="好_Creek Assembly Fixture  Test Equipment RFQ_20090427_Xl0000002_Leopard Lemur Squirrel UniBom-06.22.2010_EE cost _update_internal_Bolt RFQ Proposal_Foxlink_ (Pricing Summary) 2 25 2011 2 3" xfId="23670"/>
    <cellStyle name="好_River EE BOM_Xl0000002_Squirrel UniBom-06.23.2010_update_internal 3 3" xfId="23671"/>
    <cellStyle name="好_Creek Assembly Fixture  Test Equipment RFQ_20090427_Xl0000002_Leopard Lemur Squirrel UniBom-06.22.2010_EE cost _update_internal_Bolt RFQ Proposal_Foxlink_ (Pricing Summary) 2 25 2011 2 4" xfId="23672"/>
    <cellStyle name="好_Creek Assembly Fixture  Test Equipment RFQ_20090427_Xl0000002_Leopard Lemur Squirrel UniBom-06.22.2010_EE cost _update_internal_Bolt RFQ Proposal_Foxlink_ (Pricing Summary) 2 25 2011 3" xfId="23673"/>
    <cellStyle name="好_Creek Assembly Fixture  Test Equipment RFQ_20090427_Xl0000002_Leopard Lemur Squirrel UniBom-06.22.2010_EE cost _update_internal_Bolt RFQ Proposal_Foxlink_ (Pricing Summary) 2 25 2011 3 2" xfId="23674"/>
    <cellStyle name="好_Creek Assembly Fixture  Test Equipment RFQ_20090427_Xl0000002_Leopard Lemur Squirrel UniBom-06.22.2010_EE cost _update_internal_Bolt RFQ_Foxlink_03.1 2011 2" xfId="23675"/>
    <cellStyle name="差_F3   SMT設備明細_jupite r設備&amp;治工具LIST (總)_Dallas效益分析&amp;投資回收期 (12-2 A1)_Jackson 效益分析 (2-1 B0 上系統)_Leopard Flowchart &amp; 產能評估" xfId="23676"/>
    <cellStyle name="好_Creek Assembly Fixture  Test Equipment RFQ_20090427_Xl0000002_Leopard Lemur Squirrel UniBom-06.22.2010_EE cost _update_internal_Bolt RFQ_Foxlink_03.1 2011 3 3" xfId="23677"/>
    <cellStyle name="好_Creek Assembly Fixture  Test Equipment RFQ_20090427_Xl0000002_Leopard Lemur Squirrel UniBom-06.22.2010_EE cost _update_internal_Bolt RFQ_Foxlink_03.1 2011 4" xfId="23678"/>
    <cellStyle name="好_Creek Assembly Fixture  Test Equipment RFQ_20090427_Xl0000002_Leopard Lemur Squirrel UniBom-06.22.2010_EE cost _update_internal_Bolt RFQ_Foxlink_03.1 2011_nego meeting@MACH" xfId="23679"/>
    <cellStyle name="好_Creek Assembly Fixture  Test Equipment RFQ_20090427_Xl0000002_Leopard Lemur Squirrel UniBom-06.22.2010_EE cost _update_internal_Bolt RFQ_Foxlink_03.1 2011_nego meeting@MACH 2 3" xfId="23680"/>
    <cellStyle name="好_Creek Assembly Fixture  Test Equipment RFQ_20090427_Xl0000002_Leopard Lemur Squirrel UniBom-06.22.2010_EE cost _update_internal_Bolt RFQ_Foxlink_03.1 2011_nego meeting@MACH 3" xfId="23681"/>
    <cellStyle name="好_Creek Assembly Fixture  Test Equipment RFQ_20090427_Xl0000002_Leopard Lemur Squirrel UniBom-06.22.2010_EE cost _update_internal_Bolt RFQ_Foxlink_03.1 2011_nego meeting@MACH 3 2" xfId="23682"/>
    <cellStyle name="差_HP Mouse 產能評估(Forecast更改後)_M1 Bolt wireless mouse FixtureEquipment Cost_A2_2010_12_07_Bolt RFQ Proposal_Foxlink_ (Pricing Summary) 2 25 2011 3 2" xfId="23683"/>
    <cellStyle name="好_Creek Assembly Fixture  Test Equipment RFQ_20090427_Xl0000002_Leopard Lemur Squirrel UniBom-06.22.2010_EE cost _update_internal_Bolt RFQ_Foxlink_03.1 2011_nego meeting@MACH 5" xfId="23684"/>
    <cellStyle name="好_River EE BOM_Creak Pearl Reliability Fixture RFQ_2009 04 24_Leopard RFQ ME BOM Costs-0618_Bolt RFQ Proposal_Foxlink_ (Pricing Summary) 2 25 2011 5" xfId="23685"/>
    <cellStyle name="好_Creek Assembly Fixture  Test Equipment RFQ_20090427_Xl0000002_Leopard RFQ ME BOM Costs-0618 2 2" xfId="23686"/>
    <cellStyle name="好_River EE BOM_Creak Pearl Reliability Fixture RFQ_2009 04 24_Leopard RFQ ME BOM Costs-0618_Bolt RFQ Proposal_Foxlink_ (Pricing Summary) 2 25 2011 5 3" xfId="23687"/>
    <cellStyle name="好_Creek Assembly Fixture  Test Equipment RFQ_20090427_Xl0000002_Leopard RFQ ME BOM Costs-0618 2 2 3" xfId="23688"/>
    <cellStyle name="差_HP  專案(設備&amp;治工具需夠買)update_M1 Squirrel Capacity planFixtureEquipment Cost_A2_06192010_Leopard UniBom_Foxlink_12272010 RevF_shirley" xfId="23689"/>
    <cellStyle name="好_River EE BOM_Creak Pearl Reliability Fixture RFQ_2009 04 24_Leopard RFQ ME BOM Costs-0618_Bolt RFQ Proposal_Foxlink_ (Pricing Summary) 2 25 2011 6" xfId="23690"/>
    <cellStyle name="好_Creek Assembly Fixture  Test Equipment RFQ_20090427_Xl0000002_Leopard RFQ ME BOM Costs-0618 2 3" xfId="23691"/>
    <cellStyle name="好_成本明細_Shadow" xfId="23692"/>
    <cellStyle name="好_River EE BOM_Creak Pearl Reliability Fixture RFQ_2009 04 24_Leopard RFQ ME BOM Costs-0618_Bolt RFQ Proposal_Foxlink_ (Pricing Summary) 2 25 2011 7" xfId="23693"/>
    <cellStyle name="好_Creek Assembly Fixture  Test Equipment RFQ_20090427_Xl0000002_Leopard RFQ ME BOM Costs-0618 2 4" xfId="23694"/>
    <cellStyle name="好_Creek Assembly Fixture  Test Equipment RFQ_20090427_Xl0000002_Leopard RFQ ME BOM Costs-0618 3" xfId="23695"/>
    <cellStyle name="好_Creek EE BOM cost_20090425_Creek RFQ feedback 04_28_2009_FD Update_Foxlink_Shadow RFQ NREUni BOM_12032009_Bolt RFQ Proposal_Foxlink_ (Pricing Summary) 2 25 2011" xfId="23696"/>
    <cellStyle name="好_Creek Assembly Fixture  Test Equipment RFQ_20090427_Xl0000002_Leopard RFQ ME BOM Costs-0618 3 3" xfId="23697"/>
    <cellStyle name="好_River EE BOM_Creak Pearl Reliability Fixture RFQ_2009 04 24_Xl0000002_Leopard Lemur Squirrel UniBom-06.22.2010_EE cost _update_internal_Bolt RFQ_Foxlink_03.1 2011_nego meeting@MACH 3" xfId="23698"/>
    <cellStyle name="好_Creek Assembly Fixture  Test Equipment RFQ_20090427_Xl0000002_Leopard RFQ ME BOM Costs-0618_Bolt RFQ Proposal_Foxlink_ (Pricing Summary) 2 25 2011" xfId="23699"/>
    <cellStyle name="好_River EE BOM_Creak Pearl Reliability Fixture RFQ_2009 04 24_Pearl RFQ(Submittal)ver2_05_12_2009 _Leopard Lemur Squirrel UniBom-06.22.2010_EE cost _update_internal 2 3" xfId="23700"/>
    <cellStyle name="好_Creek Assembly Fixture  Test Equipment RFQ_20090427_Xl0000002_Leopard RFQ ME BOM Costs-0618_Bolt RFQ Proposal_Foxlink_ (Pricing Summary) 2 25 2011 2 2" xfId="23701"/>
    <cellStyle name="好_Creek Assembly Fixture  Test Equipment RFQ_20090427_Xl0000002_Leopard RFQ ME BOM Costs-0618_Bolt RFQ Proposal_Foxlink_ (Pricing Summary) 2 25 2011 2 2 3" xfId="23702"/>
    <cellStyle name="好_River EE BOM_Creak Pearl Reliability Fixture RFQ_2009 04 24_Pearl RFQ(Submittal)ver2_05_12_2009 _Leopard Lemur Squirrel UniBom-06.22.2010_EE cost _update_internal 2 4" xfId="23703"/>
    <cellStyle name="好_River EE BOM_Creak Pearl Reliability Fixture RFQ_2009 04 24_Leopard_UniBOM_ME_0603-2_Bolt RFQ_Foxlink_03.1 2011_nego meeting@MACH 2 2" xfId="23704"/>
    <cellStyle name="好_Creek Assembly Fixture  Test Equipment RFQ_20090427_Xl0000002_Leopard RFQ ME BOM Costs-0618_Bolt RFQ Proposal_Foxlink_ (Pricing Summary) 2 25 2011 2 3" xfId="23705"/>
    <cellStyle name="好_River EE BOM_Creak Pearl Reliability Fixture RFQ_2009 04 24_Leopard_UniBOM_ME_0603-2_Bolt RFQ_Foxlink_03.1 2011_nego meeting@MACH 2 3" xfId="23706"/>
    <cellStyle name="好_Creek Assembly Fixture  Test Equipment RFQ_20090427_Xl0000002_Leopard RFQ ME BOM Costs-0618_Bolt RFQ Proposal_Foxlink_ (Pricing Summary) 2 25 2011 2 4" xfId="23707"/>
    <cellStyle name="好_River EE BOM_Creak Pearl Reliability Fixture RFQ_2009 04 24_Pearl RFQ(Submittal)ver2_05_12_2009 _Leopard Lemur Squirrel UniBom-06.22.2010_EE cost _update_internal 3 3" xfId="23708"/>
    <cellStyle name="好_Creek Assembly Fixture  Test Equipment RFQ_20090427_Xl0000002_Leopard RFQ ME BOM Costs-0618_Bolt RFQ Proposal_Foxlink_ (Pricing Summary) 2 25 2011 3 2" xfId="23709"/>
    <cellStyle name="好_Creek Assembly Fixture  Test Equipment RFQ_20090427_Xl0000002_Leopard RFQ ME BOM Costs-0618_Bolt RFQ Proposal_Foxlink_ (Pricing Summary) 2 25 2011 5 3" xfId="23710"/>
    <cellStyle name="差_Xl0000000_Leopard UniBom_Foxlink_6 21 2010-ME_nego_Bolt RFQ_Foxlink_03.1 2011_nego meeting@MACH 3 3" xfId="23711"/>
    <cellStyle name="好_River EE BOM_Creek RFQ feedback 04_28_2009_FD Update_Foxlink_Shadow RFQ NREUni BOM_12032009_Bolt RFQ Proposal_Foxlink_ (Pricing Summary) 2 25 2011 6" xfId="23712"/>
    <cellStyle name="好_Creek Assembly Fixture  Test Equipment RFQ_20090427_Xl0000002_Leopard RFQ ME BOM Costs-0618_Bolt RFQ_Foxlink_03.1 2011" xfId="23713"/>
    <cellStyle name="好_Creek Assembly Fixture  Test Equipment RFQ_20090427_Xl0000002_Leopard RFQ ME BOM Costs-0618_Bolt RFQ_Foxlink_03.1 2011 2 2" xfId="23714"/>
    <cellStyle name="好_Creek Assembly Fixture  Test Equipment RFQ_20090427_Xl0000002_Leopard RFQ ME BOM Costs-0618_Bolt RFQ_Foxlink_03.1 2011 3 2" xfId="23715"/>
    <cellStyle name="好_Creek Assembly Fixture  Test Equipment RFQ_20090427_Xl0000002_Leopard RFQ ME BOM Costs-0618_Bolt RFQ_Foxlink_03.1 2011 3 3" xfId="23716"/>
    <cellStyle name="差_pq_Flow chart and Fixture(Jackson)_A1_Jackson 效益分析 (2-1 B0 上系統)_Leopard Flowchart &amp; 產能評估" xfId="23717"/>
    <cellStyle name="好_Creek Assembly Fixture  Test Equipment RFQ_20090427_Xl0000002_Leopard RFQ ME BOM Costs-0618_Bolt RFQ_Foxlink_03.1 2011_nego meeting@MACH" xfId="23718"/>
    <cellStyle name="差_Creek RFQ feedback 04_28_2009_FD Update_Squirrel UniBom_Foxlink_7.27.2010" xfId="23719"/>
    <cellStyle name="好_Creek Assembly Fixture  Test Equipment RFQ_20090427_Xl0000002_Leopard RFQ ME BOM Costs-0618_Bolt RFQ_Foxlink_03.1 2011_nego meeting@MACH 3 2" xfId="23720"/>
    <cellStyle name="好_River EE BOM_Creek RFQ feedback 04_28_2009_FD Update_Leopard_UniBOM_ME_0603-2_Bolt RFQ Proposal_Foxlink_ (Pricing Summary) 2 25 2011 5" xfId="23721"/>
    <cellStyle name="好_Creek Assembly Fixture  Test Equipment RFQ_20090427_Xl0000002_Leopard RFQ ME BOM Costs-0618_Bolt RFQ_Foxlink_03.1 2011_nego meeting@MACH 3 3" xfId="23722"/>
    <cellStyle name="好_River EE BOM_Creek RFQ feedback 04_28_2009_FD Update_Leopard_UniBOM_ME_0603-2_Bolt RFQ Proposal_Foxlink_ (Pricing Summary) 2 25 2011 6" xfId="23723"/>
    <cellStyle name="好_Creek Assembly Fixture  Test Equipment RFQ_20090427_Xl0000002_Leopard RFQ ME BOM Costs-0618-2" xfId="23724"/>
    <cellStyle name="好_River EE BOM_Creak Pearl Reliability Fixture RFQ_2009 04 24_Creek  Pearl RFQ_May 12_Bolt RFQ Proposal_Foxlink_ (Pricing Summary) 2 25 2011 5 3" xfId="23725"/>
    <cellStyle name="好_Creek Assembly Fixture  Test Equipment RFQ_20090427_Xl0000002_Leopard RFQ ME BOM Costs-0618-2 2" xfId="23726"/>
    <cellStyle name="好_Creek Assembly Fixture  Test Equipment RFQ_20090427_Xl0000002_Leopard RFQ ME BOM Costs-0618-2 2 2" xfId="23727"/>
    <cellStyle name="好_Creek EE BOM cost_20090425_Creek RFQ feedback 04_28_2009_FD Update_Leopard RFQ ME BOM Costs-0618-2_Bolt RFQ_Foxlink_03.1 2011_nego meeting@MACH 4" xfId="23728"/>
    <cellStyle name="好_Creek Assembly Fixture  Test Equipment RFQ_20090427_Xl0000002_Leopard RFQ ME BOM Costs-0618-2 2 2 2" xfId="23729"/>
    <cellStyle name="好_Creek EE BOM cost_20090425_Creek RFQ feedback 04_28_2009_FD Update_Leopard RFQ ME BOM Costs-0618-2_Bolt RFQ_Foxlink_03.1 2011_nego meeting@MACH 5" xfId="23730"/>
    <cellStyle name="好_Creek Assembly Fixture  Test Equipment RFQ_20090427_Xl0000002_Leopard RFQ ME BOM Costs-0618-2 2 2 3" xfId="23731"/>
    <cellStyle name="好_Creek Assembly Fixture  Test Equipment RFQ_20090427_Xl0000002_Leopard RFQ ME BOM Costs-0618-2 2 3" xfId="23732"/>
    <cellStyle name="好_Creek Assembly Fixture  Test Equipment RFQ_20090427_Xl0000002_Leopard RFQ ME BOM Costs-0618-2 3" xfId="23733"/>
    <cellStyle name="好_Creek Assembly Fixture  Test Equipment RFQ_20090427_Xl0000002_Leopard RFQ ME BOM Costs-0618-2 3 2" xfId="23734"/>
    <cellStyle name="好_Creek Assembly Fixture  Test Equipment RFQ_20090427_Xl0000002_Leopard RFQ ME BOM Costs-0618-2 3 3" xfId="23735"/>
    <cellStyle name="好_Creek Assembly Fixture  Test Equipment RFQ_20090427_Xl0000002_Leopard RFQ ME BOM Costs-0618-2_Bolt RFQ Proposal_Foxlink_ (Pricing Summary) 2 25 2011 2 2 2" xfId="23736"/>
    <cellStyle name="好_Creek Assembly Fixture  Test Equipment RFQ_20090427_Xl0000002_Leopard RFQ ME BOM Costs-0618-2_Bolt RFQ Proposal_Foxlink_ (Pricing Summary) 2 25 2011 2 2 3" xfId="23737"/>
    <cellStyle name="好_Creek Assembly Fixture  Test Equipment RFQ_20090427_Xl0000002_Leopard RFQ ME BOM Costs-0618-2_Bolt RFQ Proposal_Foxlink_ (Pricing Summary) 2 25 2011 2 3" xfId="23738"/>
    <cellStyle name="好_Creek Assembly Fixture  Test Equipment RFQ_20090427_Xl0000002_Leopard RFQ ME BOM Costs-0618-2_Bolt RFQ Proposal_Foxlink_ (Pricing Summary) 2 25 2011 2 4" xfId="23739"/>
    <cellStyle name="差_Creak Pearl Reliability Fixture RFQ_2009 04 24_Creek  Pearl RFQ_May 12_Leopard RFQ ME BOM Costs-0618_Bolt RFQ Proposal_Foxlink_ (Pricing Summary) 2 25 2011 7" xfId="23740"/>
    <cellStyle name="好_Creek Assembly Fixture  Test Equipment RFQ_20090427_Xl0000002_Leopard RFQ ME BOM Costs-0618-2_Bolt RFQ Proposal_Foxlink_ (Pricing Summary) 2 25 2011 3 3" xfId="23741"/>
    <cellStyle name="好_Creek Assembly Fixture  Test Equipment RFQ_20090427_Xl0000002_Leopard RFQ ME BOM Costs-0618-2_Bolt RFQ Proposal_Foxlink_ (Pricing Summary) 2 25 2011 7" xfId="23742"/>
    <cellStyle name="好_Creek Assembly Fixture  Test Equipment RFQ_20090427_Xl0000002_Leopard RFQ ME BOM Costs-0618-2_Bolt RFQ_Foxlink_03.1 2011" xfId="23743"/>
    <cellStyle name="好_Creek Assembly Fixture  Test Equipment RFQ_20090427_Xl0000002_Leopard RFQ ME BOM Costs-0618-2_Bolt RFQ_Foxlink_03.1 2011 2" xfId="23744"/>
    <cellStyle name="好_Creek Assembly Fixture  Test Equipment RFQ_20090427_Xl0000002_Leopard RFQ ME BOM Costs-0618-2_Bolt RFQ_Foxlink_03.1 2011 2 2" xfId="23745"/>
    <cellStyle name="好_Creek Assembly Fixture  Test Equipment RFQ_20090427_Xl0000002_Leopard RFQ ME BOM Costs-0618-2_Bolt RFQ_Foxlink_03.1 2011 2 3" xfId="23746"/>
    <cellStyle name="好_Creek Assembly Fixture  Test Equipment RFQ_20090427_Xl0000002_Leopard RFQ ME BOM Costs-0618-2_Bolt RFQ_Foxlink_03.1 2011 3" xfId="23747"/>
    <cellStyle name="差_F3   SMT設備明細_效益分析_Dallas效益分析&amp;投資回收期 (12-2 A1)_Flow chart and Fixture(Jackson)_A1" xfId="23748"/>
    <cellStyle name="好_River EE BOM_Creak Pearl Reliability Fixture RFQ_2009 04 24_Creek  Pearl RFQ_May 12_Leopard UniBom_Foxlink_6 21 2010-ME_nego_Bolt RFQ Proposal_Foxlink_ (Pricing Summary) 2 25 2011 5" xfId="23749"/>
    <cellStyle name="好_Creek Assembly Fixture  Test Equipment RFQ_20090427_Xl0000002_Leopard RFQ ME BOM Costs-0618-2_Bolt RFQ_Foxlink_03.1 2011 3 2" xfId="23750"/>
    <cellStyle name="好_River EE BOM_Creak Pearl Reliability Fixture RFQ_2009 04 24_Xl0000002_Leopard_UniBOM_ME_0531_Bolt RFQ_Foxlink_03.1 2011_nego meeting@MACH 3" xfId="23751"/>
    <cellStyle name="好_River EE BOM_Creak Pearl Reliability Fixture RFQ_2009 04 24_Creek RFQ feedback 04_28_2009_FD Update_Leopard_UniBOM_ME_0603-2 2 3" xfId="23752"/>
    <cellStyle name="好_Creek Assembly Fixture  Test Equipment RFQ_20090427_Xl0000002_Leopard RFQ ME BOM Costs-0618-2_Bolt RFQ_Foxlink_03.1 2011 5" xfId="23753"/>
    <cellStyle name="好_HP all model 標準工時(W1130) 2 3 3" xfId="23754"/>
    <cellStyle name="好_Creek Assembly Fixture  Test Equipment RFQ_20090427_Xl0000002_Leopard RFQ ME BOM Costs-0618-2_Bolt RFQ_Foxlink_03.1 2011_nego meeting@MACH 2 2" xfId="23755"/>
    <cellStyle name="好_Creek Assembly Fixture  Test Equipment RFQ_20090427_Xl0000002_Leopard RFQ ME BOM Costs-0618-2_Bolt RFQ_Foxlink_03.1 2011_nego meeting@MACH 2 3" xfId="23756"/>
    <cellStyle name="好_Creek Assembly Fixture  Test Equipment RFQ_20090427_Xl0000002_Leopard RFQ ME BOM Costs-0618-2_Bolt RFQ_Foxlink_03.1 2011_nego meeting@MACH 3" xfId="23757"/>
    <cellStyle name="好_Creek Assembly Fixture  Test Equipment RFQ_20090427_Xl0000002_Leopard RFQ ME BOM Costs-0618-2_Bolt RFQ_Foxlink_03.1 2011_nego meeting@MACH 3 2" xfId="23758"/>
    <cellStyle name="好_Creek Assembly Fixture  Test Equipment RFQ_20090427_Xl0000002_Leopard RFQ ME BOM Costs-0618-2_Bolt RFQ_Foxlink_03.1 2011_nego meeting@MACH 3 3" xfId="23759"/>
    <cellStyle name="差_Creak Pearl Reliability Fixture RFQ_2009 04 24_Leopard RFQ ME BOM Costs-0618_Bolt RFQ_Foxlink_03.1 2011_nego meeting@MACH 3 3" xfId="23760"/>
    <cellStyle name="好_Creek Assembly Fixture  Test Equipment RFQ_20090427_Xl0000002_Leopard UniBom_Foxlink_12272010 RevF_shirley" xfId="23761"/>
    <cellStyle name="好_Creek Assembly Fixture  Test Equipment RFQ_20090427_Xl0000002_Leopard UniBom_Foxlink_6 21 2010-ME_nego 2 2" xfId="23762"/>
    <cellStyle name="好_Creek Assembly Fixture  Test Equipment RFQ_20090427_Xl0000002_Leopard UniBom_Foxlink_6 21 2010-ME_nego 2 2 2" xfId="23763"/>
    <cellStyle name="好_Creek Assembly Fixture  Test Equipment RFQ_20090427_Xl0000002_Leopard UniBom_Foxlink_6 21 2010-ME_nego 2 2 3" xfId="23764"/>
    <cellStyle name="好_Creek Assembly Fixture  Test Equipment RFQ_20090427_Xl0000002_Leopard UniBom_Foxlink_6 21 2010-ME_nego 2 4" xfId="23765"/>
    <cellStyle name="差_Erie mouse 效益分析( 11-19 A1)_Flow chart and Fixture(Jackson)_A1_Jackson 效益分析 (2-1 B0 上系統)_Leopard效益分析08-17" xfId="23766"/>
    <cellStyle name="好_Creek Assembly Fixture  Test Equipment RFQ_20090427_Xl0000002_Leopard UniBom_Foxlink_6 21 2010-ME_nego 3" xfId="23767"/>
    <cellStyle name="好_River EE BOM_Creak Pearl Reliability Fixture RFQ_2009 04 24_Xl0000002_Leopard_UniBOM_ME_0531_Bolt RFQ Proposal_Foxlink_ (Pricing Summary) 2 25 2011 2 2 2" xfId="23768"/>
    <cellStyle name="好_River EE BOM_Creak Pearl Reliability Fixture RFQ_2009 04 24_Creek RFQ feedback 04_28_2009_FD Update_Leopard RFQ ME BOM Costs-0618_Bolt RFQ Proposal_Foxlink_ (Pricing Summary) 2 25 2011 2 4" xfId="23769"/>
    <cellStyle name="好_Creek Assembly Fixture  Test Equipment RFQ_20090427_Xl0000002_Leopard UniBom_Foxlink_6 21 2010-ME_nego 3 3" xfId="23770"/>
    <cellStyle name="好_River EE BOM_Creak Pearl Reliability Fixture RFQ_2009 04 24_Xl0000002_Squirrel RFQ ME BOM Costs-0624" xfId="23771"/>
    <cellStyle name="好_Creek EE BOM cost_20090425_Leopard RFQ ME BOM Costs-0618_Bolt RFQ_Foxlink_03.1 2011 5" xfId="23772"/>
    <cellStyle name="好_Creek Assembly Fixture  Test Equipment RFQ_20090427_Xl0000002_Leopard UniBom_Foxlink_6 21 2010-ME_nego_Bolt RFQ Proposal_Foxlink_ (Pricing Summary) 2 25 2011" xfId="23773"/>
    <cellStyle name="好_Creek Assembly Fixture  Test Equipment RFQ_20090427_Xl0000002_Leopard UniBom_Foxlink_6 21 2010-ME_nego_Bolt RFQ Proposal_Foxlink_ (Pricing Summary) 2 25 2011 2" xfId="23774"/>
    <cellStyle name="好_River EE BOM_Xl0000000_Leopard_UniBOM_ME_0531_Bolt RFQ_Foxlink_03.1 2011 2 3" xfId="23775"/>
    <cellStyle name="好_Creek Assembly Fixture  Test Equipment RFQ_20090427_Xl0000002_Leopard UniBom_Foxlink_6 21 2010-ME_nego_Bolt RFQ Proposal_Foxlink_ (Pricing Summary) 2 25 2011 2 2" xfId="23776"/>
    <cellStyle name="好_Creek Assembly Fixture  Test Equipment RFQ_20090427_Xl0000002_Leopard UniBom_Foxlink_6 21 2010-ME_nego_Bolt RFQ Proposal_Foxlink_ (Pricing Summary) 2 25 2011 2 2 2" xfId="23777"/>
    <cellStyle name="好_Creek Assembly Fixture  Test Equipment RFQ_20090427_Xl0000002_Leopard UniBom_Foxlink_6 21 2010-ME_nego_Bolt RFQ Proposal_Foxlink_ (Pricing Summary) 2 25 2011 2 2 3" xfId="23778"/>
    <cellStyle name="好_Creek Assembly Fixture  Test Equipment RFQ_20090427_Xl0000002_Leopard UniBom_Foxlink_6 21 2010-ME_nego_Bolt RFQ Proposal_Foxlink_ (Pricing Summary) 2 25 2011 2 3" xfId="23779"/>
    <cellStyle name="好_Creek Assembly Fixture  Test Equipment RFQ_20090427_Xl0000002_Leopard UniBom_Foxlink_6 21 2010-ME_nego_Bolt RFQ Proposal_Foxlink_ (Pricing Summary) 2 25 2011 2 4" xfId="23780"/>
    <cellStyle name="好_Creek Assembly Fixture  Test Equipment RFQ_20090427_Xl0000002_Leopard UniBom_Foxlink_6 21 2010-ME_nego_Bolt RFQ Proposal_Foxlink_ (Pricing Summary) 2 25 2011 3" xfId="23781"/>
    <cellStyle name="好_River EE BOM_Xl0000000_Leopard_UniBOM_ME_0531_Bolt RFQ_Foxlink_03.1 2011 3 3" xfId="23782"/>
    <cellStyle name="好_Creek Assembly Fixture  Test Equipment RFQ_20090427_Xl0000002_Leopard UniBom_Foxlink_6 21 2010-ME_nego_Bolt RFQ Proposal_Foxlink_ (Pricing Summary) 2 25 2011 3 2" xfId="23783"/>
    <cellStyle name="好_Creek Assembly Fixture  Test Equipment RFQ_20090427_Xl0000002_Leopard UniBom_Foxlink_6 21 2010-ME_nego_Bolt RFQ Proposal_Foxlink_ (Pricing Summary) 2 25 2011 3 3" xfId="23784"/>
    <cellStyle name="好_Creek Assembly Fixture  Test Equipment RFQ_20090427_Xl0000002_Leopard UniBom_Foxlink_6 21 2010-ME_nego_Bolt RFQ Proposal_Foxlink_ (Pricing Summary) 2 25 2011 4 2" xfId="23785"/>
    <cellStyle name="差_Creek RFQ feedback 04_28_2009_FD Update_Squirrel RFQ ME BOM Costs-0623_Bolt RFQ Proposal_Foxlink_ (Pricing Summary) 2 25 2011 5" xfId="23786"/>
    <cellStyle name="好_Creek Assembly Fixture  Test Equipment RFQ_20090427_Xl0000002_Leopard UniBom_Foxlink_6 21 2010-ME_nego_Bolt RFQ Proposal_Foxlink_ (Pricing Summary) 2 25 2011 4 3" xfId="23787"/>
    <cellStyle name="差_Creek RFQ feedback 04_28_2009_FD Update_Squirrel RFQ ME BOM Costs-0623_Bolt RFQ Proposal_Foxlink_ (Pricing Summary) 2 25 2011 6" xfId="23788"/>
    <cellStyle name="差_Creak Pearl Reliability Fixture RFQ_2009 04 24_Pearl RFQ(Submittal)ver2_05_12_2009 _Leopard_UniBOM_ME_0602_Bolt RFQ_Foxlink_03.1 2011_nego meeting@MACH" xfId="23789"/>
    <cellStyle name="好_Creek Assembly Fixture  Test Equipment RFQ_20090427_Xl0000002_Leopard UniBom_Foxlink_6 21 2010-ME_nego_Bolt RFQ Proposal_Foxlink_ (Pricing Summary) 2 25 2011 5" xfId="23790"/>
    <cellStyle name="好_Creek Assembly Fixture  Test Equipment RFQ_20090427_Xl0000002_Leopard UniBom_Foxlink_6 21 2010-ME_nego_Bolt RFQ Proposal_Foxlink_ (Pricing Summary) 2 25 2011 5 2" xfId="23791"/>
    <cellStyle name="好_Creek Assembly Fixture  Test Equipment RFQ_20090427_Xl0000002_Leopard UniBom_Foxlink_6 21 2010-ME_nego_Bolt RFQ Proposal_Foxlink_ (Pricing Summary) 2 25 2011 5 3" xfId="23792"/>
    <cellStyle name="好_Creek Assembly Fixture  Test Equipment RFQ_20090427_Xl0000002_Leopard UniBom_Foxlink_6 21 2010-ME_nego_Bolt RFQ Proposal_Foxlink_ (Pricing Summary) 2 25 2011 7" xfId="23793"/>
    <cellStyle name="好_Creek Assembly Fixture  Test Equipment RFQ_20090427_Xl0000002_Leopard UniBom_Foxlink_6 21 2010-ME_nego_Bolt RFQ_Foxlink_03.1 2011" xfId="23794"/>
    <cellStyle name="好_Creek Assembly Fixture  Test Equipment RFQ_20090427_Xl0000002_Leopard UniBom_Foxlink_6 21 2010-ME_nego_Bolt RFQ_Foxlink_03.1 2011 2 3" xfId="23795"/>
    <cellStyle name="好_Creek Assembly Fixture  Test Equipment RFQ_20090427_Xl0000002_Leopard UniBom_Foxlink_6 21 2010-ME_nego_Bolt RFQ_Foxlink_03.1 2011 3" xfId="23796"/>
    <cellStyle name="好_Creek Assembly Fixture  Test Equipment RFQ_20090427_Xl0000002_Leopard UniBom_Foxlink_6 21 2010-ME_nego_Bolt RFQ_Foxlink_03.1 2011 3 3" xfId="23797"/>
    <cellStyle name="好_Creek Assembly Fixture  Test Equipment RFQ_20090427_Xl0000002_Leopard UniBom_Foxlink_6 21 2010-ME_nego_Bolt RFQ_Foxlink_03.1 2011 4" xfId="23798"/>
    <cellStyle name="差_Creak Pearl Reliability Fixture RFQ_2009 04 24_Creek RFQ feedback 04_28_2009_FD Update_Squirrel UniBom-06.23.2010_update_internal_Bolt RFQ_Foxlink_03.1 2011_nego meeting@MACH 3 2" xfId="23799"/>
    <cellStyle name="好_Creek Assembly Fixture  Test Equipment RFQ_20090427_Xl0000002_Leopard UniBom_Foxlink_6 21 2010-ME_nego_Bolt RFQ_Foxlink_03.1 2011 5" xfId="23800"/>
    <cellStyle name="好_Creek Assembly Fixture  Test Equipment RFQ_20090427_Xl0000002_Leopard UniBom_Foxlink_6 21 2010-ME_nego_Bolt RFQ_Foxlink_03.1 2011_nego meeting@MACH" xfId="23801"/>
    <cellStyle name="好_Creek Assembly Fixture  Test Equipment RFQ_20090427_Xl0000002_Leopard UniBom_Foxlink_6 21 2010-ME_nego_Bolt RFQ_Foxlink_03.1 2011_nego meeting@MACH 3" xfId="23802"/>
    <cellStyle name="好_Creek Assembly Fixture  Test Equipment RFQ_20090427_Xl0000002_Leopard UniBom_Foxlink_6 21 2010-ME_nego_Bolt RFQ_Foxlink_03.1 2011_nego meeting@MACH 3 2" xfId="23803"/>
    <cellStyle name="好_Creek Assembly Fixture  Test Equipment RFQ_20090427_Xl0000002_Leopard UniBom_Foxlink_6 21 2010-ME_nego_Bolt RFQ_Foxlink_03.1 2011_nego meeting@MACH 3 3" xfId="23804"/>
    <cellStyle name="差_F3   SMT設備明細_MS Bolt wireless mouse FixtureEquipment Cost_A5_2010_02_21_Bolt RFQ_Foxlink_03.1 2011 3 2" xfId="23805"/>
    <cellStyle name="好_Creek Assembly Fixture  Test Equipment RFQ_20090427_Xl0000002_Leopard UniBom_Foxlink_6 21 2010-ME_nego_Bolt RFQ_Foxlink_03.1 2011_nego meeting@MACH 4" xfId="23806"/>
    <cellStyle name="差_F3   SMT設備明細_MS Bolt wireless mouse FixtureEquipment Cost_A5_2010_02_21_Bolt RFQ_Foxlink_03.1 2011 3 3" xfId="23807"/>
    <cellStyle name="好_Creek Assembly Fixture  Test Equipment RFQ_20090427_Xl0000002_Leopard UniBom_Foxlink_6 21 2010-ME_nego_Bolt RFQ_Foxlink_03.1 2011_nego meeting@MACH 5" xfId="23808"/>
    <cellStyle name="好_Creek Assembly Fixture  Test Equipment RFQ_20090427_Xl0000002_Leopard UniBom_Foxlink_6 21 2010-nego" xfId="23809"/>
    <cellStyle name="好_Creek Assembly Fixture  Test Equipment RFQ_20090427_Xl0000002_Leopard UniBom_true cost_6.23.2010" xfId="23810"/>
    <cellStyle name="差_Creak Pearl Reliability Fixture RFQ_2009 04 24_Leopard UniBom_Foxlink_6 21 2010-ME_nego_Bolt RFQ_Foxlink_03.1 2011_nego meeting@MACH 3" xfId="23811"/>
    <cellStyle name="差_治具工程課2009年KPI_產線生產規劃KPI 2 2 2 2" xfId="23812"/>
    <cellStyle name="好_Creek Assembly Fixture  Test Equipment RFQ_20090427_Xl0000002_Leopard_UniBOM_ME_0531 2 2" xfId="23813"/>
    <cellStyle name="差_Creak Pearl Reliability Fixture RFQ_2009 04 24_Leopard UniBom_Foxlink_6 21 2010-ME_nego_Bolt RFQ_Foxlink_03.1 2011_nego meeting@MACH 3 2" xfId="23814"/>
    <cellStyle name="好_Creek Assembly Fixture  Test Equipment RFQ_20090427_Xl0000002_Leopard_UniBOM_ME_0531 2 2 2" xfId="23815"/>
    <cellStyle name="差_Creak Pearl Reliability Fixture RFQ_2009 04 24_Leopard UniBom_Foxlink_6 21 2010-ME_nego_Bolt RFQ_Foxlink_03.1 2011_nego meeting@MACH 5" xfId="23816"/>
    <cellStyle name="好_Creek Assembly Fixture  Test Equipment RFQ_20090427_Xl0000002_Leopard_UniBOM_ME_0531 2 4" xfId="23817"/>
    <cellStyle name="好_Creek Assembly Fixture  Test Equipment RFQ_20090427_Xl0000002_Leopard_UniBOM_ME_0531_Bolt RFQ Proposal_Foxlink_ (Pricing Summary) 2 25 2011" xfId="23818"/>
    <cellStyle name="好_Creek Assembly Fixture  Test Equipment RFQ_20090427_Xl0000002_Leopard_UniBOM_ME_0531_Bolt RFQ Proposal_Foxlink_ (Pricing Summary) 2 25 2011 2 2 2" xfId="23819"/>
    <cellStyle name="差_HP Mouse 產能評估(Forecast更改後)_Erie 效益分析 (Update)_squirrel效益分析08-17" xfId="23820"/>
    <cellStyle name="好_Creek Assembly Fixture  Test Equipment RFQ_20090427_Xl0000002_Leopard_UniBOM_ME_0531_Bolt RFQ Proposal_Foxlink_ (Pricing Summary) 2 25 2011 2 3" xfId="23821"/>
    <cellStyle name="好_Creek Assembly Fixture  Test Equipment RFQ_20090427_Xl0000002_Leopard_UniBOM_ME_0531_Bolt RFQ Proposal_Foxlink_ (Pricing Summary) 2 25 2011 2 4" xfId="23822"/>
    <cellStyle name="好_Creek Assembly Fixture  Test Equipment RFQ_20090427_Xl0000002_Leopard_UniBOM_ME_0531_Bolt RFQ Proposal_Foxlink_ (Pricing Summary) 2 25 2011 3 2" xfId="23823"/>
    <cellStyle name="好_Creek Assembly Fixture  Test Equipment RFQ_20090427_Xl0000002_Leopard_UniBOM_ME_0531_Bolt RFQ Proposal_Foxlink_ (Pricing Summary) 2 25 2011 4 2" xfId="23824"/>
    <cellStyle name="好_Creek Assembly Fixture  Test Equipment RFQ_20090427_Xl0000002_Leopard_UniBOM_ME_0531_Bolt RFQ Proposal_Foxlink_ (Pricing Summary) 2 25 2011 4 3" xfId="23825"/>
    <cellStyle name="好_Creek Assembly Fixture  Test Equipment RFQ_20090427_Xl0000002_Leopard_UniBOM_ME_0531_Bolt RFQ Proposal_Foxlink_ (Pricing Summary) 2 25 2011 5" xfId="23826"/>
    <cellStyle name="好_Creek Assembly Fixture  Test Equipment RFQ_20090427_Xl0000002_Leopard_UniBOM_ME_0531_Bolt RFQ Proposal_Foxlink_ (Pricing Summary) 2 25 2011 5 2" xfId="23827"/>
    <cellStyle name="好_Creek Assembly Fixture  Test Equipment RFQ_20090427_Xl0000002_Leopard_UniBOM_ME_0531_Bolt RFQ Proposal_Foxlink_ (Pricing Summary) 2 25 2011 5 3" xfId="23828"/>
    <cellStyle name="好_Creek Assembly Fixture  Test Equipment RFQ_20090427_Xl0000002_Leopard_UniBOM_ME_0531_Bolt RFQ Proposal_Foxlink_ (Pricing Summary) 2 25 2011 7" xfId="23829"/>
    <cellStyle name="差_Creak Pearl Reliability Fixture RFQ_2009 04 24_Creek  Pearl RFQ_May 12_Leopard RFQ ME BOM Costs-0618_Bolt RFQ_Foxlink_03.1 2011 3" xfId="23830"/>
    <cellStyle name="好_Creek Assembly Fixture  Test Equipment RFQ_20090427_Xl0000002_Leopard_UniBOM_ME_0531_Bolt RFQ_Foxlink_03.1 2011 2 2" xfId="23831"/>
    <cellStyle name="好_治具工程課2009年KPI_2009MB KPI-0205 5 2 2" xfId="23832"/>
    <cellStyle name="好_Creek Assembly Fixture  Test Equipment RFQ_20090427_Xl0000002_Leopard_UniBOM_ME_0531_Bolt RFQ_Foxlink_03.1 2011 3" xfId="23833"/>
    <cellStyle name="好_Creek Assembly Fixture  Test Equipment RFQ_20090427_Xl0000002_Leopard_UniBOM_ME_0531_Bolt RFQ_Foxlink_03.1 2011 3 2" xfId="23834"/>
    <cellStyle name="好_治具工程課2009年KPI_2009MB KPI-0205 5 2 3" xfId="23835"/>
    <cellStyle name="好_Creek Assembly Fixture  Test Equipment RFQ_20090427_Xl0000002_Leopard_UniBOM_ME_0531_Bolt RFQ_Foxlink_03.1 2011 4" xfId="23836"/>
    <cellStyle name="好_Creek Assembly Fixture  Test Equipment RFQ_20090427_Xl0000002_Leopard_UniBOM_ME_0531_Bolt RFQ_Foxlink_03.1 2011 5" xfId="23837"/>
    <cellStyle name="好_Creek Assembly Fixture  Test Equipment RFQ_20090427_Xl0000002_Leopard_UniBOM_ME_0531_Bolt RFQ_Foxlink_03.1 2011_nego meeting@MACH 2" xfId="23838"/>
    <cellStyle name="好_Creek Assembly Fixture  Test Equipment RFQ_20090427_Xl0000002_Leopard_UniBOM_ME_0531_Bolt RFQ_Foxlink_03.1 2011_nego meeting@MACH 3 2" xfId="23839"/>
    <cellStyle name="好_Creek Assembly Fixture  Test Equipment RFQ_20090427_Xl0000002_Leopard_UniBOM_ME_0531_Bolt RFQ_Foxlink_03.1 2011_nego meeting@MACH 4" xfId="23840"/>
    <cellStyle name="好_River EE BOM_Xl0000000_Leopard_UniBOM_ME_0531_Bolt RFQ Proposal_Foxlink_ (Pricing Summary) 2 25 2011 5 2" xfId="23841"/>
    <cellStyle name="好_Creek Assembly Fixture  Test Equipment RFQ_20090427_Xl0000002_Leopard_UniBOM_ME_0531_Bolt RFQ_Foxlink_03.1 2011_nego meeting@MACH 5" xfId="23842"/>
    <cellStyle name="好_River EE BOM_Xl0000000_Leopard_UniBOM_ME_0531_Bolt RFQ Proposal_Foxlink_ (Pricing Summary) 2 25 2011 5 3" xfId="23843"/>
    <cellStyle name="差_HP Mouse 產能評估(上系統)_Jackson 效益分析 (2-1 B0 上系統)_Leopard效益分析08-17" xfId="23844"/>
    <cellStyle name="好_Creek Assembly Fixture  Test Equipment RFQ_20090427_Xl0000002_Leopard_UniBOM_ME_0602" xfId="23845"/>
    <cellStyle name="好_Creek Assembly Fixture  Test Equipment RFQ_20090427_Xl0000002_Leopard_UniBOM_ME_0602 2 2 2" xfId="23846"/>
    <cellStyle name="好_Creek Assembly Fixture  Test Equipment RFQ_20090427_Xl0000002_Leopard_UniBOM_ME_0602 3 3" xfId="23847"/>
    <cellStyle name="好_Creek Assembly Fixture  Test Equipment RFQ_20090427_Xl0000002_Leopard_UniBOM_ME_0602_Bolt RFQ Proposal_Foxlink_ (Pricing Summary) 2 25 2011" xfId="23848"/>
    <cellStyle name="差_Xl0000002_Leopard_UniBOM_ME_0603-2 3 2" xfId="23849"/>
    <cellStyle name="好_River EE BOM_Xl0000002_Leopard RFQ ME BOM Costs-0618-2 2 4" xfId="23850"/>
    <cellStyle name="好_Creek Assembly Fixture  Test Equipment RFQ_20090427_Xl0000002_Leopard_UniBOM_ME_0602_Bolt RFQ Proposal_Foxlink_ (Pricing Summary) 2 25 2011 2" xfId="23851"/>
    <cellStyle name="好_River EE BOM_Creek RFQ feedback 04_28_2009_FD Update_Squirrel UniBom-06.23.2010_update_internal 2" xfId="23852"/>
    <cellStyle name="好_Creek Assembly Fixture  Test Equipment RFQ_20090427_Xl0000002_Leopard_UniBOM_ME_0602_Bolt RFQ Proposal_Foxlink_ (Pricing Summary) 2 25 2011 2 2 2" xfId="23853"/>
    <cellStyle name="好_River EE BOM_Creek RFQ feedback 04_28_2009_FD Update_Squirrel UniBom-06.23.2010_update_internal 3" xfId="23854"/>
    <cellStyle name="好_Creek Assembly Fixture  Test Equipment RFQ_20090427_Xl0000002_Leopard_UniBOM_ME_0602_Bolt RFQ Proposal_Foxlink_ (Pricing Summary) 2 25 2011 2 2 3" xfId="23855"/>
    <cellStyle name="好_Creek Assembly Fixture  Test Equipment RFQ_20090427_Xl0000002_Leopard_UniBOM_ME_0602_Bolt RFQ Proposal_Foxlink_ (Pricing Summary) 2 25 2011 2 3" xfId="23856"/>
    <cellStyle name="好_Creek Assembly Fixture  Test Equipment RFQ_20090427_Xl0000002_Leopard_UniBOM_ME_0602_Bolt RFQ Proposal_Foxlink_ (Pricing Summary) 2 25 2011 2 4" xfId="23857"/>
    <cellStyle name="好_Creek Assembly Fixture  Test Equipment RFQ_20090427_Xl0000002_Leopard_UniBOM_ME_0602_Bolt RFQ Proposal_Foxlink_ (Pricing Summary) 2 25 2011 3 2" xfId="23858"/>
    <cellStyle name="好_Creek Assembly Fixture  Test Equipment RFQ_20090427_Xl0000002_Leopard_UniBOM_ME_0602_Bolt RFQ Proposal_Foxlink_ (Pricing Summary) 2 25 2011 5 2" xfId="23859"/>
    <cellStyle name="好_Creek Assembly Fixture  Test Equipment RFQ_20090427_Xl0000002_Leopard_UniBOM_ME_0602_Bolt RFQ Proposal_Foxlink_ (Pricing Summary) 2 25 2011 5 3" xfId="23860"/>
    <cellStyle name="好_Creek Assembly Fixture  Test Equipment RFQ_20090427_Xl0000002_Leopard_UniBOM_ME_0602_Bolt RFQ Proposal_Foxlink_ (Pricing Summary) 2 25 2011 6" xfId="23861"/>
    <cellStyle name="好_Creek Assembly Fixture  Test Equipment RFQ_20090427_Xl0000002_Leopard_UniBOM_ME_0602_Bolt RFQ Proposal_Foxlink_ (Pricing Summary) 2 25 2011 7" xfId="23862"/>
    <cellStyle name="差 2 3 2" xfId="23863"/>
    <cellStyle name="好_Creek Assembly Fixture  Test Equipment RFQ_20090427_Xl0000002_Leopard_UniBOM_ME_0602_Bolt RFQ_Foxlink_03.1 2011" xfId="23864"/>
    <cellStyle name="好_Creek Assembly Fixture  Test Equipment RFQ_20090427_Xl0000002_Leopard_UniBOM_ME_0602_Bolt RFQ_Foxlink_03.1 2011_nego meeting@MACH" xfId="23865"/>
    <cellStyle name="好_Creek Assembly Fixture  Test Equipment RFQ_20090427_Xl0000002_Leopard_UniBOM_ME_0602_Bolt RFQ_Foxlink_03.1 2011_nego meeting@MACH 2" xfId="23866"/>
    <cellStyle name="好_Creek Assembly Fixture  Test Equipment RFQ_20090427_Xl0000002_Leopard_UniBOM_ME_0602_Bolt RFQ_Foxlink_03.1 2011_nego meeting@MACH 2 3" xfId="23867"/>
    <cellStyle name="差_dallas產能評估_Flow Chart(shadow)-b (1-4 Update)_Leopard效益分析08-17" xfId="23868"/>
    <cellStyle name="好_Creek Assembly Fixture  Test Equipment RFQ_20090427_Xl0000002_Leopard_UniBOM_ME_0602_Bolt RFQ_Foxlink_03.1 2011_nego meeting@MACH 3" xfId="23869"/>
    <cellStyle name="好_Creek Assembly Fixture  Test Equipment RFQ_20090427_Xl0000002_Leopard_UniBOM_ME_0602_Bolt RFQ_Foxlink_03.1 2011_nego meeting@MACH 5" xfId="23870"/>
    <cellStyle name="好_Creek Assembly Fixture  Test Equipment RFQ_20090427_Xl0000002_Leopard_UniBOM_ME_0602-1" xfId="23871"/>
    <cellStyle name="好_Creek Assembly Fixture  Test Equipment RFQ_20090427_Xl0000002_Leopard_UniBOM_ME_0602-1 2" xfId="23872"/>
    <cellStyle name="好_Creek Assembly Fixture  Test Equipment RFQ_20090427_Xl0000002_Leopard_UniBOM_ME_0602-1 2 2 2" xfId="23873"/>
    <cellStyle name="差_Xl0000000_Foxlink_Shadow RFQ NREUni BOM_12032009_Bolt RFQ Proposal_Foxlink_ (Pricing Summary) 2 25 2011" xfId="23874"/>
    <cellStyle name="好_Creek Assembly Fixture  Test Equipment RFQ_20090427_Xl0000002_Leopard_UniBOM_ME_0602-1 3" xfId="23875"/>
    <cellStyle name="差_Xl0000000_Foxlink_Shadow RFQ NREUni BOM_12032009_Bolt RFQ Proposal_Foxlink_ (Pricing Summary) 2 25 2011 2" xfId="23876"/>
    <cellStyle name="好_Creek Assembly Fixture  Test Equipment RFQ_20090427_Xl0000002_Leopard_UniBOM_ME_0602-1 3 2" xfId="23877"/>
    <cellStyle name="差_效益分析&amp;產能評估_Bolt RFQ Proposal_Foxlink_ (Pricing Summary) 2 25 2011 4 2" xfId="23878"/>
    <cellStyle name="差_Foxlink_Shadow RFQ NREUni BOM_12032009_Bolt RFQ Proposal_Foxlink_ (Pricing Summary) 2 25 2011 4" xfId="23879"/>
    <cellStyle name="好_Creek Assembly Fixture  Test Equipment RFQ_20090427_Xl0000002_Leopard_UniBOM_ME_0602-1_Bolt RFQ Proposal_Foxlink_ (Pricing Summary) 2 25 2011 2" xfId="23880"/>
    <cellStyle name="差_Foxlink_Shadow RFQ NREUni BOM_12032009_Bolt RFQ Proposal_Foxlink_ (Pricing Summary) 2 25 2011 4 2" xfId="23881"/>
    <cellStyle name="好_Creek Assembly Fixture  Test Equipment RFQ_20090427_Xl0000002_Leopard_UniBOM_ME_0602-1_Bolt RFQ Proposal_Foxlink_ (Pricing Summary) 2 25 2011 2 2" xfId="23882"/>
    <cellStyle name="差_Foxlink_Shadow RFQ NREUni BOM_12032009_Bolt RFQ Proposal_Foxlink_ (Pricing Summary) 2 25 2011 4 3" xfId="23883"/>
    <cellStyle name="好_Creek Assembly Fixture  Test Equipment RFQ_20090427_Xl0000002_Leopard_UniBOM_ME_0602-1_Bolt RFQ Proposal_Foxlink_ (Pricing Summary) 2 25 2011 2 3" xfId="23884"/>
    <cellStyle name="差_效益分析&amp;產能評估_Bolt RFQ Proposal_Foxlink_ (Pricing Summary) 2 25 2011 4 3" xfId="23885"/>
    <cellStyle name="差_HP Mouse 產能評估(上系統)_MS Bolt wireless mouse FixtureEquipment Cost_A5_2010_02_21_Bolt RFQ_Foxlink_03.1 2011_nego meeting@MACH" xfId="23886"/>
    <cellStyle name="差_Foxlink_Shadow RFQ NREUni BOM_12032009_Bolt RFQ Proposal_Foxlink_ (Pricing Summary) 2 25 2011 5" xfId="23887"/>
    <cellStyle name="好_Creek Assembly Fixture  Test Equipment RFQ_20090427_Xl0000002_Leopard_UniBOM_ME_0602-1_Bolt RFQ Proposal_Foxlink_ (Pricing Summary) 2 25 2011 3" xfId="23888"/>
    <cellStyle name="差_HP Mouse 產能評估(上系統)_MS Bolt wireless mouse FixtureEquipment Cost_A5_2010_02_21_Bolt RFQ_Foxlink_03.1 2011_nego meeting@MACH 2" xfId="23889"/>
    <cellStyle name="差_Foxlink_Shadow RFQ NREUni BOM_12032009_Bolt RFQ Proposal_Foxlink_ (Pricing Summary) 2 25 2011 5 2" xfId="23890"/>
    <cellStyle name="好_Creek Assembly Fixture  Test Equipment RFQ_20090427_Xl0000002_Leopard_UniBOM_ME_0602-1_Bolt RFQ Proposal_Foxlink_ (Pricing Summary) 2 25 2011 3 2" xfId="23891"/>
    <cellStyle name="差_Xl0000002_Leopard RFQ ME BOM Costs-0618-2_Bolt RFQ Proposal_Foxlink_ (Pricing Summary) 2 25 2011" xfId="23892"/>
    <cellStyle name="差_HP Mouse 產能評估(上系統)_MS Bolt wireless mouse FixtureEquipment Cost_A5_2010_02_21_Bolt RFQ_Foxlink_03.1 2011_nego meeting@MACH 3" xfId="23893"/>
    <cellStyle name="差_Foxlink_Shadow RFQ NREUni BOM_12032009_Bolt RFQ Proposal_Foxlink_ (Pricing Summary) 2 25 2011 5 3" xfId="23894"/>
    <cellStyle name="好_Creek Assembly Fixture  Test Equipment RFQ_20090427_Xl0000002_Leopard_UniBOM_ME_0602-1_Bolt RFQ Proposal_Foxlink_ (Pricing Summary) 2 25 2011 3 3" xfId="23895"/>
    <cellStyle name="差_Foxlink_Shadow RFQ NREUni BOM_12032009_Bolt RFQ Proposal_Foxlink_ (Pricing Summary) 2 25 2011 6" xfId="23896"/>
    <cellStyle name="好_Creek Assembly Fixture  Test Equipment RFQ_20090427_Xl0000002_Leopard_UniBOM_ME_0602-1_Bolt RFQ Proposal_Foxlink_ (Pricing Summary) 2 25 2011 4" xfId="23897"/>
    <cellStyle name="差_Creek RFQ feedback 04_28_2009_FD Update_Leopard_UniBOM_ME_0602-1_Bolt RFQ Proposal_Foxlink_ (Pricing Summary) 2 25 2011 5" xfId="23898"/>
    <cellStyle name="好_Creek Assembly Fixture  Test Equipment RFQ_20090427_Xl0000002_Leopard_UniBOM_ME_0602-1_Bolt RFQ Proposal_Foxlink_ (Pricing Summary) 2 25 2011 4 3" xfId="23899"/>
    <cellStyle name="好_Creek Assembly Fixture  Test Equipment RFQ_20090427_Xl0000002_Leopard_UniBOM_ME_0602-1_Bolt RFQ Proposal_Foxlink_ (Pricing Summary) 2 25 2011 5 2" xfId="23900"/>
    <cellStyle name="好_Creek Assembly Fixture  Test Equipment RFQ_20090427_Xl0000002_Leopard_UniBOM_ME_0602-1_Bolt RFQ_Foxlink_03.1 2011_nego meeting@MACH" xfId="23901"/>
    <cellStyle name="差_Creak Pearl Reliability Fixture RFQ_2009 04 24_Creek RFQ feedback 04_28_2009_FD Update_Leopard RFQ ME BOM Costs-0618_Bolt RFQ Proposal_Foxlink_ (Pricing Summary) 2 25 2011 2 2 2" xfId="23902"/>
    <cellStyle name="好_Creek Assembly Fixture  Test Equipment RFQ_20090427_Xl0000002_Leopard_UniBOM_ME_0602-1_Bolt RFQ_Foxlink_03.1 2011_nego meeting@MACH 2 3" xfId="23903"/>
    <cellStyle name="好_Creek Assembly Fixture  Test Equipment RFQ_20090427_Xl0000002_Leopard_UniBOM_ME_0602-1_Bolt RFQ_Foxlink_03.1 2011_nego meeting@MACH 3" xfId="23904"/>
    <cellStyle name="好_Creek Assembly Fixture  Test Equipment RFQ_20090427_Xl0000002_Leopard_UniBOM_ME_0602-1_Bolt RFQ_Foxlink_03.1 2011_nego meeting@MACH 3 3" xfId="23905"/>
    <cellStyle name="好_Creek Assembly Fixture  Test Equipment RFQ_20090427_Xl0000002_Leopard_UniBOM_ME_0602-1_Bolt RFQ_Foxlink_03.1 2011_nego meeting@MACH 4" xfId="23906"/>
    <cellStyle name="好_Creek Assembly Fixture  Test Equipment RFQ_20090427_Xl0000002_Leopard_UniBOM_ME_0602-1_Bolt RFQ_Foxlink_03.1 2011_nego meeting@MACH 5" xfId="23907"/>
    <cellStyle name="好_Creek Assembly Fixture  Test Equipment RFQ_20090427_Xl0000002_Leopard_UniBOM_ME_0603-2" xfId="23908"/>
    <cellStyle name="好_Creek Assembly Fixture  Test Equipment RFQ_20090427_Xl0000002_Leopard_UniBOM_ME_0603-2 2 2 2" xfId="23909"/>
    <cellStyle name="好_Creek Assembly Fixture  Test Equipment RFQ_20090427_Xl0000002_Leopard_UniBOM_ME_0603-2 2 3" xfId="23910"/>
    <cellStyle name="好_Creek Assembly Fixture  Test Equipment RFQ_20090427_Xl0000002_Leopard_UniBOM_ME_0603-2 3" xfId="23911"/>
    <cellStyle name="好_Creek Assembly Fixture  Test Equipment RFQ_20090427_Xl0000002_Leopard_UniBOM_ME_0603-2 3 2" xfId="23912"/>
    <cellStyle name="好_Creek Assembly Fixture  Test Equipment RFQ_20090427_Xl0000002_Leopard_UniBOM_ME_0603-2 3 3" xfId="23913"/>
    <cellStyle name="好_Creek Assembly Fixture  Test Equipment RFQ_20090427_Xl0000002_Leopard_UniBOM_ME_0603-2_Bolt RFQ Proposal_Foxlink_ (Pricing Summary) 2 25 2011" xfId="23914"/>
    <cellStyle name="好_Creek Assembly Fixture  Test Equipment RFQ_20090427_Xl0000002_Leopard_UniBOM_ME_0603-2_Bolt RFQ Proposal_Foxlink_ (Pricing Summary) 2 25 2011 2" xfId="23915"/>
    <cellStyle name="好_Creek Assembly Fixture  Test Equipment RFQ_20090427_Xl0000002_Leopard_UniBOM_ME_0603-2_Bolt RFQ Proposal_Foxlink_ (Pricing Summary) 2 25 2011 2 2 2" xfId="23916"/>
    <cellStyle name="好_Creek Assembly Fixture  Test Equipment RFQ_20090427_Xl0000002_Leopard_UniBOM_ME_0603-2_Bolt RFQ Proposal_Foxlink_ (Pricing Summary) 2 25 2011 2 3" xfId="23917"/>
    <cellStyle name="好_River EE BOM_Creak Pearl Reliability Fixture RFQ_2009 04 24_Creek  Pearl RFQ_May 12_Foxlink_Shadow RFQ NREUni BOM_12032009" xfId="23918"/>
    <cellStyle name="好_Creek Assembly Fixture  Test Equipment RFQ_20090427_Xl0000002_Leopard_UniBOM_ME_0603-2_Bolt RFQ Proposal_Foxlink_ (Pricing Summary) 2 25 2011 2 4" xfId="23919"/>
    <cellStyle name="好_Creek Assembly Fixture  Test Equipment RFQ_20090427_Xl0000002_Leopard_UniBOM_ME_0603-2_Bolt RFQ Proposal_Foxlink_ (Pricing Summary) 2 25 2011 3" xfId="23920"/>
    <cellStyle name="好_Creek Assembly Fixture  Test Equipment RFQ_20090427_Xl0000002_Leopard_UniBOM_ME_0603-2_Bolt RFQ Proposal_Foxlink_ (Pricing Summary) 2 25 2011 4 3" xfId="23921"/>
    <cellStyle name="好_Creek Assembly Fixture  Test Equipment RFQ_20090427_Xl0000002_Leopard_UniBOM_ME_0603-2_Bolt RFQ Proposal_Foxlink_ (Pricing Summary) 2 25 2011 5 2" xfId="23922"/>
    <cellStyle name="好_Creek Assembly Fixture  Test Equipment RFQ_20090427_Xl0000002_Leopard_UniBOM_ME_0603-2_Bolt RFQ_Foxlink_03.1 2011" xfId="23923"/>
    <cellStyle name="好_Creek Assembly Fixture  Test Equipment RFQ_20090427_Xl0000002_Leopard_UniBOM_ME_0603-2_Bolt RFQ_Foxlink_03.1 2011 2 2" xfId="23924"/>
    <cellStyle name="好_Creek Assembly Fixture  Test Equipment RFQ_20090427_Xl0000002_Leopard_UniBOM_ME_0603-2_Bolt RFQ_Foxlink_03.1 2011 2 3" xfId="23925"/>
    <cellStyle name="好_Creek Assembly Fixture  Test Equipment RFQ_20090427_Xl0000002_Leopard_UniBOM_ME_0603-2_Bolt RFQ_Foxlink_03.1 2011 3" xfId="23926"/>
    <cellStyle name="好_Creek Assembly Fixture  Test Equipment RFQ_20090427_Xl0000002_Leopard_UniBOM_ME_0603-2_Bolt RFQ_Foxlink_03.1 2011 3 3" xfId="23927"/>
    <cellStyle name="差_Creak Pearl Reliability Fixture RFQ_2009 04 24_Xl0000002_Leopard Lemur Squirrel UniBom-06.22.2010_EE cost _update_internal_Bolt RFQ_Foxlink_03.1 2011_nego meeting@MACH" xfId="23928"/>
    <cellStyle name="好_Creek Assembly Fixture  Test Equipment RFQ_20090427_Xl0000002_Leopard_UniBOM_ME_0603-2_Bolt RFQ_Foxlink_03.1 2011 5" xfId="23929"/>
    <cellStyle name="好_Creek Assembly Fixture  Test Equipment RFQ_20090427_Xl0000002_Leopard_UniBOM_ME_0603-2_Bolt RFQ_Foxlink_03.1 2011_nego meeting@MACH" xfId="23930"/>
    <cellStyle name="好_Creek Assembly Fixture  Test Equipment RFQ_20090427_Xl0000002_Leopard_UniBOM_ME_0603-2_Bolt RFQ_Foxlink_03.1 2011_nego meeting@MACH 2 2" xfId="23931"/>
    <cellStyle name="好_Creek Assembly Fixture  Test Equipment RFQ_20090427_Xl0000002_Leopard_UniBOM_ME_0603-2_Bolt RFQ_Foxlink_03.1 2011_nego meeting@MACH 2 3" xfId="23932"/>
    <cellStyle name="好_Creek Assembly Fixture  Test Equipment RFQ_20090427_Xl0000002_Leopard_UniBOM_ME_0603-2_Bolt RFQ_Foxlink_03.1 2011_nego meeting@MACH 3" xfId="23933"/>
    <cellStyle name="好_Creek Assembly Fixture  Test Equipment RFQ_20090427_Xl0000002_Leopard_UniBOM_ME_0603-2_Bolt RFQ_Foxlink_03.1 2011_nego meeting@MACH 3 2" xfId="23934"/>
    <cellStyle name="差_jupite r設備&amp;治工具LIST (總)_Dallas flow chart&amp;設備&amp;治工具清單(12-8 A0)_Leopard效益分析08-17" xfId="23935"/>
    <cellStyle name="好_Creek Assembly Fixture  Test Equipment RFQ_20090427_Xl0000002_Leopard_UniBOM_ME_0603-2_Bolt RFQ_Foxlink_03.1 2011_nego meeting@MACH 5" xfId="23936"/>
    <cellStyle name="差_F3   SMT設備明細_效益分析_Dallas flow chart&amp;設備&amp;治工具清單(12-8 A0)_效益分析(總 12-28 Update)_Jackson 效益分析 (2-1 B0 上系統)_squirrel效益分析08-17" xfId="23937"/>
    <cellStyle name="好_Creek Assembly Fixture  Test Equipment RFQ_20090427_Xl0000002_Squirrel RFQ ME BOM Costs-0623 2" xfId="23938"/>
    <cellStyle name="好_Creek Assembly Fixture  Test Equipment RFQ_20090427_Xl0000002_Squirrel RFQ ME BOM Costs-0623 2 2" xfId="23939"/>
    <cellStyle name="好_Creek Assembly Fixture  Test Equipment RFQ_20090427_Xl0000002_Squirrel RFQ ME BOM Costs-0623 2 2 2" xfId="23940"/>
    <cellStyle name="差_F3   SMT設備明細_Flow Chart&amp;設備治工具清單 _~1159284" xfId="23941"/>
    <cellStyle name="好_Creek Assembly Fixture  Test Equipment RFQ_20090427_Xl0000002_Squirrel RFQ ME BOM Costs-0623 2 2 3" xfId="23942"/>
    <cellStyle name="好_Creek Assembly Fixture  Test Equipment RFQ_20090427_Xl0000002_Squirrel RFQ ME BOM Costs-0623 2 3" xfId="23943"/>
    <cellStyle name="好_Creek Assembly Fixture  Test Equipment RFQ_20090427_Xl0000002_Squirrel RFQ ME BOM Costs-0623 2 4" xfId="23944"/>
    <cellStyle name="好_Creek Assembly Fixture  Test Equipment RFQ_20090427_Xl0000002_Squirrel RFQ ME BOM Costs-0623 3" xfId="23945"/>
    <cellStyle name="好_Creek Assembly Fixture  Test Equipment RFQ_20090427_Xl0000002_Squirrel RFQ ME BOM Costs-0623 3 2" xfId="23946"/>
    <cellStyle name="好_Creek Assembly Fixture  Test Equipment RFQ_20090427_Xl0000002_Squirrel RFQ ME BOM Costs-0623 3 3" xfId="23947"/>
    <cellStyle name="好_Creek Assembly Fixture  Test Equipment RFQ_20090427_Xl0000002_Squirrel RFQ ME BOM Costs-0623_Bolt RFQ Proposal_Foxlink_ (Pricing Summary) 2 25 2011" xfId="23948"/>
    <cellStyle name="好_Creek Assembly Fixture  Test Equipment RFQ_20090427_Xl0000002_Squirrel RFQ ME BOM Costs-0623_Bolt RFQ Proposal_Foxlink_ (Pricing Summary) 2 25 2011 2 2 2" xfId="23949"/>
    <cellStyle name="好_Creek Assembly Fixture  Test Equipment RFQ_20090427_Xl0000002_Squirrel RFQ ME BOM Costs-0623_Bolt RFQ Proposal_Foxlink_ (Pricing Summary) 2 25 2011 2 2 3" xfId="23950"/>
    <cellStyle name="好_Creek Assembly Fixture  Test Equipment RFQ_20090427_Xl0000002_Squirrel RFQ ME BOM Costs-0623_Bolt RFQ Proposal_Foxlink_ (Pricing Summary) 2 25 2011 2 3" xfId="23951"/>
    <cellStyle name="好_Creek Assembly Fixture  Test Equipment RFQ_20090427_Xl0000002_Squirrel RFQ ME BOM Costs-0623_Bolt RFQ Proposal_Foxlink_ (Pricing Summary) 2 25 2011 2 4" xfId="23952"/>
    <cellStyle name="好_成本明細_Jackson" xfId="23953"/>
    <cellStyle name="好_Creek Assembly Fixture  Test Equipment RFQ_20090427_Xl0000002_Squirrel RFQ ME BOM Costs-0623_Bolt RFQ Proposal_Foxlink_ (Pricing Summary) 2 25 2011 3" xfId="23954"/>
    <cellStyle name="好_River EE BOM_Creak Pearl Reliability Fixture RFQ_2009 04 24_Xl0000002_Leopard UniBom_Foxlink_6 21 2010-ME_nego_Bolt RFQ Proposal_Foxlink_ (Pricing Summary) 2 25 2011 2 4" xfId="23955"/>
    <cellStyle name="好_Creek Assembly Fixture  Test Equipment RFQ_20090427_Xl0000002_Squirrel RFQ ME BOM Costs-0623_Bolt RFQ Proposal_Foxlink_ (Pricing Summary) 2 25 2011 3 2" xfId="23956"/>
    <cellStyle name="好_Creek Assembly Fixture  Test Equipment RFQ_20090427_Xl0000002_Squirrel RFQ ME BOM Costs-0623_Bolt RFQ Proposal_Foxlink_ (Pricing Summary) 2 25 2011 3 3" xfId="23957"/>
    <cellStyle name="好_Creek Assembly Fixture  Test Equipment RFQ_20090427_Xl0000002_Squirrel RFQ ME BOM Costs-0623_Bolt RFQ Proposal_Foxlink_ (Pricing Summary) 2 25 2011 4" xfId="23958"/>
    <cellStyle name="好_Creek Assembly Fixture  Test Equipment RFQ_20090427_Xl0000002_Squirrel RFQ ME BOM Costs-0623_Bolt RFQ_Foxlink_03.1 2011 3" xfId="23959"/>
    <cellStyle name="好_Creek Assembly Fixture  Test Equipment RFQ_20090427_Xl0000002_Squirrel RFQ ME BOM Costs-0623_Bolt RFQ_Foxlink_03.1 2011 3 2" xfId="23960"/>
    <cellStyle name="差_jupite r設備&amp;治工具LIST (總)_pq_Flow chart and Fixture(Jackson)_A1_Jackson 效益分析 (2-1 B0 上系統)_squirrel效益分析08-17" xfId="23961"/>
    <cellStyle name="好_Creek Assembly Fixture  Test Equipment RFQ_20090427_Xl0000002_Squirrel RFQ ME BOM Costs-0623_Bolt RFQ_Foxlink_03.1 2011 3 3" xfId="23962"/>
    <cellStyle name="好_Creek Assembly Fixture  Test Equipment RFQ_20090427_Xl0000002_Squirrel RFQ ME BOM Costs-0623_Bolt RFQ_Foxlink_03.1 2011_nego meeting@MACH 2" xfId="23963"/>
    <cellStyle name="好_Creek Assembly Fixture  Test Equipment RFQ_20090427_Xl0000002_Squirrel RFQ ME BOM Costs-0623_Bolt RFQ_Foxlink_03.1 2011_nego meeting@MACH 3 2" xfId="23964"/>
    <cellStyle name="好_Creek Assembly Fixture  Test Equipment RFQ_20090427_Xl0000002_Squirrel RFQ ME BOM Costs-0623_Bolt RFQ_Foxlink_03.1 2011_nego meeting@MACH 3 3" xfId="23965"/>
    <cellStyle name="好_Creek Assembly Fixture  Test Equipment RFQ_20090427_Xl0000002_Squirrel RFQ ME BOM Costs-0623_Bolt RFQ_Foxlink_03.1 2011_nego meeting@MACH 4" xfId="23966"/>
    <cellStyle name="好_Creek Assembly Fixture  Test Equipment RFQ_20090427_Xl0000002_Squirrel RFQ ME BOM Costs-0623_Bolt RFQ_Foxlink_03.1 2011_nego meeting@MACH 5" xfId="23967"/>
    <cellStyle name="好_MB9月管審誤判超標 8D_2009MB KPI_MBO3F製造部hp0209-01 5 2 2" xfId="23968"/>
    <cellStyle name="好_Creek Assembly Fixture  Test Equipment RFQ_20090427_Xl0000002_Squirrel UniBom_Foxlink_6 28 2010" xfId="23969"/>
    <cellStyle name="好_Creek Assembly Fixture  Test Equipment RFQ_20090427_Xl0000002_Squirrel UniBom_Foxlink_7.27.2010" xfId="23970"/>
    <cellStyle name="好_Creek Assembly Fixture  Test Equipment RFQ_20090427_Xl0000002_Squirrel UniBom-06 23 2010_update_internal" xfId="23971"/>
    <cellStyle name="好_foxlink Bristol for 10063D-2010-10-11_Bristol ME parts tooling cost 20101022 updated_Bristol TC Estimate Update 08012011" xfId="23972"/>
    <cellStyle name="好_Creek Assembly Fixture  Test Equipment RFQ_20090427_Xl0000002_Squirrel UniBom-06.23.2010_update_internal" xfId="23973"/>
    <cellStyle name="好_River EE BOM_Xl0000002_Foxlink_Shadow RFQ NREUni BOM_12032009_Bolt RFQ Proposal_Foxlink_ (Pricing Summary) 2 25 2011 7" xfId="23974"/>
    <cellStyle name="好_Creek Assembly Fixture  Test Equipment RFQ_20090427_Xl0000002_Squirrel UniBom-06.23.2010_update_internal 2" xfId="23975"/>
    <cellStyle name="差_Xl0000002_Squirrel RFQ ME BOM Costs-0623_Bolt RFQ Proposal_Foxlink_ (Pricing Summary) 2 25 2011 3" xfId="23976"/>
    <cellStyle name="好_Jackson EV2 Trial run QA Report_20100423_Suede QA report for EV2.1 _20110301_Update" xfId="23977"/>
    <cellStyle name="好_Creek Assembly Fixture  Test Equipment RFQ_20090427_Xl0000002_Squirrel UniBom-06.23.2010_update_internal 2 2" xfId="23978"/>
    <cellStyle name="差_Xl0000002_Squirrel RFQ ME BOM Costs-0623_Bolt RFQ Proposal_Foxlink_ (Pricing Summary) 2 25 2011 3 3" xfId="23979"/>
    <cellStyle name="好_Creek Assembly Fixture  Test Equipment RFQ_20090427_Xl0000002_Squirrel UniBom-06.23.2010_update_internal 2 2 3" xfId="23980"/>
    <cellStyle name="差_Xl0000002_Squirrel RFQ ME BOM Costs-0623_Bolt RFQ Proposal_Foxlink_ (Pricing Summary) 2 25 2011 4" xfId="23981"/>
    <cellStyle name="好_Creek Assembly Fixture  Test Equipment RFQ_20090427_Xl0000002_Squirrel UniBom-06.23.2010_update_internal 2 3" xfId="23982"/>
    <cellStyle name="差_Xl0000002_Squirrel RFQ ME BOM Costs-0623_Bolt RFQ Proposal_Foxlink_ (Pricing Summary) 2 25 2011 5" xfId="23983"/>
    <cellStyle name="好_Creek Assembly Fixture  Test Equipment RFQ_20090427_Xl0000002_Squirrel UniBom-06.23.2010_update_internal 2 4" xfId="23984"/>
    <cellStyle name="好_Creek Assembly Fixture  Test Equipment RFQ_20090427_Xl0000002_Squirrel UniBom-06.23.2010_update_internal 3" xfId="23985"/>
    <cellStyle name="好_Creek Assembly Fixture  Test Equipment RFQ_20090427_Xl0000002_Squirrel UniBom-06.23.2010_update_internal 3 2" xfId="23986"/>
    <cellStyle name="好_Creek Assembly Fixture  Test Equipment RFQ_20090427_Xl0000002_Squirrel UniBom-06.23.2010_update_internal_Bolt RFQ Proposal_Foxlink_ (Pricing Summary) 2 25 2011" xfId="23987"/>
    <cellStyle name="好_Creek Assembly Fixture  Test Equipment RFQ_20090427_Xl0000002_Squirrel UniBom-06.23.2010_update_internal_Bolt RFQ Proposal_Foxlink_ (Pricing Summary) 2 25 2011 2" xfId="23988"/>
    <cellStyle name="好_Creek Assembly Fixture  Test Equipment RFQ_20090427_Xl0000002_Squirrel UniBom-06.23.2010_update_internal_Bolt RFQ Proposal_Foxlink_ (Pricing Summary) 2 25 2011 2 2" xfId="23989"/>
    <cellStyle name="好_Creek Assembly Fixture  Test Equipment RFQ_20090427_Xl0000002_Squirrel UniBom-06.23.2010_update_internal_Bolt RFQ Proposal_Foxlink_ (Pricing Summary) 2 25 2011 2 2 3" xfId="23990"/>
    <cellStyle name="好_Creek Assembly Fixture  Test Equipment RFQ_20090427_Xl0000002_Squirrel UniBom-06.23.2010_update_internal_Bolt RFQ Proposal_Foxlink_ (Pricing Summary) 2 25 2011 2 4" xfId="23991"/>
    <cellStyle name="好_Creek Assembly Fixture  Test Equipment RFQ_20090427_Xl0000002_Squirrel UniBom-06.23.2010_update_internal_Bolt RFQ Proposal_Foxlink_ (Pricing Summary) 2 25 2011 3 2" xfId="23992"/>
    <cellStyle name="好_Creek Assembly Fixture  Test Equipment RFQ_20090427_Xl0000002_Squirrel UniBom-06.23.2010_update_internal_Bolt RFQ Proposal_Foxlink_ (Pricing Summary) 2 25 2011 3 3" xfId="23993"/>
    <cellStyle name="好_Creek Assembly Fixture  Test Equipment RFQ_20090427_Xl0000002_Squirrel UniBom-06.23.2010_update_internal_Bolt RFQ Proposal_Foxlink_ (Pricing Summary) 2 25 2011 4" xfId="23994"/>
    <cellStyle name="好_Creek Assembly Fixture  Test Equipment RFQ_20090427_Xl0000002_Squirrel UniBom-06.23.2010_update_internal_Bolt RFQ Proposal_Foxlink_ (Pricing Summary) 2 25 2011 4 2" xfId="23995"/>
    <cellStyle name="好_Creek Assembly Fixture  Test Equipment RFQ_20090427_Xl0000002_Squirrel UniBom-06.23.2010_update_internal_Bolt RFQ Proposal_Foxlink_ (Pricing Summary) 2 25 2011 5" xfId="23996"/>
    <cellStyle name="好_Creek Assembly Fixture  Test Equipment RFQ_20090427_Xl0000002_Squirrel UniBom-06.23.2010_update_internal_Bolt RFQ Proposal_Foxlink_ (Pricing Summary) 2 25 2011 5 2" xfId="23997"/>
    <cellStyle name="好_Creek Assembly Fixture  Test Equipment RFQ_20090427_Xl0000002_Squirrel UniBom-06.23.2010_update_internal_Bolt RFQ Proposal_Foxlink_ (Pricing Summary) 2 25 2011 6" xfId="23998"/>
    <cellStyle name="好_Creek Assembly Fixture  Test Equipment RFQ_20090427_Xl0000002_Squirrel UniBom-06.23.2010_update_internal_Bolt RFQ Proposal_Foxlink_ (Pricing Summary) 2 25 2011 7" xfId="23999"/>
    <cellStyle name="差_效益分析_Leopard Flowchart &amp; 產能評估" xfId="24000"/>
    <cellStyle name="好_Creek Assembly Fixture  Test Equipment RFQ_20090427_Xl0000002_Squirrel UniBom-06.23.2010_update_internal_Bolt RFQ_Foxlink_03.1 2011" xfId="24001"/>
    <cellStyle name="好_Creek Assembly Fixture  Test Equipment RFQ_20090427_Xl0000002_Squirrel UniBom-06.23.2010_update_internal_Bolt RFQ_Foxlink_03.1 2011 2 2" xfId="24002"/>
    <cellStyle name="好_Creek Assembly Fixture  Test Equipment RFQ_20090427_Xl0000002_Squirrel UniBom-06.23.2010_update_internal_Bolt RFQ_Foxlink_03.1 2011 3 3" xfId="24003"/>
    <cellStyle name="好_效益分析&amp;產能評估_Bolt RFQ Proposal_Foxlink_ (Pricing Summary) 2 25 2011 5 2" xfId="24004"/>
    <cellStyle name="好_Creek Assembly Fixture  Test Equipment RFQ_20090427_Xl0000002_Squirrel UniBom-06.23.2010_update_internal_Bolt RFQ_Foxlink_03.1 2011 4" xfId="24005"/>
    <cellStyle name="好_效益分析&amp;產能評估_Bolt RFQ Proposal_Foxlink_ (Pricing Summary) 2 25 2011 5 3" xfId="24006"/>
    <cellStyle name="好_Creek Assembly Fixture  Test Equipment RFQ_20090427_Xl0000002_Squirrel UniBom-06.23.2010_update_internal_Bolt RFQ_Foxlink_03.1 2011 5" xfId="24007"/>
    <cellStyle name="好_Creek Assembly Fixture  Test Equipment RFQ_20090427_Xl0000002_Squirrel UniBom-06.23.2010_update_internal_Bolt RFQ_Foxlink_03.1 2011_nego meeting@MACH" xfId="24008"/>
    <cellStyle name="好_Creek Assembly Fixture  Test Equipment RFQ_20090427_Xl0000002_Squirrel UniBom-06.23.2010_update_internal_Bolt RFQ_Foxlink_03.1 2011_nego meeting@MACH 2" xfId="24009"/>
    <cellStyle name="好_Creek Assembly Fixture  Test Equipment RFQ_20090427_Xl0000002_Squirrel UniBom-06.23.2010_update_internal_Bolt RFQ_Foxlink_03.1 2011_nego meeting@MACH 2 2" xfId="24010"/>
    <cellStyle name="好_Creek Assembly Fixture  Test Equipment RFQ_20090427_Xl0000002_Squirrel UniBom-06.23.2010_update_internal_Bolt RFQ_Foxlink_03.1 2011_nego meeting@MACH 2 3" xfId="24011"/>
    <cellStyle name="好_Creek Assembly Fixture  Test Equipment RFQ_20090427_Xl0000002_Squirrel UniBom-06.23.2010_update_internal_Bolt RFQ_Foxlink_03.1 2011_nego meeting@MACH 3 3" xfId="24012"/>
    <cellStyle name="好_Creek Assembly Fixture  Test Equipment RFQ_20090427_Xl0000002_Squirrel UniBom-06.23.2010_update_internal_Bolt RFQ_Foxlink_03.1 2011_nego meeting@MACH 4" xfId="24013"/>
    <cellStyle name="好_Creek Assembly Fixture  Test Equipment RFQ_20090427_Xl0000002_Squirrel UniBom-06.23.2010_update_internal_Bolt RFQ_Foxlink_03.1 2011_nego meeting@MACH 5" xfId="24014"/>
    <cellStyle name="好_Creek EE BOM cost_20090425" xfId="24015"/>
    <cellStyle name="好_River EE BOM_Creak Pearl Reliability Fixture RFQ_2009 04 24_Creek  Pearl RFQ_May 12_Bolt RFQ_Foxlink_03.1 2011 4" xfId="24016"/>
    <cellStyle name="好_Creek EE BOM cost_20090425 2" xfId="24017"/>
    <cellStyle name="好_Creek EE BOM cost_20090425 2 2" xfId="24018"/>
    <cellStyle name="好_Creek EE BOM cost_20090425 2 2 3" xfId="24019"/>
    <cellStyle name="好_Creek EE BOM cost_20090425 2 3" xfId="24020"/>
    <cellStyle name="好_Creek EE BOM cost_20090425 2 4" xfId="24021"/>
    <cellStyle name="好_River EE BOM_Creak Pearl Reliability Fixture RFQ_2009 04 24_Creek  Pearl RFQ_May 12_Bolt RFQ_Foxlink_03.1 2011 5" xfId="24022"/>
    <cellStyle name="好_Creek EE BOM cost_20090425 3" xfId="24023"/>
    <cellStyle name="好_Creek EE BOM cost_20090425 3 2" xfId="24024"/>
    <cellStyle name="好_Creek EE BOM cost_20090425_Bolt RFQ Proposal_Foxlink_ (Pricing Summary) 2 25 2011 2" xfId="24025"/>
    <cellStyle name="好_Creek EE BOM cost_20090425_Bolt RFQ Proposal_Foxlink_ (Pricing Summary) 2 25 2011 2 2" xfId="24026"/>
    <cellStyle name="差_Creak Pearl Reliability Fixture RFQ_2009 04 24_Squirrel UniBom-06.23.2010_update_internal_Bolt RFQ Proposal_Foxlink_ (Pricing Summary) 2 25 2011 3 3" xfId="24027"/>
    <cellStyle name="好_Creek EE BOM cost_20090425_Bolt RFQ Proposal_Foxlink_ (Pricing Summary) 2 25 2011 2 2 2" xfId="24028"/>
    <cellStyle name="好_Creek EE BOM cost_20090425_Bolt RFQ Proposal_Foxlink_ (Pricing Summary) 2 25 2011 2 2 3" xfId="24029"/>
    <cellStyle name="好_Creek EE BOM cost_20090425_Bolt RFQ Proposal_Foxlink_ (Pricing Summary) 2 25 2011 2 4" xfId="24030"/>
    <cellStyle name="好_Creek EE BOM cost_20090425_Bolt RFQ Proposal_Foxlink_ (Pricing Summary) 2 25 2011 3" xfId="24031"/>
    <cellStyle name="好_Creek EE BOM cost_20090425_Bolt RFQ Proposal_Foxlink_ (Pricing Summary) 2 25 2011 3 2" xfId="24032"/>
    <cellStyle name="差_Creak Pearl Reliability Fixture RFQ_2009 04 24_Squirrel UniBom-06.23.2010_update_internal_Bolt RFQ Proposal_Foxlink_ (Pricing Summary) 2 25 2011 4 3" xfId="24033"/>
    <cellStyle name="好_Creek EE BOM cost_20090425_Bolt RFQ Proposal_Foxlink_ (Pricing Summary) 2 25 2011 4 2" xfId="24034"/>
    <cellStyle name="差_Creak Pearl Reliability Fixture RFQ_2009 04 24_Squirrel UniBom-06.23.2010_update_internal_Bolt RFQ Proposal_Foxlink_ (Pricing Summary) 2 25 2011 5 3" xfId="24035"/>
    <cellStyle name="好_Creek EE BOM cost_20090425_Bolt RFQ Proposal_Foxlink_ (Pricing Summary) 2 25 2011 4 3" xfId="24036"/>
    <cellStyle name="好_Creek EE BOM cost_20090425_Bolt RFQ Proposal_Foxlink_ (Pricing Summary) 2 25 2011 5 2" xfId="24037"/>
    <cellStyle name="好_Creek EE BOM cost_20090425_Bolt RFQ Proposal_Foxlink_ (Pricing Summary) 2 25 2011 7" xfId="24038"/>
    <cellStyle name="差_pq_~1159284" xfId="24039"/>
    <cellStyle name="差_dallas產能評估_Dallas效益分析&amp;投資回收期 (12-2 A1)_~5631336" xfId="24040"/>
    <cellStyle name="好_Creek EE BOM cost_20090425_Bolt RFQ_Foxlink_03.1 2011" xfId="24041"/>
    <cellStyle name="好_Creek EE BOM cost_20090425_Bolt RFQ_Foxlink_03.1 2011 2" xfId="24042"/>
    <cellStyle name="好_Creek EE BOM cost_20090425_Bolt RFQ_Foxlink_03.1 2011 2 2" xfId="24043"/>
    <cellStyle name="好_Creek EE BOM cost_20090425_Bolt RFQ_Foxlink_03.1 2011 2 3" xfId="24044"/>
    <cellStyle name="好_Creek EE BOM cost_20090425_Bolt RFQ_Foxlink_03.1 2011 3" xfId="24045"/>
    <cellStyle name="好_Creek EE BOM cost_20090425_Bolt RFQ_Foxlink_03.1 2011 3 2" xfId="24046"/>
    <cellStyle name="好_Creek EE BOM cost_20090425_Bolt RFQ_Foxlink_03.1 2011 4" xfId="24047"/>
    <cellStyle name="好_Creek EE BOM cost_20090425_Bolt RFQ_Foxlink_03.1 2011 5" xfId="24048"/>
    <cellStyle name="好_Creek EE BOM cost_20090425_Bolt RFQ_Foxlink_03.1 2011_nego meeting@MACH" xfId="24049"/>
    <cellStyle name="好_River EE BOM_Creak Pearl Reliability Fixture RFQ_2009 04 24_Pearl RFQ(Submittal)ver2_05_12_2009 _Foxlink_Shadow RFQ NREUni BOM_12032009 2 2 3" xfId="24050"/>
    <cellStyle name="好_Creek EE BOM cost_20090425_Bolt RFQ_Foxlink_03.1 2011_nego meeting@MACH 2" xfId="24051"/>
    <cellStyle name="好_Creek EE BOM cost_20090425_Bolt RFQ_Foxlink_03.1 2011_nego meeting@MACH 3" xfId="24052"/>
    <cellStyle name="差_Creak Pearl Reliability Fixture RFQ_2009 04 24_Creek RFQ feedback 04_28_2009_FD Update_Squirrel RFQ ME BOM Costs-0623_Bolt RFQ Proposal_Foxlink_ (Pricing Summary) 2 25 2011 4 3" xfId="24053"/>
    <cellStyle name="好_Creek EE BOM cost_20090425_Bolt RFQ_Foxlink_03.1 2011_nego meeting@MACH 3 2" xfId="24054"/>
    <cellStyle name="好_Creek EE BOM cost_20090425_Bolt RFQ_Foxlink_03.1 2011_nego meeting@MACH 4" xfId="24055"/>
    <cellStyle name="好_Creek EE BOM cost_20090425_Bolt RFQ_Foxlink_03.1 2011_nego meeting@MACH 5" xfId="24056"/>
    <cellStyle name="好_Creek EE BOM cost_20090425_Creek RFQ feedback 04_28_2009_FD Update" xfId="24057"/>
    <cellStyle name="好_Creek EE BOM cost_20090425_Creek RFQ feedback 04_28_2009_FD Update 2" xfId="24058"/>
    <cellStyle name="好_Creek EE BOM cost_20090425_Creek RFQ feedback 04_28_2009_FD Update 2 2 2" xfId="24059"/>
    <cellStyle name="好_Creek EE BOM cost_20090425_Creek RFQ feedback 04_28_2009_FD Update 2 2 3" xfId="24060"/>
    <cellStyle name="好_Creek EE BOM cost_20090425_Creek RFQ feedback 04_28_2009_FD Update 2 3" xfId="24061"/>
    <cellStyle name="差_F3   SMT設備明細_效益分析_~3106354_Jackson 效益分析 (2-1 B0 上系統)" xfId="24062"/>
    <cellStyle name="好_Creek EE BOM cost_20090425_Creek RFQ feedback 04_28_2009_FD Update 3" xfId="24063"/>
    <cellStyle name="好_Creek EE BOM cost_20090425_Creek RFQ feedback 04_28_2009_FD Update 3 3" xfId="24064"/>
    <cellStyle name="差_HP  專案(設備&amp;治工具需夠買)update_Erie 效益分析 (Update)_~5631336_Jackson 效益分析 (2-1 B0 上系統)_Leopard效益分析08-17" xfId="24065"/>
    <cellStyle name="好_Creek EE BOM cost_20090425_Creek RFQ feedback 04_28_2009_FD Update 5" xfId="24066"/>
    <cellStyle name="好_Creek EE BOM cost_20090425_Creek RFQ feedback 04_28_2009_FD Update_Bolt RFQ Proposal_Foxlink_ (Pricing Summary) 2 25 2011" xfId="24067"/>
    <cellStyle name="好_Creek EE BOM cost_20090425_Creek RFQ feedback 04_28_2009_FD Update_Bolt RFQ Proposal_Foxlink_ (Pricing Summary) 2 25 2011 2" xfId="24068"/>
    <cellStyle name="差_HP Mouse 產能評估(上系統)_MS Bolt wireless mouse FixtureEquipment Cost_A5_2010_02_21_Bolt RFQ_Foxlink_03.1 2011_nego meeting@MACH 4" xfId="24069"/>
    <cellStyle name="好_Creek EE BOM cost_20090425_Creek RFQ feedback 04_28_2009_FD Update_Bolt RFQ Proposal_Foxlink_ (Pricing Summary) 2 25 2011 2 2" xfId="24070"/>
    <cellStyle name="好_Creek EE BOM cost_20090425_Creek RFQ feedback 04_28_2009_FD Update_Bolt RFQ Proposal_Foxlink_ (Pricing Summary) 2 25 2011 2 2 3" xfId="24071"/>
    <cellStyle name="好_治具工程課2009年KPI_HP 5 2 2" xfId="24072"/>
    <cellStyle name="差_HP Mouse 產能評估(上系統)_MS Bolt wireless mouse FixtureEquipment Cost_A5_2010_02_21_Bolt RFQ_Foxlink_03.1 2011_nego meeting@MACH 5" xfId="24073"/>
    <cellStyle name="好_Creek EE BOM cost_20090425_Creek RFQ feedback 04_28_2009_FD Update_Bolt RFQ Proposal_Foxlink_ (Pricing Summary) 2 25 2011 2 3" xfId="24074"/>
    <cellStyle name="好_Creek EE BOM cost_20090425_Creek RFQ feedback 04_28_2009_FD Update_Bolt RFQ Proposal_Foxlink_ (Pricing Summary) 2 25 2011 2 4" xfId="24075"/>
    <cellStyle name="好_Creek EE BOM cost_20090425_Creek RFQ feedback 04_28_2009_FD Update_Bolt RFQ Proposal_Foxlink_ (Pricing Summary) 2 25 2011 3" xfId="24076"/>
    <cellStyle name="差_Creek RFQ feedback 04_28_2009_FD Update_Leopard_UniBOM_ME_0602-1_Bolt RFQ Proposal_Foxlink_ (Pricing Summary) 2 25 2011 6" xfId="24077"/>
    <cellStyle name="好_Creek EE BOM cost_20090425_Creek RFQ feedback 04_28_2009_FD Update_Bolt RFQ Proposal_Foxlink_ (Pricing Summary) 2 25 2011 3 2" xfId="24078"/>
    <cellStyle name="差_Creek RFQ feedback 04_28_2009_FD Update_Leopard_UniBOM_ME_0602-1_Bolt RFQ Proposal_Foxlink_ (Pricing Summary) 2 25 2011 7" xfId="24079"/>
    <cellStyle name="好_Creek EE BOM cost_20090425_Creek RFQ feedback 04_28_2009_FD Update_Bolt RFQ Proposal_Foxlink_ (Pricing Summary) 2 25 2011 3 3" xfId="24080"/>
    <cellStyle name="好_Creek EE BOM cost_20090425_Creek RFQ feedback 04_28_2009_FD Update_Bolt RFQ Proposal_Foxlink_ (Pricing Summary) 2 25 2011 4" xfId="24081"/>
    <cellStyle name="好_Creek EE BOM cost_20090425_Creek RFQ feedback 04_28_2009_FD Update_Bolt RFQ Proposal_Foxlink_ (Pricing Summary) 2 25 2011 4 2" xfId="24082"/>
    <cellStyle name="好_Creek EE BOM cost_20090425_Creek RFQ feedback 04_28_2009_FD Update_Bolt RFQ Proposal_Foxlink_ (Pricing Summary) 2 25 2011 4 3" xfId="24083"/>
    <cellStyle name="好_Creek EE BOM cost_20090425_Creek RFQ feedback 04_28_2009_FD Update_Bolt RFQ Proposal_Foxlink_ (Pricing Summary) 2 25 2011 5" xfId="24084"/>
    <cellStyle name="好_Creek EE BOM cost_20090425_Creek RFQ feedback 04_28_2009_FD Update_Bolt RFQ Proposal_Foxlink_ (Pricing Summary) 2 25 2011 5 3" xfId="24085"/>
    <cellStyle name="好_Creek EE BOM cost_20090425_Creek RFQ feedback 04_28_2009_FD Update_Bolt RFQ_Foxlink_03.1 2011" xfId="24086"/>
    <cellStyle name="好_Creek EE BOM cost_20090425_Creek RFQ feedback 04_28_2009_FD Update_Bolt RFQ_Foxlink_03.1 2011 2 2" xfId="24087"/>
    <cellStyle name="好_Creek EE BOM cost_20090425_Creek RFQ feedback 04_28_2009_FD Update_Bolt RFQ_Foxlink_03.1 2011 3 2" xfId="24088"/>
    <cellStyle name="好_Creek EE BOM cost_20090425_Creek RFQ feedback 04_28_2009_FD Update_Bolt RFQ_Foxlink_03.1 2011 3 3" xfId="24089"/>
    <cellStyle name="好_Creek EE BOM cost_20090425_Creek RFQ feedback 04_28_2009_FD Update_Bolt RFQ_Foxlink_03.1 2011 4" xfId="24090"/>
    <cellStyle name="差_jupite r設備&amp;治工具LIST (總)_Dolce設備治工具明細表(TE Update)_Jackson 效益分析 (2-1 B0 上系統)_squirrel效益分析08-17" xfId="24091"/>
    <cellStyle name="好_Creek EE BOM cost_20090425_Creek RFQ feedback 04_28_2009_FD Update_Bolt RFQ_Foxlink_03.1 2011 5" xfId="24092"/>
    <cellStyle name="差_HP Mouse 產能評估(Forecast更改後)_Erie 效益分析 (Update)_~5631336_Jackson 效益分析 (2-1 B0 上系統)" xfId="24093"/>
    <cellStyle name="好_Creek EE BOM cost_20090425_Creek RFQ feedback 04_28_2009_FD Update_Bolt RFQ_Foxlink_03.1 2011_nego meeting@MACH" xfId="24094"/>
    <cellStyle name="好_Creek EE BOM cost_20090425_Creek RFQ feedback 04_28_2009_FD Update_Bolt RFQ_Foxlink_03.1 2011_nego meeting@MACH 2" xfId="24095"/>
    <cellStyle name="差_Creak Pearl Reliability Fixture RFQ_2009 04 24_Creek  Pearl RFQ_May 12_Leopard_UniBOM_ME_0603-2_Bolt RFQ_Foxlink_03.1 2011_nego meeting@MACH 5" xfId="24096"/>
    <cellStyle name="好_River EE BOM_Creak Pearl Reliability Fixture RFQ_2009 04 24_Xl0000002_Squirrel RFQ ME BOM Costs-0623_Bolt RFQ Proposal_Foxlink_ (Pricing Summary) 2 25 2011" xfId="24097"/>
    <cellStyle name="好_Creek EE BOM cost_20090425_Creek RFQ feedback 04_28_2009_FD Update_Bolt RFQ_Foxlink_03.1 2011_nego meeting@MACH 2 3" xfId="24098"/>
    <cellStyle name="好_Creek EE BOM cost_20090425_Creek RFQ feedback 04_28_2009_FD Update_Bolt RFQ_Foxlink_03.1 2011_nego meeting@MACH 3" xfId="24099"/>
    <cellStyle name="好_Creek EE BOM cost_20090425_Creek RFQ feedback 04_28_2009_FD Update_Bolt RFQ_Foxlink_03.1 2011_nego meeting@MACH 3 3" xfId="24100"/>
    <cellStyle name="好_River EE BOM_Wedge_ME_BOM-v00-11v0715 2" xfId="24101"/>
    <cellStyle name="好_Creek EE BOM cost_20090425_Creek RFQ feedback 04_28_2009_FD Update_Bolt RFQ_Foxlink_03.1 2011_nego meeting@MACH 4" xfId="24102"/>
    <cellStyle name="好_River EE BOM_Wedge_ME_BOM-v00-11v0715 3" xfId="24103"/>
    <cellStyle name="好_Creek EE BOM cost_20090425_Creek RFQ feedback 04_28_2009_FD Update_Bolt RFQ_Foxlink_03.1 2011_nego meeting@MACH 5" xfId="24104"/>
    <cellStyle name="好_Creek EE BOM cost_20090425_Creek RFQ feedback 04_28_2009_FD Update_Foxlink_Shadow RFQ NREUni BOM_12032009" xfId="24105"/>
    <cellStyle name="好_Creek EE BOM cost_20090425_Creek RFQ feedback 04_28_2009_FD Update_Foxlink_Shadow RFQ NREUni BOM_12032009 2" xfId="24106"/>
    <cellStyle name="好_Creek EE BOM cost_20090425_Creek RFQ feedback 04_28_2009_FD Update_Foxlink_Shadow RFQ NREUni BOM_12032009 2 2" xfId="24107"/>
    <cellStyle name="好_Creek EE BOM cost_20090425_Creek RFQ feedback 04_28_2009_FD Update_Foxlink_Shadow RFQ NREUni BOM_12032009 2 2 2" xfId="24108"/>
    <cellStyle name="好_Creek EE BOM cost_20090425_Creek RFQ feedback 04_28_2009_FD Update_Foxlink_Shadow RFQ NREUni BOM_12032009 3" xfId="24109"/>
    <cellStyle name="差_jupite r設備&amp;治工具LIST (總)_~8644671_Jackson 效益分析 (2-1 B0 上系統)_squirrel效益分析08-17" xfId="24110"/>
    <cellStyle name="好_Creek EE BOM cost_20090425_Creek RFQ feedback 04_28_2009_FD Update_Foxlink_Shadow RFQ NREUni BOM_12032009 3 2" xfId="24111"/>
    <cellStyle name="差_HP  專案(設備&amp;治工具需夠買)update_MS Bolt wireless mouse FixtureEquipment Cost_A5_2010_02_21_Bolt RFQ Proposal_Foxlink_ (Pricing Summary) 2 25 2011 2 2 3" xfId="24112"/>
    <cellStyle name="好_Creek EE BOM cost_20090425_Creek RFQ feedback 04_28_2009_FD Update_Foxlink_Shadow RFQ NREUni BOM_12032009_Bolt RFQ Proposal_Foxlink_ (Pricing Summary) 2 25 2011 2" xfId="24113"/>
    <cellStyle name="好_Creek EE BOM cost_20090425_Creek RFQ feedback 04_28_2009_FD Update_Foxlink_Shadow RFQ NREUni BOM_12032009_Bolt RFQ Proposal_Foxlink_ (Pricing Summary) 2 25 2011 2 2 2" xfId="24114"/>
    <cellStyle name="好_Creek EE BOM cost_20090425_Leopard_UniBOM_ME_0531_Bolt RFQ Proposal_Foxlink_ (Pricing Summary) 2 25 2011 5 2" xfId="24115"/>
    <cellStyle name="好_Creek EE BOM cost_20090425_Creek RFQ feedback 04_28_2009_FD Update_Foxlink_Shadow RFQ NREUni BOM_12032009_Bolt RFQ Proposal_Foxlink_ (Pricing Summary) 2 25 2011 2 4" xfId="24116"/>
    <cellStyle name="差_MB9月管審換線超時8d_HP 6 2" xfId="24117"/>
    <cellStyle name="好_Creek EE BOM cost_20090425_Creek RFQ feedback 04_28_2009_FD Update_Foxlink_Shadow RFQ NREUni BOM_12032009_Bolt RFQ Proposal_Foxlink_ (Pricing Summary) 2 25 2011 3" xfId="24118"/>
    <cellStyle name="好_Creek EE BOM cost_20090425_Creek RFQ feedback 04_28_2009_FD Update_Foxlink_Shadow RFQ NREUni BOM_12032009_Bolt RFQ Proposal_Foxlink_ (Pricing Summary) 2 25 2011 3 2" xfId="24119"/>
    <cellStyle name="差_MB9月管審換線超時8d_HP 6 3" xfId="24120"/>
    <cellStyle name="好_Creek EE BOM cost_20090425_Creek RFQ feedback 04_28_2009_FD Update_Foxlink_Shadow RFQ NREUni BOM_12032009_Bolt RFQ Proposal_Foxlink_ (Pricing Summary) 2 25 2011 4" xfId="24121"/>
    <cellStyle name="好_Creek EE BOM cost_20090425_Creek RFQ feedback 04_28_2009_FD Update_Foxlink_Shadow RFQ NREUni BOM_12032009_Bolt RFQ Proposal_Foxlink_ (Pricing Summary) 2 25 2011 4 2" xfId="24122"/>
    <cellStyle name="差_HP Mouse 產能評估(上系統)_MS Bolt wireless mouse FixtureEquipment Cost_A5_2010_02_21_Bolt RFQ_Foxlink_03.1 2011 2" xfId="24123"/>
    <cellStyle name="好_Creek EE BOM cost_20090425_Creek RFQ feedback 04_28_2009_FD Update_Foxlink_Shadow RFQ NREUni BOM_12032009_Bolt RFQ Proposal_Foxlink_ (Pricing Summary) 2 25 2011 5" xfId="24124"/>
    <cellStyle name="差_HP Mouse 產能評估(上系統)_MS Bolt wireless mouse FixtureEquipment Cost_A5_2010_02_21_Bolt RFQ_Foxlink_03.1 2011 2 3" xfId="24125"/>
    <cellStyle name="好_Creek EE BOM cost_20090425_Creek RFQ feedback 04_28_2009_FD Update_Foxlink_Shadow RFQ NREUni BOM_12032009_Bolt RFQ Proposal_Foxlink_ (Pricing Summary) 2 25 2011 5 3" xfId="24126"/>
    <cellStyle name="差_HP Mouse 產能評估(上系統)_MS Bolt wireless mouse FixtureEquipment Cost_A5_2010_02_21_Bolt RFQ_Foxlink_03.1 2011 3" xfId="24127"/>
    <cellStyle name="好_Creek EE BOM cost_20090425_Creek RFQ feedback 04_28_2009_FD Update_Foxlink_Shadow RFQ NREUni BOM_12032009_Bolt RFQ Proposal_Foxlink_ (Pricing Summary) 2 25 2011 6" xfId="24128"/>
    <cellStyle name="好_Creek EE BOM cost_20090425_Creek RFQ feedback 04_28_2009_FD Update_Foxlink_Shadow RFQ NREUni BOM_12032009_Bolt RFQ_Foxlink_03.1 2011" xfId="24129"/>
    <cellStyle name="差_Creak Pearl Reliability Fixture RFQ_2009 04 24_Leopard_UniBOM_ME_0603-2_Bolt RFQ Proposal_Foxlink_ (Pricing Summary) 2 25 2011 5 2" xfId="24130"/>
    <cellStyle name="好_Creek EE BOM cost_20090425_Creek RFQ feedback 04_28_2009_FD Update_Foxlink_Shadow RFQ NREUni BOM_12032009_Bolt RFQ_Foxlink_03.1 2011 2 2" xfId="24131"/>
    <cellStyle name="差_Creak Pearl Reliability Fixture RFQ_2009 04 24_Leopard_UniBOM_ME_0603-2_Bolt RFQ Proposal_Foxlink_ (Pricing Summary) 2 25 2011 5 3" xfId="24132"/>
    <cellStyle name="好_Creek EE BOM cost_20090425_Creek RFQ feedback 04_28_2009_FD Update_Foxlink_Shadow RFQ NREUni BOM_12032009_Bolt RFQ_Foxlink_03.1 2011 2 3" xfId="24133"/>
    <cellStyle name="好_Creek EE BOM cost_20090425_Creek RFQ feedback 04_28_2009_FD Update_Foxlink_Shadow RFQ NREUni BOM_12032009_Bolt RFQ_Foxlink_03.1 2011 3 2" xfId="24134"/>
    <cellStyle name="好_Creek EE BOM cost_20090425_Creek RFQ feedback 04_28_2009_FD Update_Foxlink_Shadow RFQ NREUni BOM_12032009_Bolt RFQ_Foxlink_03.1 2011 3 3" xfId="24135"/>
    <cellStyle name="差_Creak Pearl Reliability Fixture RFQ_2009 04 24_Leopard_UniBOM_ME_0603-2_Bolt RFQ Proposal_Foxlink_ (Pricing Summary) 2 25 2011 7" xfId="24136"/>
    <cellStyle name="好_Creek EE BOM cost_20090425_Creek RFQ feedback 04_28_2009_FD Update_Foxlink_Shadow RFQ NREUni BOM_12032009_Bolt RFQ_Foxlink_03.1 2011 4" xfId="24137"/>
    <cellStyle name="好_Creek EE BOM cost_20090425_Creek RFQ feedback 04_28_2009_FD Update_Foxlink_Shadow RFQ NREUni BOM_12032009_Bolt RFQ_Foxlink_03.1 2011_nego meeting@MACH" xfId="24138"/>
    <cellStyle name="差_Creek RFQ feedback 04_28_2009_FD Update_Leopard_UniBOM_ME_0602_Bolt RFQ Proposal_Foxlink_ (Pricing Summary) 2 25 2011 5 3" xfId="24139"/>
    <cellStyle name="好_Creek EE BOM cost_20090425_Creek RFQ feedback 04_28_2009_FD Update_Foxlink_Shadow RFQ NREUni BOM_12032009_Bolt RFQ_Foxlink_03.1 2011_nego meeting@MACH 2" xfId="24140"/>
    <cellStyle name="好_Creek EE BOM cost_20090425_Creek RFQ feedback 04_28_2009_FD Update_Leopard Lemur Squirrel UniBom-06.22.2010_EE cost _update_internal_Bolt RFQ_Foxlink_03.1 2011_nego meeting@MACH 3 3" xfId="24141"/>
    <cellStyle name="好_Creek EE BOM cost_20090425_Creek RFQ feedback 04_28_2009_FD Update_Foxlink_Shadow RFQ NREUni BOM_12032009_Bolt RFQ_Foxlink_03.1 2011_nego meeting@MACH 3 2" xfId="24142"/>
    <cellStyle name="好_Creek EE BOM cost_20090425_Creek RFQ feedback 04_28_2009_FD Update_Foxlink_Shadow RFQ NREUni BOM_12032009_Bolt RFQ_Foxlink_03.1 2011_nego meeting@MACH 5" xfId="24143"/>
    <cellStyle name="差_HP Mouse 產能評估(Forecast更改後)_Bolt RFQ Proposal_Foxlink_ (Pricing Summary) 2 25 2011 5 2" xfId="24144"/>
    <cellStyle name="好_Creek EE BOM cost_20090425_Creek RFQ feedback 04_28_2009_FD Update_Jackson and Shadow BOM cost_mainfile_2010 0324 rev.1_Bristol UniBom_Foxlink_02082011 RevA" xfId="24145"/>
    <cellStyle name="好_Creek EE BOM cost_20090425_Creek RFQ feedback 04_28_2009_FD Update_Jackson and Shadow BOM cost_mainfile_2010 0324 rev.1_Leopard UniBom_Foxlink_12092010 RevD-jen" xfId="24146"/>
    <cellStyle name="好_Creek EE BOM cost_20090425_Creek RFQ feedback 04_28_2009_FD Update_Jackson and Shadow BOM cost_mainfile_2010 0324 rev.1_Leopard UniBom_Foxlink_12272010 RevF_shirley" xfId="24147"/>
    <cellStyle name="好_Creek EE BOM cost_20090425_Creek RFQ feedback 04_28_2009_FD Update_Jackson EE BOM " xfId="24148"/>
    <cellStyle name="好_Creek EE BOM cost_20090425_Creek RFQ feedback 04_28_2009_FD Update_Lemur RFQ ME BOM Costs-0623" xfId="24149"/>
    <cellStyle name="好_Creek EE BOM cost_20090425_Creek RFQ feedback 04_28_2009_FD Update_Leopard Lemur Squirrel UniBom-06.22.2010_EE cost _update_internal 2" xfId="24150"/>
    <cellStyle name="好_River EE BOM_Xl0000000_Foxlink_Shadow RFQ NREUni BOM_12032009_Bolt RFQ_Foxlink_03.1 2011 2 2" xfId="24151"/>
    <cellStyle name="差_Creak Pearl Reliability Fixture RFQ_2009 04 24_Creek RFQ feedback 04_28_2009_FD Update_Leopard UniBom_Foxlink_6 21 2010-ME_nego_Bolt RFQ_Foxlink_03.1 2011 2 2" xfId="24152"/>
    <cellStyle name="好_Creek EE BOM cost_20090425_Creek RFQ feedback 04_28_2009_FD Update_Leopard Lemur Squirrel UniBom-06.22.2010_EE cost _update_internal 2 2 3" xfId="24153"/>
    <cellStyle name="好_Creek EE BOM cost_20090425_Creek RFQ feedback 04_28_2009_FD Update_Leopard Lemur Squirrel UniBom-06.22.2010_EE cost _update_internal 2 3" xfId="24154"/>
    <cellStyle name="好_Creek EE BOM cost_20090425_Creek RFQ feedback 04_28_2009_FD Update_Leopard Lemur Squirrel UniBom-06.22.2010_EE cost _update_internal 2 4" xfId="24155"/>
    <cellStyle name="好_Creek EE BOM cost_20090425_Creek RFQ feedback 04_28_2009_FD Update_Leopard Lemur Squirrel UniBom-06.22.2010_EE cost _update_internal 3" xfId="24156"/>
    <cellStyle name="好_River EE BOM_Xl0000000_Foxlink_Shadow RFQ NREUni BOM_12032009_Bolt RFQ_Foxlink_03.1 2011 2 3" xfId="24157"/>
    <cellStyle name="好_Creek EE BOM cost_20090425_Leopard RFQ ME BOM Costs-0618_Bolt RFQ Proposal_Foxlink_ (Pricing Summary) 2 25 2011 2 2 2" xfId="24158"/>
    <cellStyle name="好_Creek EE BOM cost_20090425_Creek RFQ feedback 04_28_2009_FD Update_Leopard Lemur Squirrel UniBom-06.22.2010_EE cost _update_internal 3 2" xfId="24159"/>
    <cellStyle name="好_Creek EE BOM cost_20090425_Creek RFQ feedback 04_28_2009_FD Update_Leopard Lemur Squirrel UniBom-06.22.2010_EE cost _update_internal 3 3" xfId="24160"/>
    <cellStyle name="差_Creak Pearl Reliability Fixture RFQ_2009 04 24_Pearl RFQ(Submittal)ver2_05_12_2009 _Squirrel UniBom-06.23.2010_update_internal_Bolt RFQ_Foxlink_03.1 2011_nego meeting@MACH 2 3" xfId="24161"/>
    <cellStyle name="好_Creek EE BOM cost_20090425_Creek RFQ feedback 04_28_2009_FD Update_Leopard Lemur Squirrel UniBom-06.22.2010_EE cost _update_internal_Bolt RFQ Proposal_Foxlink_ (Pricing Summary) 2 25 2011" xfId="24162"/>
    <cellStyle name="好_River EE BOM_Xl0000002_Foxlink_Shadow RFQ NREUni BOM_12032009_Bolt RFQ_Foxlink_03.1 2011 4" xfId="24163"/>
    <cellStyle name="好_Creek EE BOM cost_20090425_Creek RFQ feedback 04_28_2009_FD Update_Leopard Lemur Squirrel UniBom-06.22.2010_EE cost _update_internal_Bolt RFQ Proposal_Foxlink_ (Pricing Summary) 2 25 2011 2" xfId="24164"/>
    <cellStyle name="好_Creek EE BOM cost_20090425_Creek RFQ feedback 04_28_2009_FD Update_Leopard Lemur Squirrel UniBom-06.22.2010_EE cost _update_internal_Bolt RFQ Proposal_Foxlink_ (Pricing Summary) 2 25 2011 2 2" xfId="24165"/>
    <cellStyle name="好_Creek EE BOM cost_20090425_Creek RFQ feedback 04_28_2009_FD Update_Leopard Lemur Squirrel UniBom-06.22.2010_EE cost _update_internal_Bolt RFQ Proposal_Foxlink_ (Pricing Summary) 2 25 2011 2 2 2" xfId="24166"/>
    <cellStyle name="差_Creak Pearl Reliability Fixture RFQ_2009 04 24_Xl0000002_Leopard UniBom_Foxlink_6 21 2010-ME_nego 3 3" xfId="24167"/>
    <cellStyle name="好_Creek EE BOM cost_20090425_Creek RFQ feedback 04_28_2009_FD Update_Leopard Lemur Squirrel UniBom-06.22.2010_EE cost _update_internal_Bolt RFQ Proposal_Foxlink_ (Pricing Summary) 2 25 2011 2 3" xfId="24168"/>
    <cellStyle name="好_River EE BOM_Xl0000000_Leopard_UniBOM_ME_0602_Bolt RFQ_Foxlink_03.1 2011 2" xfId="24169"/>
    <cellStyle name="好_Creek EE BOM cost_20090425_Creek RFQ feedback 04_28_2009_FD Update_Leopard Lemur Squirrel UniBom-06.22.2010_EE cost _update_internal_Bolt RFQ Proposal_Foxlink_ (Pricing Summary) 2 25 2011 2 4" xfId="24170"/>
    <cellStyle name="好_Creek EE BOM cost_20090425_Creek RFQ feedback 04_28_2009_FD Update_Leopard Lemur Squirrel UniBom-06.22.2010_EE cost _update_internal_Bolt RFQ Proposal_Foxlink_ (Pricing Summary) 2 25 2011 3 2" xfId="24171"/>
    <cellStyle name="差_Squirrel UniBom-06.23.2010_update_internal_Bolt RFQ Proposal_Foxlink_ (Pricing Summary) 2 25 2011 2" xfId="24172"/>
    <cellStyle name="好_Creek EE BOM cost_20090425_Creek RFQ feedback 04_28_2009_FD Update_Leopard Lemur Squirrel UniBom-06.22.2010_EE cost _update_internal_Bolt RFQ Proposal_Foxlink_ (Pricing Summary) 2 25 2011 3 3" xfId="24173"/>
    <cellStyle name="差_Squirrel UniBom-06.23.2010_update_internal_Bolt RFQ Proposal_Foxlink_ (Pricing Summary) 2 25 2011 3" xfId="24174"/>
    <cellStyle name="好_River EE BOM_Creak Pearl Reliability Fixture RFQ_2009 04 24_Leopard_UniBOM_ME_0602-1_Bolt RFQ_Foxlink_03.1 2011_nego meeting@MACH 3 2" xfId="24175"/>
    <cellStyle name="好_Creek EE BOM cost_20090425_Creek RFQ feedback 04_28_2009_FD Update_Leopard Lemur Squirrel UniBom-06.22.2010_EE cost _update_internal_Bolt RFQ Proposal_Foxlink_ (Pricing Summary) 2 25 2011 5" xfId="24176"/>
    <cellStyle name="好_Creek EE BOM cost_20090425_Creek RFQ feedback 04_28_2009_FD Update_Leopard Lemur Squirrel UniBom-06.22.2010_EE cost _update_internal_Bolt RFQ Proposal_Foxlink_ (Pricing Summary) 2 25 2011 5 3" xfId="24177"/>
    <cellStyle name="好_River EE BOM_Creak Pearl Reliability Fixture RFQ_2009 04 24_Leopard_UniBOM_ME_0602-1_Bolt RFQ_Foxlink_03.1 2011_nego meeting@MACH 3 3" xfId="24178"/>
    <cellStyle name="好_River EE BOM_Creak Pearl Reliability Fixture RFQ_2009 04 24_Creek  Pearl RFQ_May 12_Leopard UniBom_Foxlink_6 21 2010-ME_nego_Bolt RFQ Proposal_Foxlink_ (Pricing Summary) 2 25 2011" xfId="24179"/>
    <cellStyle name="好_Creek EE BOM cost_20090425_Creek RFQ feedback 04_28_2009_FD Update_Leopard Lemur Squirrel UniBom-06.22.2010_EE cost _update_internal_Bolt RFQ Proposal_Foxlink_ (Pricing Summary) 2 25 2011 6" xfId="24180"/>
    <cellStyle name="差_Creek RFQ feedback 04_28_2009_FD Update_Leopard RFQ ME BOM Costs-0618_Bolt RFQ Proposal_Foxlink_ (Pricing Summary) 2 25 2011 3 2" xfId="24181"/>
    <cellStyle name="好_Creek EE BOM cost_20090425_Leopard_UniBOM_ME_0603-2 3" xfId="24182"/>
    <cellStyle name="好_Creek EE BOM cost_20090425_Creek RFQ feedback 04_28_2009_FD Update_Leopard Lemur Squirrel UniBom-06.22.2010_EE cost _update_internal_Bolt RFQ_Foxlink_03.1 2011 2" xfId="24183"/>
    <cellStyle name="好_Creek EE BOM cost_20090425_Creek RFQ feedback 04_28_2009_FD Update_Leopard Lemur Squirrel UniBom-06.22.2010_EE cost _update_internal_Bolt RFQ_Foxlink_03.1 2011 2 2" xfId="24184"/>
    <cellStyle name="好_MB9月管審換線超時8d_2009MB KPI_MBO3F製造部hp0209-01 6 3" xfId="24185"/>
    <cellStyle name="好_Creek EE BOM cost_20090425_Leopard_UniBOM_ME_0603-2 3 2" xfId="24186"/>
    <cellStyle name="好_Creek EE BOM cost_20090425_Creek RFQ feedback 04_28_2009_FD Update_Leopard UniBom_Foxlink_6 21 2010-ME_nego_Bolt RFQ Proposal_Foxlink_ (Pricing Summary) 2 25 2011 5 3" xfId="24187"/>
    <cellStyle name="差_Creek RFQ feedback 04_28_2009_FD Update_Leopard RFQ ME BOM Costs-0618_Bolt RFQ Proposal_Foxlink_ (Pricing Summary) 2 25 2011 3 3" xfId="24188"/>
    <cellStyle name="好_Creek EE BOM cost_20090425_Creek RFQ feedback 04_28_2009_FD Update_Leopard Lemur Squirrel UniBom-06.22.2010_EE cost _update_internal_Bolt RFQ_Foxlink_03.1 2011 3" xfId="24189"/>
    <cellStyle name="好_Creek EE BOM cost_20090425_Creek RFQ feedback 04_28_2009_FD Update_Leopard Lemur Squirrel UniBom-06.22.2010_EE cost _update_internal_Bolt RFQ_Foxlink_03.1 2011 3 3" xfId="24190"/>
    <cellStyle name="好_Creek EE BOM cost_20090425_Creek RFQ feedback 04_28_2009_FD Update_Leopard Lemur Squirrel UniBom-06.22.2010_EE cost _update_internal_Bolt RFQ_Foxlink_03.1 2011 5" xfId="24191"/>
    <cellStyle name="差_foxlink Bristol for 10063D-2010-10-11_Bristol ME parts tooling cost 20101022 updated_Bristol MP quote update_08182011_MS" xfId="24192"/>
    <cellStyle name="好_Creek EE BOM cost_20090425_Creek RFQ feedback 04_28_2009_FD Update_Leopard Lemur Squirrel UniBom-06.22.2010_EE cost _update_internal_Bolt RFQ_Foxlink_03.1 2011_nego meeting@MACH" xfId="24193"/>
    <cellStyle name="好_Creek EE BOM cost_20090425_Creek RFQ feedback 04_28_2009_FD Update_Leopard Lemur Squirrel UniBom-06.22.2010_EE cost _update_internal_Bolt RFQ_Foxlink_03.1 2011_nego meeting@MACH 3 2" xfId="24194"/>
    <cellStyle name="好_Creek EE BOM cost_20090425_Creek RFQ feedback 04_28_2009_FD Update_Leopard Lemur Squirrel UniBom-06.22.2010_EE cost _update_internal_Bolt RFQ_Foxlink_03.1 2011_nego meeting@MACH 4" xfId="24195"/>
    <cellStyle name="差_效益分析&amp;產能評估_M1 Lemur Capacity planFixtureEquipment Cost_A2_06192010_Squirrel UniBom_Foxlink_6 28 2010" xfId="24196"/>
    <cellStyle name="好_Creek EE BOM cost_20090425_Creek RFQ feedback 04_28_2009_FD Update_Leopard Lemur Squirrel UniBom-06.22.2010_EE cost _update_internal_Bolt RFQ_Foxlink_03.1 2011_nego meeting@MACH 5" xfId="24197"/>
    <cellStyle name="好_Creek EE BOM cost_20090425_Creek RFQ feedback 04_28_2009_FD Update_Leopard RFQ ME BOM Costs-0618" xfId="24198"/>
    <cellStyle name="好_Creek EE BOM cost_20090425_Creek RFQ feedback 04_28_2009_FD Update_Leopard RFQ ME BOM Costs-0623" xfId="24199"/>
    <cellStyle name="好_Creek EE BOM cost_20090425_Creek RFQ feedback 04_28_2009_FD Update_Leopard RFQ ME BOM Costs-0618 2" xfId="24200"/>
    <cellStyle name="好_Creek EE BOM cost_20090425_Creek RFQ feedback 04_28_2009_FD Update_Leopard RFQ ME BOM Costs-0618 2 2 2" xfId="24201"/>
    <cellStyle name="好_Creek EE BOM cost_20090425_Creek RFQ feedback 04_28_2009_FD Update_Leopard RFQ ME BOM Costs-0618 2 3" xfId="24202"/>
    <cellStyle name="好_Creek EE BOM cost_20090425_Creek RFQ feedback 04_28_2009_FD Update_Leopard RFQ ME BOM Costs-0618 2 4" xfId="24203"/>
    <cellStyle name="好_Creek EE BOM cost_20090425_Creek RFQ feedback 04_28_2009_FD Update_Leopard RFQ ME BOM Costs-0618 3" xfId="24204"/>
    <cellStyle name="好_Creek EE BOM cost_20090425_Creek RFQ feedback 04_28_2009_FD Update_Leopard RFQ ME BOM Costs-0618 3 2" xfId="24205"/>
    <cellStyle name="好_Creek EE BOM cost_20090425_Creek RFQ feedback 04_28_2009_FD Update_Leopard RFQ ME BOM Costs-0618_Bolt RFQ Proposal_Foxlink_ (Pricing Summary) 2 25 2011" xfId="24206"/>
    <cellStyle name="壞_Creek Assembly Fixture  Test Equipment RFQ_20090427_Squirrel UniBom-06.23.2010_update_internal_Bolt RFQ_Foxlink_03.1 2011_nego meeting@MACH" xfId="24207"/>
    <cellStyle name="好_Creek EE BOM cost_20090425_Creek RFQ feedback 04_28_2009_FD Update_Leopard RFQ ME BOM Costs-0618_Bolt RFQ Proposal_Foxlink_ (Pricing Summary) 2 25 2011 2" xfId="24208"/>
    <cellStyle name="壞_Creek Assembly Fixture  Test Equipment RFQ_20090427_Squirrel UniBom-06.23.2010_update_internal_Bolt RFQ_Foxlink_03.1 2011_nego meeting@MACH 2" xfId="24209"/>
    <cellStyle name="好_Creek EE BOM cost_20090425_Creek RFQ feedback 04_28_2009_FD Update_Leopard RFQ ME BOM Costs-0618_Bolt RFQ Proposal_Foxlink_ (Pricing Summary) 2 25 2011 2 2" xfId="24210"/>
    <cellStyle name="壞_Creek Assembly Fixture  Test Equipment RFQ_20090427_Squirrel UniBom-06.23.2010_update_internal_Bolt RFQ_Foxlink_03.1 2011_nego meeting@MACH 2 2" xfId="24211"/>
    <cellStyle name="好_Creek EE BOM cost_20090425_Creek RFQ feedback 04_28_2009_FD Update_Leopard RFQ ME BOM Costs-0618_Bolt RFQ Proposal_Foxlink_ (Pricing Summary) 2 25 2011 2 2 2" xfId="24212"/>
    <cellStyle name="壞_Creek Assembly Fixture  Test Equipment RFQ_20090427_Squirrel UniBom-06.23.2010_update_internal_Bolt RFQ_Foxlink_03.1 2011_nego meeting@MACH 3" xfId="24213"/>
    <cellStyle name="好_Creek EE BOM cost_20090425_Creek RFQ feedback 04_28_2009_FD Update_Leopard RFQ ME BOM Costs-0618_Bolt RFQ Proposal_Foxlink_ (Pricing Summary) 2 25 2011 2 3" xfId="24214"/>
    <cellStyle name="壞_Creek Assembly Fixture  Test Equipment RFQ_20090427_Squirrel UniBom-06.23.2010_update_internal_Bolt RFQ_Foxlink_03.1 2011_nego meeting@MACH 4" xfId="24215"/>
    <cellStyle name="好_Creek EE BOM cost_20090425_Creek RFQ feedback 04_28_2009_FD Update_Leopard RFQ ME BOM Costs-0618_Bolt RFQ Proposal_Foxlink_ (Pricing Summary) 2 25 2011 2 4" xfId="24216"/>
    <cellStyle name="好_Creek EE BOM cost_20090425_Creek RFQ feedback 04_28_2009_FD Update_Leopard RFQ ME BOM Costs-0618_Bolt RFQ Proposal_Foxlink_ (Pricing Summary) 2 25 2011 4" xfId="24217"/>
    <cellStyle name="好_Creek EE BOM cost_20090425_Creek RFQ feedback 04_28_2009_FD Update_Leopard RFQ ME BOM Costs-0618_Bolt RFQ Proposal_Foxlink_ (Pricing Summary) 2 25 2011 4 3" xfId="24218"/>
    <cellStyle name="好_Creek EE BOM cost_20090425_Creek RFQ feedback 04_28_2009_FD Update_Leopard RFQ ME BOM Costs-0618_Bolt RFQ Proposal_Foxlink_ (Pricing Summary) 2 25 2011 5" xfId="24219"/>
    <cellStyle name="差_Xl0000000_Leopard UniBom_Foxlink_6 21 2010-ME_nego_Bolt RFQ_Foxlink_03.1 2011_nego meeting@MACH 3" xfId="24220"/>
    <cellStyle name="好_Creek EE BOM cost_20090425_Creek RFQ feedback 04_28_2009_FD Update_Leopard RFQ ME BOM Costs-0618_Bolt RFQ Proposal_Foxlink_ (Pricing Summary) 2 25 2011 5 2" xfId="24221"/>
    <cellStyle name="差_Xl0000000_Leopard UniBom_Foxlink_6 21 2010-ME_nego_Bolt RFQ_Foxlink_03.1 2011_nego meeting@MACH 4" xfId="24222"/>
    <cellStyle name="差_HP  專案(設備&amp;治工具需夠買)update_費用統計_Jackson 效益分析 (2-1 B0 上系統)" xfId="24223"/>
    <cellStyle name="好_Creek EE BOM cost_20090425_Creek RFQ feedback 04_28_2009_FD Update_Leopard RFQ ME BOM Costs-0618_Bolt RFQ Proposal_Foxlink_ (Pricing Summary) 2 25 2011 5 3" xfId="24224"/>
    <cellStyle name="好_Creek EE BOM cost_20090425_Creek RFQ feedback 04_28_2009_FD Update_Leopard RFQ ME BOM Costs-0618_Bolt RFQ Proposal_Foxlink_ (Pricing Summary) 2 25 2011 7" xfId="24225"/>
    <cellStyle name="好_Creek EE BOM cost_20090425_Creek RFQ feedback 04_28_2009_FD Update_Leopard RFQ ME BOM Costs-0618-2 2 2" xfId="24226"/>
    <cellStyle name="好_Creek EE BOM cost_20090425_Creek RFQ feedback 04_28_2009_FD Update_Leopard RFQ ME BOM Costs-0618_Bolt RFQ_Foxlink_03.1 2011 3" xfId="24227"/>
    <cellStyle name="好_Creek EE BOM cost_20090425_Creek RFQ feedback 04_28_2009_FD Update_Leopard RFQ ME BOM Costs-0618-2 2 3" xfId="24228"/>
    <cellStyle name="好_Creek EE BOM cost_20090425_Creek RFQ feedback 04_28_2009_FD Update_Leopard RFQ ME BOM Costs-0618_Bolt RFQ_Foxlink_03.1 2011 4" xfId="24229"/>
    <cellStyle name="好_River EE BOM_Creak Pearl Reliability Fixture RFQ_2009 04 24_Creek RFQ feedback 04_28_2009_FD Update_Leopard RFQ ME BOM Costs-0618-2_Bolt RFQ_Foxlink_03.1 2011" xfId="24230"/>
    <cellStyle name="好_River EE BOM_Creak Pearl Reliability Fixture RFQ_2009 04 24_Creek  Pearl RFQ_May 12_Squirrel UniBom-06.23.2010_update_internal_Bolt RFQ Proposal_Foxlink_ (Pricing Summary) 2 25 2011 4 2" xfId="24231"/>
    <cellStyle name="好_Creek EE BOM cost_20090425_Creek RFQ feedback 04_28_2009_FD Update_Leopard RFQ ME BOM Costs-0618_Bolt RFQ_Foxlink_03.1 2011_nego meeting@MACH" xfId="24232"/>
    <cellStyle name="好_Creek EE BOM cost_20090425_Creek RFQ feedback 04_28_2009_FD Update_Leopard_UniBOM_ME_0603-2_Bolt RFQ Proposal_Foxlink_ (Pricing Summary) 2 25 2011 4" xfId="24233"/>
    <cellStyle name="好_River EE BOM_Xl0000000_Squirrel UniBom-06.23.2010_update_internal_Bolt RFQ Proposal_Foxlink_ (Pricing Summary) 2 25 2011 2" xfId="24234"/>
    <cellStyle name="好_River EE BOM_Creak Pearl Reliability Fixture RFQ_2009 04 24_Creek RFQ feedback 04_28_2009_FD Update_Leopard RFQ ME BOM Costs-0618-2_Bolt RFQ_Foxlink_03.1 2011 3 2" xfId="24235"/>
    <cellStyle name="好_Creek EE BOM cost_20090425_Creek RFQ feedback 04_28_2009_FD Update_Leopard RFQ ME BOM Costs-0618_Bolt RFQ_Foxlink_03.1 2011_nego meeting@MACH 3 2" xfId="24236"/>
    <cellStyle name="好_River EE BOM_Xl0000000_Squirrel UniBom-06.23.2010_update_internal_Bolt RFQ Proposal_Foxlink_ (Pricing Summary) 2 25 2011 3" xfId="24237"/>
    <cellStyle name="好_River EE BOM_Creak Pearl Reliability Fixture RFQ_2009 04 24_Creek RFQ feedback 04_28_2009_FD Update_Leopard RFQ ME BOM Costs-0618-2_Bolt RFQ_Foxlink_03.1 2011 3 3" xfId="24238"/>
    <cellStyle name="好_Creek EE BOM cost_20090425_Creek RFQ feedback 04_28_2009_FD Update_Leopard RFQ ME BOM Costs-0618_Bolt RFQ_Foxlink_03.1 2011_nego meeting@MACH 3 3" xfId="24239"/>
    <cellStyle name="好_River EE BOM_Creak Pearl Reliability Fixture RFQ_2009 04 24_Creek RFQ feedback 04_28_2009_FD Update_Leopard RFQ ME BOM Costs-0618-2_Bolt RFQ_Foxlink_03.1 2011 4" xfId="24240"/>
    <cellStyle name="好_Creek EE BOM cost_20090425_Creek RFQ feedback 04_28_2009_FD Update_Leopard RFQ ME BOM Costs-0618_Bolt RFQ_Foxlink_03.1 2011_nego meeting@MACH 4" xfId="24241"/>
    <cellStyle name="好_River EE BOM_Creak Pearl Reliability Fixture RFQ_2009 04 24_Creek RFQ feedback 04_28_2009_FD Update_Leopard RFQ ME BOM Costs-0618-2_Bolt RFQ_Foxlink_03.1 2011 5" xfId="24242"/>
    <cellStyle name="好_Creek EE BOM cost_20090425_Creek RFQ feedback 04_28_2009_FD Update_Leopard RFQ ME BOM Costs-0618_Bolt RFQ_Foxlink_03.1 2011_nego meeting@MACH 5" xfId="24243"/>
    <cellStyle name="好_Creek EE BOM cost_20090425_Creek RFQ feedback 04_28_2009_FD Update_Leopard RFQ ME BOM Costs-0618-2" xfId="24244"/>
    <cellStyle name="好_Creek EE BOM cost_20090425_Creek RFQ feedback 04_28_2009_FD Update_Leopard RFQ ME BOM Costs-0618-2 3" xfId="24245"/>
    <cellStyle name="好_Creek EE BOM cost_20090425_Creek RFQ feedback 04_28_2009_FD Update_Leopard RFQ ME BOM Costs-0618-2 3 2" xfId="24246"/>
    <cellStyle name="好_Creek EE BOM cost_20090425_Creek RFQ feedback 04_28_2009_FD Update_Leopard RFQ ME BOM Costs-0618-2_Bolt RFQ Proposal_Foxlink_ (Pricing Summary) 2 25 2011" xfId="24247"/>
    <cellStyle name="好_River EE BOM_Creak Pearl Reliability Fixture RFQ_2009 04 24_Pearl RFQ(Submittal)ver2_05_12_2009  4" xfId="24248"/>
    <cellStyle name="好_Creek EE BOM cost_20090425_Creek RFQ feedback 04_28_2009_FD Update_Leopard RFQ ME BOM Costs-0618-2_Bolt RFQ Proposal_Foxlink_ (Pricing Summary) 2 25 2011 2" xfId="24249"/>
    <cellStyle name="好_Creek EE BOM cost_20090425_Creek RFQ feedback 04_28_2009_FD Update_Leopard RFQ ME BOM Costs-0618-2_Bolt RFQ Proposal_Foxlink_ (Pricing Summary) 2 25 2011 2 3" xfId="24250"/>
    <cellStyle name="差_Creak Pearl Reliability Fixture RFQ_2009 04 24_Creek RFQ feedback 04_28_2009_FD Update_Squirrel RFQ ME BOM Costs-0623_Bolt RFQ_Foxlink_03.1 2011_nego meeting@MACH 2 2" xfId="24251"/>
    <cellStyle name="好_Creek EE BOM cost_20090425_Creek RFQ feedback 04_28_2009_FD Update_Leopard RFQ ME BOM Costs-0618-2_Bolt RFQ Proposal_Foxlink_ (Pricing Summary) 2 25 2011 2 4" xfId="24252"/>
    <cellStyle name="好_Creek EE BOM cost_20090425_Creek RFQ feedback 04_28_2009_FD Update_Leopard RFQ ME BOM Costs-0618-2_Bolt RFQ Proposal_Foxlink_ (Pricing Summary) 2 25 2011 3 2" xfId="24253"/>
    <cellStyle name="好_Creek EE BOM cost_20090425_Creek RFQ feedback 04_28_2009_FD Update_Leopard RFQ ME BOM Costs-0618-2_Bolt RFQ Proposal_Foxlink_ (Pricing Summary) 2 25 2011 3 3" xfId="24254"/>
    <cellStyle name="好_Creek EE BOM cost_20090425_Creek RFQ feedback 04_28_2009_FD Update_Leopard RFQ ME BOM Costs-0618-2_Bolt RFQ Proposal_Foxlink_ (Pricing Summary) 2 25 2011 4 2" xfId="24255"/>
    <cellStyle name="差_jupite r設備&amp;治工具LIST (總)_Dallas flow chart&amp;設備&amp;治工具清單(12-8 A0)_效益分析(總 12-28 Update)_Leopard Flowchart &amp; 產能評估" xfId="24256"/>
    <cellStyle name="好_Creek EE BOM cost_20090425_Creek RFQ feedback 04_28_2009_FD Update_Leopard RFQ ME BOM Costs-0618-2_Bolt RFQ Proposal_Foxlink_ (Pricing Summary) 2 25 2011 4 3" xfId="24257"/>
    <cellStyle name="好_Creek EE BOM cost_20090425_Creek RFQ feedback 04_28_2009_FD Update_Leopard RFQ ME BOM Costs-0618-2_Bolt RFQ Proposal_Foxlink_ (Pricing Summary) 2 25 2011 5" xfId="24258"/>
    <cellStyle name="好_Creek EE BOM cost_20090425_Creek RFQ feedback 04_28_2009_FD Update_Leopard RFQ ME BOM Costs-0618-2_Bolt RFQ Proposal_Foxlink_ (Pricing Summary) 2 25 2011 5 2" xfId="24259"/>
    <cellStyle name="差_Creak Pearl Reliability Fixture RFQ_2009 04 24_Creek  Pearl RFQ_May 12_Squirrel RFQ ME BOM Costs-0623 2 4" xfId="24260"/>
    <cellStyle name="好_Creek EE BOM cost_20090425_Creek RFQ feedback 04_28_2009_FD Update_Leopard RFQ ME BOM Costs-0618-2_Bolt RFQ Proposal_Foxlink_ (Pricing Summary) 2 25 2011 5 3" xfId="24261"/>
    <cellStyle name="好_Creek EE BOM cost_20090425_Creek RFQ feedback 04_28_2009_FD Update_Leopard RFQ ME BOM Costs-0618-2_Bolt RFQ Proposal_Foxlink_ (Pricing Summary) 2 25 2011 7" xfId="24262"/>
    <cellStyle name="差_F3   SMT設備明細_jupite r設備&amp;治工具LIST (總)_Dolce設備治工具明細表(TE Update)_Jackson 效益分析 (2-1 B0 上系統)" xfId="24263"/>
    <cellStyle name="好_Creek EE BOM cost_20090425_Creek RFQ feedback 04_28_2009_FD Update_Leopard RFQ ME BOM Costs-0618-2_Bolt RFQ_Foxlink_03.1 2011" xfId="24264"/>
    <cellStyle name="好_Creek EE BOM cost_20090425_Creek RFQ feedback 04_28_2009_FD Update_Leopard RFQ ME BOM Costs-0618-2_Bolt RFQ_Foxlink_03.1 2011 2" xfId="24265"/>
    <cellStyle name="好_Creek EE BOM cost_20090425_Creek RFQ feedback 04_28_2009_FD Update_Leopard RFQ ME BOM Costs-0618-2_Bolt RFQ_Foxlink_03.1 2011 2 2" xfId="24266"/>
    <cellStyle name="好_Creek EE BOM cost_20090425_Creek RFQ feedback 04_28_2009_FD Update_Leopard RFQ ME BOM Costs-0618-2_Bolt RFQ_Foxlink_03.1 2011 2 3" xfId="24267"/>
    <cellStyle name="好_Creek EE BOM cost_20090425_Creek RFQ feedback 04_28_2009_FD Update_Leopard RFQ ME BOM Costs-0618-2_Bolt RFQ_Foxlink_03.1 2011 3" xfId="24268"/>
    <cellStyle name="好_Creek EE BOM cost_20090425_Creek RFQ feedback 04_28_2009_FD Update_Leopard RFQ ME BOM Costs-0618-2_Bolt RFQ_Foxlink_03.1 2011 3 2" xfId="24269"/>
    <cellStyle name="好_Creek EE BOM cost_20090425_Creek RFQ feedback 04_28_2009_FD Update_Leopard RFQ ME BOM Costs-0618-2_Bolt RFQ_Foxlink_03.1 2011 3 3" xfId="24270"/>
    <cellStyle name="好_Creek EE BOM cost_20090425_Creek RFQ feedback 04_28_2009_FD Update_Leopard RFQ ME BOM Costs-0618-2_Bolt RFQ_Foxlink_03.1 2011 4" xfId="24271"/>
    <cellStyle name="差_Creak Pearl Reliability Fixture RFQ_2009 04 24_Pearl RFQ(Submittal)ver2_05_12_2009 _Bolt RFQ Proposal_Foxlink_ (Pricing Summary) 2 25 2011 2 4" xfId="24272"/>
    <cellStyle name="好_Rio QA Report-8.27_Dolce   QA Report 2010_0902 (A3)" xfId="24273"/>
    <cellStyle name="好_Creek EE BOM cost_20090425_Creek RFQ feedback 04_28_2009_FD Update_Leopard RFQ ME BOM Costs-0618-2_Bolt RFQ_Foxlink_03.1 2011_nego meeting@MACH" xfId="24274"/>
    <cellStyle name="好_Creek EE BOM cost_20090425_Creek RFQ feedback 04_28_2009_FD Update_Leopard RFQ ME BOM Costs-0618-2_Bolt RFQ_Foxlink_03.1 2011_nego meeting@MACH 2" xfId="24275"/>
    <cellStyle name="好_Creek EE BOM cost_20090425_Creek RFQ feedback 04_28_2009_FD Update_Leopard RFQ ME BOM Costs-0618-2_Bolt RFQ_Foxlink_03.1 2011_nego meeting@MACH 2 2" xfId="24276"/>
    <cellStyle name="好_效益分析&amp;產能評估_M1 Bolt wireless mouse FixtureEquipment Cost_A2_2010_12_07 3" xfId="24277"/>
    <cellStyle name="好_Creek EE BOM cost_20090425_Creek RFQ feedback 04_28_2009_FD Update_Leopard RFQ ME BOM Costs-0618-2_Bolt RFQ_Foxlink_03.1 2011_nego meeting@MACH 3 2" xfId="24278"/>
    <cellStyle name="好_Creek EE BOM cost_20090425_Creek RFQ feedback 04_28_2009_FD Update_Leopard UniBom_Foxlink_12092010 RevD-jen" xfId="24279"/>
    <cellStyle name="好_River EE BOM_Creak Pearl Reliability Fixture RFQ_2009 04 24_Xl0000002_Foxlink_Shadow RFQ NREUni BOM_12032009_Bolt RFQ_Foxlink_03.1 2011 2 3" xfId="24280"/>
    <cellStyle name="好_Creek EE BOM cost_20090425_Creek RFQ feedback 04_28_2009_FD Update_Leopard UniBom_Foxlink_12272010 RevF_shirley" xfId="24281"/>
    <cellStyle name="差_HP  專案(設備&amp;治工具需夠買)update_M1 Bolt wireless mouse FixtureEquipment Cost_A2_2010_12_07_Bolt RFQ Proposal_Foxlink_ (Pricing Summary) 2 25 2011" xfId="24282"/>
    <cellStyle name="好_Creek EE BOM cost_20090425_Creek RFQ feedback 04_28_2009_FD Update_Leopard UniBom_Foxlink_6 21 2010-ME_nego" xfId="24283"/>
    <cellStyle name="差_HP  專案(設備&amp;治工具需夠買)update_M1 Bolt wireless mouse FixtureEquipment Cost_A2_2010_12_07_Bolt RFQ Proposal_Foxlink_ (Pricing Summary) 2 25 2011 2 2" xfId="24284"/>
    <cellStyle name="差_Creak Pearl Reliability Fixture RFQ_2009 04 24_Creek  Pearl RFQ_May 12_Leopard_UniBOM_ME_0602-1 3 2" xfId="24285"/>
    <cellStyle name="好_Creek EE BOM cost_20090425_Creek RFQ feedback 04_28_2009_FD Update_Leopard UniBom_Foxlink_6 21 2010-ME_nego 2 2" xfId="24286"/>
    <cellStyle name="差_HP  專案(設備&amp;治工具需夠買)update_M1 Bolt wireless mouse FixtureEquipment Cost_A2_2010_12_07_Bolt RFQ Proposal_Foxlink_ (Pricing Summary) 2 25 2011 2 2 2" xfId="24287"/>
    <cellStyle name="差_dallas產能評估_Flow chart and Fixture(Jackson)_A1_Jackson 效益分析 (2-1 B0 上系統)_Leopard效益分析08-17" xfId="24288"/>
    <cellStyle name="好_Creek EE BOM cost_20090425_Creek RFQ feedback 04_28_2009_FD Update_Leopard UniBom_Foxlink_6 21 2010-ME_nego 2 2 2" xfId="24289"/>
    <cellStyle name="差_HP  專案(設備&amp;治工具需夠買)update_M1 Bolt wireless mouse FixtureEquipment Cost_A2_2010_12_07_Bolt RFQ Proposal_Foxlink_ (Pricing Summary) 2 25 2011 2 2 3" xfId="24290"/>
    <cellStyle name="好_Creek EE BOM cost_20090425_Creek RFQ feedback 04_28_2009_FD Update_Leopard UniBom_Foxlink_6 21 2010-ME_nego 2 2 3" xfId="24291"/>
    <cellStyle name="差_HP  專案(設備&amp;治工具需夠買)update_M1 Bolt wireless mouse FixtureEquipment Cost_A2_2010_12_07_Bolt RFQ Proposal_Foxlink_ (Pricing Summary) 2 25 2011 2 3" xfId="24292"/>
    <cellStyle name="差_Creak Pearl Reliability Fixture RFQ_2009 04 24_Creek  Pearl RFQ_May 12_Leopard_UniBOM_ME_0602-1 3 3" xfId="24293"/>
    <cellStyle name="好_Creek EE BOM cost_20090425_Creek RFQ feedback 04_28_2009_FD Update_Leopard UniBom_Foxlink_6 21 2010-ME_nego 2 3" xfId="24294"/>
    <cellStyle name="差_HP  專案(設備&amp;治工具需夠買)update_M1 Bolt wireless mouse FixtureEquipment Cost_A2_2010_12_07_Bolt RFQ Proposal_Foxlink_ (Pricing Summary) 2 25 2011 2 4" xfId="24295"/>
    <cellStyle name="好_Creek EE BOM cost_20090425_Creek RFQ feedback 04_28_2009_FD Update_Leopard UniBom_Foxlink_6 21 2010-ME_nego 2 4" xfId="24296"/>
    <cellStyle name="差_HP  專案(設備&amp;治工具需夠買)update_M1 Bolt wireless mouse FixtureEquipment Cost_A2_2010_12_07_Bolt RFQ Proposal_Foxlink_ (Pricing Summary) 2 25 2011 3 3" xfId="24297"/>
    <cellStyle name="好_Creek EE BOM cost_20090425_Creek RFQ feedback 04_28_2009_FD Update_Leopard UniBom_Foxlink_6 21 2010-ME_nego 3 3" xfId="24298"/>
    <cellStyle name="好_MB9月管審換線超時8d_2009MB KPI_MBO3F製造部hp0209-01 3" xfId="24299"/>
    <cellStyle name="好_Creek EE BOM cost_20090425_Creek RFQ feedback 04_28_2009_FD Update_Leopard UniBom_Foxlink_6 21 2010-ME_nego_Bolt RFQ Proposal_Foxlink_ (Pricing Summary) 2 25 2011 2" xfId="24300"/>
    <cellStyle name="好_MB9月管審換線超時8d_2009MB KPI_MBO3F製造部hp0209-01 3 2" xfId="24301"/>
    <cellStyle name="好_Creek EE BOM cost_20090425_Creek RFQ feedback 04_28_2009_FD Update_Leopard UniBom_Foxlink_6 21 2010-ME_nego_Bolt RFQ Proposal_Foxlink_ (Pricing Summary) 2 25 2011 2 2" xfId="24302"/>
    <cellStyle name="好_River EE BOM_Creak Pearl Reliability Fixture RFQ_2009 04 24_Creek  Pearl RFQ_May 12_Leopard RFQ ME BOM Costs-0618-2_Bolt RFQ_Foxlink_03.1 2011_nego meeting@MACH 3 2" xfId="24303"/>
    <cellStyle name="好_MB9月管審換線超時8d_2009MB KPI_MBO3F製造部hp0209-01 3 2 3" xfId="24304"/>
    <cellStyle name="好_Creek EE BOM cost_20090425_Creek RFQ feedback 04_28_2009_FD Update_Leopard UniBom_Foxlink_6 21 2010-ME_nego_Bolt RFQ Proposal_Foxlink_ (Pricing Summary) 2 25 2011 2 2 3" xfId="24305"/>
    <cellStyle name="好_River EE BOM_Creak Pearl Reliability Fixture RFQ_2009 04 24_Creek  Pearl RFQ_May 12_Leopard_UniBOM_ME_0603-2_Bolt RFQ_Foxlink_03.1 2011_nego meeting@MACH 2" xfId="24306"/>
    <cellStyle name="好_MB9月管審換線超時8d_2009MB KPI_MBO3F製造部hp0209-01 3 3" xfId="24307"/>
    <cellStyle name="好_Creek EE BOM cost_20090425_Creek RFQ feedback 04_28_2009_FD Update_Leopard UniBom_Foxlink_6 21 2010-ME_nego_Bolt RFQ Proposal_Foxlink_ (Pricing Summary) 2 25 2011 2 3" xfId="24308"/>
    <cellStyle name="好_MB9月管審換線超時8d_2009MB KPI_MBO3F製造部hp0209-01 4" xfId="24309"/>
    <cellStyle name="好_Creek EE BOM cost_20090425_Creek RFQ feedback 04_28_2009_FD Update_Leopard UniBom_Foxlink_6 21 2010-ME_nego_Bolt RFQ Proposal_Foxlink_ (Pricing Summary) 2 25 2011 3" xfId="24310"/>
    <cellStyle name="好_MB9月管審換線超時8d_2009MB KPI_MBO3F製造部hp0209-01 5 3" xfId="24311"/>
    <cellStyle name="好_Creek EE BOM cost_20090425_Leopard_UniBOM_ME_0603-2 2 2" xfId="24312"/>
    <cellStyle name="好_Creek EE BOM cost_20090425_Creek RFQ feedback 04_28_2009_FD Update_Leopard UniBom_Foxlink_6 21 2010-ME_nego_Bolt RFQ Proposal_Foxlink_ (Pricing Summary) 2 25 2011 4 3" xfId="24313"/>
    <cellStyle name="好_MB9月管審換線超時8d_2009MB KPI_MBO3F製造部hp0209-01 6" xfId="24314"/>
    <cellStyle name="好_Creek EE BOM cost_20090425_Creek RFQ feedback 04_28_2009_FD Update_Leopard UniBom_Foxlink_6 21 2010-ME_nego_Bolt RFQ Proposal_Foxlink_ (Pricing Summary) 2 25 2011 5" xfId="24315"/>
    <cellStyle name="好_MB9月管審換線超時8d_2009MB KPI_MBO3F製造部hp0209-01 6 2" xfId="24316"/>
    <cellStyle name="好_Creek EE BOM cost_20090425_Creek RFQ feedback 04_28_2009_FD Update_Leopard UniBom_Foxlink_6 21 2010-ME_nego_Bolt RFQ Proposal_Foxlink_ (Pricing Summary) 2 25 2011 5 2" xfId="24317"/>
    <cellStyle name="好_Creek EE BOM cost_20090425_Creek RFQ feedback 04_28_2009_FD Update_Leopard UniBom_Foxlink_6 21 2010-ME_nego_Bolt RFQ Proposal_Foxlink_ (Pricing Summary) 2 25 2011 6" xfId="24318"/>
    <cellStyle name="差_MB9月管審誤判超標 8D 2 2 2" xfId="24319"/>
    <cellStyle name="好_Creek EE BOM cost_20090425_Creek RFQ feedback 04_28_2009_FD Update_Leopard UniBom_Foxlink_6 21 2010-ME_nego_Bolt RFQ Proposal_Foxlink_ (Pricing Summary) 2 25 2011 7" xfId="24320"/>
    <cellStyle name="好_治具工程課2009年KPI_KPI 1006 5 2 2" xfId="24321"/>
    <cellStyle name="好_River EE BOM_Creak Pearl Reliability Fixture RFQ_2009 04 24_Creek  Pearl RFQ_May 12_Leopard Lemur Squirrel UniBom-06.22.2010_EE cost _update_internal_Bolt RFQ Proposal_Foxlink_ (Pricing Summary) 2 25 2011 2 2" xfId="24322"/>
    <cellStyle name="好_Creek EE BOM cost_20090425_Creek RFQ feedback 04_28_2009_FD Update_Leopard UniBom_Foxlink_6 21 2010-ME_nego_Bolt RFQ_Foxlink_03.1 2011" xfId="24323"/>
    <cellStyle name="好_River EE BOM_Creak Pearl Reliability Fixture RFQ_2009 04 24_Creek  Pearl RFQ_May 12_Leopard Lemur Squirrel UniBom-06.22.2010_EE cost _update_internal_Bolt RFQ Proposal_Foxlink_ (Pricing Summary) 2 25 2011 2 2 2" xfId="24324"/>
    <cellStyle name="好_Creek EE BOM cost_20090425_Creek RFQ feedback 04_28_2009_FD Update_Leopard UniBom_Foxlink_6 21 2010-ME_nego_Bolt RFQ_Foxlink_03.1 2011 2" xfId="24325"/>
    <cellStyle name="好_River EE BOM_Creak Pearl Reliability Fixture RFQ_2009 04 24_Squirrel UniBom-06.23.2010_update_internal_Bolt RFQ Proposal_Foxlink_ (Pricing Summary) 2 25 2011 6" xfId="24326"/>
    <cellStyle name="好_Creek EE BOM cost_20090425_Creek RFQ feedback 04_28_2009_FD Update_Leopard UniBom_Foxlink_6 21 2010-ME_nego_Bolt RFQ_Foxlink_03.1 2011_nego meeting@MACH" xfId="24327"/>
    <cellStyle name="好_Creek EE BOM cost_20090425_Creek RFQ feedback 04_28_2009_FD Update_Leopard UniBom_Foxlink_6 21 2010-ME_nego_Bolt RFQ_Foxlink_03.1 2011_nego meeting@MACH 2" xfId="24328"/>
    <cellStyle name="好_River EE BOM_Creak Pearl Reliability Fixture RFQ_2009 04 24_Xl0000002_Squirrel UniBom-06.23.2010_update_internal_Bolt RFQ Proposal_Foxlink_ (Pricing Summary) 2 25 2011 4 3" xfId="24329"/>
    <cellStyle name="好_Creek EE BOM cost_20090425_Creek RFQ feedback 04_28_2009_FD Update_Leopard UniBom_Foxlink_6 21 2010-ME_nego_Bolt RFQ_Foxlink_03.1 2011_nego meeting@MACH 2 2" xfId="24330"/>
    <cellStyle name="好_Creek EE BOM cost_20090425_Creek RFQ feedback 04_28_2009_FD Update_Leopard UniBom_Foxlink_6 21 2010-ME_nego_Bolt RFQ_Foxlink_03.1 2011_nego meeting@MACH 2 3" xfId="24331"/>
    <cellStyle name="差_Creek RFQ feedback 04_28_2009_FD Update_Foxlink_Shadow RFQ NREUni BOM_12032009_Bolt RFQ_Foxlink_03.1 2011 2 2" xfId="24332"/>
    <cellStyle name="好_Creek EE BOM cost_20090425_Creek RFQ feedback 04_28_2009_FD Update_Leopard UniBom_Foxlink_6 21 2010-ME_nego_Bolt RFQ_Foxlink_03.1 2011_nego meeting@MACH 3" xfId="24333"/>
    <cellStyle name="差_Flow Chart&amp;PQ分析(12-1)_squirrel效益分析08-17" xfId="24334"/>
    <cellStyle name="好_Creek EE BOM cost_20090425_Creek RFQ feedback 04_28_2009_FD Update_Leopard UniBom_Foxlink_6 21 2010-ME_nego_Bolt RFQ_Foxlink_03.1 2011_nego meeting@MACH 3 2" xfId="24335"/>
    <cellStyle name="好_Creek EE BOM cost_20090425_Creek RFQ feedback 04_28_2009_FD Update_Leopard UniBom_Foxlink_6 21 2010-ME_nego_Bolt RFQ_Foxlink_03.1 2011_nego meeting@MACH 3 3" xfId="24336"/>
    <cellStyle name="差_Creak Pearl Reliability Fixture RFQ_2009 04 24_Pearl RFQ(Submittal)ver2_05_12_2009 _Bolt RFQ Proposal_Foxlink_ (Pricing Summary) 2 25 2011 2" xfId="24337"/>
    <cellStyle name="差_Creek RFQ feedback 04_28_2009_FD Update_Foxlink_Shadow RFQ NREUni BOM_12032009_Bolt RFQ_Foxlink_03.1 2011 2 3" xfId="24338"/>
    <cellStyle name="好_MB9月管審誤判超標 8D_HP 5 2 2" xfId="24339"/>
    <cellStyle name="好_Creek EE BOM cost_20090425_Creek RFQ feedback 04_28_2009_FD Update_Leopard UniBom_Foxlink_6 21 2010-ME_nego_Bolt RFQ_Foxlink_03.1 2011_nego meeting@MACH 4" xfId="24340"/>
    <cellStyle name="好_效益分析&amp;產能評估_M1 Bolt wireless mouse FixtureEquipment Cost_A2_2010_12_07_Bolt RFQ Proposal_Foxlink_ (Pricing Summary) 2 25 2011 2 2" xfId="24341"/>
    <cellStyle name="好_MB9月管審誤判超標 8D_HP 5 2 3" xfId="24342"/>
    <cellStyle name="好_Creek EE BOM cost_20090425_Creek RFQ feedback 04_28_2009_FD Update_Leopard UniBom_Foxlink_6 21 2010-ME_nego_Bolt RFQ_Foxlink_03.1 2011_nego meeting@MACH 5" xfId="24343"/>
    <cellStyle name="好_Creek EE BOM cost_20090425_Creek RFQ feedback 04_28_2009_FD Update_Leopard UniBom_Foxlink_6 21 2010-nego" xfId="24344"/>
    <cellStyle name="好_Creek EE BOM cost_20090425_Creek RFQ feedback 04_28_2009_FD Update_Leopard UniBom-06 22 2010_update_internal" xfId="24345"/>
    <cellStyle name="差_Creek RFQ feedback 04_28_2009_FD Update_Leopard RFQ ME BOM Costs-0618-2_Bolt RFQ_Foxlink_03.1 2011 3 3" xfId="24346"/>
    <cellStyle name="好_Creek EE BOM cost_20090425_Creek RFQ feedback 04_28_2009_FD Update_Leopard_UniBOM_ME_0531 2 2 2" xfId="24347"/>
    <cellStyle name="差_Creak Pearl Reliability Fixture RFQ_2009 04 24_Creek RFQ feedback 04_28_2009_FD Update_Leopard_UniBOM_ME_0602_Bolt RFQ Proposal_Foxlink_ (Pricing Summary) 2 25 2011 2 2" xfId="24348"/>
    <cellStyle name="差_HP  專案(設備&amp;治工具需夠買)update_M1 Bolt wireless mouse FixtureEquipment Cost_A2_2010_12_07" xfId="24349"/>
    <cellStyle name="好_Creek EE BOM cost_20090425_Creek RFQ feedback 04_28_2009_FD Update_Leopard_UniBOM_ME_0531 2 4" xfId="24350"/>
    <cellStyle name="好_River EE BOM_Creak Pearl Reliability Fixture RFQ_2009 04 24_Leopard Lemur Squirrel UniBom-06.22.2010_EE cost _update_internal 2 2 3" xfId="24351"/>
    <cellStyle name="差_Creak Pearl Reliability Fixture RFQ_2009 04 24_Creek RFQ feedback 04_28_2009_FD Update_Leopard_UniBOM_ME_0602_Bolt RFQ Proposal_Foxlink_ (Pricing Summary) 2 25 2011 4" xfId="24352"/>
    <cellStyle name="好_Creek EE BOM cost_20090425_Creek RFQ feedback 04_28_2009_FD Update_Leopard_UniBOM_ME_0531 3" xfId="24353"/>
    <cellStyle name="好_River EE BOM_Creak Pearl Reliability Fixture RFQ_2009 04 24_Xl0000002_Lemur RFQ ME BOM Costs-0623" xfId="24354"/>
    <cellStyle name="差_Creak Pearl Reliability Fixture RFQ_2009 04 24_Creek RFQ feedback 04_28_2009_FD Update_Leopard Lemur Squirrel UniBom-06.22.2010_EE cost _update_internal_Bolt RFQ_Foxlink_03.1 2011_nego meeting@MACH 4" xfId="24355"/>
    <cellStyle name="好_Creek EE BOM cost_20090425_Creek RFQ feedback 04_28_2009_FD Update_Leopard_UniBOM_ME_0531 3 2" xfId="24356"/>
    <cellStyle name="差_Creak Pearl Reliability Fixture RFQ_2009 04 24_Pearl RFQ(Submittal)ver2_05_12_2009 _Squirrel UniBom-06.23.2010_update_internal_Bolt RFQ_Foxlink_03.1 2011_nego meeting@MACH 3 2" xfId="24357"/>
    <cellStyle name="好_River EE BOM_Creak Pearl Reliability Fixture RFQ_2009 04 24_Xl0000002_Leopard_UniBOM_ME_0531_Bolt RFQ_Foxlink_03.1 2011 3 3" xfId="24358"/>
    <cellStyle name="好_Creek EE BOM cost_20090425_Creek RFQ feedback 04_28_2009_FD Update_Leopard_UniBOM_ME_0531_Bolt RFQ Proposal_Foxlink_ (Pricing Summary) 2 25 2011 2 2 2" xfId="24359"/>
    <cellStyle name="差_Creak Pearl Reliability Fixture RFQ_2009 04 24_Pearl RFQ(Submittal)ver2_05_12_2009 _Squirrel UniBom-06.23.2010_update_internal_Bolt RFQ_Foxlink_03.1 2011_nego meeting@MACH 4" xfId="24360"/>
    <cellStyle name="好_River EE BOM_Creak Pearl Reliability Fixture RFQ_2009 04 24_Pearl RFQ(Submittal)ver2_05_12_2009 _Foxlink_Shadow RFQ NREUni BOM_12032009 2" xfId="24361"/>
    <cellStyle name="好_Creek EE BOM cost_20090425_Creek RFQ feedback 04_28_2009_FD Update_Leopard_UniBOM_ME_0531_Bolt RFQ Proposal_Foxlink_ (Pricing Summary) 2 25 2011 2 3" xfId="24362"/>
    <cellStyle name="差_Creak Pearl Reliability Fixture RFQ_2009 04 24_Pearl RFQ(Submittal)ver2_05_12_2009 _Squirrel UniBom-06.23.2010_update_internal_Bolt RFQ_Foxlink_03.1 2011_nego meeting@MACH 5" xfId="24363"/>
    <cellStyle name="好_River EE BOM_Creak Pearl Reliability Fixture RFQ_2009 04 24_Pearl RFQ(Submittal)ver2_05_12_2009 _Foxlink_Shadow RFQ NREUni BOM_12032009 3" xfId="24364"/>
    <cellStyle name="好_Creek EE BOM cost_20090425_Creek RFQ feedback 04_28_2009_FD Update_Leopard_UniBOM_ME_0531_Bolt RFQ Proposal_Foxlink_ (Pricing Summary) 2 25 2011 2 4" xfId="24365"/>
    <cellStyle name="差_Creak Pearl Reliability Fixture RFQ_2009 04 24_Xl0000002_Leopard Lemur Squirrel UniBom-06.22.2010_EE cost _update_internal_Bolt RFQ Proposal_Foxlink_ (Pricing Summary) 2 25 2011 7" xfId="24366"/>
    <cellStyle name="好_Creek EE BOM cost_20090425_Creek RFQ feedback 04_28_2009_FD Update_Leopard_UniBOM_ME_0531_Bolt RFQ Proposal_Foxlink_ (Pricing Summary) 2 25 2011 3 2" xfId="24367"/>
    <cellStyle name="好_Creek EE BOM cost_20090425_Creek RFQ feedback 04_28_2009_FD Update_Leopard_UniBOM_ME_0531_Bolt RFQ Proposal_Foxlink_ (Pricing Summary) 2 25 2011 3 3" xfId="24368"/>
    <cellStyle name="差_Creek RFQ feedback 04_28_2009_FD Update_Leopard_UniBOM_ME_0531_Bolt RFQ_Foxlink_03.1 2011_nego meeting@MACH 4" xfId="24369"/>
    <cellStyle name="好_Creek EE BOM cost_20090425_Creek RFQ feedback 04_28_2009_FD Update_Leopard_UniBOM_ME_0531_Bolt RFQ_Foxlink_03.1 2011" xfId="24370"/>
    <cellStyle name="好_治具工程課2009年KPI 2 3" xfId="24371"/>
    <cellStyle name="好_River EE BOM_Xl0000000_Bolt RFQ_Foxlink_03.1 2011_nego meeting@MACH 3" xfId="24372"/>
    <cellStyle name="好_Creek EE BOM cost_20090425_Creek RFQ feedback 04_28_2009_FD Update_Leopard_UniBOM_ME_0531_Bolt RFQ_Foxlink_03.1 2011 2" xfId="24373"/>
    <cellStyle name="好_治具工程課2009年KPI 2 3 3" xfId="24374"/>
    <cellStyle name="好_River EE BOM_Xl0000000_Bolt RFQ_Foxlink_03.1 2011_nego meeting@MACH 3 3" xfId="24375"/>
    <cellStyle name="差_效益分析_Dallas flow chart&amp;設備&amp;治工具清單(12-8 A0)_效益分析(總 12-28 Update)_Jackson 效益分析 (2-1 B0 上系統)_Leopard效益分析08-17" xfId="24376"/>
    <cellStyle name="好_Creek EE BOM cost_20090425_Creek RFQ feedback 04_28_2009_FD Update_Leopard_UniBOM_ME_0531_Bolt RFQ_Foxlink_03.1 2011 2 3" xfId="24377"/>
    <cellStyle name="差_Flow Chart&amp;PQ分析(12-1)_Flow chart and Fixture(1-4)_Jackson 效益分析 (2-1 B0 上系統)_Leopard Flowchart &amp; 產能評估" xfId="24378"/>
    <cellStyle name="差_Creak Pearl Reliability Fixture RFQ_2009 04 24_Pearl RFQ(Submittal)ver2_05_12_2009 _Squirrel UniBom-06.23.2010_update_internal 2 2" xfId="24379"/>
    <cellStyle name="好_Creek EE BOM cost_20090425_Creek RFQ feedback 04_28_2009_FD Update_Leopard_UniBOM_ME_0531_Bolt RFQ_Foxlink_03.1 2011 3 2" xfId="24380"/>
    <cellStyle name="差_Creak Pearl Reliability Fixture RFQ_2009 04 24_Pearl RFQ(Submittal)ver2_05_12_2009 _Squirrel UniBom-06.23.2010_update_internal 2 3" xfId="24381"/>
    <cellStyle name="好_Creek EE BOM cost_20090425_Creek RFQ feedback 04_28_2009_FD Update_Leopard_UniBOM_ME_0531_Bolt RFQ_Foxlink_03.1 2011 3 3" xfId="24382"/>
    <cellStyle name="差_HP  專案(設備&amp;治工具需夠買)update_Bolt RFQ_Foxlink_03.1 2011_nego meeting@MACH 3 2" xfId="24383"/>
    <cellStyle name="差_Creak Pearl Reliability Fixture RFQ_2009 04 24_Pearl RFQ(Submittal)ver2_05_12_2009 _Squirrel UniBom-06.23.2010_update_internal 3" xfId="24384"/>
    <cellStyle name="好_治具工程課2009年KPI 2 5" xfId="24385"/>
    <cellStyle name="好_River EE BOM_Xl0000000_Bolt RFQ_Foxlink_03.1 2011_nego meeting@MACH 5" xfId="24386"/>
    <cellStyle name="好_Creek EE BOM cost_20090425_Creek RFQ feedback 04_28_2009_FD Update_Leopard_UniBOM_ME_0531_Bolt RFQ_Foxlink_03.1 2011 4" xfId="24387"/>
    <cellStyle name="差_HP  專案(設備&amp;治工具需夠買)update_Bolt RFQ_Foxlink_03.1 2011_nego meeting@MACH 3 3" xfId="24388"/>
    <cellStyle name="差_Creak Pearl Reliability Fixture RFQ_2009 04 24_Pearl RFQ(Submittal)ver2_05_12_2009 _Squirrel UniBom-06.23.2010_update_internal 4" xfId="24389"/>
    <cellStyle name="好_Creek EE BOM cost_20090425_Creek RFQ feedback 04_28_2009_FD Update_Leopard_UniBOM_ME_0531_Bolt RFQ_Foxlink_03.1 2011 5" xfId="24390"/>
    <cellStyle name="好_River EE BOM_Xl0000002_Leopard_UniBOM_ME_0531 3 2" xfId="24391"/>
    <cellStyle name="好_Creek EE BOM cost_20090425_Creek RFQ feedback 04_28_2009_FD Update_Leopard_UniBOM_ME_0531_Bolt RFQ_Foxlink_03.1 2011_nego meeting@MACH 2" xfId="24392"/>
    <cellStyle name="差_MS Bolt wireless mouse FixtureEquipment Cost_A5_2010_02_21_Bolt RFQ_Foxlink_03.1 2011_nego meeting@MACH 3" xfId="24393"/>
    <cellStyle name="好_River EE BOM_Creak Pearl Reliability Fixture RFQ_2009 04 24_Leopard UniBom_Foxlink_6 21 2010-ME_nego_Bolt RFQ Proposal_Foxlink_ (Pricing Summary) 2 25 2011 7" xfId="24394"/>
    <cellStyle name="好_Creek EE BOM cost_20090425_Creek RFQ feedback 04_28_2009_FD Update_Leopard_UniBOM_ME_0531_Bolt RFQ_Foxlink_03.1 2011_nego meeting@MACH 2 2" xfId="24395"/>
    <cellStyle name="差_MS Bolt wireless mouse FixtureEquipment Cost_A5_2010_02_21_Bolt RFQ_Foxlink_03.1 2011_nego meeting@MACH 4" xfId="24396"/>
    <cellStyle name="好_Creek EE BOM cost_20090425_Creek RFQ feedback 04_28_2009_FD Update_Leopard_UniBOM_ME_0531_Bolt RFQ_Foxlink_03.1 2011_nego meeting@MACH 2 3" xfId="24397"/>
    <cellStyle name="好_Creek EE BOM cost_20090425_Creek RFQ feedback 04_28_2009_FD Update_Leopard_UniBOM_ME_0531_Bolt RFQ_Foxlink_03.1 2011_nego meeting@MACH 3" xfId="24398"/>
    <cellStyle name="差_效益分析&amp;產能評估 2 2" xfId="24399"/>
    <cellStyle name="好_River EE BOM_Xl0000002_Leopard_UniBOM_ME_0531 3 3" xfId="24400"/>
    <cellStyle name="好_Creek EE BOM cost_20090425_Creek RFQ feedback 04_28_2009_FD Update_Leopard_UniBOM_ME_0531_Bolt RFQ_Foxlink_03.1 2011_nego meeting@MACH 3 2" xfId="24401"/>
    <cellStyle name="差_效益分析&amp;產能評估 2 2 2" xfId="24402"/>
    <cellStyle name="好_Creek EE BOM cost_20090425_Creek RFQ feedback 04_28_2009_FD Update_Leopard_UniBOM_ME_0531_Bolt RFQ_Foxlink_03.1 2011_nego meeting@MACH 3 3" xfId="24403"/>
    <cellStyle name="差_效益分析&amp;產能評估 2 2 3" xfId="24404"/>
    <cellStyle name="好_Creek EE BOM cost_20090425_Creek RFQ feedback 04_28_2009_FD Update_Leopard_UniBOM_ME_0531_Bolt RFQ_Foxlink_03.1 2011_nego meeting@MACH 4" xfId="24405"/>
    <cellStyle name="差_效益分析&amp;產能評估 2 3" xfId="24406"/>
    <cellStyle name="好_Creek EE BOM cost_20090425_Creek RFQ feedback 04_28_2009_FD Update_Leopard_UniBOM_ME_0531_Bolt RFQ_Foxlink_03.1 2011_nego meeting@MACH 5" xfId="24407"/>
    <cellStyle name="差_效益分析&amp;產能評估 2 4" xfId="24408"/>
    <cellStyle name="好_River EE BOM_Xl0000002_Leopard RFQ ME BOM Costs-0618-2_Bolt RFQ Proposal_Foxlink_ (Pricing Summary) 2 25 2011 4 2" xfId="24409"/>
    <cellStyle name="好_Creek EE BOM cost_20090425_Creek RFQ feedback 04_28_2009_FD Update_Leopard_UniBOM_ME_0602 2" xfId="24410"/>
    <cellStyle name="好_Creek EE BOM cost_20090425_Creek RFQ feedback 04_28_2009_FD Update_Leopard_UniBOM_ME_0602 2 2" xfId="24411"/>
    <cellStyle name="好_Creek EE BOM cost_20090425_Creek RFQ feedback 04_28_2009_FD Update_Leopard_UniBOM_ME_0602 2 2 2" xfId="24412"/>
    <cellStyle name="好_Creek EE BOM cost_20090425_Creek RFQ feedback 04_28_2009_FD Update_Leopard_UniBOM_ME_0602 2 2 3" xfId="24413"/>
    <cellStyle name="好_Creek EE BOM cost_20090425_Creek RFQ feedback 04_28_2009_FD Update_Leopard_UniBOM_ME_0602 2 4" xfId="24414"/>
    <cellStyle name="好_River EE BOM_Xl0000002_Leopard RFQ ME BOM Costs-0618-2_Bolt RFQ Proposal_Foxlink_ (Pricing Summary) 2 25 2011 4 3" xfId="24415"/>
    <cellStyle name="好_Creek EE BOM cost_20090425_Creek RFQ feedback 04_28_2009_FD Update_Leopard_UniBOM_ME_0602 3" xfId="24416"/>
    <cellStyle name="好_Creek EE BOM cost_20090425_Creek RFQ feedback 04_28_2009_FD Update_Leopard_UniBOM_ME_0602 3 2" xfId="24417"/>
    <cellStyle name="好_Creek EE BOM cost_20090425_Creek RFQ feedback 04_28_2009_FD Update_Leopard_UniBOM_ME_0602 3 3" xfId="24418"/>
    <cellStyle name="好_Creek EE BOM cost_20090425_Creek RFQ feedback 04_28_2009_FD Update_Leopard_UniBOM_ME_0602_Bolt RFQ Proposal_Foxlink_ (Pricing Summary) 2 25 2011 2" xfId="24419"/>
    <cellStyle name="好_Creek EE BOM cost_20090425_Creek RFQ feedback 04_28_2009_FD Update_Leopard_UniBOM_ME_0602_Bolt RFQ Proposal_Foxlink_ (Pricing Summary) 2 25 2011 2 2" xfId="24420"/>
    <cellStyle name="好_Creek EE BOM cost_20090425_Creek RFQ feedback 04_28_2009_FD Update_Leopard_UniBOM_ME_0602_Bolt RFQ Proposal_Foxlink_ (Pricing Summary) 2 25 2011 2 2 2" xfId="24421"/>
    <cellStyle name="好_Creek EE BOM cost_20090425_Creek RFQ feedback 04_28_2009_FD Update_Leopard_UniBOM_ME_0602_Bolt RFQ Proposal_Foxlink_ (Pricing Summary) 2 25 2011 2 2 3" xfId="24422"/>
    <cellStyle name="差_F3   SMT設備明細_jupite r設備&amp;治工具LIST (總)_pq_Jackson 效益分析 testing update_16th Jan1" xfId="24423"/>
    <cellStyle name="好_Creek EE BOM cost_20090425_Creek RFQ feedback 04_28_2009_FD Update_Leopard_UniBOM_ME_0602_Bolt RFQ Proposal_Foxlink_ (Pricing Summary) 2 25 2011 2 4" xfId="24424"/>
    <cellStyle name="好_River EE BOM_Creak Pearl Reliability Fixture RFQ_2009 04 24_Squirrel RFQ ME BOM Costs-0623_Bolt RFQ Proposal_Foxlink_ (Pricing Summary) 2 25 2011 2" xfId="24425"/>
    <cellStyle name="好_Creek EE BOM cost_20090425_Creek RFQ feedback 04_28_2009_FD Update_Leopard_UniBOM_ME_0602_Bolt RFQ Proposal_Foxlink_ (Pricing Summary) 2 25 2011 3" xfId="24426"/>
    <cellStyle name="好_River EE BOM_Creak Pearl Reliability Fixture RFQ_2009 04 24_Squirrel RFQ ME BOM Costs-0623_Bolt RFQ Proposal_Foxlink_ (Pricing Summary) 2 25 2011 2 3" xfId="24427"/>
    <cellStyle name="好_Creek EE BOM cost_20090425_Creek RFQ feedback 04_28_2009_FD Update_Leopard_UniBOM_ME_0602_Bolt RFQ Proposal_Foxlink_ (Pricing Summary) 2 25 2011 3 3" xfId="24428"/>
    <cellStyle name="好_River EE BOM_Creak Pearl Reliability Fixture RFQ_2009 04 24_Squirrel RFQ ME BOM Costs-0623_Bolt RFQ Proposal_Foxlink_ (Pricing Summary) 2 25 2011 3" xfId="24429"/>
    <cellStyle name="好_Creek EE BOM cost_20090425_Creek RFQ feedback 04_28_2009_FD Update_Leopard_UniBOM_ME_0602_Bolt RFQ Proposal_Foxlink_ (Pricing Summary) 2 25 2011 4" xfId="24430"/>
    <cellStyle name="好_River EE BOM_Creak Pearl Reliability Fixture RFQ_2009 04 24_Squirrel RFQ ME BOM Costs-0623_Bolt RFQ Proposal_Foxlink_ (Pricing Summary) 2 25 2011 4" xfId="24431"/>
    <cellStyle name="好_Creek EE BOM cost_20090425_Leopard Lemur Squirrel UniBom-06.22.2010_EE cost _update_internal_Bolt RFQ_Foxlink_03.1 2011 2" xfId="24432"/>
    <cellStyle name="好_Creek EE BOM cost_20090425_Creek RFQ feedback 04_28_2009_FD Update_Leopard_UniBOM_ME_0602_Bolt RFQ Proposal_Foxlink_ (Pricing Summary) 2 25 2011 5" xfId="24433"/>
    <cellStyle name="好_River EE BOM_Creak Pearl Reliability Fixture RFQ_2009 04 24_Squirrel RFQ ME BOM Costs-0623_Bolt RFQ Proposal_Foxlink_ (Pricing Summary) 2 25 2011 4 2" xfId="24434"/>
    <cellStyle name="好_River EE BOM_Creak Pearl Reliability Fixture RFQ_2009 04 24_Leopard_UniBOM_ME_0602-1_Bolt RFQ_Foxlink_03.1 2011 3 3" xfId="24435"/>
    <cellStyle name="好_Creek EE BOM cost_20090425_Leopard Lemur Squirrel UniBom-06.22.2010_EE cost _update_internal_Bolt RFQ_Foxlink_03.1 2011 2 2" xfId="24436"/>
    <cellStyle name="好_Creek EE BOM cost_20090425_Creek RFQ feedback 04_28_2009_FD Update_Leopard_UniBOM_ME_0602_Bolt RFQ Proposal_Foxlink_ (Pricing Summary) 2 25 2011 5 2" xfId="24437"/>
    <cellStyle name="好_River EE BOM_Creak Pearl Reliability Fixture RFQ_2009 04 24_Squirrel RFQ ME BOM Costs-0623_Bolt RFQ Proposal_Foxlink_ (Pricing Summary) 2 25 2011 4 3" xfId="24438"/>
    <cellStyle name="好_Creek EE BOM cost_20090425_Leopard Lemur Squirrel UniBom-06.22.2010_EE cost _update_internal_Bolt RFQ_Foxlink_03.1 2011 2 3" xfId="24439"/>
    <cellStyle name="好_Creek EE BOM cost_20090425_Creek RFQ feedback 04_28_2009_FD Update_Leopard_UniBOM_ME_0602_Bolt RFQ Proposal_Foxlink_ (Pricing Summary) 2 25 2011 5 3" xfId="24440"/>
    <cellStyle name="好_River EE BOM_Creak Pearl Reliability Fixture RFQ_2009 04 24_Squirrel RFQ ME BOM Costs-0623_Bolt RFQ Proposal_Foxlink_ (Pricing Summary) 2 25 2011 5" xfId="24441"/>
    <cellStyle name="好_Creek EE BOM cost_20090425_Leopard Lemur Squirrel UniBom-06.22.2010_EE cost _update_internal_Bolt RFQ_Foxlink_03.1 2011 3" xfId="24442"/>
    <cellStyle name="好_Creek EE BOM cost_20090425_Creek RFQ feedback 04_28_2009_FD Update_Leopard_UniBOM_ME_0602_Bolt RFQ Proposal_Foxlink_ (Pricing Summary) 2 25 2011 6" xfId="24443"/>
    <cellStyle name="好_River EE BOM_Creak Pearl Reliability Fixture RFQ_2009 04 24_Squirrel RFQ ME BOM Costs-0623_Bolt RFQ Proposal_Foxlink_ (Pricing Summary) 2 25 2011 6" xfId="24444"/>
    <cellStyle name="好_Creek EE BOM cost_20090425_Leopard Lemur Squirrel UniBom-06.22.2010_EE cost _update_internal_Bolt RFQ_Foxlink_03.1 2011 4" xfId="24445"/>
    <cellStyle name="好_Creek EE BOM cost_20090425_Creek RFQ feedback 04_28_2009_FD Update_Leopard_UniBOM_ME_0602_Bolt RFQ Proposal_Foxlink_ (Pricing Summary) 2 25 2011 7" xfId="24446"/>
    <cellStyle name="好_Creek EE BOM cost_20090425_Creek RFQ feedback 04_28_2009_FD Update_Leopard_UniBOM_ME_0602_Bolt RFQ_Foxlink_03.1 2011" xfId="24447"/>
    <cellStyle name="差_jupite r設備&amp;治工具LIST (總)_Dallas效益分析&amp;投資回收期 (12-2 A1)_Flow chart and Fixture(1-4)_Jackson 效益分析 (2-1 B0 上系統)_Leopard效益分析08-17" xfId="24448"/>
    <cellStyle name="好_Creek EE BOM cost_20090425_Creek RFQ feedback 04_28_2009_FD Update_Leopard_UniBOM_ME_0602_Bolt RFQ_Foxlink_03.1 2011 2 2" xfId="24449"/>
    <cellStyle name="好_Creek EE BOM cost_20090425_Creek RFQ feedback 04_28_2009_FD Update_Leopard_UniBOM_ME_0602_Bolt RFQ_Foxlink_03.1 2011 2 3" xfId="24450"/>
    <cellStyle name="好_Creek EE BOM cost_20090425_Creek RFQ feedback 04_28_2009_FD Update_Leopard_UniBOM_ME_0602_Bolt RFQ_Foxlink_03.1 2011 3" xfId="24451"/>
    <cellStyle name="好_Creek EE BOM cost_20090425_Creek RFQ feedback 04_28_2009_FD Update_Leopard_UniBOM_ME_0602_Bolt RFQ_Foxlink_03.1 2011 3 2" xfId="24452"/>
    <cellStyle name="好_Creek EE BOM cost_20090425_Creek RFQ feedback 04_28_2009_FD Update_Leopard_UniBOM_ME_0602_Bolt RFQ_Foxlink_03.1 2011 3 3" xfId="24453"/>
    <cellStyle name="好_Creek EE BOM cost_20090425_Creek RFQ feedback 04_28_2009_FD Update_Leopard_UniBOM_ME_0602_Bolt RFQ_Foxlink_03.1 2011 4" xfId="24454"/>
    <cellStyle name="差_Creak Pearl Reliability Fixture RFQ_2009 04 24_Creek RFQ feedback 04_28_2009_FD Update_Squirrel UniBom_Foxlink_6 28 2010" xfId="24455"/>
    <cellStyle name="好_Creek EE BOM cost_20090425_Creek RFQ feedback 04_28_2009_FD Update_Leopard_UniBOM_ME_0602-1" xfId="24456"/>
    <cellStyle name="好_Creek EE BOM cost_20090425_Creek RFQ feedback 04_28_2009_FD Update_Leopard_UniBOM_ME_0602-1_Bolt RFQ_Foxlink_03.1 2011 3 3" xfId="24457"/>
    <cellStyle name="好_Creek EE BOM cost_20090425_Creek RFQ feedback 04_28_2009_FD Update_Leopard_UniBOM_ME_0602-1 2" xfId="24458"/>
    <cellStyle name="好_Creek EE BOM cost_20090425_Creek RFQ feedback 04_28_2009_FD Update_Leopard_UniBOM_ME_0602-1 2 2 2" xfId="24459"/>
    <cellStyle name="好_Creek EE BOM cost_20090425_Creek RFQ feedback 04_28_2009_FD Update_Leopard_UniBOM_ME_0602-1 2 3" xfId="24460"/>
    <cellStyle name="好_Creek EE BOM cost_20090425_Creek RFQ feedback 04_28_2009_FD Update_Leopard_UniBOM_ME_0602-1 2 4" xfId="24461"/>
    <cellStyle name="差_Creak Pearl Reliability Fixture RFQ_2009 04 24_Creek RFQ feedback 04_28_2009_FD Update_Leopard RFQ ME BOM Costs-0618-2 3 2" xfId="24462"/>
    <cellStyle name="好_Creek EE BOM cost_20090425_Creek RFQ feedback 04_28_2009_FD Update_Leopard_UniBOM_ME_0602-1 3" xfId="24463"/>
    <cellStyle name="差_jupite r設備&amp;治工具LIST (總)_Flow Chart&amp;設備治工具清單 _Jackson 效益分析 (2-1 B0 上系統)_squirrel效益分析08-17" xfId="24464"/>
    <cellStyle name="好_Creek EE BOM cost_20090425_Creek RFQ feedback 04_28_2009_FD Update_Leopard_UniBOM_ME_0602-1 3 2" xfId="24465"/>
    <cellStyle name="好_Creek EE BOM cost_20090425_Creek RFQ feedback 04_28_2009_FD Update_Leopard_UniBOM_ME_0602-1 3 3" xfId="24466"/>
    <cellStyle name="差_HP Mouse 產能評估(Forecast更改後)_M1 Lemur Capacity planFixtureEquipment Cost_A2_06192010_Leopard UniBom_Foxlink_12092010 RevD-jen" xfId="24467"/>
    <cellStyle name="好_River EE BOM_Creek RFQ feedback 04_28_2009_FD Update_Foxlink_Shadow RFQ NREUni BOM_12032009_Bolt RFQ_Foxlink_03.1 2011 4" xfId="24468"/>
    <cellStyle name="好_Creek EE BOM cost_20090425_Creek RFQ feedback 04_28_2009_FD Update_Leopard_UniBOM_ME_0602-1_Bolt RFQ Proposal_Foxlink_ (Pricing Summary) 2 25 2011" xfId="24469"/>
    <cellStyle name="好_Creek EE BOM cost_20090425_Creek RFQ feedback 04_28_2009_FD Update_Leopard_UniBOM_ME_0602-1_Bolt RFQ Proposal_Foxlink_ (Pricing Summary) 2 25 2011 2" xfId="24470"/>
    <cellStyle name="好_Creek EE BOM cost_20090425_Creek RFQ feedback 04_28_2009_FD Update_Leopard_UniBOM_ME_0602-1_Bolt RFQ Proposal_Foxlink_ (Pricing Summary) 2 25 2011 2 2" xfId="24471"/>
    <cellStyle name="好_Creek EE BOM cost_20090425_Creek RFQ feedback 04_28_2009_FD Update_Leopard_UniBOM_ME_0602-1_Bolt RFQ Proposal_Foxlink_ (Pricing Summary) 2 25 2011 2 2 2" xfId="24472"/>
    <cellStyle name="差_Xl0000000_Foxlink_Shadow RFQ NREUni BOM_12032009_Bolt RFQ Proposal_Foxlink_ (Pricing Summary) 2 25 2011 2 3" xfId="24473"/>
    <cellStyle name="差_Creak Pearl Reliability Fixture RFQ_2009 04 24_Leopard RFQ ME BOM Costs-0618-2_Bolt RFQ Proposal_Foxlink_ (Pricing Summary) 2 25 2011 2" xfId="24474"/>
    <cellStyle name="好_Creek EE BOM cost_20090425_Creek RFQ feedback 04_28_2009_FD Update_Leopard_UniBOM_ME_0602-1_Bolt RFQ Proposal_Foxlink_ (Pricing Summary) 2 25 2011 2 4" xfId="24475"/>
    <cellStyle name="好_River EE BOM_Xl0000002_Leopard RFQ ME BOM Costs-0618_Bolt RFQ_Foxlink_03.1 2011_nego meeting@MACH 2" xfId="24476"/>
    <cellStyle name="好_Creek EE BOM cost_20090425_Creek RFQ feedback 04_28_2009_FD Update_Leopard_UniBOM_ME_0602-1_Bolt RFQ Proposal_Foxlink_ (Pricing Summary) 2 25 2011 3" xfId="24477"/>
    <cellStyle name="好_River EE BOM_Xl0000002_Leopard RFQ ME BOM Costs-0618_Bolt RFQ_Foxlink_03.1 2011_nego meeting@MACH 2 2" xfId="24478"/>
    <cellStyle name="好_Creek EE BOM cost_20090425_Creek RFQ feedback 04_28_2009_FD Update_Leopard_UniBOM_ME_0602-1_Bolt RFQ Proposal_Foxlink_ (Pricing Summary) 2 25 2011 3 2" xfId="24479"/>
    <cellStyle name="好_River EE BOM_Xl0000002_Leopard RFQ ME BOM Costs-0618_Bolt RFQ_Foxlink_03.1 2011_nego meeting@MACH 3 2" xfId="24480"/>
    <cellStyle name="好_Creek EE BOM cost_20090425_Creek RFQ feedback 04_28_2009_FD Update_Leopard_UniBOM_ME_0602-1_Bolt RFQ Proposal_Foxlink_ (Pricing Summary) 2 25 2011 4 2" xfId="24481"/>
    <cellStyle name="好_Creek EE BOM cost_20090425_Creek RFQ feedback 04_28_2009_FD Update_Leopard_UniBOM_ME_0602-1_Bolt RFQ Proposal_Foxlink_ (Pricing Summary) 2 25 2011 5 2" xfId="24482"/>
    <cellStyle name="差_Xl0000000_Foxlink_Shadow RFQ NREUni BOM_12032009_Bolt RFQ Proposal_Foxlink_ (Pricing Summary) 2 25 2011 5 2" xfId="24483"/>
    <cellStyle name="好_Creek EE BOM cost_20090425_Creek RFQ feedback 04_28_2009_FD Update_Leopard_UniBOM_ME_0602-1_Bolt RFQ Proposal_Foxlink_ (Pricing Summary) 2 25 2011 5 3" xfId="24484"/>
    <cellStyle name="好_Creek EE BOM cost_20090425_Creek RFQ feedback 04_28_2009_FD Update_Leopard_UniBOM_ME_0602-1_Bolt RFQ Proposal_Foxlink_ (Pricing Summary) 2 25 2011 7" xfId="24485"/>
    <cellStyle name="好_River EE BOM_Creak Pearl Reliability Fixture RFQ_2009 04 24_Creek  Pearl RFQ_May 12_Leopard RFQ ME BOM Costs-0618-2 3 2" xfId="24486"/>
    <cellStyle name="好_Creek EE BOM cost_20090425_Creek RFQ feedback 04_28_2009_FD Update_Leopard_UniBOM_ME_0602-1_Bolt RFQ_Foxlink_03.1 2011 2" xfId="24487"/>
    <cellStyle name="好_River EE BOM_Xl0000000_Squirrel UniBom-06.23.2010_update_internal_Bolt RFQ_Foxlink_03.1 2011_nego meeting@MACH 2 3" xfId="24488"/>
    <cellStyle name="好_Creek EE BOM cost_20090425_Creek RFQ feedback 04_28_2009_FD Update_Leopard_UniBOM_ME_0602-1_Bolt RFQ_Foxlink_03.1 2011 2 2" xfId="24489"/>
    <cellStyle name="好_Creek EE BOM cost_20090425_Creek RFQ feedback 04_28_2009_FD Update_Leopard_UniBOM_ME_0602-1_Bolt RFQ_Foxlink_03.1 2011 4" xfId="24490"/>
    <cellStyle name="好_Creek EE BOM cost_20090425_Creek RFQ feedback 04_28_2009_FD Update_Leopard_UniBOM_ME_0602-1_Bolt RFQ_Foxlink_03.1 2011 5" xfId="24491"/>
    <cellStyle name="好_Creek EE BOM cost_20090425_Creek RFQ feedback 04_28_2009_FD Update_Leopard_UniBOM_ME_0602-1_Bolt RFQ_Foxlink_03.1 2011_nego meeting@MACH" xfId="24492"/>
    <cellStyle name="好_Creek EE BOM cost_20090425_Creek RFQ feedback 04_28_2009_FD Update_Leopard_UniBOM_ME_0602-1_Bolt RFQ_Foxlink_03.1 2011_nego meeting@MACH 2" xfId="24493"/>
    <cellStyle name="好_Creek EE BOM cost_20090425_Creek RFQ feedback 04_28_2009_FD Update_Leopard_UniBOM_ME_0602-1_Bolt RFQ_Foxlink_03.1 2011_nego meeting@MACH 2 3" xfId="24494"/>
    <cellStyle name="好_Creek EE BOM cost_20090425_Creek RFQ feedback 04_28_2009_FD Update_Leopard_UniBOM_ME_0602-1_Bolt RFQ_Foxlink_03.1 2011_nego meeting@MACH 3" xfId="24495"/>
    <cellStyle name="好_Creek EE BOM cost_20090425_Creek RFQ feedback 04_28_2009_FD Update_Leopard_UniBOM_ME_0602-1_Bolt RFQ_Foxlink_03.1 2011_nego meeting@MACH 3 2" xfId="24496"/>
    <cellStyle name="好_Creek EE BOM cost_20090425_Creek RFQ feedback 04_28_2009_FD Update_Leopard_UniBOM_ME_0602-1_Bolt RFQ_Foxlink_03.1 2011_nego meeting@MACH 3 3" xfId="24497"/>
    <cellStyle name="好_Creek EE BOM cost_20090425_Creek RFQ feedback 04_28_2009_FD Update_Leopard_UniBOM_ME_0602-1_Bolt RFQ_Foxlink_03.1 2011_nego meeting@MACH 5" xfId="24498"/>
    <cellStyle name="好_Creek EE BOM cost_20090425_Creek RFQ feedback 04_28_2009_FD Update_Leopard_UniBOM_ME_0603-2 2" xfId="24499"/>
    <cellStyle name="好_River EE BOM_Creek RFQ feedback 04_28_2009_FD Update_Squirrel UniBom-06.23.2010_update_internal_Bolt RFQ Proposal_Foxlink_ (Pricing Summary) 2 25 2011 2" xfId="24500"/>
    <cellStyle name="好_Creek EE BOM cost_20090425_Creek RFQ feedback 04_28_2009_FD Update_Leopard_UniBOM_ME_0603-2 2 2" xfId="24501"/>
    <cellStyle name="好_River EE BOM_Creek RFQ feedback 04_28_2009_FD Update_Squirrel UniBom-06.23.2010_update_internal_Bolt RFQ Proposal_Foxlink_ (Pricing Summary) 2 25 2011 2 2" xfId="24502"/>
    <cellStyle name="好_Creek EE BOM cost_20090425_Creek RFQ feedback 04_28_2009_FD Update_Leopard_UniBOM_ME_0603-2 2 2 2" xfId="24503"/>
    <cellStyle name="好_River EE BOM_Creek RFQ feedback 04_28_2009_FD Update_Squirrel UniBom-06.23.2010_update_internal_Bolt RFQ Proposal_Foxlink_ (Pricing Summary) 2 25 2011 2 2 2" xfId="24504"/>
    <cellStyle name="好_Creek EE BOM cost_20090425_Creek RFQ feedback 04_28_2009_FD Update_Leopard_UniBOM_ME_0603-2 2 2 3" xfId="24505"/>
    <cellStyle name="好_River EE BOM_Creek RFQ feedback 04_28_2009_FD Update_Squirrel UniBom-06.23.2010_update_internal_Bolt RFQ Proposal_Foxlink_ (Pricing Summary) 2 25 2011 2 2 3" xfId="24506"/>
    <cellStyle name="好_Creek EE BOM cost_20090425_Creek RFQ feedback 04_28_2009_FD Update_Leopard_UniBOM_ME_0603-2 2 4" xfId="24507"/>
    <cellStyle name="好_River EE BOM_Creek RFQ feedback 04_28_2009_FD Update_Squirrel UniBom-06.23.2010_update_internal_Bolt RFQ Proposal_Foxlink_ (Pricing Summary) 2 25 2011 2 4" xfId="24508"/>
    <cellStyle name="好_Creek EE BOM cost_20090425_Creek RFQ feedback 04_28_2009_FD Update_Leopard_UniBOM_ME_0603-2 3" xfId="24509"/>
    <cellStyle name="好_River EE BOM_Creek RFQ feedback 04_28_2009_FD Update_Squirrel UniBom-06.23.2010_update_internal_Bolt RFQ Proposal_Foxlink_ (Pricing Summary) 2 25 2011 3" xfId="24510"/>
    <cellStyle name="差_F3   SMT設備明細_Erie 效益分析 (Update)_Flow chart and Fixture(Jackson)_A1_Jackson 效益分析 (2-1 B0 上系統)_Leopard效益分析08-17" xfId="24511"/>
    <cellStyle name="好_Creek EE BOM cost_20090425_Creek RFQ feedback 04_28_2009_FD Update_Leopard_UniBOM_ME_0603-2 3 2" xfId="24512"/>
    <cellStyle name="好_River EE BOM_Creek RFQ feedback 04_28_2009_FD Update_Squirrel UniBom-06.23.2010_update_internal_Bolt RFQ Proposal_Foxlink_ (Pricing Summary) 2 25 2011 3 2" xfId="24513"/>
    <cellStyle name="好_Creek EE BOM cost_20090425_Creek RFQ feedback 04_28_2009_FD Update_Leopard_UniBOM_ME_0603-2_Bolt RFQ Proposal_Foxlink_ (Pricing Summary) 2 25 2011" xfId="24514"/>
    <cellStyle name="好_Creek EE BOM cost_20090425_Creek RFQ feedback 04_28_2009_FD Update_Leopard_UniBOM_ME_0603-2_Bolt RFQ Proposal_Foxlink_ (Pricing Summary) 2 25 2011 2" xfId="24515"/>
    <cellStyle name="好_Creek EE BOM cost_20090425_Creek RFQ feedback 04_28_2009_FD Update_Leopard_UniBOM_ME_0603-2_Bolt RFQ Proposal_Foxlink_ (Pricing Summary) 2 25 2011 2 2" xfId="24516"/>
    <cellStyle name="差_jupite r設備&amp;治工具LIST (總)_flow chart 2009.12.12_效益分析(總 12-28 Update)_Jackson 效益分析 (2-1 B0 上系統)_Leopard效益分析08-17" xfId="24517"/>
    <cellStyle name="好_Creek EE BOM cost_20090425_Creek RFQ feedback 04_28_2009_FD Update_Leopard_UniBOM_ME_0603-2_Bolt RFQ Proposal_Foxlink_ (Pricing Summary) 2 25 2011 2 2 2" xfId="24518"/>
    <cellStyle name="好_Creek EE BOM cost_20090425_Creek RFQ feedback 04_28_2009_FD Update_Leopard_UniBOM_ME_0603-2_Bolt RFQ Proposal_Foxlink_ (Pricing Summary) 2 25 2011 2 4" xfId="24519"/>
    <cellStyle name="好_Creek EE BOM cost_20090425_Creek RFQ feedback 04_28_2009_FD Update_Leopard_UniBOM_ME_0603-2_Bolt RFQ Proposal_Foxlink_ (Pricing Summary) 2 25 2011 3" xfId="24520"/>
    <cellStyle name="好_Creek EE BOM cost_20090425_Creek RFQ feedback 04_28_2009_FD Update_Leopard_UniBOM_ME_0603-2_Bolt RFQ Proposal_Foxlink_ (Pricing Summary) 2 25 2011 3 3" xfId="24521"/>
    <cellStyle name="好_Creek EE BOM cost_20090425_Creek RFQ feedback 04_28_2009_FD Update_Leopard_UniBOM_ME_0603-2_Bolt RFQ Proposal_Foxlink_ (Pricing Summary) 2 25 2011 5 2" xfId="24522"/>
    <cellStyle name="好_Creek EE BOM cost_20090425_Creek RFQ feedback 04_28_2009_FD Update_Leopard_UniBOM_ME_0603-2_Bolt RFQ Proposal_Foxlink_ (Pricing Summary) 2 25 2011 5 3" xfId="24523"/>
    <cellStyle name="好_Creek EE BOM cost_20090425_Creek RFQ feedback 04_28_2009_FD Update_Leopard_UniBOM_ME_0603-2_Bolt RFQ Proposal_Foxlink_ (Pricing Summary) 2 25 2011 6" xfId="24524"/>
    <cellStyle name="好_效益分析&amp;產能評估" xfId="24525"/>
    <cellStyle name="好_Creek EE BOM cost_20090425_Creek RFQ feedback 04_28_2009_FD Update_Leopard_UniBOM_ME_0603-2_Bolt RFQ Proposal_Foxlink_ (Pricing Summary) 2 25 2011 7" xfId="24526"/>
    <cellStyle name="好_Creek EE BOM cost_20090425_Creek RFQ feedback 04_28_2009_FD Update_Leopard_UniBOM_ME_0603-2_Bolt RFQ_Foxlink_03.1 2011" xfId="24527"/>
    <cellStyle name="好_Creek EE BOM cost_20090425_Creek RFQ feedback 04_28_2009_FD Update_Leopard_UniBOM_ME_0603-2_Bolt RFQ_Foxlink_03.1 2011 2" xfId="24528"/>
    <cellStyle name="好_River EE BOM_Creak Pearl Reliability Fixture RFQ_2009 04 24_Creek  Pearl RFQ_May 12_Foxlink_Shadow RFQ NREUni BOM_12032009_Bolt RFQ_Foxlink_03.1 2011 5" xfId="24529"/>
    <cellStyle name="差_HP  專案(設備&amp;治工具需夠買)update_M1 SuedeFixtureEquipment Cost_A0_2010_10_15 5" xfId="24530"/>
    <cellStyle name="好_Creek EE BOM cost_20090425_Creek RFQ feedback 04_28_2009_FD Update_Leopard_UniBOM_ME_0603-2_Bolt RFQ_Foxlink_03.1 2011 3 2" xfId="24531"/>
    <cellStyle name="好_Creek EE BOM cost_20090425_Creek RFQ feedback 04_28_2009_FD Update_Leopard_UniBOM_ME_0603-2_Bolt RFQ_Foxlink_03.1 2011 3 3" xfId="24532"/>
    <cellStyle name="好_Creek EE BOM cost_20090425_Creek RFQ feedback 04_28_2009_FD Update_Leopard_UniBOM_ME_0603-2_Bolt RFQ_Foxlink_03.1 2011 5" xfId="24533"/>
    <cellStyle name="好_Creek EE BOM cost_20090425_Creek RFQ feedback 04_28_2009_FD Update_Leopard_UniBOM_ME_0603-2_Bolt RFQ_Foxlink_03.1 2011_nego meeting@MACH" xfId="24534"/>
    <cellStyle name="好_Creek EE BOM cost_20090425_Creek RFQ feedback 04_28_2009_FD Update_Leopard_UniBOM_ME_0603-2_Bolt RFQ_Foxlink_03.1 2011_nego meeting@MACH 2" xfId="24535"/>
    <cellStyle name="好_Creek EE BOM cost_20090425_Creek RFQ feedback 04_28_2009_FD Update_Leopard_UniBOM_ME_0603-2_Bolt RFQ_Foxlink_03.1 2011_nego meeting@MACH 2 2" xfId="24536"/>
    <cellStyle name="好_Creek EE BOM cost_20090425_Creek RFQ feedback 04_28_2009_FD Update_Leopard_UniBOM_ME_0603-2_Bolt RFQ_Foxlink_03.1 2011_nego meeting@MACH 2 3" xfId="24537"/>
    <cellStyle name="好_Creek EE BOM cost_20090425_Creek RFQ feedback 04_28_2009_FD Update_Leopard_UniBOM_ME_0603-2_Bolt RFQ_Foxlink_03.1 2011_nego meeting@MACH 3" xfId="24538"/>
    <cellStyle name="好_Creek EE BOM cost_20090425_Creek RFQ feedback 04_28_2009_FD Update_Leopard_UniBOM_ME_0603-2_Bolt RFQ_Foxlink_03.1 2011_nego meeting@MACH 3 2" xfId="24539"/>
    <cellStyle name="好_Creek EE BOM cost_20090425_Creek RFQ feedback 04_28_2009_FD Update_Leopard_UniBOM_ME_0603-2_Bolt RFQ_Foxlink_03.1 2011_nego meeting@MACH 3 3" xfId="24540"/>
    <cellStyle name="好_Creek EE BOM cost_20090425_Creek RFQ feedback 04_28_2009_FD Update_Squirrel RFQ ME BOM Costs-0623 2 2" xfId="24541"/>
    <cellStyle name="好_Creek EE BOM cost_20090425_Creek RFQ feedback 04_28_2009_FD Update_Squirrel RFQ ME BOM Costs-0623 2 2 2" xfId="24542"/>
    <cellStyle name="好_Creek EE BOM cost_20090425_Creek RFQ feedback 04_28_2009_FD Update_Squirrel RFQ ME BOM Costs-0623 2 4" xfId="24543"/>
    <cellStyle name="好_Creek EE BOM cost_20090425_Creek RFQ feedback 04_28_2009_FD Update_Squirrel RFQ ME BOM Costs-0623 3" xfId="24544"/>
    <cellStyle name="好_Creek EE BOM cost_20090425_Creek RFQ feedback 04_28_2009_FD Update_Squirrel RFQ ME BOM Costs-0623_Bolt RFQ Proposal_Foxlink_ (Pricing Summary) 2 25 2011 2" xfId="24545"/>
    <cellStyle name="好_Creek EE BOM cost_20090425_Creek RFQ feedback 04_28_2009_FD Update_Squirrel RFQ ME BOM Costs-0623_Bolt RFQ Proposal_Foxlink_ (Pricing Summary) 2 25 2011 2 2" xfId="24546"/>
    <cellStyle name="好_Creek EE BOM cost_20090425_Creek RFQ feedback 04_28_2009_FD Update_Squirrel RFQ ME BOM Costs-0623_Bolt RFQ Proposal_Foxlink_ (Pricing Summary) 2 25 2011 2 2 2" xfId="24547"/>
    <cellStyle name="好_Creek EE BOM cost_20090425_Creek RFQ feedback 04_28_2009_FD Update_Squirrel RFQ ME BOM Costs-0623_Bolt RFQ Proposal_Foxlink_ (Pricing Summary) 2 25 2011 2 2 3" xfId="24548"/>
    <cellStyle name="好_Creek EE BOM cost_20090425_Creek RFQ feedback 04_28_2009_FD Update_Squirrel RFQ ME BOM Costs-0623_Bolt RFQ Proposal_Foxlink_ (Pricing Summary) 2 25 2011 2 3" xfId="24549"/>
    <cellStyle name="好_Creek EE BOM cost_20090425_Creek RFQ feedback 04_28_2009_FD Update_Squirrel RFQ ME BOM Costs-0623_Bolt RFQ Proposal_Foxlink_ (Pricing Summary) 2 25 2011 2 4" xfId="24550"/>
    <cellStyle name="好_Creek EE BOM cost_20090425_Creek RFQ feedback 04_28_2009_FD Update_Squirrel RFQ ME BOM Costs-0623_Bolt RFQ Proposal_Foxlink_ (Pricing Summary) 2 25 2011 3 2" xfId="24551"/>
    <cellStyle name="好_Creek EE BOM cost_20090425_Creek RFQ feedback 04_28_2009_FD Update_Squirrel RFQ ME BOM Costs-0623_Bolt RFQ Proposal_Foxlink_ (Pricing Summary) 2 25 2011 3 3" xfId="24552"/>
    <cellStyle name="好_Creek EE BOM cost_20090425_Creek RFQ feedback 04_28_2009_FD Update_Squirrel RFQ ME BOM Costs-0623_Bolt RFQ Proposal_Foxlink_ (Pricing Summary) 2 25 2011 4" xfId="24553"/>
    <cellStyle name="差_F3   SMT設備明細_jupite r設備&amp;治工具LIST (總)_Flow Chart(shadow)-b (1-4 Update)_~1159284" xfId="24554"/>
    <cellStyle name="好_Creek EE BOM cost_20090425_Creek RFQ feedback 04_28_2009_FD Update_Squirrel RFQ ME BOM Costs-0623_Bolt RFQ Proposal_Foxlink_ (Pricing Summary) 2 25 2011 4 2" xfId="24555"/>
    <cellStyle name="好_Creek EE BOM cost_20090425_Creek RFQ feedback 04_28_2009_FD Update_Squirrel RFQ ME BOM Costs-0623_Bolt RFQ Proposal_Foxlink_ (Pricing Summary) 2 25 2011 5" xfId="24556"/>
    <cellStyle name="好_River EE BOM_Xl0000002_Leopard Lemur Squirrel UniBom-06.22.2010_EE cost _update_internal_Bolt RFQ_Foxlink_03.1 2011 3 2" xfId="24557"/>
    <cellStyle name="差_Jackson 效益分析 (2-1 B0 上系統)_squirrel效益分析08-17" xfId="24558"/>
    <cellStyle name="好_Creek EE BOM cost_20090425_Creek RFQ feedback 04_28_2009_FD Update_Squirrel RFQ ME BOM Costs-0623_Bolt RFQ Proposal_Foxlink_ (Pricing Summary) 2 25 2011 5 2" xfId="24559"/>
    <cellStyle name="好_Creek EE BOM cost_20090425_Creek RFQ feedback 04_28_2009_FD Update_Squirrel RFQ ME BOM Costs-0623_Bolt RFQ Proposal_Foxlink_ (Pricing Summary) 2 25 2011 6" xfId="24560"/>
    <cellStyle name="好_River EE BOM_Xl0000002_Leopard Lemur Squirrel UniBom-06.22.2010_EE cost _update_internal_Bolt RFQ_Foxlink_03.1 2011 3 3" xfId="24561"/>
    <cellStyle name="好_Creek EE BOM cost_20090425_Creek RFQ feedback 04_28_2009_FD Update_Squirrel RFQ ME BOM Costs-0623_Bolt RFQ Proposal_Foxlink_ (Pricing Summary) 2 25 2011 7" xfId="24562"/>
    <cellStyle name="好_Creek EE BOM cost_20090425_Creek RFQ feedback 04_28_2009_FD Update_Squirrel RFQ ME BOM Costs-0623_Bolt RFQ_Foxlink_03.1 2011" xfId="24563"/>
    <cellStyle name="好_Creek EE BOM cost_20090425_Creek RFQ feedback 04_28_2009_FD Update_Squirrel RFQ ME BOM Costs-0623_Bolt RFQ_Foxlink_03.1 2011 2" xfId="24564"/>
    <cellStyle name="好_Creek EE BOM cost_20090425_Creek RFQ feedback 04_28_2009_FD Update_Squirrel RFQ ME BOM Costs-0623_Bolt RFQ_Foxlink_03.1 2011 2 3" xfId="24565"/>
    <cellStyle name="好_Creek EE BOM cost_20090425_Creek RFQ feedback 04_28_2009_FD Update_Squirrel RFQ ME BOM Costs-0623_Bolt RFQ_Foxlink_03.1 2011 3" xfId="24566"/>
    <cellStyle name="好_Creek EE BOM cost_20090425_Creek RFQ feedback 04_28_2009_FD Update_Squirrel RFQ ME BOM Costs-0623_Bolt RFQ_Foxlink_03.1 2011 3 3" xfId="24567"/>
    <cellStyle name="好_Creek EE BOM cost_20090425_Creek RFQ feedback 04_28_2009_FD Update_Squirrel RFQ ME BOM Costs-0623_Bolt RFQ_Foxlink_03.1 2011 4" xfId="24568"/>
    <cellStyle name="好_Creek EE BOM cost_20090425_Creek RFQ feedback 04_28_2009_FD Update_Squirrel RFQ ME BOM Costs-0623_Bolt RFQ_Foxlink_03.1 2011_nego meeting@MACH" xfId="24569"/>
    <cellStyle name="差_Creak Pearl Reliability Fixture RFQ_2009 04 24_Creek  Pearl RFQ_May 12_Leopard RFQ ME BOM Costs-0618-2_Bolt RFQ_Foxlink_03.1 2011_nego meeting@MACH 5" xfId="24570"/>
    <cellStyle name="好_Creek EE BOM cost_20090425_Creek RFQ feedback 04_28_2009_FD Update_Squirrel RFQ ME BOM Costs-0623_Bolt RFQ_Foxlink_03.1 2011_nego meeting@MACH 2" xfId="24571"/>
    <cellStyle name="好_Creek EE BOM cost_20090425_Creek RFQ feedback 04_28_2009_FD Update_Squirrel RFQ ME BOM Costs-0623_Bolt RFQ_Foxlink_03.1 2011_nego meeting@MACH 2 3" xfId="24572"/>
    <cellStyle name="好_Creek EE BOM cost_20090425_Creek RFQ feedback 04_28_2009_FD Update_Squirrel RFQ ME BOM Costs-0623_Bolt RFQ_Foxlink_03.1 2011_nego meeting@MACH 3" xfId="24573"/>
    <cellStyle name="好_Creek EE BOM cost_20090425_Creek RFQ feedback 04_28_2009_FD Update_Squirrel RFQ ME BOM Costs-0623_Bolt RFQ_Foxlink_03.1 2011_nego meeting@MACH 4" xfId="24574"/>
    <cellStyle name="好_Creek EE BOM cost_20090425_Creek RFQ feedback 04_28_2009_FD Update_Squirrel RFQ ME BOM Costs-0623_Bolt RFQ_Foxlink_03.1 2011_nego meeting@MACH 5" xfId="24575"/>
    <cellStyle name="好_Creek EE BOM cost_20090425_Creek RFQ feedback 04_28_2009_FD Update_Squirrel UniBom_Foxlink_7.27.2010" xfId="24576"/>
    <cellStyle name="好_River EE BOM_Squirrel UniBom-06.23.2010_update_internal_Bolt RFQ Proposal_Foxlink_ (Pricing Summary) 2 25 2011 5 3" xfId="24577"/>
    <cellStyle name="好_Creek EE BOM cost_20090425_Creek RFQ feedback 04_28_2009_FD Update_Squirrel UniBom-06 23 2010_update_internal" xfId="24578"/>
    <cellStyle name="差_效益分析&amp;產能評估_M1 SuedeFixtureEquipment Cost_A0_2010_10_15 2 4" xfId="24579"/>
    <cellStyle name="差_MB9月管審換線超時8d 2 2 4" xfId="24580"/>
    <cellStyle name="好_Creek EE BOM cost_20090425_Creek RFQ feedback 04_28_2009_FD Update_Squirrel UniBom-06.23.2010_update_internal" xfId="24581"/>
    <cellStyle name="好_Creek EE BOM cost_20090425_Creek RFQ feedback 04_28_2009_FD Update_Squirrel UniBom-06.23.2010_update_internal 2 2" xfId="24582"/>
    <cellStyle name="好_Creek EE BOM cost_20090425_Creek RFQ feedback 04_28_2009_FD Update_Squirrel UniBom-06.23.2010_update_internal 2 3" xfId="24583"/>
    <cellStyle name="差_dallas產能評估_Dallas效益分析&amp;投資回收期 (12-2 A1)_Jackson 效益分析 (2-1 B0 上系統)" xfId="24584"/>
    <cellStyle name="差_Creek RFQ feedback 04_28_2009_FD Update_Lemur RFQ ME BOM Costs-0623" xfId="24585"/>
    <cellStyle name="好_Creek EE BOM cost_20090425_Creek RFQ feedback 04_28_2009_FD Update_Squirrel UniBom-06.23.2010_update_internal_Bolt RFQ Proposal_Foxlink_ (Pricing Summary) 2 25 2011" xfId="24586"/>
    <cellStyle name="好_Creek EE BOM cost_20090425_Creek RFQ feedback 04_28_2009_FD Update_Squirrel UniBom-06.23.2010_update_internal_Bolt RFQ Proposal_Foxlink_ (Pricing Summary) 2 25 2011 2" xfId="24587"/>
    <cellStyle name="好_Creek EE BOM cost_20090425_Creek RFQ feedback 04_28_2009_FD Update_Squirrel UniBom-06.23.2010_update_internal_Bolt RFQ Proposal_Foxlink_ (Pricing Summary) 2 25 2011 2 2 2" xfId="24588"/>
    <cellStyle name="好_Creek EE BOM cost_20090425_Creek RFQ feedback 04_28_2009_FD Update_Squirrel UniBom-06.23.2010_update_internal_Bolt RFQ Proposal_Foxlink_ (Pricing Summary) 2 25 2011 2 2 3" xfId="24589"/>
    <cellStyle name="好_Creek EE BOM cost_20090425_Creek RFQ feedback 04_28_2009_FD Update_Squirrel UniBom-06.23.2010_update_internal_Bolt RFQ Proposal_Foxlink_ (Pricing Summary) 2 25 2011 2 3" xfId="24590"/>
    <cellStyle name="好_Creek EE BOM cost_20090425_Creek RFQ feedback 04_28_2009_FD Update_Squirrel UniBom-06.23.2010_update_internal_Bolt RFQ Proposal_Foxlink_ (Pricing Summary) 2 25 2011 4 2" xfId="24591"/>
    <cellStyle name="好_Creek EE BOM cost_20090425_Creek RFQ feedback 04_28_2009_FD Update_Squirrel UniBom-06.23.2010_update_internal_Bolt RFQ Proposal_Foxlink_ (Pricing Summary) 2 25 2011 4 3" xfId="24592"/>
    <cellStyle name="好_Creek EE BOM cost_20090425_Creek RFQ feedback 04_28_2009_FD Update_Squirrel UniBom-06.23.2010_update_internal_Bolt RFQ Proposal_Foxlink_ (Pricing Summary) 2 25 2011 5 2" xfId="24593"/>
    <cellStyle name="好_Creek EE BOM cost_20090425_Creek RFQ feedback 04_28_2009_FD Update_Squirrel UniBom-06.23.2010_update_internal_Bolt RFQ_Foxlink_03.1 2011" xfId="24594"/>
    <cellStyle name="好_Creek EE BOM cost_20090425_Creek RFQ feedback 04_28_2009_FD Update_Squirrel UniBom-06.23.2010_update_internal_Bolt RFQ_Foxlink_03.1 2011 2 2" xfId="24595"/>
    <cellStyle name="好_Creek EE BOM cost_20090425_Creek RFQ feedback 04_28_2009_FD Update_Squirrel UniBom-06.23.2010_update_internal_Bolt RFQ_Foxlink_03.1 2011 2 3" xfId="24596"/>
    <cellStyle name="好_Creek EE BOM cost_20090425_Creek RFQ feedback 04_28_2009_FD Update_Squirrel UniBom-06.23.2010_update_internal_Bolt RFQ_Foxlink_03.1 2011 3" xfId="24597"/>
    <cellStyle name="好_Creek EE BOM cost_20090425_Creek RFQ feedback 04_28_2009_FD Update_Squirrel UniBom-06.23.2010_update_internal_Bolt RFQ_Foxlink_03.1 2011_nego meeting@MACH" xfId="24598"/>
    <cellStyle name="好_Creek EE BOM cost_20090425_Creek RFQ feedback 04_28_2009_FD Update_Squirrel UniBom-06.23.2010_update_internal_Bolt RFQ_Foxlink_03.1 2011_nego meeting@MACH 2 3" xfId="24599"/>
    <cellStyle name="好_River EE BOM_Xl0000002_Leopard_UniBOM_ME_0602" xfId="24600"/>
    <cellStyle name="好_River EE BOM_Creek RFQ feedback 04_28_2009_FD Update_Leopard_UniBOM_ME_0603-2_Bolt RFQ_Foxlink_03.1 2011_nego meeting@MACH 5" xfId="24601"/>
    <cellStyle name="好_Creek EE BOM cost_20090425_Creek RFQ feedback 04_28_2009_FD Update_Squirrel UniBom-06.23.2010_update_internal_Bolt RFQ_Foxlink_03.1 2011_nego meeting@MACH 3" xfId="24602"/>
    <cellStyle name="好_Creek EE BOM cost_20090425_Creek RFQ feedback 04_28_2009_FD Update_Squirrel UniBom-06.23.2010_update_internal_Bolt RFQ_Foxlink_03.1 2011_nego meeting@MACH 4" xfId="24603"/>
    <cellStyle name="好_Creek EE BOM cost_20090425_Foxlink_Shadow RFQ NREUni BOM_12032009" xfId="24604"/>
    <cellStyle name="好_Creek EE BOM cost_20090425_Foxlink_Shadow RFQ NREUni BOM_12032009 2" xfId="24605"/>
    <cellStyle name="差_jupite r設備&amp;治工具LIST (總)_Dallas flow chart&amp;設備&amp;治工具清單(12-8 A0)_Flow chart and Fixture(1-4)_Jackson 效益分析 (2-1 B0 上系統)_Leopard效益分析08-17" xfId="24606"/>
    <cellStyle name="好_Creek EE BOM cost_20090425_Foxlink_Shadow RFQ NREUni BOM_12032009 2 2" xfId="24607"/>
    <cellStyle name="好_治具工程課2009年KPI_HP 6 2" xfId="24608"/>
    <cellStyle name="好_Creek EE BOM cost_20090425_Foxlink_Shadow RFQ NREUni BOM_12032009 2 2 3" xfId="24609"/>
    <cellStyle name="好_Creek EE BOM cost_20090425_Foxlink_Shadow RFQ NREUni BOM_12032009 2 4" xfId="24610"/>
    <cellStyle name="好_Creek EE BOM cost_20090425_Foxlink_Shadow RFQ NREUni BOM_12032009 3" xfId="24611"/>
    <cellStyle name="好_Creek EE BOM cost_20090425_Foxlink_Shadow RFQ NREUni BOM_12032009 3 2" xfId="24612"/>
    <cellStyle name="差_Xl0000000_Leopard UniBom_Foxlink_6 21 2010-ME_nego 2 2 3" xfId="24613"/>
    <cellStyle name="好_Creek EE BOM cost_20090425_Foxlink_Shadow RFQ NREUni BOM_12032009 3 3" xfId="24614"/>
    <cellStyle name="好_Creek EE BOM cost_20090425_Foxlink_Shadow RFQ NREUni BOM_12032009_Bolt RFQ Proposal_Foxlink_ (Pricing Summary) 2 25 2011" xfId="24615"/>
    <cellStyle name="好_Creek EE BOM cost_20090425_Foxlink_Shadow RFQ NREUni BOM_12032009_Bolt RFQ Proposal_Foxlink_ (Pricing Summary) 2 25 2011 2" xfId="24616"/>
    <cellStyle name="好_Creek EE BOM cost_20090425_Leopard_UniBOM_ME_0602_Bolt RFQ_Foxlink_03.1 2011_nego meeting@MACH 2" xfId="24617"/>
    <cellStyle name="好_Creek EE BOM cost_20090425_Foxlink_Shadow RFQ NREUni BOM_12032009_Bolt RFQ Proposal_Foxlink_ (Pricing Summary) 2 25 2011 2 4" xfId="24618"/>
    <cellStyle name="好_Creek EE BOM cost_20090425_Foxlink_Shadow RFQ NREUni BOM_12032009_Bolt RFQ Proposal_Foxlink_ (Pricing Summary) 2 25 2011 3" xfId="24619"/>
    <cellStyle name="好_Creek EE BOM cost_20090425_Foxlink_Shadow RFQ NREUni BOM_12032009_Bolt RFQ Proposal_Foxlink_ (Pricing Summary) 2 25 2011 3 2" xfId="24620"/>
    <cellStyle name="好_Creek EE BOM cost_20090425_Foxlink_Shadow RFQ NREUni BOM_12032009_Bolt RFQ Proposal_Foxlink_ (Pricing Summary) 2 25 2011 3 3" xfId="24621"/>
    <cellStyle name="好_Creek EE BOM cost_20090425_Foxlink_Shadow RFQ NREUni BOM_12032009_Bolt RFQ Proposal_Foxlink_ (Pricing Summary) 2 25 2011 4" xfId="24622"/>
    <cellStyle name="好_Creek EE BOM cost_20090425_Foxlink_Shadow RFQ NREUni BOM_12032009_Bolt RFQ Proposal_Foxlink_ (Pricing Summary) 2 25 2011 4 3" xfId="24623"/>
    <cellStyle name="好_Creek EE BOM cost_20090425_Foxlink_Shadow RFQ NREUni BOM_12032009_Bolt RFQ Proposal_Foxlink_ (Pricing Summary) 2 25 2011 5 2" xfId="24624"/>
    <cellStyle name="好_Creek EE BOM cost_20090425_Foxlink_Shadow RFQ NREUni BOM_12032009_Bolt RFQ Proposal_Foxlink_ (Pricing Summary) 2 25 2011 5 3" xfId="24625"/>
    <cellStyle name="好_River EE BOM_Creek RFQ feedback 04_28_2009_FD Update_Leopard RFQ ME BOM Costs-0618-2_Bolt RFQ Proposal_Foxlink_ (Pricing Summary) 2 25 2011 2 2" xfId="24626"/>
    <cellStyle name="好_Creek EE BOM cost_20090425_Foxlink_Shadow RFQ NREUni BOM_12032009_Bolt RFQ_Foxlink_03.1 2011 3" xfId="24627"/>
    <cellStyle name="差_Flow Chart&amp;PQ分析(12-1)_Flow chart and Fixture(1-4)_Jackson 效益分析 (2-1 B0 上系統)_squirrel效益分析08-17" xfId="24628"/>
    <cellStyle name="好_River EE BOM_Creek RFQ feedback 04_28_2009_FD Update_Leopard RFQ ME BOM Costs-0618-2_Bolt RFQ Proposal_Foxlink_ (Pricing Summary) 2 25 2011 2 2 2" xfId="24629"/>
    <cellStyle name="好_Creek EE BOM cost_20090425_Foxlink_Shadow RFQ NREUni BOM_12032009_Bolt RFQ_Foxlink_03.1 2011 3 2" xfId="24630"/>
    <cellStyle name="差_HP Mouse 產能評估(Forecast更改後)_Bolt RFQ_Foxlink_03.1 2011 2" xfId="24631"/>
    <cellStyle name="好_River EE BOM_Creek RFQ feedback 04_28_2009_FD Update_Leopard RFQ ME BOM Costs-0618-2_Bolt RFQ Proposal_Foxlink_ (Pricing Summary) 2 25 2011 2 2 3" xfId="24632"/>
    <cellStyle name="好_Creek EE BOM cost_20090425_Foxlink_Shadow RFQ NREUni BOM_12032009_Bolt RFQ_Foxlink_03.1 2011 3 3" xfId="24633"/>
    <cellStyle name="好_River EE BOM_Creek RFQ feedback 04_28_2009_FD Update_Leopard RFQ ME BOM Costs-0618-2_Bolt RFQ Proposal_Foxlink_ (Pricing Summary) 2 25 2011 2 3" xfId="24634"/>
    <cellStyle name="好_Creek EE BOM cost_20090425_Foxlink_Shadow RFQ NREUni BOM_12032009_Bolt RFQ_Foxlink_03.1 2011 4" xfId="24635"/>
    <cellStyle name="好_River EE BOM_Creek RFQ feedback 04_28_2009_FD Update_Leopard RFQ ME BOM Costs-0618-2_Bolt RFQ Proposal_Foxlink_ (Pricing Summary) 2 25 2011 2 4" xfId="24636"/>
    <cellStyle name="好_Creek EE BOM cost_20090425_Foxlink_Shadow RFQ NREUni BOM_12032009_Bolt RFQ_Foxlink_03.1 2011 5" xfId="24637"/>
    <cellStyle name="差_pq_Jackson 效益分析 testing update_16th Jan1_Jackson 效益分析 (2-1 B0 上系統)_Leopard效益分析08-17" xfId="24638"/>
    <cellStyle name="好_Creek EE BOM cost_20090425_Foxlink_Shadow RFQ NREUni BOM_12032009_Bolt RFQ_Foxlink_03.1 2011_nego meeting@MACH 2" xfId="24639"/>
    <cellStyle name="好_River EE BOM_Xl0000000_Leopard_UniBOM_ME_0602_Bolt RFQ_Foxlink_03.1 2011_nego meeting@MACH 2 3" xfId="24640"/>
    <cellStyle name="好_Creek EE BOM cost_20090425_Foxlink_Shadow RFQ NREUni BOM_12032009_Bolt RFQ_Foxlink_03.1 2011_nego meeting@MACH 2 2" xfId="24641"/>
    <cellStyle name="好_Creek EE BOM cost_20090425_Foxlink_Shadow RFQ NREUni BOM_12032009_Bolt RFQ_Foxlink_03.1 2011_nego meeting@MACH 2 3" xfId="24642"/>
    <cellStyle name="好_Creek EE BOM cost_20090425_Foxlink_Shadow RFQ NREUni BOM_12032009_Bolt RFQ_Foxlink_03.1 2011_nego meeting@MACH 3" xfId="24643"/>
    <cellStyle name="好_Creek EE BOM cost_20090425_Foxlink_Shadow RFQ NREUni BOM_12032009_Bolt RFQ_Foxlink_03.1 2011_nego meeting@MACH 3 3" xfId="24644"/>
    <cellStyle name="好_Creek EE BOM cost_20090425_Foxlink_Shadow RFQ NREUni BOM_12032009_Bolt RFQ_Foxlink_03.1 2011_nego meeting@MACH 5" xfId="24645"/>
    <cellStyle name="好_River EE BOM_Creak Pearl Reliability Fixture RFQ_2009 04 24_Pearl RFQ(Submittal)ver2_05_12_2009 _Leopard UniBom_Foxlink_6 21 2010-ME_nego_Bolt RFQ_Foxlink_03.1 2011 3 3" xfId="24646"/>
    <cellStyle name="差_Xl0000002_Leopard_UniBOM_ME_0603-2 2" xfId="24647"/>
    <cellStyle name="好_Creek EE BOM cost_20090425_Jackson and Shadow BOM cost_mainfile_2010 0324 rev.1_Bristol UniBom_Foxlink_02082011 RevA" xfId="24648"/>
    <cellStyle name="差_Flow Chart&amp;PQ分析(12-1)_Jackson 效益分析 (2-1 B0 上系統)_Leopard效益分析08-17" xfId="24649"/>
    <cellStyle name="好_Creek EE BOM cost_20090425_Jackson and Shadow BOM cost_mainfile_2010 0324 rev.1_Leopard UniBom_Foxlink_12092010 RevD-jen" xfId="24650"/>
    <cellStyle name="好_Creek EE BOM cost_20090425_Jackson and Shadow BOM cost_mainfile_2010 0324 rev.1_Leopard UniBom_Foxlink_12272010 RevF_shirley" xfId="24651"/>
    <cellStyle name="差_Creak Pearl Reliability Fixture RFQ_2009 04 24_Bolt RFQ Proposal_Foxlink_ (Pricing Summary) 2 25 2011 7" xfId="24652"/>
    <cellStyle name="好_Creek EE BOM cost_20090425_Leopard Lemur Squirrel UniBom-06.22.2010_EE cost _update_internal" xfId="24653"/>
    <cellStyle name="好_Creek EE BOM cost_20090425_Leopard Lemur Squirrel UniBom-06.22.2010_EE cost _update_internal 2" xfId="24654"/>
    <cellStyle name="好_River EE BOM_Xl0000000_Foxlink_Shadow RFQ NREUni BOM_12032009_Bolt RFQ_Foxlink_03.1 2011_nego meeting@MACH 3 3" xfId="24655"/>
    <cellStyle name="好_Creek EE BOM cost_20090425_Leopard Lemur Squirrel UniBom-06.22.2010_EE cost _update_internal 2 2" xfId="24656"/>
    <cellStyle name="好_Creek EE BOM cost_20090425_Leopard Lemur Squirrel UniBom-06.22.2010_EE cost _update_internal 2 2 2" xfId="24657"/>
    <cellStyle name="好_Creek EE BOM cost_20090425_Leopard Lemur Squirrel UniBom-06.22.2010_EE cost _update_internal 2 2 3" xfId="24658"/>
    <cellStyle name="好_Creek EE BOM cost_20090425_Leopard Lemur Squirrel UniBom-06.22.2010_EE cost _update_internal 2 4" xfId="24659"/>
    <cellStyle name="好_Creek EE BOM cost_20090425_Leopard Lemur Squirrel UniBom-06.22.2010_EE cost _update_internal 3" xfId="24660"/>
    <cellStyle name="好_Creek EE BOM cost_20090425_Leopard Lemur Squirrel UniBom-06.22.2010_EE cost _update_internal 3 2" xfId="24661"/>
    <cellStyle name="好_Creek EE BOM cost_20090425_Leopard Lemur Squirrel UniBom-06.22.2010_EE cost _update_internal_Bolt RFQ Proposal_Foxlink_ (Pricing Summary) 2 25 2011 2 4" xfId="24662"/>
    <cellStyle name="好_Creek EE BOM cost_20090425_Leopard Lemur Squirrel UniBom-06.22.2010_EE cost _update_internal_Bolt RFQ Proposal_Foxlink_ (Pricing Summary) 2 25 2011 3" xfId="24663"/>
    <cellStyle name="好_Creek EE BOM cost_20090425_Leopard Lemur Squirrel UniBom-06.22.2010_EE cost _update_internal_Bolt RFQ Proposal_Foxlink_ (Pricing Summary) 2 25 2011 3 2" xfId="24664"/>
    <cellStyle name="好_Creek EE BOM cost_20090425_Leopard Lemur Squirrel UniBom-06.22.2010_EE cost _update_internal_Bolt RFQ Proposal_Foxlink_ (Pricing Summary) 2 25 2011 3 3" xfId="24665"/>
    <cellStyle name="好_Creek EE BOM cost_20090425_Leopard UniBom_Foxlink_6 21 2010-ME_nego 2 4" xfId="24666"/>
    <cellStyle name="好_Creek EE BOM cost_20090425_Leopard Lemur Squirrel UniBom-06.22.2010_EE cost _update_internal_Bolt RFQ Proposal_Foxlink_ (Pricing Summary) 2 25 2011 4 2" xfId="24667"/>
    <cellStyle name="好_Creek EE BOM cost_20090425_Leopard Lemur Squirrel UniBom-06.22.2010_EE cost _update_internal_Bolt RFQ Proposal_Foxlink_ (Pricing Summary) 2 25 2011 4 3" xfId="24668"/>
    <cellStyle name="好_Creek EE BOM cost_20090425_Leopard Lemur Squirrel UniBom-06.22.2010_EE cost _update_internal_Bolt RFQ Proposal_Foxlink_ (Pricing Summary) 2 25 2011 5 2" xfId="24669"/>
    <cellStyle name="好_效益分析&amp;產能評估_M1 Bolt wireless mouse FixtureEquipment Cost_A2_2010_12_07_Bolt RFQ Proposal_Foxlink_ (Pricing Summary) 2 25 2011 6" xfId="24670"/>
    <cellStyle name="差_Creak Pearl Reliability Fixture RFQ_2009 04 24_Creek RFQ feedback 04_28_2009_FD Update_Leopard UniBom_true cost_6.23.2010" xfId="24671"/>
    <cellStyle name="好_Creek EE BOM cost_20090425_Leopard Lemur Squirrel UniBom-06.22.2010_EE cost _update_internal_Bolt RFQ Proposal_Foxlink_ (Pricing Summary) 2 25 2011 5 3" xfId="24672"/>
    <cellStyle name="好_效益分析&amp;產能評估_M1 Bolt wireless mouse FixtureEquipment Cost_A2_2010_12_07_Bolt RFQ Proposal_Foxlink_ (Pricing Summary) 2 25 2011 7" xfId="24673"/>
    <cellStyle name="好_Creek EE BOM cost_20090425_Leopard Lemur Squirrel UniBom-06.22.2010_EE cost _update_internal_Bolt RFQ Proposal_Foxlink_ (Pricing Summary) 2 25 2011 6" xfId="24674"/>
    <cellStyle name="差_F3   SMT設備明細_jupite r設備&amp;治工具LIST (總)_Dallas flow chart&amp;設備&amp;治工具清單(12-8 A0)_Jackson 效益分析 testing update_16th Jan1_Jackson 效益分析 (2-1 B0 上系統)_squirrel效益分析08-17" xfId="24675"/>
    <cellStyle name="好_Creek EE BOM cost_20090425_Leopard Lemur Squirrel UniBom-06.22.2010_EE cost _update_internal_Bolt RFQ Proposal_Foxlink_ (Pricing Summary) 2 25 2011 7" xfId="24676"/>
    <cellStyle name="好_River EE BOM_Creak Pearl Reliability Fixture RFQ_2009 04 24_Squirrel RFQ ME BOM Costs-0623_Bolt RFQ Proposal_Foxlink_ (Pricing Summary) 2 25 2011 5 2" xfId="24677"/>
    <cellStyle name="好_Creek EE BOM cost_20090425_Leopard Lemur Squirrel UniBom-06.22.2010_EE cost _update_internal_Bolt RFQ_Foxlink_03.1 2011 3 2" xfId="24678"/>
    <cellStyle name="好_River EE BOM_Creak Pearl Reliability Fixture RFQ_2009 04 24_Squirrel RFQ ME BOM Costs-0623_Bolt RFQ Proposal_Foxlink_ (Pricing Summary) 2 25 2011 5 3" xfId="24679"/>
    <cellStyle name="好_Creek EE BOM cost_20090425_Leopard Lemur Squirrel UniBom-06.22.2010_EE cost _update_internal_Bolt RFQ_Foxlink_03.1 2011 3 3" xfId="24680"/>
    <cellStyle name="好_River EE BOM_Creak Pearl Reliability Fixture RFQ_2009 04 24_Squirrel RFQ ME BOM Costs-0623_Bolt RFQ Proposal_Foxlink_ (Pricing Summary) 2 25 2011 7" xfId="24681"/>
    <cellStyle name="好_Creek EE BOM cost_20090425_Leopard Lemur Squirrel UniBom-06.22.2010_EE cost _update_internal_Bolt RFQ_Foxlink_03.1 2011 5" xfId="24682"/>
    <cellStyle name="好_Creek EE BOM cost_20090425_Leopard Lemur Squirrel UniBom-06.22.2010_EE cost _update_internal_Bolt RFQ_Foxlink_03.1 2011_nego meeting@MACH" xfId="24683"/>
    <cellStyle name="好_Creek EE BOM cost_20090425_Leopard Lemur Squirrel UniBom-06.22.2010_EE cost _update_internal_Bolt RFQ_Foxlink_03.1 2011_nego meeting@MACH 2" xfId="24684"/>
    <cellStyle name="好_Creek EE BOM cost_20090425_Leopard Lemur Squirrel UniBom-06.22.2010_EE cost _update_internal_Bolt RFQ_Foxlink_03.1 2011_nego meeting@MACH 2 2" xfId="24685"/>
    <cellStyle name="壞_Creek EE BOM cost_20090425_Creek RFQ feedback 04_28_2009_FD Update_Leopard UniBom_Foxlink_6 21 2010-ME_nego 4 2" xfId="24686"/>
    <cellStyle name="好_Creek EE BOM cost_20090425_Leopard Lemur Squirrel UniBom-06.22.2010_EE cost _update_internal_Bolt RFQ_Foxlink_03.1 2011_nego meeting@MACH 2 3" xfId="24687"/>
    <cellStyle name="好_Creek EE BOM cost_20090425_Leopard Lemur Squirrel UniBom-06.22.2010_EE cost _update_internal_Bolt RFQ_Foxlink_03.1 2011_nego meeting@MACH 3" xfId="24688"/>
    <cellStyle name="差_Creak Pearl Reliability Fixture RFQ_2009 04 24_Xl0000002_Leopard RFQ ME BOM Costs-0618-2_Bolt RFQ_Foxlink_03.1 2011 2 3" xfId="24689"/>
    <cellStyle name="好_Creek EE BOM cost_20090425_Leopard Lemur Squirrel UniBom-06.22.2010_EE cost _update_internal_Bolt RFQ_Foxlink_03.1 2011_nego meeting@MACH 3 2" xfId="24690"/>
    <cellStyle name="好_Creek EE BOM cost_20090425_Leopard Lemur Squirrel UniBom-06.22.2010_EE cost _update_internal_Bolt RFQ_Foxlink_03.1 2011_nego meeting@MACH 3 3" xfId="24691"/>
    <cellStyle name="好_Creek EE BOM cost_20090425_Leopard Lemur Squirrel UniBom-06.22.2010_EE cost _update_internal_Bolt RFQ_Foxlink_03.1 2011_nego meeting@MACH 4" xfId="24692"/>
    <cellStyle name="好_Creek EE BOM cost_20090425_Leopard RFQ ME BOM Costs-0618" xfId="24693"/>
    <cellStyle name="好_Creek EE BOM cost_20090425_Leopard RFQ ME BOM Costs-0623" xfId="24694"/>
    <cellStyle name="好_Creek EE BOM cost_20090425_Leopard RFQ ME BOM Costs-0618 2" xfId="24695"/>
    <cellStyle name="差_Creak Pearl Reliability Fixture RFQ_2009 04 24_Xl0000002_Squirrel RFQ ME BOM Costs-0623_Bolt RFQ Proposal_Foxlink_ (Pricing Summary) 2 25 2011" xfId="24696"/>
    <cellStyle name="好_Creek EE BOM cost_20090425_Leopard RFQ ME BOM Costs-0618 2 2" xfId="24697"/>
    <cellStyle name="差_Creak Pearl Reliability Fixture RFQ_2009 04 24_Xl0000002_Squirrel RFQ ME BOM Costs-0623_Bolt RFQ Proposal_Foxlink_ (Pricing Summary) 2 25 2011 2" xfId="24698"/>
    <cellStyle name="好_Creek EE BOM cost_20090425_Leopard RFQ ME BOM Costs-0618 2 2 2" xfId="24699"/>
    <cellStyle name="差_Creak Pearl Reliability Fixture RFQ_2009 04 24_Xl0000002_Squirrel RFQ ME BOM Costs-0623_Bolt RFQ Proposal_Foxlink_ (Pricing Summary) 2 25 2011 3" xfId="24700"/>
    <cellStyle name="好_Creek EE BOM cost_20090425_Leopard RFQ ME BOM Costs-0618 2 2 3" xfId="24701"/>
    <cellStyle name="好_Creek EE BOM cost_20090425_Leopard RFQ ME BOM Costs-0618 2 3" xfId="24702"/>
    <cellStyle name="好_Creek EE BOM cost_20090425_Leopard RFQ ME BOM Costs-0618 3 2" xfId="24703"/>
    <cellStyle name="差_RIO Trial run QA Report-7.21（SEA97217)_Dolce   QA Report 2010_0902" xfId="24704"/>
    <cellStyle name="好_Creek EE BOM cost_20090425_Leopard RFQ ME BOM Costs-0618_Bolt RFQ Proposal_Foxlink_ (Pricing Summary) 2 25 2011 2 2 3" xfId="24705"/>
    <cellStyle name="好_Creek EE BOM cost_20090425_Leopard RFQ ME BOM Costs-0618_Bolt RFQ Proposal_Foxlink_ (Pricing Summary) 2 25 2011 2 3" xfId="24706"/>
    <cellStyle name="好_Creek EE BOM cost_20090425_Leopard RFQ ME BOM Costs-0618_Bolt RFQ Proposal_Foxlink_ (Pricing Summary) 2 25 2011 2 4" xfId="24707"/>
    <cellStyle name="好_Creek EE BOM cost_20090425_Leopard RFQ ME BOM Costs-0618_Bolt RFQ Proposal_Foxlink_ (Pricing Summary) 2 25 2011 3 2" xfId="24708"/>
    <cellStyle name="好_Creek EE BOM cost_20090425_Leopard RFQ ME BOM Costs-0618_Bolt RFQ Proposal_Foxlink_ (Pricing Summary) 2 25 2011 3 3" xfId="24709"/>
    <cellStyle name="好_Creek EE BOM cost_20090425_Leopard RFQ ME BOM Costs-0618_Bolt RFQ Proposal_Foxlink_ (Pricing Summary) 2 25 2011 4" xfId="24710"/>
    <cellStyle name="好_Creek EE BOM cost_20090425_Leopard RFQ ME BOM Costs-0618_Bolt RFQ Proposal_Foxlink_ (Pricing Summary) 2 25 2011 4 3" xfId="24711"/>
    <cellStyle name="好_River EE BOM_Xl0000002_Leopard_UniBOM_ME_0531_Bolt RFQ_Foxlink_03.1 2011_nego meeting@MACH 5" xfId="24712"/>
    <cellStyle name="好_Creek EE BOM cost_20090425_Leopard RFQ ME BOM Costs-0618_Bolt RFQ Proposal_Foxlink_ (Pricing Summary) 2 25 2011 5 2" xfId="24713"/>
    <cellStyle name="好_Creek EE BOM cost_20090425_Leopard RFQ ME BOM Costs-0618_Bolt RFQ Proposal_Foxlink_ (Pricing Summary) 2 25 2011 5 3" xfId="24714"/>
    <cellStyle name="好_Creek EE BOM cost_20090425_Leopard RFQ ME BOM Costs-0618_Bolt RFQ_Foxlink_03.1 2011 2" xfId="24715"/>
    <cellStyle name="好_Creek EE BOM cost_20090425_Leopard RFQ ME BOM Costs-0618_Bolt RFQ_Foxlink_03.1 2011 3 2" xfId="24716"/>
    <cellStyle name="好_Creek EE BOM cost_20090425_Leopard RFQ ME BOM Costs-0618_Bolt RFQ_Foxlink_03.1 2011 3 3" xfId="24717"/>
    <cellStyle name="好_Creek EE BOM cost_20090425_Leopard RFQ ME BOM Costs-0618_Bolt RFQ_Foxlink_03.1 2011_nego meeting@MACH" xfId="24718"/>
    <cellStyle name="差_Creak Pearl Reliability Fixture RFQ_2009 04 24_Creek RFQ feedback 04_28_2009_FD Update_Leopard_UniBOM_ME_0531_Bolt RFQ Proposal_Foxlink_ (Pricing Summary) 2 25 2011 2 4" xfId="24719"/>
    <cellStyle name="好_River EE BOM_Creak Pearl Reliability Fixture RFQ_2009 04 24_Pearl RFQ(Submittal)ver2_05_12_2009 _Bolt RFQ Proposal_Foxlink_ (Pricing Summary) 2 25 2011 5" xfId="24720"/>
    <cellStyle name="好_Creek EE BOM cost_20090425_Leopard RFQ ME BOM Costs-0618_Bolt RFQ_Foxlink_03.1 2011_nego meeting@MACH 2" xfId="24721"/>
    <cellStyle name="好_River EE BOM_Creak Pearl Reliability Fixture RFQ_2009 04 24_Pearl RFQ(Submittal)ver2_05_12_2009 _Bolt RFQ Proposal_Foxlink_ (Pricing Summary) 2 25 2011 5 2" xfId="24722"/>
    <cellStyle name="好_Creek EE BOM cost_20090425_Leopard RFQ ME BOM Costs-0618_Bolt RFQ_Foxlink_03.1 2011_nego meeting@MACH 2 2" xfId="24723"/>
    <cellStyle name="好_River EE BOM_Creak Pearl Reliability Fixture RFQ_2009 04 24_Pearl RFQ(Submittal)ver2_05_12_2009 _Bolt RFQ Proposal_Foxlink_ (Pricing Summary) 2 25 2011 5 3" xfId="24724"/>
    <cellStyle name="好_Creek EE BOM cost_20090425_Leopard RFQ ME BOM Costs-0618_Bolt RFQ_Foxlink_03.1 2011_nego meeting@MACH 2 3" xfId="24725"/>
    <cellStyle name="好_Creek EE BOM cost_20090425_Leopard RFQ ME BOM Costs-0618_Bolt RFQ_Foxlink_03.1 2011_nego meeting@MACH 3 2" xfId="24726"/>
    <cellStyle name="好_Creek EE BOM cost_20090425_Leopard RFQ ME BOM Costs-0618_Bolt RFQ_Foxlink_03.1 2011_nego meeting@MACH 3 3" xfId="24727"/>
    <cellStyle name="好_River EE BOM_Creak Pearl Reliability Fixture RFQ_2009 04 24_Pearl RFQ(Submittal)ver2_05_12_2009 _Bolt RFQ Proposal_Foxlink_ (Pricing Summary) 2 25 2011 7" xfId="24728"/>
    <cellStyle name="好_Creek EE BOM cost_20090425_Leopard RFQ ME BOM Costs-0618_Bolt RFQ_Foxlink_03.1 2011_nego meeting@MACH 4" xfId="24729"/>
    <cellStyle name="好_Creek EE BOM cost_20090425_Leopard RFQ ME BOM Costs-0618_Bolt RFQ_Foxlink_03.1 2011_nego meeting@MACH 5" xfId="24730"/>
    <cellStyle name="好_Creek EE BOM cost_20090425_Leopard RFQ ME BOM Costs-0618-2" xfId="24731"/>
    <cellStyle name="差_F3   SMT設備明細_Erie 效益分析 (Update)_~5631336_Jackson 效益分析 (2-1 B0 上系統)_squirrel效益分析08-17" xfId="24732"/>
    <cellStyle name="好_Creek EE BOM cost_20090425_Leopard RFQ ME BOM Costs-0618-2 2" xfId="24733"/>
    <cellStyle name="好_Creek EE BOM cost_20090425_Leopard RFQ ME BOM Costs-0618-2 2 2" xfId="24734"/>
    <cellStyle name="好_Creek EE BOM cost_20090425_Leopard RFQ ME BOM Costs-0618-2 2 2 2" xfId="24735"/>
    <cellStyle name="好_Creek EE BOM cost_20090425_Leopard RFQ ME BOM Costs-0618-2 2 2 3" xfId="24736"/>
    <cellStyle name="好_Creek EE BOM cost_20090425_Leopard RFQ ME BOM Costs-0618-2 2 3" xfId="24737"/>
    <cellStyle name="好_Creek EE BOM cost_20090425_Leopard RFQ ME BOM Costs-0618-2 2 4" xfId="24738"/>
    <cellStyle name="差_Xl0000000_Bolt RFQ_Foxlink_03.1 2011 2 2" xfId="24739"/>
    <cellStyle name="好_Creek EE BOM cost_20090425_Leopard RFQ ME BOM Costs-0618-2 3" xfId="24740"/>
    <cellStyle name="好_River EE BOM_Creak Pearl Reliability Fixture RFQ_2009 04 24_Jackson and Shadow BOM cost_mainfile_2010 0324 rev.1_Bristol UniBom_Foxlink_02082011 RevA" xfId="24741"/>
    <cellStyle name="好_Creek EE BOM cost_20090425_Leopard RFQ ME BOM Costs-0618-2 3 2" xfId="24742"/>
    <cellStyle name="好_Creek EE BOM cost_20090425_Leopard RFQ ME BOM Costs-0618-2 3 3" xfId="24743"/>
    <cellStyle name="好_Creek EE BOM cost_20090425_Leopard RFQ ME BOM Costs-0618-2_Bolt RFQ Proposal_Foxlink_ (Pricing Summary) 2 25 2011" xfId="24744"/>
    <cellStyle name="好_Creek EE BOM cost_20090425_Leopard RFQ ME BOM Costs-0618-2_Bolt RFQ Proposal_Foxlink_ (Pricing Summary) 2 25 2011 2" xfId="24745"/>
    <cellStyle name="好_Creek EE BOM cost_20090425_Leopard RFQ ME BOM Costs-0618-2_Bolt RFQ Proposal_Foxlink_ (Pricing Summary) 2 25 2011 2 2" xfId="24746"/>
    <cellStyle name="好_Creek EE BOM cost_20090425_Leopard RFQ ME BOM Costs-0618-2_Bolt RFQ Proposal_Foxlink_ (Pricing Summary) 2 25 2011 2 2 2" xfId="24747"/>
    <cellStyle name="差_Xl0000002_Leopard_UniBOM_ME_0603-2_Bolt RFQ Proposal_Foxlink_ (Pricing Summary) 2 25 2011 5 2" xfId="24748"/>
    <cellStyle name="好_Creek EE BOM cost_20090425_Leopard RFQ ME BOM Costs-0618-2_Bolt RFQ Proposal_Foxlink_ (Pricing Summary) 2 25 2011 2 2 3" xfId="24749"/>
    <cellStyle name="好_Creek EE BOM cost_20090425_Leopard RFQ ME BOM Costs-0618-2_Bolt RFQ Proposal_Foxlink_ (Pricing Summary) 2 25 2011 2 3" xfId="24750"/>
    <cellStyle name="好_Creek EE BOM cost_20090425_Leopard RFQ ME BOM Costs-0618-2_Bolt RFQ Proposal_Foxlink_ (Pricing Summary) 2 25 2011 2 4" xfId="24751"/>
    <cellStyle name="好_Creek EE BOM cost_20090425_Leopard RFQ ME BOM Costs-0618-2_Bolt RFQ Proposal_Foxlink_ (Pricing Summary) 2 25 2011 3" xfId="24752"/>
    <cellStyle name="好_Creek EE BOM cost_20090425_Leopard RFQ ME BOM Costs-0618-2_Bolt RFQ Proposal_Foxlink_ (Pricing Summary) 2 25 2011 3 2" xfId="24753"/>
    <cellStyle name="好_Creek EE BOM cost_20090425_Leopard RFQ ME BOM Costs-0618-2_Bolt RFQ Proposal_Foxlink_ (Pricing Summary) 2 25 2011 3 3" xfId="24754"/>
    <cellStyle name="好_Creek EE BOM cost_20090425_Leopard RFQ ME BOM Costs-0618-2_Bolt RFQ Proposal_Foxlink_ (Pricing Summary) 2 25 2011 4 3" xfId="24755"/>
    <cellStyle name="好_Creek EE BOM cost_20090425_Leopard RFQ ME BOM Costs-0618-2_Bolt RFQ Proposal_Foxlink_ (Pricing Summary) 2 25 2011 5" xfId="24756"/>
    <cellStyle name="好_River EE BOM_Creek RFQ feedback 04_28_2009_FD Update_Leopard RFQ ME BOM Costs-0618_Bolt RFQ Proposal_Foxlink_ (Pricing Summary) 2 25 2011 4" xfId="24757"/>
    <cellStyle name="好_Creek EE BOM cost_20090425_Leopard RFQ ME BOM Costs-0618-2_Bolt RFQ Proposal_Foxlink_ (Pricing Summary) 2 25 2011 5 2" xfId="24758"/>
    <cellStyle name="好_River EE BOM_Creek RFQ feedback 04_28_2009_FD Update_Leopard RFQ ME BOM Costs-0618_Bolt RFQ Proposal_Foxlink_ (Pricing Summary) 2 25 2011 5" xfId="24759"/>
    <cellStyle name="好_Creek EE BOM cost_20090425_Leopard RFQ ME BOM Costs-0618-2_Bolt RFQ Proposal_Foxlink_ (Pricing Summary) 2 25 2011 5 3" xfId="24760"/>
    <cellStyle name="好_Creek EE BOM cost_20090425_Leopard RFQ ME BOM Costs-0618-2_Bolt RFQ Proposal_Foxlink_ (Pricing Summary) 2 25 2011 6" xfId="24761"/>
    <cellStyle name="好_Creek EE BOM cost_20090425_Leopard RFQ ME BOM Costs-0618-2_Bolt RFQ_Foxlink_03.1 2011 2 2" xfId="24762"/>
    <cellStyle name="好_Creek EE BOM cost_20090425_Leopard RFQ ME BOM Costs-0618-2_Bolt RFQ_Foxlink_03.1 2011 2 3" xfId="24763"/>
    <cellStyle name="好_Creek EE BOM cost_20090425_Leopard RFQ ME BOM Costs-0618-2_Bolt RFQ_Foxlink_03.1 2011 3" xfId="24764"/>
    <cellStyle name="好_River EE BOM_Creak Pearl Reliability Fixture RFQ_2009 04 24_Xl0000002_Leopard Lemur Squirrel UniBom-06.22.2010_EE cost _update_internal_Bolt RFQ_Foxlink_03.1 2011 2 3" xfId="24765"/>
    <cellStyle name="好_Creek EE BOM cost_20090425_Leopard RFQ ME BOM Costs-0618-2_Bolt RFQ_Foxlink_03.1 2011 3 2" xfId="24766"/>
    <cellStyle name="好_Creek EE BOM cost_20090425_Leopard RFQ ME BOM Costs-0618-2_Bolt RFQ_Foxlink_03.1 2011 4" xfId="24767"/>
    <cellStyle name="好_Creek EE BOM cost_20090425_Leopard RFQ ME BOM Costs-0618-2_Bolt RFQ_Foxlink_03.1 2011_nego meeting@MACH" xfId="24768"/>
    <cellStyle name="好_Creek EE BOM cost_20090425_Leopard RFQ ME BOM Costs-0618-2_Bolt RFQ_Foxlink_03.1 2011_nego meeting@MACH 2 2" xfId="24769"/>
    <cellStyle name="好_Creek EE BOM cost_20090425_Leopard RFQ ME BOM Costs-0618-2_Bolt RFQ_Foxlink_03.1 2011_nego meeting@MACH 2 3" xfId="24770"/>
    <cellStyle name="好_Creek EE BOM cost_20090425_Leopard RFQ ME BOM Costs-0618-2_Bolt RFQ_Foxlink_03.1 2011_nego meeting@MACH 3 2" xfId="24771"/>
    <cellStyle name="差_HP Mouse 產能評估(Forecast更改後)_Erie 效益分析 (Update)_效益分析(總 12-28 Update)_Jackson 效益分析 (2-1 B0 上系統)_Leopard Flowchart &amp; 產能評估" xfId="24772"/>
    <cellStyle name="好_Creek EE BOM cost_20090425_Leopard RFQ ME BOM Costs-0618-2_Bolt RFQ_Foxlink_03.1 2011_nego meeting@MACH 4" xfId="24773"/>
    <cellStyle name="好_Creek EE BOM cost_20090425_Leopard RFQ ME BOM Costs-0618-2_Bolt RFQ_Foxlink_03.1 2011_nego meeting@MACH 5" xfId="24774"/>
    <cellStyle name="好_Creek EE BOM cost_20090425_Leopard UniBom_Foxlink_12092010 RevD-jen" xfId="24775"/>
    <cellStyle name="好_Creek EE BOM cost_20090425_Leopard UniBom_Foxlink_12272010 RevF_shirley" xfId="24776"/>
    <cellStyle name="差_F3   SMT設備明細_M1 SuedeFixtureEquipment Cost_A0_2010_10_15_Wedge_ME_BOM-v00-11v0715" xfId="24777"/>
    <cellStyle name="好_Creek EE BOM cost_20090425_Leopard UniBom_Foxlink_6 21 2010-ME_nego 2 2 2" xfId="24778"/>
    <cellStyle name="好_Creek EE BOM cost_20090425_Leopard UniBom_Foxlink_6 21 2010-ME_nego 2 2 3" xfId="24779"/>
    <cellStyle name="好_Creek EE BOM cost_20090425_Leopard UniBom_Foxlink_6 21 2010-ME_nego 2 3" xfId="24780"/>
    <cellStyle name="好_效益分析&amp;產能評估_M1 Bolt wireless mouse FixtureEquipment Cost_A2_2010_12_07_Bolt RFQ Proposal_Foxlink_ (Pricing Summary) 2 25 2011 5" xfId="24781"/>
    <cellStyle name="好_Creek EE BOM cost_20090425_Leopard UniBom_Foxlink_6 21 2010-ME_nego 3 3" xfId="24782"/>
    <cellStyle name="差_Creak Pearl Reliability Fixture RFQ_2009 04 24_Creek RFQ feedback 04_28_2009_FD Update_Leopard RFQ ME BOM Costs-0618_Bolt RFQ_Foxlink_03.1 2011 2" xfId="24783"/>
    <cellStyle name="好_Creek EE BOM cost_20090425_Leopard UniBom_Foxlink_6 21 2010-ME_nego_Bolt RFQ Proposal_Foxlink_ (Pricing Summary) 2 25 2011 2" xfId="24784"/>
    <cellStyle name="差_Creak Pearl Reliability Fixture RFQ_2009 04 24_Creek RFQ feedback 04_28_2009_FD Update_Leopard RFQ ME BOM Costs-0618_Bolt RFQ_Foxlink_03.1 2011 2 2" xfId="24785"/>
    <cellStyle name="好_Creek EE BOM cost_20090425_Leopard UniBom_Foxlink_6 21 2010-ME_nego_Bolt RFQ Proposal_Foxlink_ (Pricing Summary) 2 25 2011 2 2" xfId="24786"/>
    <cellStyle name="好_Creek EE BOM cost_20090425_Leopard UniBom_Foxlink_6 21 2010-ME_nego_Bolt RFQ Proposal_Foxlink_ (Pricing Summary) 2 25 2011 3" xfId="24787"/>
    <cellStyle name="差_Creak Pearl Reliability Fixture RFQ_2009 04 24_Creek RFQ feedback 04_28_2009_FD Update_Leopard UniBom_Foxlink_6 21 2010-ME_nego_Bolt RFQ Proposal_Foxlink_ (Pricing Summary) 2 25 2011" xfId="24788"/>
    <cellStyle name="差_Creak Pearl Reliability Fixture RFQ_2009 04 24_Creek RFQ feedback 04_28_2009_FD Update_Leopard RFQ ME BOM Costs-0618_Bolt RFQ_Foxlink_03.1 2011 3" xfId="24789"/>
    <cellStyle name="差_dallas產能評估_Dallas效益分析&amp;投資回收期 (12-2 A1)_Jackson 效益分析 (2-1 B0 上系統)_Leopard Flowchart &amp; 產能評估" xfId="24790"/>
    <cellStyle name="好_Creek EE BOM cost_20090425_Leopard UniBom_Foxlink_6 21 2010-ME_nego_Bolt RFQ Proposal_Foxlink_ (Pricing Summary) 2 25 2011 3 2" xfId="24791"/>
    <cellStyle name="差_Creak Pearl Reliability Fixture RFQ_2009 04 24_Creek RFQ feedback 04_28_2009_FD Update_Leopard UniBom_Foxlink_6 21 2010-ME_nego_Bolt RFQ Proposal_Foxlink_ (Pricing Summary) 2 25 2011 2" xfId="24792"/>
    <cellStyle name="差_Creak Pearl Reliability Fixture RFQ_2009 04 24_Creek RFQ feedback 04_28_2009_FD Update_Leopard RFQ ME BOM Costs-0618_Bolt RFQ_Foxlink_03.1 2011 3 2" xfId="24793"/>
    <cellStyle name="好_Creek EE BOM cost_20090425_Leopard UniBom_Foxlink_6 21 2010-ME_nego_Bolt RFQ Proposal_Foxlink_ (Pricing Summary) 2 25 2011 3 3" xfId="24794"/>
    <cellStyle name="差_Creak Pearl Reliability Fixture RFQ_2009 04 24_Creek RFQ feedback 04_28_2009_FD Update_Leopard UniBom_Foxlink_6 21 2010-ME_nego_Bolt RFQ Proposal_Foxlink_ (Pricing Summary) 2 25 2011 3" xfId="24795"/>
    <cellStyle name="差_Creak Pearl Reliability Fixture RFQ_2009 04 24_Creek RFQ feedback 04_28_2009_FD Update_Leopard RFQ ME BOM Costs-0618_Bolt RFQ_Foxlink_03.1 2011 3 3" xfId="24796"/>
    <cellStyle name="差_Creak Pearl Reliability Fixture RFQ_2009 04 24_Creek RFQ feedback 04_28_2009_FD Update_Leopard RFQ ME BOM Costs-0618_Bolt RFQ_Foxlink_03.1 2011 4" xfId="24797"/>
    <cellStyle name="好_Creek EE BOM cost_20090425_Leopard UniBom_Foxlink_6 21 2010-ME_nego_Bolt RFQ Proposal_Foxlink_ (Pricing Summary) 2 25 2011 4" xfId="24798"/>
    <cellStyle name="好_Creek EE BOM cost_20090425_Leopard UniBom_Foxlink_6 21 2010-ME_nego_Bolt RFQ Proposal_Foxlink_ (Pricing Summary) 2 25 2011 4 2" xfId="24799"/>
    <cellStyle name="好_Creek EE BOM cost_20090425_Leopard UniBom_Foxlink_6 21 2010-ME_nego_Bolt RFQ Proposal_Foxlink_ (Pricing Summary) 2 25 2011 4 3" xfId="24800"/>
    <cellStyle name="差_HP  專案(設備&amp;治工具需夠買)update_M1 SuedeFixtureEquipment Cost_A0_2010_10_15_Bolt RFQ_Foxlink_03.1 2011_nego meeting@MACH" xfId="24801"/>
    <cellStyle name="差_Creak Pearl Reliability Fixture RFQ_2009 04 24_Creek RFQ feedback 04_28_2009_FD Update_Leopard RFQ ME BOM Costs-0618_Bolt RFQ_Foxlink_03.1 2011 5" xfId="24802"/>
    <cellStyle name="好_Creek EE BOM cost_20090425_Leopard UniBom_Foxlink_6 21 2010-ME_nego_Bolt RFQ Proposal_Foxlink_ (Pricing Summary) 2 25 2011 5" xfId="24803"/>
    <cellStyle name="差_HP  專案(設備&amp;治工具需夠買)update_M1 SuedeFixtureEquipment Cost_A0_2010_10_15_Bolt RFQ_Foxlink_03.1 2011_nego meeting@MACH 3" xfId="24804"/>
    <cellStyle name="好_Creek EE BOM cost_20090425_Leopard UniBom_Foxlink_6 21 2010-ME_nego_Bolt RFQ Proposal_Foxlink_ (Pricing Summary) 2 25 2011 5 3" xfId="24805"/>
    <cellStyle name="好_Creek EE BOM cost_20090425_Leopard UniBom_Foxlink_6 21 2010-ME_nego_Bolt RFQ Proposal_Foxlink_ (Pricing Summary) 2 25 2011 6" xfId="24806"/>
    <cellStyle name="好_Creek EE BOM cost_20090425_Leopard UniBom_Foxlink_6 21 2010-ME_nego_Bolt RFQ Proposal_Foxlink_ (Pricing Summary) 2 25 2011 7" xfId="24807"/>
    <cellStyle name="好_Creek EE BOM cost_20090425_Leopard UniBom_Foxlink_6 21 2010-ME_nego_Bolt RFQ_Foxlink_03.1 2011" xfId="24808"/>
    <cellStyle name="好_Creek EE BOM cost_20090425_Leopard UniBom_Foxlink_6 21 2010-ME_nego_Bolt RFQ_Foxlink_03.1 2011 2" xfId="24809"/>
    <cellStyle name="好_Creek EE BOM cost_20090425_Leopard UniBom_Foxlink_6 21 2010-ME_nego_Bolt RFQ_Foxlink_03.1 2011 2 2" xfId="24810"/>
    <cellStyle name="好_Creek EE BOM cost_20090425_Leopard UniBom_Foxlink_6 21 2010-ME_nego_Bolt RFQ_Foxlink_03.1 2011 3" xfId="24811"/>
    <cellStyle name="好_Creek EE BOM cost_20090425_Leopard UniBom_Foxlink_6 21 2010-ME_nego_Bolt RFQ_Foxlink_03.1 2011_nego meeting@MACH" xfId="24812"/>
    <cellStyle name="好_Creek EE BOM cost_20090425_Leopard UniBom_Foxlink_6 21 2010-ME_nego_Bolt RFQ_Foxlink_03.1 2011_nego meeting@MACH 2" xfId="24813"/>
    <cellStyle name="好_Creek EE BOM cost_20090425_Leopard UniBom_Foxlink_6 21 2010-ME_nego_Bolt RFQ_Foxlink_03.1 2011_nego meeting@MACH 2 2" xfId="24814"/>
    <cellStyle name="差_Creek RFQ feedback 04_28_2009_FD Update_Leopard_UniBOM_ME_0602_Bolt RFQ_Foxlink_03.1 2011_nego meeting@MACH 5" xfId="24815"/>
    <cellStyle name="差_Xl0000000_Leopard_UniBOM_ME_0602_Bolt RFQ Proposal_Foxlink_ (Pricing Summary) 2 25 2011 3 2" xfId="24816"/>
    <cellStyle name="好_Creek EE BOM cost_20090425_Leopard UniBom_Foxlink_6 21 2010-ME_nego_Bolt RFQ_Foxlink_03.1 2011_nego meeting@MACH 2 3" xfId="24817"/>
    <cellStyle name="好_Creek EE BOM cost_20090425_Leopard UniBom_Foxlink_6 21 2010-ME_nego_Bolt RFQ_Foxlink_03.1 2011_nego meeting@MACH 3" xfId="24818"/>
    <cellStyle name="好_Creek EE BOM cost_20090425_Leopard UniBom_Foxlink_6 21 2010-ME_nego_Bolt RFQ_Foxlink_03.1 2011_nego meeting@MACH 3 2" xfId="24819"/>
    <cellStyle name="好_Creek EE BOM cost_20090425_Leopard UniBom_Foxlink_6 21 2010-ME_nego_Bolt RFQ_Foxlink_03.1 2011_nego meeting@MACH 4" xfId="24820"/>
    <cellStyle name="好_Creek EE BOM cost_20090425_Leopard UniBom_Foxlink_6 21 2010-ME_nego_Bolt RFQ_Foxlink_03.1 2011_nego meeting@MACH 5" xfId="24821"/>
    <cellStyle name="好_Creek EE BOM cost_20090425_Leopard UniBom_true cost_6.23.2010" xfId="24822"/>
    <cellStyle name="好_Creek EE BOM cost_20090425_Leopard_UniBOM_ME_0531" xfId="24823"/>
    <cellStyle name="好_Creek EE BOM cost_20090425_Leopard_UniBOM_ME_0531 2" xfId="24824"/>
    <cellStyle name="好_Creek EE BOM cost_20090425_Leopard_UniBOM_ME_0531 2 2" xfId="24825"/>
    <cellStyle name="好_Creek EE BOM cost_20090425_Leopard_UniBOM_ME_0531 2 2 2" xfId="24826"/>
    <cellStyle name="好_Creek EE BOM cost_20090425_Leopard_UniBOM_ME_0531 2 2 3" xfId="24827"/>
    <cellStyle name="壞_Creek EE BOM cost_20090425_Creek RFQ feedback 04_28_2009_FD Update_Bolt RFQ_Foxlink_03.1 2011 2" xfId="24828"/>
    <cellStyle name="好_Creek EE BOM cost_20090425_Leopard_UniBOM_ME_0531 2 3" xfId="24829"/>
    <cellStyle name="好_Creek EE BOM cost_20090425_Leopard_UniBOM_ME_0531 3" xfId="24830"/>
    <cellStyle name="好_Creek EE BOM cost_20090425_Leopard_UniBOM_ME_0531 3 2" xfId="24831"/>
    <cellStyle name="差_Creak Pearl Reliability Fixture RFQ_2009 04 24_Xl0000002_Leopard RFQ ME BOM Costs-0618_Bolt RFQ Proposal_Foxlink_ (Pricing Summary) 2 25 2011 5" xfId="24832"/>
    <cellStyle name="好_Creek EE BOM cost_20090425_Leopard_UniBOM_ME_0531_Bolt RFQ Proposal_Foxlink_ (Pricing Summary) 2 25 2011 2" xfId="24833"/>
    <cellStyle name="差_Creak Pearl Reliability Fixture RFQ_2009 04 24_Xl0000002_Leopard RFQ ME BOM Costs-0618_Bolt RFQ Proposal_Foxlink_ (Pricing Summary) 2 25 2011 5 2" xfId="24834"/>
    <cellStyle name="好_Creek EE BOM cost_20090425_Leopard_UniBOM_ME_0531_Bolt RFQ Proposal_Foxlink_ (Pricing Summary) 2 25 2011 2 2" xfId="24835"/>
    <cellStyle name="好_Creek EE BOM cost_20090425_Leopard_UniBOM_ME_0531_Bolt RFQ Proposal_Foxlink_ (Pricing Summary) 2 25 2011 2 2 2" xfId="24836"/>
    <cellStyle name="差_Creak Pearl Reliability Fixture RFQ_2009 04 24_Xl0000002_Leopard RFQ ME BOM Costs-0618_Bolt RFQ Proposal_Foxlink_ (Pricing Summary) 2 25 2011 5 3" xfId="24837"/>
    <cellStyle name="好_Creek EE BOM cost_20090425_Leopard_UniBOM_ME_0531_Bolt RFQ Proposal_Foxlink_ (Pricing Summary) 2 25 2011 2 3" xfId="24838"/>
    <cellStyle name="差_Creak Pearl Reliability Fixture RFQ_2009 04 24_Xl0000002_Leopard RFQ ME BOM Costs-0618_Bolt RFQ Proposal_Foxlink_ (Pricing Summary) 2 25 2011 6" xfId="24839"/>
    <cellStyle name="好_Creek EE BOM cost_20090425_Leopard_UniBOM_ME_0531_Bolt RFQ Proposal_Foxlink_ (Pricing Summary) 2 25 2011 3" xfId="24840"/>
    <cellStyle name="好_Creek EE BOM cost_20090425_Leopard_UniBOM_ME_0531_Bolt RFQ Proposal_Foxlink_ (Pricing Summary) 2 25 2011 3 3" xfId="24841"/>
    <cellStyle name="好_Creek EE BOM cost_20090425_Leopard_UniBOM_ME_0531_Bolt RFQ Proposal_Foxlink_ (Pricing Summary) 2 25 2011 4 2" xfId="24842"/>
    <cellStyle name="好_Creek EE BOM cost_20090425_Leopard_UniBOM_ME_0531_Bolt RFQ Proposal_Foxlink_ (Pricing Summary) 2 25 2011 4 3" xfId="24843"/>
    <cellStyle name="差_HP Mouse 產能評估(Forecast更改後)_M1 Bolt wireless mouse FixtureEquipment Cost_A2_2010_12_07_Bolt RFQ Proposal_Foxlink_ (Pricing Summary) 2 25 2011" xfId="24844"/>
    <cellStyle name="好_Creek EE BOM cost_20090425_Leopard_UniBOM_ME_0531_Bolt RFQ Proposal_Foxlink_ (Pricing Summary) 2 25 2011 5 3" xfId="24845"/>
    <cellStyle name="好_Creek EE BOM cost_20090425_Leopard_UniBOM_ME_0531_Bolt RFQ Proposal_Foxlink_ (Pricing Summary) 2 25 2011 6" xfId="24846"/>
    <cellStyle name="好_Creek EE BOM cost_20090425_Leopard_UniBOM_ME_0531_Bolt RFQ_Foxlink_03.1 2011" xfId="24847"/>
    <cellStyle name="好_Creek EE BOM cost_20090425_Leopard_UniBOM_ME_0531_Bolt RFQ_Foxlink_03.1 2011 3 2" xfId="24848"/>
    <cellStyle name="好_Creek EE BOM cost_20090425_Leopard_UniBOM_ME_0531_Bolt RFQ_Foxlink_03.1 2011 4" xfId="24849"/>
    <cellStyle name="好_Creek EE BOM cost_20090425_Leopard_UniBOM_ME_0531_Bolt RFQ_Foxlink_03.1 2011_nego meeting@MACH" xfId="24850"/>
    <cellStyle name="好_Creek EE BOM cost_20090425_Leopard_UniBOM_ME_0531_Bolt RFQ_Foxlink_03.1 2011_nego meeting@MACH 2 2" xfId="24851"/>
    <cellStyle name="好_Creek EE BOM cost_20090425_Leopard_UniBOM_ME_0531_Bolt RFQ_Foxlink_03.1 2011_nego meeting@MACH 3" xfId="24852"/>
    <cellStyle name="好_River EE BOM_Xl0000000_Leopard_UniBOM_ME_0602-1_Bolt RFQ Proposal_Foxlink_ (Pricing Summary) 2 25 2011 7" xfId="24853"/>
    <cellStyle name="好_Creek EE BOM cost_20090425_Leopard_UniBOM_ME_0531_Bolt RFQ_Foxlink_03.1 2011_nego meeting@MACH 3 3" xfId="24854"/>
    <cellStyle name="差_Creak Pearl Reliability Fixture RFQ_2009 04 24_Squirrel UniBom-06.23.2010_update_internal_Bolt RFQ Proposal_Foxlink_ (Pricing Summary) 2 25 2011 7" xfId="24855"/>
    <cellStyle name="好_Creek EE BOM cost_20090425_Leopard_UniBOM_ME_0602 2 2" xfId="24856"/>
    <cellStyle name="好_Creek EE BOM cost_20090425_Leopard_UniBOM_ME_0602 2 2 2" xfId="24857"/>
    <cellStyle name="差_jupite r設備&amp;治工具LIST (總)_Jackson 效益分析 testing update_16th Jan111_Jackson 效益分析 (2-1 B0 上系統)_Leopard效益分析08-17" xfId="24858"/>
    <cellStyle name="好_Creek EE BOM cost_20090425_Leopard_UniBOM_ME_0602 2 3" xfId="24859"/>
    <cellStyle name="差_Creak Pearl Reliability Fixture RFQ_2009 04 24_Creek  Pearl RFQ_May 12_Foxlink_Shadow RFQ NREUni BOM_12032009_Bolt RFQ_Foxlink_03.1 2011_nego meeting@MACH 2 3" xfId="24860"/>
    <cellStyle name="好_Creek EE BOM cost_20090425_Leopard_UniBOM_ME_0602 3" xfId="24861"/>
    <cellStyle name="壞_Creek EE BOM cost_20090425_Leopard_UniBOM_ME_0531 2 2 3" xfId="24862"/>
    <cellStyle name="好_Creek EE BOM cost_20090425_Leopard_UniBOM_ME_0602 3 2" xfId="24863"/>
    <cellStyle name="好_Creek EE BOM cost_20090425_Leopard_UniBOM_ME_0602 3 3" xfId="24864"/>
    <cellStyle name="好_River EE BOM_Xl0000002_Bolt RFQ_Foxlink_03.1 2011_nego meeting@MACH" xfId="24865"/>
    <cellStyle name="好_Creek EE BOM cost_20090425_Leopard_UniBOM_ME_0602_Bolt RFQ Proposal_Foxlink_ (Pricing Summary) 2 25 2011 2" xfId="24866"/>
    <cellStyle name="好_River EE BOM_Xl0000002_Bolt RFQ_Foxlink_03.1 2011_nego meeting@MACH 2" xfId="24867"/>
    <cellStyle name="好_Creek EE BOM cost_20090425_Leopard_UniBOM_ME_0602_Bolt RFQ Proposal_Foxlink_ (Pricing Summary) 2 25 2011 2 2" xfId="24868"/>
    <cellStyle name="好_River EE BOM_Xl0000002_Bolt RFQ_Foxlink_03.1 2011_nego meeting@MACH 2 2" xfId="24869"/>
    <cellStyle name="好_Creek EE BOM cost_20090425_Leopard_UniBOM_ME_0602_Bolt RFQ Proposal_Foxlink_ (Pricing Summary) 2 25 2011 2 2 2" xfId="24870"/>
    <cellStyle name="好_River EE BOM_Xl0000002_Bolt RFQ_Foxlink_03.1 2011_nego meeting@MACH 2 3" xfId="24871"/>
    <cellStyle name="好_Creek EE BOM cost_20090425_Leopard_UniBOM_ME_0602_Bolt RFQ Proposal_Foxlink_ (Pricing Summary) 2 25 2011 2 2 3" xfId="24872"/>
    <cellStyle name="好_River EE BOM_Xl0000002_Bolt RFQ_Foxlink_03.1 2011_nego meeting@MACH 3" xfId="24873"/>
    <cellStyle name="好_Creek EE BOM cost_20090425_Leopard_UniBOM_ME_0602_Bolt RFQ Proposal_Foxlink_ (Pricing Summary) 2 25 2011 2 3" xfId="24874"/>
    <cellStyle name="好_River EE BOM_Xl0000002_Bolt RFQ_Foxlink_03.1 2011_nego meeting@MACH 4" xfId="24875"/>
    <cellStyle name="好_Creek EE BOM cost_20090425_Leopard_UniBOM_ME_0602_Bolt RFQ Proposal_Foxlink_ (Pricing Summary) 2 25 2011 2 4" xfId="24876"/>
    <cellStyle name="好_Creek EE BOM cost_20090425_Leopard_UniBOM_ME_0602_Bolt RFQ Proposal_Foxlink_ (Pricing Summary) 2 25 2011 3" xfId="24877"/>
    <cellStyle name="好_Creek EE BOM cost_20090425_Leopard_UniBOM_ME_0602_Bolt RFQ Proposal_Foxlink_ (Pricing Summary) 2 25 2011 3 2" xfId="24878"/>
    <cellStyle name="好_Creek EE BOM cost_20090425_Leopard_UniBOM_ME_0602_Bolt RFQ Proposal_Foxlink_ (Pricing Summary) 2 25 2011 3 3" xfId="24879"/>
    <cellStyle name="好_Creek EE BOM cost_20090425_Leopard_UniBOM_ME_0602_Bolt RFQ Proposal_Foxlink_ (Pricing Summary) 2 25 2011 4" xfId="24880"/>
    <cellStyle name="好_Creek EE BOM cost_20090425_Leopard_UniBOM_ME_0602_Bolt RFQ Proposal_Foxlink_ (Pricing Summary) 2 25 2011 4 2" xfId="24881"/>
    <cellStyle name="好_Creek EE BOM cost_20090425_Leopard_UniBOM_ME_0602_Bolt RFQ Proposal_Foxlink_ (Pricing Summary) 2 25 2011 4 3" xfId="24882"/>
    <cellStyle name="差_Creak Pearl Reliability Fixture RFQ_2009 04 24_Pearl RFQ(Submittal)ver2_05_12_2009 _Leopard Lemur Squirrel UniBom-06.22.2010_EE cost _update_internal_Bolt RFQ_Foxlink_03.1 2011" xfId="24883"/>
    <cellStyle name="输出 7" xfId="24884"/>
    <cellStyle name="好_Creek EE BOM cost_20090425_Leopard_UniBOM_ME_0602_Bolt RFQ Proposal_Foxlink_ (Pricing Summary) 2 25 2011 5 2" xfId="24885"/>
    <cellStyle name="好_Creek EE BOM cost_20090425_Leopard_UniBOM_ME_0602_Bolt RFQ Proposal_Foxlink_ (Pricing Summary) 2 25 2011 5 3" xfId="24886"/>
    <cellStyle name="差_jupite r設備&amp;治工具LIST (總)_Dallas flow chart&amp;設備&amp;治工具清單(12-8 A0)_Flow chart and Fixture(Jackson)_A1_Jackson 效益分析 (2-1 B0 上系統)_Leopard效益分析08-17" xfId="24887"/>
    <cellStyle name="好_Creek EE BOM cost_20090425_Leopard_UniBOM_ME_0602_Bolt RFQ Proposal_Foxlink_ (Pricing Summary) 2 25 2011 6" xfId="24888"/>
    <cellStyle name="好_Creek EE BOM cost_20090425_Leopard_UniBOM_ME_0602_Bolt RFQ_Foxlink_03.1 2011" xfId="24889"/>
    <cellStyle name="好_Creek EE BOM cost_20090425_Leopard_UniBOM_ME_0602_Bolt RFQ_Foxlink_03.1 2011 2 2" xfId="24890"/>
    <cellStyle name="好_Creek EE BOM cost_20090425_Leopard_UniBOM_ME_0602_Bolt RFQ_Foxlink_03.1 2011 2 3" xfId="24891"/>
    <cellStyle name="好_Creek EE BOM cost_20090425_Leopard_UniBOM_ME_0602_Bolt RFQ_Foxlink_03.1 2011 4" xfId="24892"/>
    <cellStyle name="好_Creek EE BOM cost_20090425_Leopard_UniBOM_ME_0602_Bolt RFQ_Foxlink_03.1 2011_nego meeting@MACH 2 3" xfId="24893"/>
    <cellStyle name="好_Creek EE BOM cost_20090425_Leopard_UniBOM_ME_0602_Bolt RFQ_Foxlink_03.1 2011_nego meeting@MACH 3" xfId="24894"/>
    <cellStyle name="好_Creek EE BOM cost_20090425_Leopard_UniBOM_ME_0602_Bolt RFQ_Foxlink_03.1 2011_nego meeting@MACH 3 2" xfId="24895"/>
    <cellStyle name="好_Creek EE BOM cost_20090425_Leopard_UniBOM_ME_0602_Bolt RFQ_Foxlink_03.1 2011_nego meeting@MACH 4" xfId="24896"/>
    <cellStyle name="好_Creek EE BOM cost_20090425_Leopard_UniBOM_ME_0602_Bolt RFQ_Foxlink_03.1 2011_nego meeting@MACH 5" xfId="24897"/>
    <cellStyle name="差_F3   SMT設備明細_MS Bolt wireless mouse FixtureEquipment Cost_A5_2010_02_21_Bolt RFQ Proposal_Foxlink_ (Pricing Summary) 2 25 2011 2 2" xfId="24898"/>
    <cellStyle name="好_Creek EE BOM cost_20090425_Leopard_UniBOM_ME_0602-1 2 2" xfId="24899"/>
    <cellStyle name="差_Creak Pearl Reliability Fixture RFQ_2009 04 24_Pearl RFQ(Submittal)ver2_05_12_2009 _Leopard_UniBOM_ME_0531_Bolt RFQ Proposal_Foxlink_ (Pricing Summary) 2 25 2011 3 2" xfId="24900"/>
    <cellStyle name="差_F3   SMT設備明細_MS Bolt wireless mouse FixtureEquipment Cost_A5_2010_02_21_Bolt RFQ Proposal_Foxlink_ (Pricing Summary) 2 25 2011 2 2 2" xfId="24901"/>
    <cellStyle name="好_Creek EE BOM cost_20090425_Leopard_UniBOM_ME_0602-1 2 2 2" xfId="24902"/>
    <cellStyle name="差_F3   SMT設備明細_MS Bolt wireless mouse FixtureEquipment Cost_A5_2010_02_21_Bolt RFQ Proposal_Foxlink_ (Pricing Summary) 2 25 2011 2 2 3" xfId="24903"/>
    <cellStyle name="好_Creek EE BOM cost_20090425_Leopard_UniBOM_ME_0602-1 2 2 3" xfId="24904"/>
    <cellStyle name="差_F3   SMT設備明細_MS Bolt wireless mouse FixtureEquipment Cost_A5_2010_02_21_Bolt RFQ Proposal_Foxlink_ (Pricing Summary) 2 25 2011 2 4" xfId="24905"/>
    <cellStyle name="好_Creek EE BOM cost_20090425_Leopard_UniBOM_ME_0602-1 2 4" xfId="24906"/>
    <cellStyle name="差_F3   SMT設備明細_MS Bolt wireless mouse FixtureEquipment Cost_A5_2010_02_21_Bolt RFQ Proposal_Foxlink_ (Pricing Summary) 2 25 2011 3" xfId="24907"/>
    <cellStyle name="好_Creek EE BOM cost_20090425_Leopard_UniBOM_ME_0602-1 3" xfId="24908"/>
    <cellStyle name="差_Creak Pearl Reliability Fixture RFQ_2009 04 24_Pearl RFQ(Submittal)ver2_05_12_2009 _Leopard_UniBOM_ME_0531_Bolt RFQ Proposal_Foxlink_ (Pricing Summary) 2 25 2011 4" xfId="24909"/>
    <cellStyle name="差_Creak Pearl Reliability Fixture RFQ_2009 04 24_Squirrel UniBom-06.23.2010_update_internal 2" xfId="24910"/>
    <cellStyle name="差_F3   SMT設備明細_MS Bolt wireless mouse FixtureEquipment Cost_A5_2010_02_21_Bolt RFQ Proposal_Foxlink_ (Pricing Summary) 2 25 2011 3 2" xfId="24911"/>
    <cellStyle name="好_Creek EE BOM cost_20090425_Leopard_UniBOM_ME_0602-1 3 2" xfId="24912"/>
    <cellStyle name="差_Creak Pearl Reliability Fixture RFQ_2009 04 24_Pearl RFQ(Submittal)ver2_05_12_2009 _Leopard_UniBOM_ME_0531_Bolt RFQ Proposal_Foxlink_ (Pricing Summary) 2 25 2011 4 2" xfId="24913"/>
    <cellStyle name="差_Creak Pearl Reliability Fixture RFQ_2009 04 24_Squirrel UniBom-06.23.2010_update_internal 2 2" xfId="24914"/>
    <cellStyle name="差_Creek RFQ feedback 04_28_2009_FD Update_Foxlink_Shadow RFQ NREUni BOM_12032009_Bolt RFQ_Foxlink_03.1 2011" xfId="24915"/>
    <cellStyle name="好_Creek EE BOM cost_20090425_Leopard_UniBOM_ME_0602-1_Bolt RFQ Proposal_Foxlink_ (Pricing Summary) 2 25 2011 2 2" xfId="24916"/>
    <cellStyle name="好_Creek EE BOM cost_20090425_Leopard_UniBOM_ME_0602-1_Bolt RFQ Proposal_Foxlink_ (Pricing Summary) 2 25 2011 2 3" xfId="24917"/>
    <cellStyle name="好_Creek EE BOM cost_20090425_Leopard_UniBOM_ME_0602-1_Bolt RFQ Proposal_Foxlink_ (Pricing Summary) 2 25 2011 2 4" xfId="24918"/>
    <cellStyle name="好_Creek EE BOM cost_20090425_Leopard_UniBOM_ME_0602-1_Bolt RFQ Proposal_Foxlink_ (Pricing Summary) 2 25 2011 3" xfId="24919"/>
    <cellStyle name="差_jupite r設備&amp;治工具LIST (總)_Dallas flow chart&amp;設備&amp;治工具清單(12-8 A0)_Flow Chart&amp;設備治工具清單 _Jackson 效益分析 (2-1 B0 上系統)_Leopard效益分析08-17" xfId="24920"/>
    <cellStyle name="好_Creek EE BOM cost_20090425_Leopard_UniBOM_ME_0602-1_Bolt RFQ Proposal_Foxlink_ (Pricing Summary) 2 25 2011 3 2" xfId="24921"/>
    <cellStyle name="好_Creek EE BOM cost_20090425_Leopard_UniBOM_ME_0602-1_Bolt RFQ Proposal_Foxlink_ (Pricing Summary) 2 25 2011 3 3" xfId="24922"/>
    <cellStyle name="好_Creek EE BOM cost_20090425_Leopard_UniBOM_ME_0602-1_Bolt RFQ Proposal_Foxlink_ (Pricing Summary) 2 25 2011 4 2" xfId="24923"/>
    <cellStyle name="好_River EE BOM_Xl0000000_Leopard_UniBOM_ME_0602 2 2" xfId="24924"/>
    <cellStyle name="好_Creek EE BOM cost_20090425_Leopard_UniBOM_ME_0602-1_Bolt RFQ Proposal_Foxlink_ (Pricing Summary) 2 25 2011 4 3" xfId="24925"/>
    <cellStyle name="好_Creek EE BOM cost_20090425_Leopard_UniBOM_ME_0602-1_Bolt RFQ Proposal_Foxlink_ (Pricing Summary) 2 25 2011 5 2" xfId="24926"/>
    <cellStyle name="差_Creak Pearl Reliability Fixture RFQ_2009 04 24_Xl0000002_Squirrel UniBom-06.23.2010_update_internal_Bolt RFQ Proposal_Foxlink_ (Pricing Summary) 2 25 2011 2" xfId="24927"/>
    <cellStyle name="好_River EE BOM_Xl0000000_Leopard_UniBOM_ME_0602 3 2" xfId="24928"/>
    <cellStyle name="好_Creek EE BOM cost_20090425_Leopard_UniBOM_ME_0602-1_Bolt RFQ Proposal_Foxlink_ (Pricing Summary) 2 25 2011 5 3" xfId="24929"/>
    <cellStyle name="好_Creek EE BOM cost_20090425_Leopard_UniBOM_ME_0602-1_Bolt RFQ Proposal_Foxlink_ (Pricing Summary) 2 25 2011 6" xfId="24930"/>
    <cellStyle name="差_Xl0000002_Leopard UniBom_Foxlink_12272010 RevF_shirley" xfId="24931"/>
    <cellStyle name="好_River EE BOM_Xl0000000_Leopard UniBom_Foxlink_6 21 2010-ME_nego_Bolt RFQ Proposal_Foxlink_ (Pricing Summary) 2 25 2011 5 3" xfId="24932"/>
    <cellStyle name="好_Creek EE BOM cost_20090425_Leopard_UniBOM_ME_0602-1_Bolt RFQ Proposal_Foxlink_ (Pricing Summary) 2 25 2011 7" xfId="24933"/>
    <cellStyle name="好_Creek EE BOM cost_20090425_Leopard_UniBOM_ME_0602-1_Bolt RFQ_Foxlink_03.1 2011" xfId="24934"/>
    <cellStyle name="好_Creek EE BOM cost_20090425_Leopard_UniBOM_ME_0602-1_Bolt RFQ_Foxlink_03.1 2011 2" xfId="24935"/>
    <cellStyle name="好_Creek EE BOM cost_20090425_Leopard_UniBOM_ME_0602-1_Bolt RFQ_Foxlink_03.1 2011 2 2" xfId="24936"/>
    <cellStyle name="好_Creek EE BOM cost_20090425_Leopard_UniBOM_ME_0602-1_Bolt RFQ_Foxlink_03.1 2011 2 3" xfId="24937"/>
    <cellStyle name="好_Creek EE BOM cost_20090425_Leopard_UniBOM_ME_0602-1_Bolt RFQ_Foxlink_03.1 2011 3" xfId="24938"/>
    <cellStyle name="好_Creek EE BOM cost_20090425_Leopard_UniBOM_ME_0602-1_Bolt RFQ_Foxlink_03.1 2011 3 2" xfId="24939"/>
    <cellStyle name="好_Creek EE BOM cost_20090425_Leopard_UniBOM_ME_0602-1_Bolt RFQ_Foxlink_03.1 2011 3 3" xfId="24940"/>
    <cellStyle name="好_Creek EE BOM cost_20090425_Leopard_UniBOM_ME_0602-1_Bolt RFQ_Foxlink_03.1 2011 5" xfId="24941"/>
    <cellStyle name="好_Creek EE BOM cost_20090425_Leopard_UniBOM_ME_0602-1_Bolt RFQ_Foxlink_03.1 2011_nego meeting@MACH 2" xfId="24942"/>
    <cellStyle name="好_Creek EE BOM cost_20090425_Leopard_UniBOM_ME_0602-1_Bolt RFQ_Foxlink_03.1 2011_nego meeting@MACH 2 2" xfId="24943"/>
    <cellStyle name="好_Creek EE BOM cost_20090425_Leopard_UniBOM_ME_0602-1_Bolt RFQ_Foxlink_03.1 2011_nego meeting@MACH 2 3" xfId="24944"/>
    <cellStyle name="好_Creek EE BOM cost_20090425_Leopard_UniBOM_ME_0602-1_Bolt RFQ_Foxlink_03.1 2011_nego meeting@MACH 3" xfId="24945"/>
    <cellStyle name="好_Creek EE BOM cost_20090425_Leopard_UniBOM_ME_0602-1_Bolt RFQ_Foxlink_03.1 2011_nego meeting@MACH 3 2" xfId="24946"/>
    <cellStyle name="差_Creak Pearl Reliability Fixture RFQ_2009 04 24_Leopard_UniBOM_ME_0603-2" xfId="24947"/>
    <cellStyle name="好_River EE BOM_Creak Pearl Reliability Fixture RFQ_2009 04 24_Creek RFQ feedback 04_28_2009_FD Update_Squirrel RFQ ME BOM Costs-0623_Bolt RFQ_Foxlink_03.1 2011" xfId="24948"/>
    <cellStyle name="好_Creek EE BOM cost_20090425_Leopard_UniBOM_ME_0602-1_Bolt RFQ_Foxlink_03.1 2011_nego meeting@MACH 3 3" xfId="24949"/>
    <cellStyle name="差_MB9月管審換線超時8d 6 3" xfId="24950"/>
    <cellStyle name="差_0842周 顯卡報廢超標8D 2 2 2 2" xfId="24951"/>
    <cellStyle name="好_K TEST 5 2 2" xfId="24952"/>
    <cellStyle name="好_Creek EE BOM cost_20090425_Leopard_UniBOM_ME_0602-1_Bolt RFQ_Foxlink_03.1 2011_nego meeting@MACH 5" xfId="24953"/>
    <cellStyle name="好_Creek EE BOM cost_20090425_Leopard_UniBOM_ME_0603-2 2 2 2" xfId="24954"/>
    <cellStyle name="好_MB9月管審換線超時8d_2009MB KPI_MBO3F製造部hp0209-01 5 4" xfId="24955"/>
    <cellStyle name="好_Creek EE BOM cost_20090425_Leopard_UniBOM_ME_0603-2 2 3" xfId="24956"/>
    <cellStyle name="好_Creek EE BOM cost_20090425_Leopard_UniBOM_ME_0603-2_Bolt RFQ Proposal_Foxlink_ (Pricing Summary) 2 25 2011 2" xfId="24957"/>
    <cellStyle name="差_Xl0000002_Leopard RFQ ME BOM Costs-0618_Bolt RFQ_Foxlink_03.1 2011_nego meeting@MACH 2 3" xfId="24958"/>
    <cellStyle name="好_Creek EE BOM cost_20090425_Leopard_UniBOM_ME_0603-2_Bolt RFQ Proposal_Foxlink_ (Pricing Summary) 2 25 2011 2 2" xfId="24959"/>
    <cellStyle name="好_Creek EE BOM cost_20090425_Leopard_UniBOM_ME_0603-2_Bolt RFQ Proposal_Foxlink_ (Pricing Summary) 2 25 2011 2 2 2" xfId="24960"/>
    <cellStyle name="好_Creek EE BOM cost_20090425_Leopard_UniBOM_ME_0603-2_Bolt RFQ Proposal_Foxlink_ (Pricing Summary) 2 25 2011 2 2 3" xfId="24961"/>
    <cellStyle name="好_Creek EE BOM cost_20090425_Leopard_UniBOM_ME_0603-2_Bolt RFQ Proposal_Foxlink_ (Pricing Summary) 2 25 2011 2 3" xfId="24962"/>
    <cellStyle name="好_Creek EE BOM cost_20090425_Leopard_UniBOM_ME_0603-2_Bolt RFQ Proposal_Foxlink_ (Pricing Summary) 2 25 2011 2 4" xfId="24963"/>
    <cellStyle name="差_Xl0000002_Leopard RFQ ME BOM Costs-0618_Bolt RFQ_Foxlink_03.1 2011_nego meeting@MACH 3 3" xfId="24964"/>
    <cellStyle name="好_Creek EE BOM cost_20090425_Leopard_UniBOM_ME_0603-2_Bolt RFQ Proposal_Foxlink_ (Pricing Summary) 2 25 2011 3 2" xfId="24965"/>
    <cellStyle name="好_Creek EE BOM cost_20090425_Leopard_UniBOM_ME_0603-2_Bolt RFQ Proposal_Foxlink_ (Pricing Summary) 2 25 2011 3 3" xfId="24966"/>
    <cellStyle name="壞_Creek Assembly Fixture  Test Equipment RFQ_20090427_Xl0000002_Squirrel RFQ ME BOM Costs-0623_Bolt RFQ Proposal_Foxlink_ (Pricing Summary) 2 25 2011 3" xfId="24967"/>
    <cellStyle name="好_Creek EE BOM cost_20090425_Leopard_UniBOM_ME_0603-2_Bolt RFQ Proposal_Foxlink_ (Pricing Summary) 2 25 2011 4 2" xfId="24968"/>
    <cellStyle name="壞_Creek Assembly Fixture  Test Equipment RFQ_20090427_Xl0000002_Squirrel RFQ ME BOM Costs-0623_Bolt RFQ Proposal_Foxlink_ (Pricing Summary) 2 25 2011 4" xfId="24969"/>
    <cellStyle name="好_Creek EE BOM cost_20090425_Leopard_UniBOM_ME_0603-2_Bolt RFQ Proposal_Foxlink_ (Pricing Summary) 2 25 2011 4 3" xfId="24970"/>
    <cellStyle name="好_MS Bolt wireless mouse FixtureEquipment Cost_A5_2010_02_21" xfId="24971"/>
    <cellStyle name="好_Creek EE BOM cost_20090425_Leopard_UniBOM_ME_0603-2_Bolt RFQ Proposal_Foxlink_ (Pricing Summary) 2 25 2011 5" xfId="24972"/>
    <cellStyle name="好_Creek EE BOM cost_20090425_Leopard_UniBOM_ME_0603-2_Bolt RFQ Proposal_Foxlink_ (Pricing Summary) 2 25 2011 5 3" xfId="24973"/>
    <cellStyle name="好_Creek EE BOM cost_20090425_Leopard_UniBOM_ME_0603-2_Bolt RFQ Proposal_Foxlink_ (Pricing Summary) 2 25 2011 6" xfId="24974"/>
    <cellStyle name="好_Creek EE BOM cost_20090425_Leopard_UniBOM_ME_0603-2_Bolt RFQ Proposal_Foxlink_ (Pricing Summary) 2 25 2011 7" xfId="24975"/>
    <cellStyle name="好_Creek EE BOM cost_20090425_Leopard_UniBOM_ME_0603-2_Bolt RFQ_Foxlink_03.1 2011" xfId="24976"/>
    <cellStyle name="好_Creek EE BOM cost_20090425_Leopard_UniBOM_ME_0603-2_Bolt RFQ_Foxlink_03.1 2011 3 2" xfId="24977"/>
    <cellStyle name="好_Creek EE BOM cost_20090425_Leopard_UniBOM_ME_0603-2_Bolt RFQ_Foxlink_03.1 2011 4" xfId="24978"/>
    <cellStyle name="好_River QA Report- 8.23_Dolce   QA Report 2010_0902 (A3)_~7519239" xfId="24979"/>
    <cellStyle name="好_Creek EE BOM cost_20090425_Leopard_UniBOM_ME_0603-2_Bolt RFQ_Foxlink_03.1 2011_nego meeting@MACH" xfId="24980"/>
    <cellStyle name="好_Creek EE BOM cost_20090425_Leopard_UniBOM_ME_0603-2_Bolt RFQ_Foxlink_03.1 2011_nego meeting@MACH 2" xfId="24981"/>
    <cellStyle name="好_Creek EE BOM cost_20090425_Leopard_UniBOM_ME_0603-2_Bolt RFQ_Foxlink_03.1 2011_nego meeting@MACH 2 2" xfId="24982"/>
    <cellStyle name="好_Creek EE BOM cost_20090425_Leopard_UniBOM_ME_0603-2_Bolt RFQ_Foxlink_03.1 2011_nego meeting@MACH 2 3" xfId="24983"/>
    <cellStyle name="好_Creek EE BOM cost_20090425_Leopard_UniBOM_ME_0603-2_Bolt RFQ_Foxlink_03.1 2011_nego meeting@MACH 3 3" xfId="24984"/>
    <cellStyle name="差_dallas產能評估_Dallas效益分析&amp;投資回收期 (12-2 A1)_Flow Chart&amp;設備治工具清單 _Leopard效益分析08-17" xfId="24985"/>
    <cellStyle name="好_Creek EE BOM cost_20090425_Leopard_UniBOM_ME_0603-2_Bolt RFQ_Foxlink_03.1 2011_nego meeting@MACH 5" xfId="24986"/>
    <cellStyle name="差_Creak Pearl Reliability Fixture RFQ_2009 04 24_Creek  Pearl RFQ_May 12_Leopard_UniBOM_ME_0602_Bolt RFQ Proposal_Foxlink_ (Pricing Summary) 2 25 2011 6" xfId="24987"/>
    <cellStyle name="好_Creek EE BOM cost_20090425_Squirrel RFQ ME BOM Costs-0623" xfId="24988"/>
    <cellStyle name="好_Creek EE BOM cost_20090425_Squirrel RFQ ME BOM Costs-0623 2" xfId="24989"/>
    <cellStyle name="好_Creek EE BOM cost_20090425_Squirrel RFQ ME BOM Costs-0623 2 2" xfId="24990"/>
    <cellStyle name="差_Creek RFQ feedback 04_28_2009_FD Update_Foxlink_Shadow RFQ NREUni BOM_12032009 2 4" xfId="24991"/>
    <cellStyle name="好_Creek EE BOM cost_20090425_Squirrel RFQ ME BOM Costs-0623 2 2 2" xfId="24992"/>
    <cellStyle name="好_Creek EE BOM cost_20090425_Squirrel RFQ ME BOM Costs-0623 2 2 3" xfId="24993"/>
    <cellStyle name="好_Creek EE BOM cost_20090425_Squirrel RFQ ME BOM Costs-0623 2 4" xfId="24994"/>
    <cellStyle name="好_Creek EE BOM cost_20090425_Squirrel RFQ ME BOM Costs-0623 3" xfId="24995"/>
    <cellStyle name="好_Creek EE BOM cost_20090425_Squirrel RFQ ME BOM Costs-0623 3 3" xfId="24996"/>
    <cellStyle name="好_Creek EE BOM cost_20090425_Squirrel RFQ ME BOM Costs-0623_Bolt RFQ Proposal_Foxlink_ (Pricing Summary) 2 25 2011 2" xfId="24997"/>
    <cellStyle name="好_Creek EE BOM cost_20090425_Squirrel RFQ ME BOM Costs-0623_Bolt RFQ Proposal_Foxlink_ (Pricing Summary) 2 25 2011 2 2 2" xfId="24998"/>
    <cellStyle name="好_Creek EE BOM cost_20090425_Squirrel RFQ ME BOM Costs-0623_Bolt RFQ Proposal_Foxlink_ (Pricing Summary) 2 25 2011 2 2 3" xfId="24999"/>
    <cellStyle name="好_Creek EE BOM cost_20090425_Squirrel RFQ ME BOM Costs-0623_Bolt RFQ Proposal_Foxlink_ (Pricing Summary) 2 25 2011 2 4" xfId="25000"/>
    <cellStyle name="好_Creek EE BOM cost_20090425_Squirrel RFQ ME BOM Costs-0623_Bolt RFQ Proposal_Foxlink_ (Pricing Summary) 2 25 2011 3" xfId="25001"/>
    <cellStyle name="好_Creek EE BOM cost_20090425_Squirrel RFQ ME BOM Costs-0623_Bolt RFQ Proposal_Foxlink_ (Pricing Summary) 2 25 2011 3 2" xfId="25002"/>
    <cellStyle name="好_Creek EE BOM cost_20090425_Squirrel RFQ ME BOM Costs-0623_Bolt RFQ Proposal_Foxlink_ (Pricing Summary) 2 25 2011 4" xfId="25003"/>
    <cellStyle name="壞_Creek EE BOM cost_20090425_Creek RFQ feedback 04_28_2009_FD Update_Leopard_UniBOM_ME_0531 3 2" xfId="25004"/>
    <cellStyle name="好_Creek EE BOM cost_20090425_Squirrel RFQ ME BOM Costs-0623_Bolt RFQ Proposal_Foxlink_ (Pricing Summary) 2 25 2011 4 3" xfId="25005"/>
    <cellStyle name="好_Creek EE BOM cost_20090425_Squirrel RFQ ME BOM Costs-0623_Bolt RFQ Proposal_Foxlink_ (Pricing Summary) 2 25 2011 5" xfId="25006"/>
    <cellStyle name="好_Creek EE BOM cost_20090425_Squirrel RFQ ME BOM Costs-0623_Bolt RFQ Proposal_Foxlink_ (Pricing Summary) 2 25 2011 5 2" xfId="25007"/>
    <cellStyle name="壞_Creek EE BOM cost_20090425_Creek RFQ feedback 04_28_2009_FD Update_Leopard_UniBOM_ME_0531 4 2" xfId="25008"/>
    <cellStyle name="好_Creek EE BOM cost_20090425_Squirrel RFQ ME BOM Costs-0623_Bolt RFQ Proposal_Foxlink_ (Pricing Summary) 2 25 2011 5 3" xfId="25009"/>
    <cellStyle name="好_Creek EE BOM cost_20090425_Squirrel RFQ ME BOM Costs-0623_Bolt RFQ_Foxlink_03.1 2011" xfId="25010"/>
    <cellStyle name="好_Creek EE BOM cost_20090425_Squirrel RFQ ME BOM Costs-0623_Bolt RFQ_Foxlink_03.1 2011 2" xfId="25011"/>
    <cellStyle name="差_Xl0000002_Leopard_UniBOM_ME_0602-1_Bolt RFQ_Foxlink_03.1 2011_nego meeting@MACH 2 2" xfId="25012"/>
    <cellStyle name="好_Creek EE BOM cost_20090425_Squirrel RFQ ME BOM Costs-0623_Bolt RFQ_Foxlink_03.1 2011 3" xfId="25013"/>
    <cellStyle name="差_Creak Pearl Reliability Fixture RFQ_2009 04 24_Bolt RFQ Proposal_Foxlink_ (Pricing Summary) 2 25 2011 5" xfId="25014"/>
    <cellStyle name="好_Creek EE BOM cost_20090425_Squirrel RFQ ME BOM Costs-0623_Bolt RFQ_Foxlink_03.1 2011 3 2" xfId="25015"/>
    <cellStyle name="差_Creak Pearl Reliability Fixture RFQ_2009 04 24_Bolt RFQ Proposal_Foxlink_ (Pricing Summary) 2 25 2011 6" xfId="25016"/>
    <cellStyle name="好_Creek EE BOM cost_20090425_Squirrel RFQ ME BOM Costs-0623_Bolt RFQ_Foxlink_03.1 2011 3 3" xfId="25017"/>
    <cellStyle name="差_Xl0000002_Leopard_UniBOM_ME_0602-1_Bolt RFQ_Foxlink_03.1 2011_nego meeting@MACH 2 3" xfId="25018"/>
    <cellStyle name="好_Creek EE BOM cost_20090425_Squirrel RFQ ME BOM Costs-0623_Bolt RFQ_Foxlink_03.1 2011 4" xfId="25019"/>
    <cellStyle name="好_Creek EE BOM cost_20090425_Squirrel RFQ ME BOM Costs-0623_Bolt RFQ_Foxlink_03.1 2011_nego meeting@MACH" xfId="25020"/>
    <cellStyle name="好_Creek EE BOM cost_20090425_Squirrel RFQ ME BOM Costs-0623_Bolt RFQ_Foxlink_03.1 2011_nego meeting@MACH 2" xfId="25021"/>
    <cellStyle name="差_HP Mouse 產能評估(上系統)_M1 SuedeFixtureEquipment Cost_A0_2010_10_15_Bolt RFQ Proposal_Foxlink_ (Pricing Summary) 2 25 2011 5" xfId="25022"/>
    <cellStyle name="好_Creek EE BOM cost_20090425_Squirrel RFQ ME BOM Costs-0623_Bolt RFQ_Foxlink_03.1 2011_nego meeting@MACH 2 3" xfId="25023"/>
    <cellStyle name="差_Leopard Plastics Tooling RFQ Worksheets_20100909-hot run-邱總最終價-調整滾輪" xfId="25024"/>
    <cellStyle name="好_Creek EE BOM cost_20090425_Squirrel RFQ ME BOM Costs-0623_Bolt RFQ_Foxlink_03.1 2011_nego meeting@MACH 3 2" xfId="25025"/>
    <cellStyle name="差_Creak Pearl Reliability Fixture RFQ_2009 04 24_Creek  Pearl RFQ_May 12_Leopard_UniBOM_ME_0602_Bolt RFQ Proposal_Foxlink_ (Pricing Summary) 2 25 2011 7" xfId="25026"/>
    <cellStyle name="好_Creek EE BOM cost_20090425_Squirrel RFQ ME BOM Costs-0624" xfId="25027"/>
    <cellStyle name="好_Creek EE BOM cost_20090425_Squirrel UniBom_Foxlink_6 28 2010" xfId="25028"/>
    <cellStyle name="差_Creek RFQ feedback 04_28_2009_FD Update_Leopard_UniBOM_ME_0602-1 3 3" xfId="25029"/>
    <cellStyle name="好_Creek EE BOM cost_20090425_Squirrel UniBom-06.23.2010_update_internal 2" xfId="25030"/>
    <cellStyle name="好_Creek EE BOM cost_20090425_Squirrel UniBom-06.23.2010_update_internal 2 2 3" xfId="25031"/>
    <cellStyle name="好_Creek EE BOM cost_20090425_Squirrel UniBom-06.23.2010_update_internal 2 3" xfId="25032"/>
    <cellStyle name="好_Creek EE BOM cost_20090425_Squirrel UniBom-06.23.2010_update_internal 2 4" xfId="25033"/>
    <cellStyle name="好_Creek EE BOM cost_20090425_Squirrel UniBom-06.23.2010_update_internal 3" xfId="25034"/>
    <cellStyle name="好_Creek EE BOM cost_20090425_Squirrel UniBom-06.23.2010_update_internal 3 2" xfId="25035"/>
    <cellStyle name="好_Creek EE BOM cost_20090425_Squirrel UniBom-06.23.2010_update_internal 5" xfId="25036"/>
    <cellStyle name="差_jupite r設備&amp;治工具LIST (總)_效益分析 (12-9 A1)_Leopard效益分析08-17" xfId="25037"/>
    <cellStyle name="好_Creek EE BOM cost_20090425_Squirrel UniBom-06.23.2010_update_internal_Bolt RFQ Proposal_Foxlink_ (Pricing Summary) 2 25 2011" xfId="25038"/>
    <cellStyle name="好_Creek EE BOM cost_20090425_Squirrel UniBom-06.23.2010_update_internal_Bolt RFQ Proposal_Foxlink_ (Pricing Summary) 2 25 2011 2" xfId="25039"/>
    <cellStyle name="好_Erie Assembly Fixture  Test Equip Cost_20090716_Bolt RFQ Proposal_Foxlink_ (Pricing Summary) 2 25 2011 4" xfId="25040"/>
    <cellStyle name="好_Creek EE BOM cost_20090425_Squirrel UniBom-06.23.2010_update_internal_Bolt RFQ Proposal_Foxlink_ (Pricing Summary) 2 25 2011 2 2" xfId="25041"/>
    <cellStyle name="好_Erie Assembly Fixture  Test Equip Cost_20090716_Bolt RFQ Proposal_Foxlink_ (Pricing Summary) 2 25 2011 4 2" xfId="25042"/>
    <cellStyle name="好_Creek EE BOM cost_20090425_Squirrel UniBom-06.23.2010_update_internal_Bolt RFQ Proposal_Foxlink_ (Pricing Summary) 2 25 2011 2 2 2" xfId="25043"/>
    <cellStyle name="好_Erie Assembly Fixture  Test Equip Cost_20090716_Bolt RFQ Proposal_Foxlink_ (Pricing Summary) 2 25 2011 4 3" xfId="25044"/>
    <cellStyle name="好_Creek EE BOM cost_20090425_Squirrel UniBom-06.23.2010_update_internal_Bolt RFQ Proposal_Foxlink_ (Pricing Summary) 2 25 2011 2 2 3" xfId="25045"/>
    <cellStyle name="好_Erie Assembly Fixture  Test Equip Cost_20090716_Bolt RFQ Proposal_Foxlink_ (Pricing Summary) 2 25 2011 6" xfId="25046"/>
    <cellStyle name="壞_Creek EE BOM cost_20090425_Creek RFQ feedback 04_28_2009_FD Update_Leopard RFQ ME BOM Costs-0618-2_Bolt RFQ Proposal_Foxlink_ (Pricing Summary) 2 25 2011 2 2 2" xfId="25047"/>
    <cellStyle name="好_Creek EE BOM cost_20090425_Squirrel UniBom-06.23.2010_update_internal_Bolt RFQ Proposal_Foxlink_ (Pricing Summary) 2 25 2011 2 4" xfId="25048"/>
    <cellStyle name="好_Creek EE BOM cost_20090425_Squirrel UniBom-06.23.2010_update_internal_Bolt RFQ Proposal_Foxlink_ (Pricing Summary) 2 25 2011 3" xfId="25049"/>
    <cellStyle name="差_Xl0000002_Squirrel RFQ ME BOM Costs-0623 3 2" xfId="25050"/>
    <cellStyle name="差_HP  專案(設備&amp;治工具需夠買)update_Bolt RFQ Proposal_Foxlink_ (Pricing Summary) 2 25 2011 2 2 2" xfId="25051"/>
    <cellStyle name="好_Creek EE BOM cost_20090425_Squirrel UniBom-06.23.2010_update_internal_Bolt RFQ Proposal_Foxlink_ (Pricing Summary) 2 25 2011 4" xfId="25052"/>
    <cellStyle name="好_Creek EE BOM cost_20090425_Squirrel UniBom-06.23.2010_update_internal_Bolt RFQ Proposal_Foxlink_ (Pricing Summary) 2 25 2011 4 3" xfId="25053"/>
    <cellStyle name="差_Xl0000002_Squirrel RFQ ME BOM Costs-0623 3 3" xfId="25054"/>
    <cellStyle name="差_HP  專案(設備&amp;治工具需夠買)update_Bolt RFQ Proposal_Foxlink_ (Pricing Summary) 2 25 2011 2 2 3" xfId="25055"/>
    <cellStyle name="好_Creek EE BOM cost_20090425_Squirrel UniBom-06.23.2010_update_internal_Bolt RFQ Proposal_Foxlink_ (Pricing Summary) 2 25 2011 5" xfId="25056"/>
    <cellStyle name="好_Creek EE BOM cost_20090425_Squirrel UniBom-06.23.2010_update_internal_Bolt RFQ Proposal_Foxlink_ (Pricing Summary) 2 25 2011 5 2" xfId="25057"/>
    <cellStyle name="好_Creek EE BOM cost_20090425_Squirrel UniBom-06.23.2010_update_internal_Bolt RFQ Proposal_Foxlink_ (Pricing Summary) 2 25 2011 5 3" xfId="25058"/>
    <cellStyle name="好_Creek EE BOM cost_20090425_Squirrel UniBom-06.23.2010_update_internal_Bolt RFQ Proposal_Foxlink_ (Pricing Summary) 2 25 2011 7" xfId="25059"/>
    <cellStyle name="壞_Creek EE BOM cost_20090425_Leopard Lemur Squirrel UniBom-06.22.2010_EE cost _update_internal_Bolt RFQ_Foxlink_03.1 2011_nego meeting@MACH 4" xfId="25060"/>
    <cellStyle name="好_Creek EE BOM cost_20090425_Squirrel UniBom-06.23.2010_update_internal_Bolt RFQ_Foxlink_03.1 2011 2 2" xfId="25061"/>
    <cellStyle name="好_Creek EE BOM cost_20090425_Squirrel UniBom-06.23.2010_update_internal_Bolt RFQ_Foxlink_03.1 2011 3" xfId="25062"/>
    <cellStyle name="好_Creek EE BOM cost_20090425_Squirrel UniBom-06.23.2010_update_internal_Bolt RFQ_Foxlink_03.1 2011 3 2" xfId="25063"/>
    <cellStyle name="好_Creek EE BOM cost_20090425_Squirrel UniBom-06.23.2010_update_internal_Bolt RFQ_Foxlink_03.1 2011 4" xfId="25064"/>
    <cellStyle name="好_Creek EE BOM cost_20090425_Squirrel UniBom-06.23.2010_update_internal_Bolt RFQ_Foxlink_03.1 2011 5" xfId="25065"/>
    <cellStyle name="好_Creek EE BOM cost_20090425_Squirrel UniBom-06.23.2010_update_internal_Bolt RFQ_Foxlink_03.1 2011_nego meeting@MACH 3" xfId="25066"/>
    <cellStyle name="好_Creek EE BOM cost_20090425_Squirrel UniBom-06.23.2010_update_internal_Bolt RFQ_Foxlink_03.1 2011_nego meeting@MACH 3 2" xfId="25067"/>
    <cellStyle name="好_Creek EE BOM cost_20090425_Squirrel UniBom-06.23.2010_update_internal_Bolt RFQ_Foxlink_03.1 2011_nego meeting@MACH 3 3" xfId="25068"/>
    <cellStyle name="好_Creek EE BOM cost_20090425_Squirrel UniBom-06.23.2010_update_internal_Bolt RFQ_Foxlink_03.1 2011_nego meeting@MACH 5" xfId="25069"/>
    <cellStyle name="好_Dolce Forecast" xfId="25070"/>
    <cellStyle name="差_Creek RFQ feedback 04_28_2009_FD Update_Leopard_UniBOM_ME_0602-1_Bolt RFQ Proposal_Foxlink_ (Pricing Summary) 2 25 2011 4 3" xfId="25071"/>
    <cellStyle name="好_Dolce IE 產能評估表_(12-1 Update)" xfId="25072"/>
    <cellStyle name="好_效益分析&amp;產能評估_MS Bolt wireless mouse FixtureEquipment Cost_A5_2010_02_21_Bolt RFQ_Foxlink_03.1 2011_nego meeting@MACH 2 2" xfId="25073"/>
    <cellStyle name="差_HP Mouse 產能評估(Forecast更改後)_M1 SuedeFixtureEquipment Cost_A0_2010_10_15_Bolt RFQ_Foxlink_03.1 2011_nego meeting@MACH 4" xfId="25074"/>
    <cellStyle name="好_River EE BOM_Creek RFQ feedback 04_28_2009_FD Update_Leopard Lemur Squirrel UniBom-06.22.2010_EE cost _update_internal 3" xfId="25075"/>
    <cellStyle name="强调文字颜色 1 3 2" xfId="25076"/>
    <cellStyle name="好_Dolce 成本明細_格式" xfId="25077"/>
    <cellStyle name="差_HP Mouse 產能評估(上系統)_M1 SuedeFixtureEquipment Cost_A0_2010_10_15_Bolt RFQ_Foxlink_03.1 2011_nego meeting@MACH" xfId="25078"/>
    <cellStyle name="壞_Creek Assembly Fixture  Test Equipment RFQ_20090427_Leopard_UniBOM_ME_0531_Bolt RFQ_Foxlink_03.1 2011_nego meeting@MACH 5" xfId="25079"/>
    <cellStyle name="差_Creak Pearl Reliability Fixture RFQ_2009 04 24_Creek RFQ feedback 04_28_2009_FD Update_Bolt RFQ_Foxlink_03.1 2011_nego meeting@MACH 4" xfId="25080"/>
    <cellStyle name="好_Erie Assembly Fixture  Test Equip Cost_20090716" xfId="25081"/>
    <cellStyle name="好_River EE BOM_Creek RFQ feedback 04_28_2009_FD Update_Squirrel UniBom-06.23.2010_update_internal_Bolt RFQ Proposal_Foxlink_ (Pricing Summary) 2 25 2011 5 3" xfId="25082"/>
    <cellStyle name="差_HP Mouse 產能評估(上系統)_M1 SuedeFixtureEquipment Cost_A0_2010_10_15_Bolt RFQ_Foxlink_03.1 2011_nego meeting@MACH 2" xfId="25083"/>
    <cellStyle name="好_Erie Assembly Fixture  Test Equip Cost_20090716 2" xfId="25084"/>
    <cellStyle name="差_HP Mouse 產能評估(上系統)_M1 SuedeFixtureEquipment Cost_A0_2010_10_15_Bolt RFQ_Foxlink_03.1 2011_nego meeting@MACH 2 2" xfId="25085"/>
    <cellStyle name="好_Erie Assembly Fixture  Test Equip Cost_20090716 2 2" xfId="25086"/>
    <cellStyle name="差_jupite r設備&amp;治工具LIST (總)_Dallas效益分析&amp;投資回收期 (12-2 A1)_Jackson 效益分析 testing update_16th Jan111" xfId="25087"/>
    <cellStyle name="差_HP Mouse 產能評估(上系統)_M1 SuedeFixtureEquipment Cost_A0_2010_10_15_Bolt RFQ_Foxlink_03.1 2011_nego meeting@MACH 2 3" xfId="25088"/>
    <cellStyle name="好_River EE BOM_Creak Pearl Reliability Fixture RFQ_2009 04 24_Creek  Pearl RFQ_May 12_Leopard RFQ ME BOM Costs-0618-2 2 2 2" xfId="25089"/>
    <cellStyle name="好_Erie Assembly Fixture  Test Equip Cost_20090716 2 3" xfId="25090"/>
    <cellStyle name="差_HP Mouse 產能評估(上系統)_M1 SuedeFixtureEquipment Cost_A0_2010_10_15_Bolt RFQ_Foxlink_03.1 2011_nego meeting@MACH 3" xfId="25091"/>
    <cellStyle name="好_Erie Assembly Fixture  Test Equip Cost_20090716 3" xfId="25092"/>
    <cellStyle name="差_HP Mouse 產能評估(上系統)_M1 SuedeFixtureEquipment Cost_A0_2010_10_15_Bolt RFQ_Foxlink_03.1 2011_nego meeting@MACH 4" xfId="25093"/>
    <cellStyle name="好_Erie Assembly Fixture  Test Equip Cost_20090716 4" xfId="25094"/>
    <cellStyle name="差_HP Mouse 產能評估(上系統)_M1 SuedeFixtureEquipment Cost_A0_2010_10_15_Bolt RFQ_Foxlink_03.1 2011_nego meeting@MACH 5" xfId="25095"/>
    <cellStyle name="好_Erie Assembly Fixture  Test Equip Cost_20090716 5" xfId="25096"/>
    <cellStyle name="好_Erie Assembly Fixture  Test Equip Cost_20090716_Bolt EE tracker 20110421" xfId="25097"/>
    <cellStyle name="好_River EE BOM_Xl0000000_Foxlink_Shadow RFQ NREUni BOM_12032009 3 2" xfId="25098"/>
    <cellStyle name="好_Erie Assembly Fixture  Test Equip Cost_20090716_Bolt RFQ Proposal_Foxlink_ (Pricing Summary) 2 25 2011 2 2" xfId="25099"/>
    <cellStyle name="好_Erie Assembly Fixture  Test Equip Cost_20090716_Bolt RFQ Proposal_Foxlink_ (Pricing Summary) 2 25 2011 2 2 2" xfId="25100"/>
    <cellStyle name="好_River EE BOM_Xl0000000_Foxlink_Shadow RFQ NREUni BOM_12032009 3 3" xfId="25101"/>
    <cellStyle name="好_Erie Assembly Fixture  Test Equip Cost_20090716_Bolt RFQ Proposal_Foxlink_ (Pricing Summary) 2 25 2011 2 3" xfId="25102"/>
    <cellStyle name="差_dallas產能評估_Dallas flow chart&amp;設備&amp;治工具清單(12-8 A0)_Jackson 效益分析 (2-1 B0 上系統)_Leopard效益分析08-17" xfId="25103"/>
    <cellStyle name="好_Erie Assembly Fixture  Test Equip Cost_20090716_Bolt RFQ Proposal_Foxlink_ (Pricing Summary) 2 25 2011 3" xfId="25104"/>
    <cellStyle name="好_Erie Assembly Fixture  Test Equip Cost_20090716_Bolt RFQ Proposal_Foxlink_ (Pricing Summary) 2 25 2011 3 3" xfId="25105"/>
    <cellStyle name="好_Erie Assembly Fixture  Test Equip Cost_20090716_Bolt RFQ Proposal_Foxlink_ (Pricing Summary) 2 25 2011 5 2" xfId="25106"/>
    <cellStyle name="好_Erie Assembly Fixture  Test Equip Cost_20090716_Bolt RFQ_Foxlink_03.1 2011" xfId="25107"/>
    <cellStyle name="差_效益分析&amp;產能評估_M1 SuedeFixtureEquipment Cost_A0_2010_10_15_Bolt RFQ_Foxlink_03.1 2011 3 3" xfId="25108"/>
    <cellStyle name="好_Erie Assembly Fixture  Test Equip Cost_20090716_Bolt RFQ_Foxlink_03.1 2011 2" xfId="25109"/>
    <cellStyle name="好_Erie Assembly Fixture  Test Equip Cost_20090716_Bolt RFQ_Foxlink_03.1 2011 2 2" xfId="25110"/>
    <cellStyle name="好_Erie Assembly Fixture  Test Equip Cost_20090716_Bolt RFQ_Foxlink_03.1 2011 3 2" xfId="25111"/>
    <cellStyle name="好_Erie Assembly Fixture  Test Equip Cost_20090716_Bolt RFQ_Foxlink_03.1 2011 3 3" xfId="25112"/>
    <cellStyle name="好_Erie Assembly Fixture  Test Equip Cost_20090716_Bolt RFQ_Foxlink_03.1 2011_nego meeting@MACH 2" xfId="25113"/>
    <cellStyle name="好_Erie Assembly Fixture  Test Equip Cost_20090716_Bolt RFQ_Foxlink_03.1 2011_nego meeting@MACH 2 2" xfId="25114"/>
    <cellStyle name="好_Erie Assembly Fixture  Test Equip Cost_20090716_Bolt RFQ_Foxlink_03.1 2011_nego meeting@MACH 3" xfId="25115"/>
    <cellStyle name="好_Erie Assembly Fixture  Test Equip Cost_20090716_Bolt RFQ_Foxlink_03.1 2011_nego meeting@MACH 3 2" xfId="25116"/>
    <cellStyle name="好_Erie Assembly Fixture  Test Equip Cost_20090716_Bolt RFQ_Foxlink_03.1 2011_nego meeting@MACH 5" xfId="25117"/>
    <cellStyle name="好_Erie Assembly Fixture  Test Equip Cost_20090716_Foxlink_Shadow RFQ NREUni BOM_12032009 2" xfId="25118"/>
    <cellStyle name="差_Jackson 效益分析 testing update_16th Jan111_Jackson 效益分析 (2-1 B0 上系統)_Leopard效益分析08-17" xfId="25119"/>
    <cellStyle name="好_Erie Assembly Fixture  Test Equip Cost_20090716_Foxlink_Shadow RFQ NREUni BOM_12032009 2 3" xfId="25120"/>
    <cellStyle name="差_Creak Pearl Reliability Fixture RFQ_2009 04 24_Creek RFQ feedback 04_28_2009_FD Update_Leopard_UniBOM_ME_0603-2_Bolt RFQ_Foxlink_03.1 2011" xfId="25121"/>
    <cellStyle name="好_Erie Assembly Fixture  Test Equip Cost_20090716_Foxlink_Shadow RFQ NREUni BOM_12032009 2 4" xfId="25122"/>
    <cellStyle name="好_Erie Assembly Fixture  Test Equip Cost_20090716_Foxlink_Shadow RFQ NREUni BOM_12032009 3" xfId="25123"/>
    <cellStyle name="好_Erie Assembly Fixture  Test Equip Cost_20090716_Foxlink_Shadow RFQ NREUni BOM_12032009 3 2" xfId="25124"/>
    <cellStyle name="好_Erie Assembly Fixture  Test Equip Cost_20090716_Foxlink_Shadow RFQ NREUni BOM_12032009_Bolt RFQ Proposal_Foxlink_ (Pricing Summary) 2 25 2011" xfId="25125"/>
    <cellStyle name="好_Erie Assembly Fixture  Test Equip Cost_20090716_Foxlink_Shadow RFQ NREUni BOM_12032009_Bolt RFQ Proposal_Foxlink_ (Pricing Summary) 2 25 2011 2" xfId="25126"/>
    <cellStyle name="好_Erie Assembly Fixture  Test Equip Cost_20090716_Foxlink_Shadow RFQ NREUni BOM_12032009_Bolt RFQ Proposal_Foxlink_ (Pricing Summary) 2 25 2011 2 2 2" xfId="25127"/>
    <cellStyle name="好_Erie Assembly Fixture  Test Equip Cost_20090716_Foxlink_Shadow RFQ NREUni BOM_12032009_Bolt RFQ Proposal_Foxlink_ (Pricing Summary) 2 25 2011 2 2 3" xfId="25128"/>
    <cellStyle name="好_Erie Assembly Fixture  Test Equip Cost_20090716_Foxlink_Shadow RFQ NREUni BOM_12032009_Bolt RFQ Proposal_Foxlink_ (Pricing Summary) 2 25 2011 2 3" xfId="25129"/>
    <cellStyle name="好_Erie Assembly Fixture  Test Equip Cost_20090716_Foxlink_Shadow RFQ NREUni BOM_12032009_Bolt RFQ Proposal_Foxlink_ (Pricing Summary) 2 25 2011 2 4" xfId="25130"/>
    <cellStyle name="好_Erie Assembly Fixture  Test Equip Cost_20090716_Foxlink_Shadow RFQ NREUni BOM_12032009_Bolt RFQ Proposal_Foxlink_ (Pricing Summary) 2 25 2011 3" xfId="25131"/>
    <cellStyle name="差_dallas產能評估_Dallas flow chart&amp;設備&amp;治工具清單(12-8 A0)_效益分析(總 12-28 Update)" xfId="25132"/>
    <cellStyle name="差_Creak Pearl Reliability Fixture RFQ_2009 04 24_Creek RFQ feedback 04_28_2009_FD Update_Leopard_UniBOM_ME_0602-1_Bolt RFQ Proposal_Foxlink_ (Pricing Summary) 2 25 2011 2" xfId="25133"/>
    <cellStyle name="好_Erie Assembly Fixture  Test Equip Cost_20090716_Foxlink_Shadow RFQ NREUni BOM_12032009_Bolt RFQ Proposal_Foxlink_ (Pricing Summary) 2 25 2011 3 3" xfId="25134"/>
    <cellStyle name="好_Erie Assembly Fixture  Test Equip Cost_20090716_Foxlink_Shadow RFQ NREUni BOM_12032009_Bolt RFQ Proposal_Foxlink_ (Pricing Summary) 2 25 2011 4" xfId="25135"/>
    <cellStyle name="差_F3   SMT設備明細_Leopard Flowchart &amp; 產能評估" xfId="25136"/>
    <cellStyle name="好_Erie Assembly Fixture  Test Equip Cost_20090716_Foxlink_Shadow RFQ NREUni BOM_12032009_Bolt RFQ Proposal_Foxlink_ (Pricing Summary) 2 25 2011 4 2" xfId="25137"/>
    <cellStyle name="好_Erie Assembly Fixture  Test Equip Cost_20090716_Foxlink_Shadow RFQ NREUni BOM_12032009_Bolt RFQ Proposal_Foxlink_ (Pricing Summary) 2 25 2011 4 3" xfId="25138"/>
    <cellStyle name="好_Erie Assembly Fixture  Test Equip Cost_20090716_Foxlink_Shadow RFQ NREUni BOM_12032009_Bolt RFQ Proposal_Foxlink_ (Pricing Summary) 2 25 2011 5 2" xfId="25139"/>
    <cellStyle name="好_River EE BOM_Creak Pearl Reliability Fixture RFQ_2009 04 24_Creek RFQ feedback 04_28_2009_FD Update_Leopard_UniBOM_ME_0602-1_Bolt RFQ_Foxlink_03.1 2011 2 2" xfId="25140"/>
    <cellStyle name="好_Erie Assembly Fixture  Test Equip Cost_20090716_Foxlink_Shadow RFQ NREUni BOM_12032009_Bolt RFQ Proposal_Foxlink_ (Pricing Summary) 2 25 2011 5 3" xfId="25141"/>
    <cellStyle name="好_Erie Assembly Fixture  Test Equip Cost_20090716_Foxlink_Shadow RFQ NREUni BOM_12032009_Bolt RFQ Proposal_Foxlink_ (Pricing Summary) 2 25 2011 6" xfId="25142"/>
    <cellStyle name="好_Erie Assembly Fixture  Test Equip Cost_20090716_Foxlink_Shadow RFQ NREUni BOM_12032009_Bolt RFQ Proposal_Foxlink_ (Pricing Summary) 2 25 2011 7" xfId="25143"/>
    <cellStyle name="好_Erie Assembly Fixture  Test Equip Cost_20090716_Foxlink_Shadow RFQ NREUni BOM_12032009_Bolt RFQ_Foxlink_03.1 2011 2" xfId="25144"/>
    <cellStyle name="好_Erie Assembly Fixture  Test Equip Cost_20090716_Foxlink_Shadow RFQ NREUni BOM_12032009_Bolt RFQ_Foxlink_03.1 2011 2 2" xfId="25145"/>
    <cellStyle name="好_Erie Assembly Fixture  Test Equip Cost_20090716_Foxlink_Shadow RFQ NREUni BOM_12032009_Bolt RFQ_Foxlink_03.1 2011 2 3" xfId="25146"/>
    <cellStyle name="好_Erie Assembly Fixture  Test Equip Cost_20090716_Foxlink_Shadow RFQ NREUni BOM_12032009_Bolt RFQ_Foxlink_03.1 2011 4" xfId="25147"/>
    <cellStyle name="好_River EE BOM_Creak Pearl Reliability Fixture RFQ_2009 04 24_Creek RFQ feedback 04_28_2009_FD Update_Leopard UniBom_Foxlink_6 21 2010-ME_nego_Bolt RFQ Proposal_Foxlink_ (Pricing Summary) 2 25 2011 5 2" xfId="25148"/>
    <cellStyle name="好_Erie Assembly Fixture  Test Equip Cost_20090716_Foxlink_Shadow RFQ NREUni BOM_12032009_Bolt RFQ_Foxlink_03.1 2011_nego meeting@MACH" xfId="25149"/>
    <cellStyle name="好_Erie Assembly Fixture  Test Equip Cost_20090716_Foxlink_Shadow RFQ NREUni BOM_12032009_Bolt RFQ_Foxlink_03.1 2011_nego meeting@MACH 2 2" xfId="25150"/>
    <cellStyle name="差_Creak Pearl Reliability Fixture RFQ_2009 04 24_Creek  Pearl RFQ_May 12_Leopard_UniBOM_ME_0531" xfId="25151"/>
    <cellStyle name="好_Erie Assembly Fixture  Test Equip Cost_20090716_Foxlink_Shadow RFQ NREUni BOM_12032009_Bolt RFQ_Foxlink_03.1 2011_nego meeting@MACH 3 3" xfId="25152"/>
    <cellStyle name="好_Erie Assembly Fixture  Test Equip Cost_20090716_Foxlink_Shadow RFQ NREUni BOM_12032009_Bolt RFQ_Foxlink_03.1 2011_nego meeting@MACH 4" xfId="25153"/>
    <cellStyle name="好_Erie Assembly Fixture  Test Equip Cost_20090716_Foxlink_Shadow RFQ NREUni BOM_12032009_Bolt RFQ_Foxlink_03.1 2011_nego meeting@MACH 5" xfId="25154"/>
    <cellStyle name="好_Erie Assembly Fixture  Test Equip Cost_20090716_Foxlink_Shadow RFQ NREUni BOM_12032009_Leopard UniBom_Foxlink_12092010 RevD-jen" xfId="25155"/>
    <cellStyle name="好_River EE BOM_Creak Pearl Reliability Fixture RFQ_2009 04 24_Xl0000002_Bolt RFQ_Foxlink_03.1 2011_nego meeting@MACH 4" xfId="25156"/>
    <cellStyle name="好_Erie Assembly Fixture  Test Equip Cost_20090716_Foxlink_Shadow RFQ NREUni BOM_12032009_Leopard UniBom_Foxlink_12272010 RevF_shirley" xfId="25157"/>
    <cellStyle name="好_Erie Assembly Fixture  Test Equip Cost_20090716_Foxlink_Shadow RFQ NREUni BOM_12032009_Wedge_ME_BOM-v00-11v0630" xfId="25158"/>
    <cellStyle name="差_HP Mouse 產能評估(上系統)_Erie 效益分析 (Update)_Flow Chart&amp;設備治工具清單 _Leopard Flowchart &amp; 產能評估" xfId="25159"/>
    <cellStyle name="差_HP Mouse 產能評估(Forecast更改後)_M1 SuedeFixtureEquipment Cost_A0_2010_10_15 5" xfId="25160"/>
    <cellStyle name="好_Erie Assembly Fixture  Test Equip Cost_20090716_Foxlink_Shadow RFQ NREUni BOM_12032009_Wedge_ME_BOM-v00-11v0715" xfId="25161"/>
    <cellStyle name="好_Erie Assembly Fixture  Test Equip Cost_20090716_Jackson and Shadow test cost update _7th Feb 2010 (2)_Bristol TC Estimate Update 07292011" xfId="25162"/>
    <cellStyle name="好_Erie Assembly Fixture  Test Equip Cost_20090716_Jackson and Shadow test cost update _7th Feb 2010 (2)_Bristol TC Estimate Update 07292011_internal from Tony" xfId="25163"/>
    <cellStyle name="好_Erie Assembly Fixture  Test Equip Cost_20090716_Jackson and Shadow test cost update _7th Feb 2010 (2)_Bristol TC Estimate Update 08012011" xfId="25164"/>
    <cellStyle name="好_River EE BOM_Creak Pearl Reliability Fixture RFQ_2009 04 24_Xl0000002_Leopard UniBom_Foxlink_6 21 2010-ME_nego_Bolt RFQ_Foxlink_03.1 2011_nego meeting@MACH 4" xfId="25165"/>
    <cellStyle name="好_Erie Assembly Fixture  Test Equip Cost_20090716_Jackson and Shadow test cost update _7th Feb 2010 (2)_Bristol TC Estimate Update 08112011_internal working file" xfId="25166"/>
    <cellStyle name="好_K TEST 2 2" xfId="25167"/>
    <cellStyle name="好_Erie Assembly Fixture  Test Equip Cost_20090716_Jackson NRE Uni BOM_update _05072010 rev K_Leopard UniBom_Foxlink_12092010 RevD-jen" xfId="25168"/>
    <cellStyle name="好_Erie Assembly Fixture  Test Equip Cost_20090716_Jackson NRE Uni BOM_update _05072010 rev K_Leopard UniBom_Foxlink_12272010 RevF_shirley" xfId="25169"/>
    <cellStyle name="好_Erie Assembly Fixture  Test Equip Cost_20090716_Oslo Quark Certification 20100312" xfId="25170"/>
    <cellStyle name="好_Erie Assembly Fixture  Test Equip Cost_20090716_Oslo Quark Certification 20100312_Bristol UniBom_Foxlink_02082011 RevA" xfId="25171"/>
    <cellStyle name="好_River EE BOM_Creak Pearl Reliability Fixture RFQ_2009 04 24_Creek RFQ feedback 04_28_2009_FD Update_Leopard_UniBOM_ME_0602_Bolt RFQ_Foxlink_03.1 2011_nego meeting@MACH 2 3" xfId="25172"/>
    <cellStyle name="好_效益分析&amp;產能評估_Bolt RFQ Proposal_Foxlink_ (Pricing Summary) 2 25 2011" xfId="25173"/>
    <cellStyle name="好_Erie Assembly Fixture  Test Equip Cost_20090716_Oslo Quark Certification 20100312_Leopard UniBom_Foxlink_12272010 RevF_shirley" xfId="25174"/>
    <cellStyle name="好_Erie mouse 效益分析( 11-19 A1)" xfId="25175"/>
    <cellStyle name="好_Erie Trial run  QA Report-1103_Dolce   QA Report 2010_0902" xfId="25176"/>
    <cellStyle name="好_Erie Trial run  QA Report-1103_Dolce   QA Report 2010_0902 (A3)_Dolce   QA Report 2010_0902" xfId="25177"/>
    <cellStyle name="差_Creak Pearl Reliability Fixture RFQ_2009 04 24_Creek RFQ feedback 04_28_2009_FD Update_Leopard_UniBOM_ME_0602-1_Bolt RFQ_Foxlink_03.1 2011 2 2" xfId="25178"/>
    <cellStyle name="好_Erie Trial run  QA Report-1105" xfId="25179"/>
    <cellStyle name="好_River EE BOM_Xl0000002_Foxlink_Shadow RFQ NREUni BOM_12032009 2 2 2" xfId="25180"/>
    <cellStyle name="好_Erie Trial run  QA Report-1105_Dolce   QA Report 2010_0902 (A3)" xfId="25181"/>
    <cellStyle name="好_Erie Trial run  QA Report-1105_Dolce   QA Report 2010_0902 (A3)_~7519239" xfId="25182"/>
    <cellStyle name="好_Erie Trial run  QA Report-1105_Dolce   QA Report 2010_0902 (A3)_Dolce   QA Report 2010_0902" xfId="25183"/>
    <cellStyle name="好_Erie Trial run  QA Report-1105_Dolce   QA Report 2010_0902_~7519239" xfId="25184"/>
    <cellStyle name="好_Erie Trial run  QA Report-1105_Xl0000010" xfId="25185"/>
    <cellStyle name="好_Erie 效益分析 (Update)" xfId="25186"/>
    <cellStyle name="好_Erie 效益分析 (Update)_~1159284" xfId="25187"/>
    <cellStyle name="好_Erie 效益分析 (Update)_~5631336_Jackson 效益分析 (2-1 B0 上系統)" xfId="25188"/>
    <cellStyle name="好_River EE BOM_Xl0000002_Leopard_UniBOM_ME_0602_Bolt RFQ Proposal_Foxlink_ (Pricing Summary) 2 25 2011 3 3" xfId="25189"/>
    <cellStyle name="好_Erie 效益分析 (Update)_~5631336_Jackson 效益分析 (2-1 B0 上系統)_Leopard Flowchart &amp; 產能評估" xfId="25190"/>
    <cellStyle name="好_Erie 效益分析 (Update)_~5631336_Jackson 效益分析 (2-1 B0 上系統)_squirrel效益分析08-17" xfId="25191"/>
    <cellStyle name="差_F3   SMT設備明細_M1 Squirrel Capacity planFixtureEquipment Cost_A2_06192010" xfId="25192"/>
    <cellStyle name="注释 3 2" xfId="25193"/>
    <cellStyle name="好_Erie 效益分析 (Update)_Flow chart and Fixture(1-4)" xfId="25194"/>
    <cellStyle name="好_Erie 效益分析 (Update)_Flow chart and Fixture(1-4)_Jackson 效益分析 (2-1 B0 上系統)" xfId="25195"/>
    <cellStyle name="好_Erie 效益分析 (Update)_Flow chart and Fixture(1-4)_Jackson 效益分析 (2-1 B0 上系統)_Leopard Flowchart &amp; 產能評估" xfId="25196"/>
    <cellStyle name="差_jupite r設備&amp;治工具LIST (總)_flow chart 2009.12.12_Leopard效益分析08-17" xfId="25197"/>
    <cellStyle name="好_Erie 效益分析 (Update)_Flow chart and Fixture(1-4)_Jackson 效益分析 (2-1 B0 上系統)_Leopard效益分析08-17" xfId="25198"/>
    <cellStyle name="好_Erie 效益分析 (Update)_Flow chart and Fixture(1-4)_Jackson 效益分析 (2-1 B0 上系統)_squirrel效益分析08-17" xfId="25199"/>
    <cellStyle name="好_Erie 效益分析 (Update)_Flow chart and Fixture(Jackson)_A1" xfId="25200"/>
    <cellStyle name="好_Erie 效益分析 (Update)_Flow chart and Fixture(Jackson)_A1_Jackson 效益分析 (2-1 B0 上系統)" xfId="25201"/>
    <cellStyle name="好_Erie 效益分析 (Update)_Flow chart and Fixture(Jackson)_A1_Jackson 效益分析 (2-1 B0 上系統)_Leopard Flowchart &amp; 產能評估" xfId="25202"/>
    <cellStyle name="输入 3" xfId="25203"/>
    <cellStyle name="好_Erie 效益分析 (Update)_Flow chart and Fixture(Jackson)_A1_Jackson 效益分析 (2-1 B0 上系統)_Leopard效益分析08-17" xfId="25204"/>
    <cellStyle name="好_Erie 效益分析 (Update)_Flow chart and Fixture(Jackson)_A1_Jackson 效益分析 (2-1 B0 上系統)_squirrel效益分析08-17" xfId="25205"/>
    <cellStyle name="好_Erie 效益分析 (Update)_Flow Chart&amp;設備治工具清單 _~1159284" xfId="25206"/>
    <cellStyle name="好_Erie 效益分析 (Update)_Flow Chart&amp;設備治工具清單 _Jackson 效益分析 (2-1 B0 上系統)" xfId="25207"/>
    <cellStyle name="差_F3   SMT設備明細_jupite r設備&amp;治工具LIST (總)_Flow Chart&amp;PQ分析(12-1)_效益分析(總 12-28 Update)_Leopard Flowchart &amp; 產能評估" xfId="25208"/>
    <cellStyle name="好_Erie 效益分析 (Update)_Flow Chart&amp;設備治工具清單 _Jackson 效益分析 (2-1 B0 上系統)_Leopard Flowchart &amp; 產能評估" xfId="25209"/>
    <cellStyle name="好_Erie 效益分析 (Update)_Flow Chart&amp;設備治工具清單 _Jackson 效益分析 (2-1 B0 上系統)_Leopard效益分析08-17" xfId="25210"/>
    <cellStyle name="好_River EE BOM_Jackson EE BOM " xfId="25211"/>
    <cellStyle name="好_Erie 效益分析 (Update)_Flow Chart&amp;設備治工具清單 _Jackson 效益分析 (2-1 B0 上系統)_squirrel效益分析08-17" xfId="25212"/>
    <cellStyle name="好_Erie 效益分析 (Update)_Flow Chart&amp;設備治工具清單 _Leopard Flowchart &amp; 產能評估" xfId="25213"/>
    <cellStyle name="好_Erie 效益分析 (Update)_Flow Chart&amp;設備治工具清單 _Leopard效益分析08-17" xfId="25214"/>
    <cellStyle name="好_Erie 效益分析 (Update)_Flow Chart&amp;設備治工具清單 _squirrel效益分析08-17" xfId="25215"/>
    <cellStyle name="差_F3   SMT設備明細_jupite r設備&amp;治工具LIST (總)_Dallas flow chart&amp;設備&amp;治工具清單(12-8 A0)" xfId="25216"/>
    <cellStyle name="好_Erie 效益分析 (Update)_Jackson 效益分析 (1-18 A7)" xfId="25217"/>
    <cellStyle name="好_Erie 效益分析 (Update)_Jackson 效益分析 (2-1 B0 上系統)_Leopard Flowchart &amp; 產能評估" xfId="25218"/>
    <cellStyle name="差_Xl0000000_Leopard_UniBOM_ME_0603-2_Bolt RFQ Proposal_Foxlink_ (Pricing Summary) 2 25 2011 5 2" xfId="25219"/>
    <cellStyle name="好_Erie 效益分析 (Update)_Jackson 效益分析 (2-1 B0 上系統)_Leopard效益分析08-17" xfId="25220"/>
    <cellStyle name="好_Erie 效益分析 (Update)_Jackson 效益分析 testing update_16th Jan1" xfId="25221"/>
    <cellStyle name="好_Erie 效益分析 (Update)_Jackson 效益分析 testing update_16th Jan1_Jackson 效益分析 (2-1 B0 上系統)" xfId="25222"/>
    <cellStyle name="好_River EE BOM_Creak Pearl Reliability Fixture RFQ_2009 04 24_Xl0000002_Leopard Lemur Squirrel UniBom-06.22.2010_EE cost _update_internal_Bolt RFQ Proposal_Foxlink_ (Pricing Summary) 2 25 2011 2 2 3" xfId="25223"/>
    <cellStyle name="好_Erie 效益分析 (Update)_Jackson 效益分析 testing update_16th Jan1_Jackson 效益分析 (2-1 B0 上系統)_Leopard效益分析08-17" xfId="25224"/>
    <cellStyle name="好_Erie 效益分析 (Update)_Jackson 效益分析 testing update_16th Jan1_Jackson 效益分析 (2-1 B0 上系統)_squirrel效益分析08-17" xfId="25225"/>
    <cellStyle name="好_Erie 效益分析 (Update)_Jackson 效益分析 testing update_16th Jan111_Jackson 效益分析 (2-1 B0 上系統)_Leopard Flowchart &amp; 產能評估" xfId="25226"/>
    <cellStyle name="好_Erie 效益分析 (Update)_squirrel效益分析08-17" xfId="25227"/>
    <cellStyle name="好_Erie 效益分析 (Update)_效益分析(總 12-28 Update)" xfId="25228"/>
    <cellStyle name="差_HP Mouse 產能評估(上系統)_Bolt RFQ_Foxlink_03.1 2011 5" xfId="25229"/>
    <cellStyle name="好_Erie 效益分析 (Update)_效益分析(總 12-28 Update)_Jackson 效益分析 (2-1 B0 上系統)_Leopard Flowchart &amp; 產能評估" xfId="25230"/>
    <cellStyle name="好_Erie 效益分析 (Update)_效益分析(總 12-28 Update)_Jackson 效益分析 (2-1 B0 上系統)_Leopard效益分析08-17" xfId="25231"/>
    <cellStyle name="好_River EE BOM_Creak Pearl Reliability Fixture RFQ_2009 04 24_Xl0000002_Squirrel UniBom-06.23.2010_update_internal 2 4" xfId="25232"/>
    <cellStyle name="好_Erie 效益分析 (Update)_效益分析(總 12-28 Update)_Jackson 效益分析 (2-1 B0 上系統)_squirrel效益分析08-17" xfId="25233"/>
    <cellStyle name="好_Erie 效益分析 (Update)_效益分析(總 12-28 Update)_squirrel效益分析08-17" xfId="25234"/>
    <cellStyle name="好_F3   SMT設備明細_M1 Lemur Capacity planFixtureEquipment Cost_A2_06192010" xfId="25235"/>
    <cellStyle name="好_Flow Chart&amp;PQ分析(12-1)" xfId="25236"/>
    <cellStyle name="好_Forecast格式-Erie_M1 Lemur Capacity planFixtureEquipment Cost_A2_06192010" xfId="25237"/>
    <cellStyle name="好_Forecast格式-LLS" xfId="25238"/>
    <cellStyle name="好_River EE BOM_Creak Pearl Reliability Fixture RFQ_2009 04 24_Pearl RFQ(Submittal)ver2_05_12_2009 _Bolt RFQ Proposal_Foxlink_ (Pricing Summary) 2 25 2011 2" xfId="25239"/>
    <cellStyle name="好_foxlink Bristol for 10063D-2010-10-11" xfId="25240"/>
    <cellStyle name="好_foxlink Bristol for 10063D-2010-10-11_Bristol ME parts tooling cost 20101022 updated_Bristol TC Estimate Update 07292011" xfId="25241"/>
    <cellStyle name="好_foxlink Bristol for 10063D-2010-10-11_Bristol RFQ response _20101102_internal (4)" xfId="25242"/>
    <cellStyle name="好_foxlink Bristol for 10063D-2010-10-11_Bristol RFQ response _20101102_internal (4)_Bristol MP quote update_08182011_MS" xfId="25243"/>
    <cellStyle name="好_River EE BOM_Xl0000000_Squirrel UniBom-06.23.2010_update_internal_Bolt RFQ Proposal_Foxlink_ (Pricing Summary) 2 25 2011 4 2" xfId="25244"/>
    <cellStyle name="好_foxlink Bristol for 10063D-2010-10-11_Bristol RFQ response _20101102_internal (4)_Bristol TC Estimate Update 08112011_internal working file" xfId="25245"/>
    <cellStyle name="好_H&amp;W產品人力需求-2012.01.16" xfId="25246"/>
    <cellStyle name="好_HP  專案(設備&amp;治工具需夠買)update" xfId="25247"/>
    <cellStyle name="好_River EE BOM_Creak Pearl Reliability Fixture RFQ_2009 04 24_Creek RFQ feedback 04_28_2009_FD Update_Leopard RFQ ME BOM Costs-0618_Bolt RFQ_Foxlink_03.1 2011_nego meeting@MACH 5" xfId="25248"/>
    <cellStyle name="好_River EE BOM_Creak Pearl Reliability Fixture RFQ_2009 04 24_Leopard_UniBOM_ME_0603-2_Bolt RFQ Proposal_Foxlink_ (Pricing Summary) 2 25 2011 2 2 3" xfId="25249"/>
    <cellStyle name="好_HP all model 標準工時(W1130) 2" xfId="25250"/>
    <cellStyle name="好_HP all model 標準工時(W1130) 2 2 2" xfId="25251"/>
    <cellStyle name="差_jupite r設備&amp;治工具LIST (總)_Jackson 效益分析 (2-1 B0 上系統)" xfId="25252"/>
    <cellStyle name="好_HP all model 標準工時(W1130) 2 2 2 3" xfId="25253"/>
    <cellStyle name="好_HP all model 標準工時(W1130) 2 2 3" xfId="25254"/>
    <cellStyle name="好_River EE BOM_Creak Pearl Reliability Fixture RFQ_2009 04 24_Creek RFQ feedback 04_28_2009_FD Update_Leopard_UniBOM_ME_0603-2 3" xfId="25255"/>
    <cellStyle name="好_HP all model 標準工時(W1130) 2 4" xfId="25256"/>
    <cellStyle name="好_HP all model 標準工時(W1130) 3" xfId="25257"/>
    <cellStyle name="好_HP all model 標準工時(W1130) 3 2" xfId="25258"/>
    <cellStyle name="好_HP all model 標準工時(W1130) 3 3" xfId="25259"/>
    <cellStyle name="好_HP all model 標準工時(W1130) 4" xfId="25260"/>
    <cellStyle name="好_HP all model 標準工時(W1130) 5" xfId="25261"/>
    <cellStyle name="好_HP all model 標準工時(W1130) 5 2" xfId="25262"/>
    <cellStyle name="差_治具工程課2009年KPI_KPI 1006 5 4" xfId="25263"/>
    <cellStyle name="好_HP all model 標準工時(W1130) 5 2 3" xfId="25264"/>
    <cellStyle name="差_Creak Pearl Reliability Fixture RFQ_2009 04 24_Xl0000002_Squirrel RFQ ME BOM Costs-0623 2" xfId="25265"/>
    <cellStyle name="差_Xl0000002_Leopard RFQ ME BOM Costs-0618" xfId="25266"/>
    <cellStyle name="差_Xl0000002_Leopard RFQ ME BOM Costs-0623" xfId="25267"/>
    <cellStyle name="好_HP all model 標準工時(W1130) 5 4" xfId="25268"/>
    <cellStyle name="好_HP all model 標準工時(W1130) 6" xfId="25269"/>
    <cellStyle name="差_Creak Pearl Reliability Fixture RFQ_2009 04 24_Creek  Pearl RFQ_May 12_Leopard Lemur Squirrel UniBom-06.22.2010_EE cost _update_internal 3" xfId="25270"/>
    <cellStyle name="好_HP all model 標準工時(W1130) 6 2" xfId="25271"/>
    <cellStyle name="好_HP all model 標準工時(W1130) 6 3" xfId="25272"/>
    <cellStyle name="好_HP Mouse 產能評估(上系統)" xfId="25273"/>
    <cellStyle name="好_I E (Update)" xfId="25274"/>
    <cellStyle name="差_HP  專案(設備&amp;治工具需夠買)update_M1 SuedeFixtureEquipment Cost_A0_2010_10_15_Bolt RFQ Proposal_Foxlink_ (Pricing Summary) 2 25 2011 4 2" xfId="25275"/>
    <cellStyle name="好_I E (Update)_M1 Lemur Capacity planFixtureEquipment Cost_A2_06192010" xfId="25276"/>
    <cellStyle name="好_IE (Update)" xfId="25277"/>
    <cellStyle name="好_Jackson Certification Schedule 01182010" xfId="25278"/>
    <cellStyle name="好_Jackson_ ErrorˍCode" xfId="25279"/>
    <cellStyle name="好_K TEST 2" xfId="25280"/>
    <cellStyle name="好_K TEST 2 3" xfId="25281"/>
    <cellStyle name="好_K TEST 2 3 2" xfId="25282"/>
    <cellStyle name="好_K TEST 2 3 3" xfId="25283"/>
    <cellStyle name="差_F3   SMT設備明細_效益分析_flow chart 2009.12.12_Jackson 效益分析 testing update_16th Jan1_Jackson 效益分析 (2-1 B0 上系統)" xfId="25284"/>
    <cellStyle name="好_K TEST 2 4" xfId="25285"/>
    <cellStyle name="好_K TEST 2 5" xfId="25286"/>
    <cellStyle name="好_K TEST 3" xfId="25287"/>
    <cellStyle name="好_K TEST 3 2" xfId="25288"/>
    <cellStyle name="好_K TEST 3 2 2" xfId="25289"/>
    <cellStyle name="好_K TEST 3 2 3" xfId="25290"/>
    <cellStyle name="好_K TEST 3 3" xfId="25291"/>
    <cellStyle name="好_K TEST 4" xfId="25292"/>
    <cellStyle name="差_Creak Pearl Reliability Fixture RFQ_2009 04 24_Leopard Lemur Squirrel UniBom-06.22.2010_EE cost _update_internal_Bolt RFQ Proposal_Foxlink_ (Pricing Summary) 2 25 2011 2 3" xfId="25293"/>
    <cellStyle name="差_0842周 顯卡報廢超標8D 2 2 2" xfId="25294"/>
    <cellStyle name="好_K TEST 5 2" xfId="25295"/>
    <cellStyle name="差_0842周 顯卡報廢超標8D 2 2 2 3" xfId="25296"/>
    <cellStyle name="好_K TEST 5 2 3" xfId="25297"/>
    <cellStyle name="差_Creak Pearl Reliability Fixture RFQ_2009 04 24_Leopard Lemur Squirrel UniBom-06.22.2010_EE cost _update_internal_Bolt RFQ Proposal_Foxlink_ (Pricing Summary) 2 25 2011 2 4" xfId="25298"/>
    <cellStyle name="差_0842周 顯卡報廢超標8D 2 2 3" xfId="25299"/>
    <cellStyle name="好_K TEST 5 3" xfId="25300"/>
    <cellStyle name="差_0842周 顯卡報廢超標8D 2 2 4" xfId="25301"/>
    <cellStyle name="好_K TEST 5 4" xfId="25302"/>
    <cellStyle name="差_0842周 顯卡報廢超標8D 2 3" xfId="25303"/>
    <cellStyle name="好_K TEST 6" xfId="25304"/>
    <cellStyle name="差_Creak Pearl Reliability Fixture RFQ_2009 04 24_Leopard Lemur Squirrel UniBom-06.22.2010_EE cost _update_internal_Bolt RFQ Proposal_Foxlink_ (Pricing Summary) 2 25 2011 3 3" xfId="25305"/>
    <cellStyle name="差_0842周 顯卡報廢超標8D 2 3 2" xfId="25306"/>
    <cellStyle name="好_K TEST 6 2" xfId="25307"/>
    <cellStyle name="好_River EE BOM_Creek RFQ feedback 04_28_2009_FD Update_Leopard RFQ ME BOM Costs-0618-2_Bolt RFQ Proposal_Foxlink_ (Pricing Summary) 2 25 2011 5" xfId="25308"/>
    <cellStyle name="差_0842周 顯卡報廢超標8D 2 3 3" xfId="25309"/>
    <cellStyle name="好_K TEST 6 3" xfId="25310"/>
    <cellStyle name="好_River EE BOM_Creek RFQ feedback 04_28_2009_FD Update_Leopard RFQ ME BOM Costs-0618-2_Bolt RFQ Proposal_Foxlink_ (Pricing Summary) 2 25 2011 6" xfId="25311"/>
    <cellStyle name="好_K-MB工時" xfId="25312"/>
    <cellStyle name="好_Leopard Plastics RFQ Worksheets_0527" xfId="25313"/>
    <cellStyle name="好_Leopard Plastics Tooling RFQ Worksheets_20100909-hot run-邱總最終價-調整滾輪" xfId="25314"/>
    <cellStyle name="好_LLS_EV1_DVE_Plan_20101013" xfId="25315"/>
    <cellStyle name="差_Creak Pearl Reliability Fixture RFQ_2009 04 24_Creek  Pearl RFQ_May 12_Leopard_UniBOM_ME_0602_Bolt RFQ Proposal_Foxlink_ (Pricing Summary) 2 25 2011 2 2 3" xfId="25316"/>
    <cellStyle name="好_LLS_EV2_DVE_Plan_20101110" xfId="25317"/>
    <cellStyle name="好_LLS_EV2_DVE_Plan_20101115" xfId="25318"/>
    <cellStyle name="好_M1 Bolt wireless mouse FixtureEquipment Cost_A2_2010_12_07" xfId="25319"/>
    <cellStyle name="好_M1 Leopard  Capacity planFixtureEquipment Cost_A0_2010_05_31 (2)" xfId="25320"/>
    <cellStyle name="好_M1 SuedeFixtureEquipment Cost_A0_2010_10_15" xfId="25321"/>
    <cellStyle name="好_River EE BOM_Creak Pearl Reliability Fixture RFQ_2009 04 24_Creek  Pearl RFQ_May 12_Leopard UniBom_Foxlink_6 21 2010-ME_nego_Bolt RFQ Proposal_Foxlink_ (Pricing Summary) 2 25 2011 3 3" xfId="25322"/>
    <cellStyle name="好_Maple_Phase 1_NRE_03122012" xfId="25323"/>
    <cellStyle name="好_MB9月管審換線超時8d" xfId="25324"/>
    <cellStyle name="好_MB9月管審換線超時8d 2 2" xfId="25325"/>
    <cellStyle name="好_MB9月管審換線超時8d 2 2 2 2" xfId="25326"/>
    <cellStyle name="好_MB9月管審換線超時8d 2 2 2 3" xfId="25327"/>
    <cellStyle name="好_MB9月管審換線超時8d 2 2 3" xfId="25328"/>
    <cellStyle name="好_MB9月管審換線超時8d 2 2 4" xfId="25329"/>
    <cellStyle name="好_MB9月管審換線超時8d 2 3" xfId="25330"/>
    <cellStyle name="差_MS Bolt wireless mouse FixtureEquipment Cost_A5_2010_02_21_Bolt RFQ Proposal_Foxlink_ (Pricing Summary) 2 25 2011 5 3" xfId="25331"/>
    <cellStyle name="好_River EE BOM_Creak Pearl Reliability Fixture RFQ_2009 04 24_Pearl RFQ(Submittal)ver2_05_12_2009 _Leopard RFQ ME BOM Costs-0618-2_Bolt RFQ Proposal_Foxlink_ (Pricing Summary) 2 25 2011 2 3" xfId="25332"/>
    <cellStyle name="好_MB9月管審換線超時8d 2 3 2" xfId="25333"/>
    <cellStyle name="好_River EE BOM_Creak Pearl Reliability Fixture RFQ_2009 04 24_Pearl RFQ(Submittal)ver2_05_12_2009 _Leopard RFQ ME BOM Costs-0618-2_Bolt RFQ Proposal_Foxlink_ (Pricing Summary) 2 25 2011 2 4" xfId="25334"/>
    <cellStyle name="好_MB9月管審換線超時8d 2 3 3" xfId="25335"/>
    <cellStyle name="差_Creek RFQ feedback 04_28_2009_FD Update_Leopard RFQ ME BOM Costs-0618-2_Bolt RFQ Proposal_Foxlink_ (Pricing Summary) 2 25 2011" xfId="25336"/>
    <cellStyle name="好_MB9月管審換線超時8d 2 4" xfId="25337"/>
    <cellStyle name="好_MB9月管審換線超時8d 3 2" xfId="25338"/>
    <cellStyle name="好_MB9月管審換線超時8d 3 3" xfId="25339"/>
    <cellStyle name="好_MB9月管審換線超時8d 3 4" xfId="25340"/>
    <cellStyle name="好_MB9月管審換線超時8d 4" xfId="25341"/>
    <cellStyle name="好_MB9月管審換線超時8d 5" xfId="25342"/>
    <cellStyle name="差_jupite r設備&amp;治工具LIST (總)_pq_Flow chart and Fixture(1-4)_Jackson 效益分析 (2-1 B0 上系統)_Leopard效益分析08-17" xfId="25343"/>
    <cellStyle name="好_MB9月管審換線超時8d 5 2 2" xfId="25344"/>
    <cellStyle name="好_MB9月管審換線超時8d 5 4" xfId="25345"/>
    <cellStyle name="好_MB9月管審換線超時8d 6" xfId="25346"/>
    <cellStyle name="好_MB9月管審換線超時8d 6 2" xfId="25347"/>
    <cellStyle name="好_River EE BOM_Xl0000000_Leopard UniBom-06 22 2010_update_internal" xfId="25348"/>
    <cellStyle name="好_MB9月管審換線超時8d_2009MB KPI_MBO3F製造部hp0209-01" xfId="25349"/>
    <cellStyle name="好_MB9月管審換線超時8d_2009MB KPI_MBO3F製造部hp0209-01 2 3" xfId="25350"/>
    <cellStyle name="好_MB9月管審換線超時8d_2009MB KPI_MBO3F製造部hp0209-01 2 3 3" xfId="25351"/>
    <cellStyle name="好_River EE BOM_Creek RFQ feedback 04_28_2009_FD Update_Leopard_UniBOM_ME_0531_Bolt RFQ Proposal_Foxlink_ (Pricing Summary) 2 25 2011 3 2" xfId="25352"/>
    <cellStyle name="好_MB9月管審換線超時8d_2009MB KPI_MBO3F製造部hp0209-01 2 4" xfId="25353"/>
    <cellStyle name="好_River EE BOM_Creek RFQ feedback 04_28_2009_FD Update_Leopard_UniBOM_ME_0531_Bolt RFQ Proposal_Foxlink_ (Pricing Summary) 2 25 2011 3 3" xfId="25354"/>
    <cellStyle name="好_MB9月管審換線超時8d_2009MB KPI_MBO3F製造部hp0209-01 2 5" xfId="25355"/>
    <cellStyle name="差_Xl0000002_Leopard_UniBOM_ME_0602_Bolt RFQ Proposal_Foxlink_ (Pricing Summary) 2 25 2011 4" xfId="25356"/>
    <cellStyle name="好_MB9月管審換線超時8d_2009MB KPI_MBO3F製造部hp0209-01 5 2 2" xfId="25357"/>
    <cellStyle name="壞_Erie Assembly Fixture  Test Equip Cost_20090716_Foxlink_Shadow RFQ NREUni BOM_12032009_Wedge_ME_BOM-v00-11v0715 2" xfId="25358"/>
    <cellStyle name="差_Xl0000002_Leopard_UniBOM_ME_0602_Bolt RFQ Proposal_Foxlink_ (Pricing Summary) 2 25 2011 5" xfId="25359"/>
    <cellStyle name="好_MB9月管審換線超時8d_2009MB KPI_MBO3F製造部hp0209-01 5 2 3" xfId="25360"/>
    <cellStyle name="差_治具工程課2009年KPI_產線生產規劃KPI 2 3" xfId="25361"/>
    <cellStyle name="好_MB9月管審換線超時8d_HP 2" xfId="25362"/>
    <cellStyle name="好_MB9月管審換線超時8d_HP 2 2 2 3" xfId="25363"/>
    <cellStyle name="差_Xl0000000_Leopard_UniBOM_ME_0602_Bolt RFQ Proposal_Foxlink_ (Pricing Summary) 2 25 2011 5 2" xfId="25364"/>
    <cellStyle name="好_MB9月管審換線超時8d_HP 2 2 4" xfId="25365"/>
    <cellStyle name="差_治具工程課2009年KPI_產線生產規劃KPI 2 3 3" xfId="25366"/>
    <cellStyle name="好_MB9月管審換線超時8d_HP 2 3" xfId="25367"/>
    <cellStyle name="好_River EE BOM_Creak Pearl Reliability Fixture RFQ_2009 04 24_Pearl RFQ(Submittal)ver2_05_12_2009 _Leopard_UniBOM_ME_0603-2_Bolt RFQ_Foxlink_03.1 2011 5" xfId="25368"/>
    <cellStyle name="差_jupite r設備&amp;治工具LIST (總)_~3106354" xfId="25369"/>
    <cellStyle name="好_MB9月管審換線超時8d_HP 2 3 2" xfId="25370"/>
    <cellStyle name="好_MB9月管審換線超時8d_HP 2 4" xfId="25371"/>
    <cellStyle name="好_MB9月管審換線超時8d_HP 2 5" xfId="25372"/>
    <cellStyle name="差_治具工程課2009年KPI_產線生產規劃KPI 2 4" xfId="25373"/>
    <cellStyle name="好_MB9月管審換線超時8d_HP 3" xfId="25374"/>
    <cellStyle name="好_MB9月管審換線超時8d_HP 3 2 2" xfId="25375"/>
    <cellStyle name="好_MB9月管審換線超時8d_HP 3 3" xfId="25376"/>
    <cellStyle name="差_治具工程課2009年KPI_產線生產規劃KPI 2 5" xfId="25377"/>
    <cellStyle name="好_MB9月管審換線超時8d_HP 4" xfId="25378"/>
    <cellStyle name="好_MB9月管審換線超時8d_HP 5 2" xfId="25379"/>
    <cellStyle name="差_F3   SMT設備明細_效益分析_~5631336_Jackson 效益分析 (2-1 B0 上系統)_Leopard Flowchart &amp; 產能評估" xfId="25380"/>
    <cellStyle name="好_River EE BOM_Creak Pearl Reliability Fixture RFQ_2009 04 24_Creek RFQ feedback 04_28_2009_FD Update_Foxlink_Shadow RFQ NREUni BOM_12032009_Bolt RFQ Proposal_Foxlink_ (Pricing Summary) 2 25 2011 5 3" xfId="25381"/>
    <cellStyle name="好_MB9月管審換線超時8d_HP 5 2 2" xfId="25382"/>
    <cellStyle name="好_MB9月管審換線超時8d_HP 5 3" xfId="25383"/>
    <cellStyle name="好_MB9月管審換線超時8d_HP 5 4" xfId="25384"/>
    <cellStyle name="好_MB9月管審換線超時8d_HP 6 2" xfId="25385"/>
    <cellStyle name="好_MB9月管審換線超時8d_HP 6 3" xfId="25386"/>
    <cellStyle name="好_MB9月管審誤判超標 8D" xfId="25387"/>
    <cellStyle name="好_MB9月管審誤判超標 8D 2 2" xfId="25388"/>
    <cellStyle name="好_MB9月管審誤判超標 8D 2 2 2" xfId="25389"/>
    <cellStyle name="好_MB9月管審誤判超標 8D 2 2 2 2" xfId="25390"/>
    <cellStyle name="好_MB9月管審誤判超標 8D 2 2 3" xfId="25391"/>
    <cellStyle name="好_MB9月管審誤判超標 8D 2 3 2" xfId="25392"/>
    <cellStyle name="差_jupite r設備&amp;治工具LIST (總)_Flow Chart&amp;PQ分析(12-1)_Flow Chart&amp;設備治工具清單 " xfId="25393"/>
    <cellStyle name="好_MB9月管審誤判超標 8D 2 3 3" xfId="25394"/>
    <cellStyle name="差_F3   SMT設備明細_效益分析_Dallas效益分析&amp;投資回收期 (12-2 A1)_Jackson 效益分析 testing update_16th Jan1_Jackson 效益分析 (2-1 B0 上系統)_Leopard Flowchart &amp; 產能評估" xfId="25395"/>
    <cellStyle name="差_F3   SMT設備明細_jupite r設備&amp;治工具LIST (總)_pq_Flow Chart&amp;設備治工具清單 _squirrel效益分析08-17" xfId="25396"/>
    <cellStyle name="好_River EE BOM_Creak Pearl Reliability Fixture RFQ_2009 04 24_Xl0000002_Bolt RFQ_Foxlink_03.1 2011_nego meeting@MACH 3 2" xfId="25397"/>
    <cellStyle name="好_MB9月管審誤判超標 8D 3" xfId="25398"/>
    <cellStyle name="好_MB9月管審誤判超標 8D 3 2 2" xfId="25399"/>
    <cellStyle name="好_MB9月管審誤判超標 8D 3 3" xfId="25400"/>
    <cellStyle name="差_Creak Pearl Reliability Fixture RFQ_2009 04 24_Xl0000002_Leopard_UniBOM_ME_0602-1_Bolt RFQ Proposal_Foxlink_ (Pricing Summary) 2 25 2011 2 2 2" xfId="25401"/>
    <cellStyle name="好_MB9月管審誤判超標 8D 3 4" xfId="25402"/>
    <cellStyle name="好_River EE BOM_Creak Pearl Reliability Fixture RFQ_2009 04 24_Xl0000002_Bolt RFQ_Foxlink_03.1 2011_nego meeting@MACH 3 3" xfId="25403"/>
    <cellStyle name="好_MB9月管審誤判超標 8D 4" xfId="25404"/>
    <cellStyle name="好_MB9月管審誤判超標 8D 5" xfId="25405"/>
    <cellStyle name="好_MB9月管審誤判超標 8D 5 2 2" xfId="25406"/>
    <cellStyle name="差_HP Mouse 產能評估(Forecast更改後)_M1 Lemur Capacity planFixtureEquipment Cost_A2_06192010" xfId="25407"/>
    <cellStyle name="好_MB9月管審誤判超標 8D 5 2 3" xfId="25408"/>
    <cellStyle name="差_HP Mouse 產能評估(Forecast更改後)_M1 SuedeFixtureEquipment Cost_A0_2010_10_15_Bolt RFQ_Foxlink_03.1 2011_nego meeting@MACH 3 2" xfId="25409"/>
    <cellStyle name="好_River EE BOM_Creek RFQ feedback 04_28_2009_FD Update_Leopard Lemur Squirrel UniBom-06.22.2010_EE cost _update_internal 2 2" xfId="25410"/>
    <cellStyle name="好_MB9月管審誤判超標 8D 5 3" xfId="25411"/>
    <cellStyle name="差_HP Mouse 產能評估(Forecast更改後)_M1 SuedeFixtureEquipment Cost_A0_2010_10_15_Bolt RFQ_Foxlink_03.1 2011_nego meeting@MACH 3 3" xfId="25412"/>
    <cellStyle name="好_River EE BOM_Creek RFQ feedback 04_28_2009_FD Update_Leopard Lemur Squirrel UniBom-06.22.2010_EE cost _update_internal 2 3" xfId="25413"/>
    <cellStyle name="好_MB9月管審誤判超標 8D 5 4" xfId="25414"/>
    <cellStyle name="好_MB9月管審誤判超標 8D 6" xfId="25415"/>
    <cellStyle name="差_jupite r設備&amp;治工具LIST (總)_效益分析 (12-9 A1)_Leopard Flowchart &amp; 產能評估" xfId="25416"/>
    <cellStyle name="好_MB9月管審誤判超標 8D 6 2" xfId="25417"/>
    <cellStyle name="好_River EE BOM_Creek RFQ feedback 04_28_2009_FD Update_Leopard Lemur Squirrel UniBom-06.22.2010_EE cost _update_internal 3 2" xfId="25418"/>
    <cellStyle name="好_MB9月管審誤判超標 8D 6 3" xfId="25419"/>
    <cellStyle name="好_MB9月管審誤判超標 8D_2009MB KPI_MBO3F製造部hp0209-01 2" xfId="25420"/>
    <cellStyle name="好_MB9月管審誤判超標 8D_2009MB KPI_MBO3F製造部hp0209-01 2 2 2" xfId="25421"/>
    <cellStyle name="好_River EE BOM_Xl0000000_Leopard Lemur Squirrel UniBom-06.22.2010_EE cost _update_internal_Bolt RFQ Proposal_Foxlink_ (Pricing Summary) 2 25 2011 3 3" xfId="25422"/>
    <cellStyle name="好_MB9月管審誤判超標 8D_2009MB KPI_MBO3F製造部hp0209-01 2 2 2 2" xfId="25423"/>
    <cellStyle name="差_Creak Pearl Reliability Fixture RFQ_2009 04 24_Creek RFQ feedback 04_28_2009_FD Update_Foxlink_Shadow RFQ NREUni BOM_12032009_Bolt RFQ Proposal_Foxlink_ (Pricing Summary) 2 25 2011 4 2" xfId="25424"/>
    <cellStyle name="好_MB9月管審誤判超標 8D_2009MB KPI_MBO3F製造部hp0209-01 2 2 2 3" xfId="25425"/>
    <cellStyle name="好_MB9月管審誤判超標 8D_2009MB KPI_MBO3F製造部hp0209-01 2 2 3" xfId="25426"/>
    <cellStyle name="好_MB9月管審誤判超標 8D_2009MB KPI_MBO3F製造部hp0209-01 2 2 4" xfId="25427"/>
    <cellStyle name="好_MB9月管審誤判超標 8D_2009MB KPI_MBO3F製造部hp0209-01 2 3 2" xfId="25428"/>
    <cellStyle name="好_MB9月管審誤判超標 8D_2009MB KPI_MBO3F製造部hp0209-01 2 3 3" xfId="25429"/>
    <cellStyle name="差_Creak Pearl Reliability Fixture RFQ_2009 04 24_Pearl RFQ(Submittal)ver2_05_12_2009 _Foxlink_Shadow RFQ NREUni BOM_12032009_Bolt RFQ Proposal_Foxlink_ (Pricing Summary) 2 25 2011 6" xfId="25430"/>
    <cellStyle name="好_MB9月管審誤判超標 8D_2009MB KPI_MBO3F製造部hp0209-01 3 2 3" xfId="25431"/>
    <cellStyle name="好_MB9月管審誤判超標 8D_2009MB KPI_MBO3F製造部hp0209-01 3 3" xfId="25432"/>
    <cellStyle name="好_River EE BOM_Creak Pearl Reliability Fixture RFQ_2009 04 24_Xl0000002_Leopard_UniBOM_ME_0602 2 2 2" xfId="25433"/>
    <cellStyle name="好_MB9月管審誤判超標 8D_2009MB KPI_MBO3F製造部hp0209-01 4" xfId="25434"/>
    <cellStyle name="好_River EE BOM_Creak Pearl Reliability Fixture RFQ_2009 04 24_Xl0000002_Leopard_UniBOM_ME_0602 2 2 3" xfId="25435"/>
    <cellStyle name="好_MB9月管審誤判超標 8D_2009MB KPI_MBO3F製造部hp0209-01 5" xfId="25436"/>
    <cellStyle name="好_MB9月管審誤判超標 8D_2009MB KPI_MBO3F製造部hp0209-01 6" xfId="25437"/>
    <cellStyle name="好_River EE BOM_Xl0000002_Leopard UniBom_Foxlink_6 21 2010-ME_nego_Bolt RFQ Proposal_Foxlink_ (Pricing Summary) 2 25 2011 2 4" xfId="25438"/>
    <cellStyle name="好_MB9月管審誤判超標 8D_2009MB KPI_MBO3F製造部hp0209-01 6 2" xfId="25439"/>
    <cellStyle name="好_MB9月管審誤判超標 8D_2009MB KPI_MBO3F製造部hp0209-01 6 3" xfId="25440"/>
    <cellStyle name="好_MB9月管審誤判超標 8D_HP" xfId="25441"/>
    <cellStyle name="好_River EE BOM_Creak Pearl Reliability Fixture RFQ_2009 04 24_Pearl RFQ(Submittal)ver2_05_12_2009 _Leopard RFQ ME BOM Costs-0618-2_Bolt RFQ Proposal_Foxlink_ (Pricing Summary) 2 25 2011 5" xfId="25442"/>
    <cellStyle name="好_MB9月管審誤判超標 8D_HP 2" xfId="25443"/>
    <cellStyle name="差_Creek RFQ feedback 04_28_2009_FD Update_Leopard_UniBOM_ME_0602-1_Bolt RFQ_Foxlink_03.1 2011_nego meeting@MACH" xfId="25444"/>
    <cellStyle name="好_River EE BOM_Creak Pearl Reliability Fixture RFQ_2009 04 24_Pearl RFQ(Submittal)ver2_05_12_2009 _Leopard RFQ ME BOM Costs-0618-2_Bolt RFQ Proposal_Foxlink_ (Pricing Summary) 2 25 2011 5 2" xfId="25445"/>
    <cellStyle name="好_MB9月管審誤判超標 8D_HP 2 2" xfId="25446"/>
    <cellStyle name="差_Creek RFQ feedback 04_28_2009_FD Update_Leopard_UniBOM_ME_0602-1_Bolt RFQ_Foxlink_03.1 2011_nego meeting@MACH 2" xfId="25447"/>
    <cellStyle name="好_MB9月管審誤判超標 8D_HP 2 2 2" xfId="25448"/>
    <cellStyle name="差_Creek RFQ feedback 04_28_2009_FD Update_Leopard_UniBOM_ME_0602-1_Bolt RFQ_Foxlink_03.1 2011_nego meeting@MACH 2 2" xfId="25449"/>
    <cellStyle name="好_MB9月管審誤判超標 8D_HP 2 2 2 2" xfId="25450"/>
    <cellStyle name="好_MB9月管審誤判超標 8D_HP 2 2 2 3" xfId="25451"/>
    <cellStyle name="差_jupite r設備&amp;治工具LIST (總)_Flow Chart&amp;PQ分析(12-1)_Jackson 效益分析 (2-1 B0 上系統)_Leopard Flowchart &amp; 產能評估" xfId="25452"/>
    <cellStyle name="差_Creek RFQ feedback 04_28_2009_FD Update_Leopard_UniBOM_ME_0602-1_Bolt RFQ_Foxlink_03.1 2011_nego meeting@MACH 2 3" xfId="25453"/>
    <cellStyle name="差_jupite r設備&amp;治工具LIST (總)_Flow Chart&amp;PQ分析(12-1)_效益分析(總 12-28 Update)_Leopard效益分析08-17" xfId="25454"/>
    <cellStyle name="差_Creek RFQ feedback 04_28_2009_FD Update_Leopard_UniBOM_ME_0602-1_Bolt RFQ_Foxlink_03.1 2011_nego meeting@MACH 3" xfId="25455"/>
    <cellStyle name="好_MB9月管審誤判超標 8D_HP 2 2 3" xfId="25456"/>
    <cellStyle name="差_Creek RFQ feedback 04_28_2009_FD Update_Leopard_UniBOM_ME_0602-1_Bolt RFQ_Foxlink_03.1 2011_nego meeting@MACH 4" xfId="25457"/>
    <cellStyle name="好_MB9月管審誤判超標 8D_HP 2 2 4" xfId="25458"/>
    <cellStyle name="差_F3   SMT設備明細_效益分析_flow chart 2009.12.12_squirrel效益分析08-17" xfId="25459"/>
    <cellStyle name="好_MB9月管審誤判超標 8D_HP 2 3 2" xfId="25460"/>
    <cellStyle name="好_MB9月管審誤判超標 8D_HP 2 3 3" xfId="25461"/>
    <cellStyle name="好_River EE BOM_Creak Pearl Reliability Fixture RFQ_2009 04 24_Pearl RFQ(Submittal)ver2_05_12_2009 _Leopard RFQ ME BOM Costs-0618-2_Bolt RFQ Proposal_Foxlink_ (Pricing Summary) 2 25 2011 6" xfId="25462"/>
    <cellStyle name="好_MB9月管審誤判超標 8D_HP 3" xfId="25463"/>
    <cellStyle name="好_MB9月管審誤判超標 8D_HP 3 2" xfId="25464"/>
    <cellStyle name="好_MB9月管審誤判超標 8D_HP 3 2 3" xfId="25465"/>
    <cellStyle name="好_MB9月管審誤判超標 8D_HP 3 3" xfId="25466"/>
    <cellStyle name="好_MB9月管審誤判超標 8D_HP 3 4" xfId="25467"/>
    <cellStyle name="好_MB9月管審誤判超標 8D_HP 5" xfId="25468"/>
    <cellStyle name="好_MB9月管審誤判超標 8D_HP 5 2" xfId="25469"/>
    <cellStyle name="好_MB9月管審誤判超標 8D_HP 5 3" xfId="25470"/>
    <cellStyle name="好_MB9月管審誤判超標 8D_HP 5 4" xfId="25471"/>
    <cellStyle name="好_MB9月管審誤判超標 8D_HP 6 3" xfId="25472"/>
    <cellStyle name="好_Pearl RFQ template(assembly fixtures) (4)" xfId="25473"/>
    <cellStyle name="好_pq" xfId="25474"/>
    <cellStyle name="好_Rio QA Report-1.25" xfId="25475"/>
    <cellStyle name="差_HP  專案(設備&amp;治工具需夠買)update_Bolt RFQ_Foxlink_03.1 2011_nego meeting@MACH 5" xfId="25476"/>
    <cellStyle name="好_Rio QA Report-1.25_Suede QA report for EV2.1 _20110301_Update" xfId="25477"/>
    <cellStyle name="好_Rio QA Report-8.12_Dolce   QA Report 2010_0902" xfId="25478"/>
    <cellStyle name="好_Rio QA Report-8.12_Dolce   QA Report 2010_0902 (A3)_~7519239" xfId="25479"/>
    <cellStyle name="差_Creek RFQ feedback 04_28_2009_FD Update_Leopard RFQ ME BOM Costs-0618 3 3" xfId="25480"/>
    <cellStyle name="好_Rio QA Report-8.12_Suede QA report for EV2.1 _20110301_Update" xfId="25481"/>
    <cellStyle name="好_Rio QA Report-8.12_Xl0000010" xfId="25482"/>
    <cellStyle name="差_Creak Pearl Reliability Fixture RFQ_2009 04 24_Creek  Pearl RFQ_May 12_Leopard_UniBOM_ME_0531_Bolt RFQ Proposal_Foxlink_ (Pricing Summary) 2 25 2011 2 2 2" xfId="25483"/>
    <cellStyle name="好_Rio QA Report-8.27" xfId="25484"/>
    <cellStyle name="好_River EE BOM_Creak Pearl Reliability Fixture RFQ_2009 04 24_Xl0000002_Leopard_UniBOM_ME_0603-2_Bolt RFQ Proposal_Foxlink_ (Pricing Summary) 2 25 2011 4 2" xfId="25485"/>
    <cellStyle name="好_Rio QA Report-8.27_Dolce   QA Report 2010_0902 (A3)_~7519239" xfId="25486"/>
    <cellStyle name="好_Rio QA Report-8.27_Dolce   QA Report 2010_0902 (A3)_Dolce   QA Report 2010_0902" xfId="25487"/>
    <cellStyle name="好_Rio QA Report-8.27_Dolce   QA Report 2010_0902_~7519239" xfId="25488"/>
    <cellStyle name="好_Rio QA Report-8.27_Suede QA report for EV2.1 _20110301_Update" xfId="25489"/>
    <cellStyle name="好_Rio QA Report-8.27_Xl0000010" xfId="25490"/>
    <cellStyle name="好_RIO Trial run (Pre-PV 100PCS) QA Report-0610_Dolce   QA Report 2010_0902 (A3)" xfId="25491"/>
    <cellStyle name="好_RIO Trial run (Pre-PV 100PCS) QA Report-0610_Xl0000010" xfId="25492"/>
    <cellStyle name="好_RIO Trial run QA Report-7.21（SEA97217)_Dolce   QA Report 2010_0902" xfId="25493"/>
    <cellStyle name="差_HP  專案(設備&amp;治工具需夠買)update_Bolt RFQ_Foxlink_03.1 2011_nego meeting@MACH 3" xfId="25494"/>
    <cellStyle name="好_RIO Trial run QA Report-7.21（SEA97217)_Dolce   QA Report 2010_0902 (A3)" xfId="25495"/>
    <cellStyle name="好_RIO Trial run QA Report-7.21（SEA97217)_Dolce   QA Report 2010_0902 (A3)_~7519239" xfId="25496"/>
    <cellStyle name="好_RIO Trial run QA Report-7.21（SEA97217)_Dolce   QA Report 2010_0902 (A3)_Dolce   QA Report 2010_0902" xfId="25497"/>
    <cellStyle name="好_RIO Trial run QA Report-7.21（SEA97217)_Dolce   QA Report 2010_0902_~7519239" xfId="25498"/>
    <cellStyle name="差_治具工程課2009年KPI_產線生產規劃KPI 3 3" xfId="25499"/>
    <cellStyle name="好_River" xfId="25500"/>
    <cellStyle name="差_Creek RFQ feedback 04_28_2009_FD Update_Leopard_UniBOM_ME_0602-1_Bolt RFQ Proposal_Foxlink_ (Pricing Summary) 2 25 2011 2 2 2" xfId="25501"/>
    <cellStyle name="好_River &amp; Stream Error Code_20081219" xfId="25502"/>
    <cellStyle name="好_River EE BOM_Xl0000000_Squirrel RFQ ME BOM Costs-0623_Bolt RFQ_Foxlink_03.1 2011_nego meeting@MACH 4" xfId="25503"/>
    <cellStyle name="好_River EE BOM" xfId="25504"/>
    <cellStyle name="好_River EE BOM 2 3" xfId="25505"/>
    <cellStyle name="好_River EE BOM 3" xfId="25506"/>
    <cellStyle name="好_River EE BOM_Bolt RFQ Proposal_Foxlink_ (Pricing Summary) 2 25 2011" xfId="25507"/>
    <cellStyle name="好_River EE BOM_Bolt RFQ Proposal_Foxlink_ (Pricing Summary) 2 25 2011 2 2 2" xfId="25508"/>
    <cellStyle name="好_治具工程課2009年KPI_產線生產規劃KPI" xfId="25509"/>
    <cellStyle name="好_River EE BOM_Bolt RFQ Proposal_Foxlink_ (Pricing Summary) 2 25 2011 2 2 3" xfId="25510"/>
    <cellStyle name="好_River EE BOM_Bolt RFQ Proposal_Foxlink_ (Pricing Summary) 2 25 2011 2 3" xfId="25511"/>
    <cellStyle name="好_River EE BOM_Bolt RFQ Proposal_Foxlink_ (Pricing Summary) 2 25 2011 2 4" xfId="25512"/>
    <cellStyle name="差_jupite r設備&amp;治工具LIST (總)_Dallas效益分析&amp;投資回收期 (12-2 A1)_效益分析(總 12-28 Update)_Jackson 效益分析 (2-1 B0 上系統)_Leopard Flowchart &amp; 產能評估" xfId="25513"/>
    <cellStyle name="好_River EE BOM_Bolt RFQ Proposal_Foxlink_ (Pricing Summary) 2 25 2011 3 3" xfId="25514"/>
    <cellStyle name="差_Creak Pearl Reliability Fixture RFQ_2009 04 24_Xl0000002_Squirrel UniBom-06.23.2010_update_internal 5" xfId="25515"/>
    <cellStyle name="好_River EE BOM_Bolt RFQ Proposal_Foxlink_ (Pricing Summary) 2 25 2011 4 2" xfId="25516"/>
    <cellStyle name="好_River EE BOM_Bolt RFQ Proposal_Foxlink_ (Pricing Summary) 2 25 2011 4 3" xfId="25517"/>
    <cellStyle name="好_River EE BOM_Bolt RFQ Proposal_Foxlink_ (Pricing Summary) 2 25 2011 5 2" xfId="25518"/>
    <cellStyle name="好_River EE BOM_Creak Pearl Reliability Fixture RFQ_2009 04 24 2" xfId="25519"/>
    <cellStyle name="差_Creak Pearl Reliability Fixture RFQ_2009 04 24_Pearl RFQ(Submittal)ver2_05_12_2009 _Leopard UniBom_Foxlink_6 21 2010-ME_nego_Bolt RFQ_Foxlink_03.1 2011 5" xfId="25520"/>
    <cellStyle name="好_River EE BOM_Creak Pearl Reliability Fixture RFQ_2009 04 24 2 2" xfId="25521"/>
    <cellStyle name="好_River EE BOM_Creak Pearl Reliability Fixture RFQ_2009 04 24 2 4" xfId="25522"/>
    <cellStyle name="好_River EE BOM_Creak Pearl Reliability Fixture RFQ_2009 04 24 3 3" xfId="25523"/>
    <cellStyle name="好_River EE BOM_Creak Pearl Reliability Fixture RFQ_2009 04 24 5" xfId="25524"/>
    <cellStyle name="好_River EE BOM_Xl0000000 2 2" xfId="25525"/>
    <cellStyle name="好_River EE BOM_Creak Pearl Reliability Fixture RFQ_2009 04 24_Bolt RFQ Proposal_Foxlink_ (Pricing Summary) 2 25 2011 2" xfId="25526"/>
    <cellStyle name="好_River EE BOM_Xl0000000 2 2 2" xfId="25527"/>
    <cellStyle name="好_River EE BOM_Creak Pearl Reliability Fixture RFQ_2009 04 24_Bolt RFQ Proposal_Foxlink_ (Pricing Summary) 2 25 2011 2 2" xfId="25528"/>
    <cellStyle name="好_River EE BOM_Creak Pearl Reliability Fixture RFQ_2009 04 24_Bolt RFQ Proposal_Foxlink_ (Pricing Summary) 2 25 2011 2 2 2" xfId="25529"/>
    <cellStyle name="差_F3   SMT設備明細_效益分析_Dallas效益分析&amp;投資回收期 (12-2 A1)_效益分析(總 12-28 Update)_Jackson 效益分析 (2-1 B0 上系統)_Leopard Flowchart &amp; 產能評估" xfId="25530"/>
    <cellStyle name="好_效益分析&amp;產能評估_M1 SuedeFixtureEquipment Cost_A0_2010_10_15_Bolt RFQ Proposal_Foxlink_ (Pricing Summary) 2 25 2011 2" xfId="25531"/>
    <cellStyle name="好_River EE BOM_Creak Pearl Reliability Fixture RFQ_2009 04 24_Bolt RFQ Proposal_Foxlink_ (Pricing Summary) 2 25 2011 2 2 3" xfId="25532"/>
    <cellStyle name="好_River EE BOM_Xl0000000 2 2 3" xfId="25533"/>
    <cellStyle name="好_River EE BOM_Creak Pearl Reliability Fixture RFQ_2009 04 24_Bolt RFQ Proposal_Foxlink_ (Pricing Summary) 2 25 2011 2 3" xfId="25534"/>
    <cellStyle name="好_River EE BOM_Creak Pearl Reliability Fixture RFQ_2009 04 24_Bolt RFQ Proposal_Foxlink_ (Pricing Summary) 2 25 2011 2 4" xfId="25535"/>
    <cellStyle name="好_River EE BOM_Creak Pearl Reliability Fixture RFQ_2009 04 24_Bolt RFQ Proposal_Foxlink_ (Pricing Summary) 2 25 2011 3 2" xfId="25536"/>
    <cellStyle name="好_River EE BOM_Creak Pearl Reliability Fixture RFQ_2009 04 24_Bolt RFQ Proposal_Foxlink_ (Pricing Summary) 2 25 2011 3 3" xfId="25537"/>
    <cellStyle name="好_River EE BOM_Xl0000000 2 4" xfId="25538"/>
    <cellStyle name="好_River EE BOM_Creak Pearl Reliability Fixture RFQ_2009 04 24_Bolt RFQ Proposal_Foxlink_ (Pricing Summary) 2 25 2011 4" xfId="25539"/>
    <cellStyle name="好_River EE BOM_Creak Pearl Reliability Fixture RFQ_2009 04 24_Bolt RFQ Proposal_Foxlink_ (Pricing Summary) 2 25 2011 4 2" xfId="25540"/>
    <cellStyle name="差_dallas產能評估_flow chart 2009.12.12_Flow Chart&amp;設備治工具清單 _~1159284" xfId="25541"/>
    <cellStyle name="好_River EE BOM_Creak Pearl Reliability Fixture RFQ_2009 04 24_Bolt RFQ Proposal_Foxlink_ (Pricing Summary) 2 25 2011 5" xfId="25542"/>
    <cellStyle name="差_~9527068" xfId="25543"/>
    <cellStyle name="好_River EE BOM_Creak Pearl Reliability Fixture RFQ_2009 04 24_Bolt RFQ Proposal_Foxlink_ (Pricing Summary) 2 25 2011 5 2" xfId="25544"/>
    <cellStyle name="好_River EE BOM_Creak Pearl Reliability Fixture RFQ_2009 04 24_Bolt RFQ Proposal_Foxlink_ (Pricing Summary) 2 25 2011 5 3" xfId="25545"/>
    <cellStyle name="好_River EE BOM_Creak Pearl Reliability Fixture RFQ_2009 04 24_Bolt RFQ Proposal_Foxlink_ (Pricing Summary) 2 25 2011 7" xfId="25546"/>
    <cellStyle name="差_Creak Pearl Reliability Fixture RFQ_2009 04 24_Creek  Pearl RFQ_May 12_Leopard_UniBOM_ME_0603-2 2 2" xfId="25547"/>
    <cellStyle name="好_River EE BOM_Creak Pearl Reliability Fixture RFQ_2009 04 24_Bolt RFQ_Foxlink_03.1 2011" xfId="25548"/>
    <cellStyle name="好_River EE BOM_Creak Pearl Reliability Fixture RFQ_2009 04 24_Bolt RFQ_Foxlink_03.1 2011 3 2" xfId="25549"/>
    <cellStyle name="好_River EE BOM_Creak Pearl Reliability Fixture RFQ_2009 04 24_Bolt RFQ_Foxlink_03.1 2011 3 3" xfId="25550"/>
    <cellStyle name="好_River EE BOM_Creak Pearl Reliability Fixture RFQ_2009 04 24_Bolt RFQ_Foxlink_03.1 2011 4" xfId="25551"/>
    <cellStyle name="好_River EE BOM_Creak Pearl Reliability Fixture RFQ_2009 04 24_Bolt RFQ_Foxlink_03.1 2011 5" xfId="25552"/>
    <cellStyle name="差_Xl0000002_Leopard UniBom_Foxlink_6 21 2010-ME_nego_Bolt RFQ Proposal_Foxlink_ (Pricing Summary) 2 25 2011 2 2" xfId="25553"/>
    <cellStyle name="差_Creak Pearl Reliability Fixture RFQ_2009 04 24_Pearl RFQ(Submittal)ver2_05_12_2009 _Foxlink_Shadow RFQ NREUni BOM_12032009" xfId="25554"/>
    <cellStyle name="好_River EE BOM_Creak Pearl Reliability Fixture RFQ_2009 04 24_Bolt RFQ_Foxlink_03.1 2011_nego meeting@MACH" xfId="25555"/>
    <cellStyle name="差_Creak Pearl Reliability Fixture RFQ_2009 04 24_Pearl RFQ(Submittal)ver2_05_12_2009 _Foxlink_Shadow RFQ NREUni BOM_12032009 2 2" xfId="25556"/>
    <cellStyle name="好_River EE BOM_Creak Pearl Reliability Fixture RFQ_2009 04 24_Bolt RFQ_Foxlink_03.1 2011_nego meeting@MACH 2 2" xfId="25557"/>
    <cellStyle name="差_Creak Pearl Reliability Fixture RFQ_2009 04 24_Pearl RFQ(Submittal)ver2_05_12_2009 _Foxlink_Shadow RFQ NREUni BOM_12032009 2 3" xfId="25558"/>
    <cellStyle name="好_River EE BOM_Creak Pearl Reliability Fixture RFQ_2009 04 24_Bolt RFQ_Foxlink_03.1 2011_nego meeting@MACH 2 3" xfId="25559"/>
    <cellStyle name="差_Xl0000002_Leopard UniBom_Foxlink_6 21 2010-ME_nego_Bolt RFQ Proposal_Foxlink_ (Pricing Summary) 2 25 2011 2 2 3" xfId="25560"/>
    <cellStyle name="差_Creak Pearl Reliability Fixture RFQ_2009 04 24_Pearl RFQ(Submittal)ver2_05_12_2009 _Foxlink_Shadow RFQ NREUni BOM_12032009 3" xfId="25561"/>
    <cellStyle name="好_River EE BOM_Creek RFQ feedback 04_28_2009_FD Update_Leopard_UniBOM_ME_0602-1_Bolt RFQ_Foxlink_03.1 2011 3 2" xfId="25562"/>
    <cellStyle name="好_River EE BOM_Creak Pearl Reliability Fixture RFQ_2009 04 24_Bolt RFQ_Foxlink_03.1 2011_nego meeting@MACH 3" xfId="25563"/>
    <cellStyle name="差_Creak Pearl Reliability Fixture RFQ_2009 04 24_Pearl RFQ(Submittal)ver2_05_12_2009 _Foxlink_Shadow RFQ NREUni BOM_12032009 3 2" xfId="25564"/>
    <cellStyle name="好_River EE BOM_Creak Pearl Reliability Fixture RFQ_2009 04 24_Bolt RFQ_Foxlink_03.1 2011_nego meeting@MACH 3 2" xfId="25565"/>
    <cellStyle name="差_Creak Pearl Reliability Fixture RFQ_2009 04 24_Pearl RFQ(Submittal)ver2_05_12_2009 _Foxlink_Shadow RFQ NREUni BOM_12032009 3 3" xfId="25566"/>
    <cellStyle name="好_River EE BOM_Creak Pearl Reliability Fixture RFQ_2009 04 24_Bolt RFQ_Foxlink_03.1 2011_nego meeting@MACH 3 3" xfId="25567"/>
    <cellStyle name="好_River EE BOM_Creak Pearl Reliability Fixture RFQ_2009 04 24_Creek  Pearl RFQ_May 12_Squirrel UniBom-06.23.2010_update_internal_Bolt RFQ_Foxlink_03.1 2011_nego meeting@MACH 3" xfId="25568"/>
    <cellStyle name="好_River EE BOM_Creak Pearl Reliability Fixture RFQ_2009 04 24_Bristol UniBom_Foxlink_02082011 RevA" xfId="25569"/>
    <cellStyle name="好_River EE BOM_Creak Pearl Reliability Fixture RFQ_2009 04 24_Creek  Pearl RFQ_May 12 2" xfId="25570"/>
    <cellStyle name="差_dallas產能評估_flow chart 2009.12.12_Flow Chart&amp;設備治工具清單 _Leopard效益分析08-17" xfId="25571"/>
    <cellStyle name="差_Creak Pearl Reliability Fixture RFQ_2009 04 24_Pearl RFQ(Submittal)ver2_05_12_2009 _Leopard UniBom_Foxlink_6 21 2010-ME_nego_Bolt RFQ Proposal_Foxlink_ (Pricing Summary) 2 25 2011 3 3" xfId="25572"/>
    <cellStyle name="好_River EE BOM_Creak Pearl Reliability Fixture RFQ_2009 04 24_Creek  Pearl RFQ_May 12 4" xfId="25573"/>
    <cellStyle name="好_River EE BOM_Creak Pearl Reliability Fixture RFQ_2009 04 24_Creek  Pearl RFQ_May 12 5" xfId="25574"/>
    <cellStyle name="好_River EE BOM_Creak Pearl Reliability Fixture RFQ_2009 04 24_Creek  Pearl RFQ_May 12_Bolt RFQ Proposal_Foxlink_ (Pricing Summary) 2 25 2011" xfId="25575"/>
    <cellStyle name="差_jupite r設備&amp;治工具LIST (總)_Flow Chart&amp;PQ分析(12-1)_~5631336_Jackson 效益分析 (2-1 B0 上系統)" xfId="25576"/>
    <cellStyle name="好_River EE BOM_Creak Pearl Reliability Fixture RFQ_2009 04 24_Creek  Pearl RFQ_May 12_Bolt RFQ Proposal_Foxlink_ (Pricing Summary) 2 25 2011 2 2 2" xfId="25577"/>
    <cellStyle name="好_River EE BOM_Creak Pearl Reliability Fixture RFQ_2009 04 24_Creek RFQ feedback 04_28_2009_FD Update_Leopard Lemur Squirrel UniBom-06.22.2010_EE cost _update_internal_Bolt RFQ Proposal_Foxlink_ (Pricing Summary) 2 25 2011 4 2" xfId="25578"/>
    <cellStyle name="好_River EE BOM_Creak Pearl Reliability Fixture RFQ_2009 04 24_Creek  Pearl RFQ_May 12_Bolt RFQ Proposal_Foxlink_ (Pricing Summary) 2 25 2011 2 2 3" xfId="25579"/>
    <cellStyle name="好_River EE BOM_Creak Pearl Reliability Fixture RFQ_2009 04 24_Creek  Pearl RFQ_May 12_Bolt RFQ Proposal_Foxlink_ (Pricing Summary) 2 25 2011 2 3" xfId="25580"/>
    <cellStyle name="差_jupite r設備&amp;治工具LIST (總)_Flow chart and Fixture(1-4)_Jackson 效益分析 (2-1 B0 上系統)_Leopard Flowchart &amp; 產能評估" xfId="25581"/>
    <cellStyle name="差_jupite r設備&amp;治工具LIST (總)_flow chart 2009.12.12_Jackson 效益分析 testing update_16th Jan111" xfId="25582"/>
    <cellStyle name="好_River EE BOM_Creak Pearl Reliability Fixture RFQ_2009 04 24_Creek  Pearl RFQ_May 12_Bolt RFQ Proposal_Foxlink_ (Pricing Summary) 2 25 2011 2 4" xfId="25583"/>
    <cellStyle name="好_River EE BOM_Creak Pearl Reliability Fixture RFQ_2009 04 24_Creek  Pearl RFQ_May 12_Bolt RFQ Proposal_Foxlink_ (Pricing Summary) 2 25 2011 3" xfId="25584"/>
    <cellStyle name="差_MB9月管審換線超時8d_HP 2 5" xfId="25585"/>
    <cellStyle name="差_Creak Pearl Reliability Fixture RFQ_2009 04 24_Pearl RFQ(Submittal)ver2_05_12_2009 _Squirrel UniBom-06.23.2010_update_internal_Bolt RFQ Proposal_Foxlink_ (Pricing Summary) 2 25 2011 4" xfId="25586"/>
    <cellStyle name="好_River EE BOM_Creak Pearl Reliability Fixture RFQ_2009 04 24_Creek  Pearl RFQ_May 12_Bolt RFQ Proposal_Foxlink_ (Pricing Summary) 2 25 2011 3 2" xfId="25587"/>
    <cellStyle name="好_River EE BOM_Creak Pearl Reliability Fixture RFQ_2009 04 24_Creek  Pearl RFQ_May 12_Bolt RFQ Proposal_Foxlink_ (Pricing Summary) 2 25 2011 4" xfId="25588"/>
    <cellStyle name="好_River EE BOM_Creak Pearl Reliability Fixture RFQ_2009 04 24_Creek  Pearl RFQ_May 12_Bolt RFQ Proposal_Foxlink_ (Pricing Summary) 2 25 2011 4 2" xfId="25589"/>
    <cellStyle name="好_River EE BOM_Creak Pearl Reliability Fixture RFQ_2009 04 24_Creek  Pearl RFQ_May 12_Bolt RFQ Proposal_Foxlink_ (Pricing Summary) 2 25 2011 4 3" xfId="25590"/>
    <cellStyle name="好_River EE BOM_Creak Pearl Reliability Fixture RFQ_2009 04 24_Creek  Pearl RFQ_May 12_Bolt RFQ Proposal_Foxlink_ (Pricing Summary) 2 25 2011 5" xfId="25591"/>
    <cellStyle name="好_River EE BOM_Creak Pearl Reliability Fixture RFQ_2009 04 24_Creek  Pearl RFQ_May 12_Bolt RFQ Proposal_Foxlink_ (Pricing Summary) 2 25 2011 7" xfId="25592"/>
    <cellStyle name="好_River EE BOM_Creak Pearl Reliability Fixture RFQ_2009 04 24_Creek  Pearl RFQ_May 12_Bolt RFQ_Foxlink_03.1 2011" xfId="25593"/>
    <cellStyle name="好_River EE BOM_Creak Pearl Reliability Fixture RFQ_2009 04 24_Creek  Pearl RFQ_May 12_Bolt RFQ_Foxlink_03.1 2011 2" xfId="25594"/>
    <cellStyle name="好_River EE BOM_Creak Pearl Reliability Fixture RFQ_2009 04 24_Creek  Pearl RFQ_May 12_Bolt RFQ_Foxlink_03.1 2011 3" xfId="25595"/>
    <cellStyle name="好_River EE BOM_Creak Pearl Reliability Fixture RFQ_2009 04 24_Creek  Pearl RFQ_May 12_Bolt RFQ_Foxlink_03.1 2011 3 2" xfId="25596"/>
    <cellStyle name="差_jupite r設備&amp;治工具LIST (總)_Dallas效益分析&amp;投資回收期 (12-2 A1)_~5631336_Jackson 效益分析 (2-1 B0 上系統)" xfId="25597"/>
    <cellStyle name="好_River EE BOM_Creak Pearl Reliability Fixture RFQ_2009 04 24_Creek  Pearl RFQ_May 12_Bolt RFQ_Foxlink_03.1 2011 3 3" xfId="25598"/>
    <cellStyle name="差_F3   SMT設備明細_效益分析(總 12-28 Update)_Jackson 效益分析 (2-1 B0 上系統)_squirrel效益分析08-17" xfId="25599"/>
    <cellStyle name="好_River EE BOM_Creak Pearl Reliability Fixture RFQ_2009 04 24_Creek  Pearl RFQ_May 12_Bolt RFQ_Foxlink_03.1 2011_nego meeting@MACH" xfId="25600"/>
    <cellStyle name="好_River EE BOM_Creak Pearl Reliability Fixture RFQ_2009 04 24_Creek  Pearl RFQ_May 12_Bolt RFQ_Foxlink_03.1 2011_nego meeting@MACH 2" xfId="25601"/>
    <cellStyle name="好_River EE BOM_Creak Pearl Reliability Fixture RFQ_2009 04 24_Creek  Pearl RFQ_May 12_Bolt RFQ_Foxlink_03.1 2011_nego meeting@MACH 2 2" xfId="25602"/>
    <cellStyle name="好_River EE BOM_Creak Pearl Reliability Fixture RFQ_2009 04 24_Creek  Pearl RFQ_May 12_Bolt RFQ_Foxlink_03.1 2011_nego meeting@MACH 2 3" xfId="25603"/>
    <cellStyle name="好_River EE BOM_Creak Pearl Reliability Fixture RFQ_2009 04 24_Creek  Pearl RFQ_May 12_Bolt RFQ_Foxlink_03.1 2011_nego meeting@MACH 3" xfId="25604"/>
    <cellStyle name="好_River EE BOM_Creak Pearl Reliability Fixture RFQ_2009 04 24_Creek  Pearl RFQ_May 12_Bolt RFQ_Foxlink_03.1 2011_nego meeting@MACH 4" xfId="25605"/>
    <cellStyle name="好_River EE BOM_Creak Pearl Reliability Fixture RFQ_2009 04 24_Creek  Pearl RFQ_May 12_Bolt RFQ_Foxlink_03.1 2011_nego meeting@MACH 5" xfId="25606"/>
    <cellStyle name="好_River EE BOM_Creak Pearl Reliability Fixture RFQ_2009 04 24_Creek  Pearl RFQ_May 12_Squirrel RFQ ME BOM Costs-0623_Bolt RFQ_Foxlink_03.1 2011_nego meeting@MACH 4" xfId="25607"/>
    <cellStyle name="好_River EE BOM_Creak Pearl Reliability Fixture RFQ_2009 04 24_Creek  Pearl RFQ_May 12_Foxlink_Shadow RFQ NREUni BOM_12032009 2 2 2" xfId="25608"/>
    <cellStyle name="好_River EE BOM_Creak Pearl Reliability Fixture RFQ_2009 04 24_Creek  Pearl RFQ_May 12_Squirrel RFQ ME BOM Costs-0623_Bolt RFQ_Foxlink_03.1 2011_nego meeting@MACH 5" xfId="25609"/>
    <cellStyle name="好_River EE BOM_Creak Pearl Reliability Fixture RFQ_2009 04 24_Creek  Pearl RFQ_May 12_Foxlink_Shadow RFQ NREUni BOM_12032009 2 2 3" xfId="25610"/>
    <cellStyle name="好_River EE BOM_Creak Pearl Reliability Fixture RFQ_2009 04 24_Creek  Pearl RFQ_May 12_Foxlink_Shadow RFQ NREUni BOM_12032009 2 3" xfId="25611"/>
    <cellStyle name="好_River EE BOM_Creak Pearl Reliability Fixture RFQ_2009 04 24_Creek  Pearl RFQ_May 12_Foxlink_Shadow RFQ NREUni BOM_12032009 2 4" xfId="25612"/>
    <cellStyle name="差_jupite r設備&amp;治工具LIST (總)_Flow Chart&amp;PQ分析(12-1)_Flow chart and Fixture(1-4)" xfId="25613"/>
    <cellStyle name="差_MB9月管審換線超時8d 3" xfId="25614"/>
    <cellStyle name="好_River EE BOM_Creak Pearl Reliability Fixture RFQ_2009 04 24_Creek  Pearl RFQ_May 12_Foxlink_Shadow RFQ NREUni BOM_12032009 3 2" xfId="25615"/>
    <cellStyle name="差_MB9月管審換線超時8d 4" xfId="25616"/>
    <cellStyle name="好_River EE BOM_Creak Pearl Reliability Fixture RFQ_2009 04 24_Creek  Pearl RFQ_May 12_Foxlink_Shadow RFQ NREUni BOM_12032009 3 3" xfId="25617"/>
    <cellStyle name="差_Creak Pearl Reliability Fixture RFQ_2009 04 24_Xl0000002_Squirrel UniBom-06.23.2010_update_internal_Bolt RFQ Proposal_Foxlink_ (Pricing Summary) 2 25 2011 2 2 2" xfId="25618"/>
    <cellStyle name="好_River EE BOM_Creak Pearl Reliability Fixture RFQ_2009 04 24_Creek  Pearl RFQ_May 12_Foxlink_Shadow RFQ NREUni BOM_12032009_Bolt RFQ Proposal_Foxlink_ (Pricing Summary) 2 25 2011" xfId="25619"/>
    <cellStyle name="好_River EE BOM_Creak Pearl Reliability Fixture RFQ_2009 04 24_Creek  Pearl RFQ_May 12_Foxlink_Shadow RFQ NREUni BOM_12032009_Bolt RFQ Proposal_Foxlink_ (Pricing Summary) 2 25 2011 2 2 2" xfId="25620"/>
    <cellStyle name="差_HP Mouse 產能評估(上系統)_MS Bolt wireless mouse FixtureEquipment Cost_A5_2010_02_21" xfId="25621"/>
    <cellStyle name="好_River EE BOM_Xl0000000_Leopard RFQ ME BOM Costs-0618_Bolt RFQ_Foxlink_03.1 2011_nego meeting@MACH 2" xfId="25622"/>
    <cellStyle name="好_River EE BOM_Creak Pearl Reliability Fixture RFQ_2009 04 24_Creek  Pearl RFQ_May 12_Foxlink_Shadow RFQ NREUni BOM_12032009_Bolt RFQ Proposal_Foxlink_ (Pricing Summary) 2 25 2011 2 2 3" xfId="25623"/>
    <cellStyle name="好_River EE BOM_Creak Pearl Reliability Fixture RFQ_2009 04 24_Creek  Pearl RFQ_May 12_Foxlink_Shadow RFQ NREUni BOM_12032009_Bolt RFQ Proposal_Foxlink_ (Pricing Summary) 2 25 2011 2 4" xfId="25624"/>
    <cellStyle name="好_River EE BOM_Creak Pearl Reliability Fixture RFQ_2009 04 24_Creek  Pearl RFQ_May 12_Foxlink_Shadow RFQ NREUni BOM_12032009_Bolt RFQ Proposal_Foxlink_ (Pricing Summary) 2 25 2011 3" xfId="25625"/>
    <cellStyle name="好_River EE BOM_Creak Pearl Reliability Fixture RFQ_2009 04 24_Creek RFQ feedback 04_28_2009_FD Update_Bolt RFQ_Foxlink_03.1 2011_nego meeting@MACH 2 3" xfId="25626"/>
    <cellStyle name="好_River EE BOM_Creak Pearl Reliability Fixture RFQ_2009 04 24_Creek  Pearl RFQ_May 12_Foxlink_Shadow RFQ NREUni BOM_12032009_Bolt RFQ Proposal_Foxlink_ (Pricing Summary) 2 25 2011 3 2" xfId="25627"/>
    <cellStyle name="好_River EE BOM_Creak Pearl Reliability Fixture RFQ_2009 04 24_Creek  Pearl RFQ_May 12_Foxlink_Shadow RFQ NREUni BOM_12032009_Bolt RFQ Proposal_Foxlink_ (Pricing Summary) 2 25 2011 3 3" xfId="25628"/>
    <cellStyle name="好_River EE BOM_Creak Pearl Reliability Fixture RFQ_2009 04 24_Creek RFQ feedback 04_28_2009_FD Update_Bolt RFQ_Foxlink_03.1 2011_nego meeting@MACH 3 3" xfId="25629"/>
    <cellStyle name="好_River EE BOM_Creak Pearl Reliability Fixture RFQ_2009 04 24_Creek  Pearl RFQ_May 12_Foxlink_Shadow RFQ NREUni BOM_12032009_Bolt RFQ Proposal_Foxlink_ (Pricing Summary) 2 25 2011 4 2" xfId="25630"/>
    <cellStyle name="好_River EE BOM_Creak Pearl Reliability Fixture RFQ_2009 04 24_Creek  Pearl RFQ_May 12_Foxlink_Shadow RFQ NREUni BOM_12032009_Bolt RFQ Proposal_Foxlink_ (Pricing Summary) 2 25 2011 5" xfId="25631"/>
    <cellStyle name="好_River EE BOM_Creak Pearl Reliability Fixture RFQ_2009 04 24_Creek  Pearl RFQ_May 12_Foxlink_Shadow RFQ NREUni BOM_12032009_Bolt RFQ Proposal_Foxlink_ (Pricing Summary) 2 25 2011 5 2" xfId="25632"/>
    <cellStyle name="好_River EE BOM_Creak Pearl Reliability Fixture RFQ_2009 04 24_Creek  Pearl RFQ_May 12_Foxlink_Shadow RFQ NREUni BOM_12032009_Bolt RFQ Proposal_Foxlink_ (Pricing Summary) 2 25 2011 5 3" xfId="25633"/>
    <cellStyle name="好_River EE BOM_Creak Pearl Reliability Fixture RFQ_2009 04 24_Creek  Pearl RFQ_May 12_Foxlink_Shadow RFQ NREUni BOM_12032009_Bolt RFQ Proposal_Foxlink_ (Pricing Summary) 2 25 2011 7" xfId="25634"/>
    <cellStyle name="好_River EE BOM_Xl0000002_Leopard RFQ ME BOM Costs-0618 2 2 2" xfId="25635"/>
    <cellStyle name="好_River EE BOM_Creak Pearl Reliability Fixture RFQ_2009 04 24_Xl0000002_Squirrel RFQ ME BOM Costs-0623_Bolt RFQ_Foxlink_03.1 2011_nego meeting@MACH 2 3" xfId="25636"/>
    <cellStyle name="好_River EE BOM_Creak Pearl Reliability Fixture RFQ_2009 04 24_Creek  Pearl RFQ_May 12_Foxlink_Shadow RFQ NREUni BOM_12032009_Bolt RFQ_Foxlink_03.1 2011" xfId="25637"/>
    <cellStyle name="差_HP  專案(設備&amp;治工具需夠買)update_M1 SuedeFixtureEquipment Cost_A0_2010_10_15" xfId="25638"/>
    <cellStyle name="好_River EE BOM_Creak Pearl Reliability Fixture RFQ_2009 04 24_Creek  Pearl RFQ_May 12_Foxlink_Shadow RFQ NREUni BOM_12032009_Bolt RFQ_Foxlink_03.1 2011 2" xfId="25639"/>
    <cellStyle name="差_HP  專案(設備&amp;治工具需夠買)update_M1 SuedeFixtureEquipment Cost_A0_2010_10_15 2" xfId="25640"/>
    <cellStyle name="好_River EE BOM_Creak Pearl Reliability Fixture RFQ_2009 04 24_Creek  Pearl RFQ_May 12_Foxlink_Shadow RFQ NREUni BOM_12032009_Bolt RFQ_Foxlink_03.1 2011 2 2" xfId="25641"/>
    <cellStyle name="差_HP  專案(設備&amp;治工具需夠買)update_M1 SuedeFixtureEquipment Cost_A0_2010_10_15 2 2" xfId="25642"/>
    <cellStyle name="差_dallas產能評估_Dallas效益分析&amp;投資回收期 (12-2 A1)_效益分析(總 12-28 Update)_Jackson 效益分析 (2-1 B0 上系統)_Leopard Flowchart &amp; 產能評估" xfId="25643"/>
    <cellStyle name="好_River EE BOM_Creak Pearl Reliability Fixture RFQ_2009 04 24_Creek  Pearl RFQ_May 12_Foxlink_Shadow RFQ NREUni BOM_12032009_Bolt RFQ_Foxlink_03.1 2011 2 3" xfId="25644"/>
    <cellStyle name="差_HP  專案(設備&amp;治工具需夠買)update_M1 SuedeFixtureEquipment Cost_A0_2010_10_15 2 3" xfId="25645"/>
    <cellStyle name="好_River EE BOM_Creak Pearl Reliability Fixture RFQ_2009 04 24_Creek  Pearl RFQ_May 12_Foxlink_Shadow RFQ NREUni BOM_12032009_Bolt RFQ_Foxlink_03.1 2011 3" xfId="25646"/>
    <cellStyle name="差_HP  專案(設備&amp;治工具需夠買)update_M1 SuedeFixtureEquipment Cost_A0_2010_10_15 3" xfId="25647"/>
    <cellStyle name="好_River EE BOM_Creak Pearl Reliability Fixture RFQ_2009 04 24_Creek  Pearl RFQ_May 12_Foxlink_Shadow RFQ NREUni BOM_12032009_Bolt RFQ_Foxlink_03.1 2011 3 2" xfId="25648"/>
    <cellStyle name="差_HP  專案(設備&amp;治工具需夠買)update_M1 SuedeFixtureEquipment Cost_A0_2010_10_15 3 2" xfId="25649"/>
    <cellStyle name="好_River EE BOM_Creak Pearl Reliability Fixture RFQ_2009 04 24_Creek  Pearl RFQ_May 12_Foxlink_Shadow RFQ NREUni BOM_12032009_Bolt RFQ_Foxlink_03.1 2011 3 3" xfId="25650"/>
    <cellStyle name="差_HP  專案(設備&amp;治工具需夠買)update_M1 SuedeFixtureEquipment Cost_A0_2010_10_15 3 3" xfId="25651"/>
    <cellStyle name="差_F3   SMT設備明細_效益分析_Jackson 效益分析 testing update_16th Jan111_Jackson 效益分析 (2-1 B0 上系統)_Leopard Flowchart &amp; 產能評估" xfId="25652"/>
    <cellStyle name="差_Xl0000000_Leopard_UniBOM_ME_0602_Bolt RFQ Proposal_Foxlink_ (Pricing Summary) 2 25 2011 7" xfId="25653"/>
    <cellStyle name="差_F3   SMT設備明細_jupite r設備&amp;治工具LIST (總)_flow chart 2009.12.12_Jackson 效益分析 testing update_16th Jan111_Jackson 效益分析 (2-1 B0 上系統)_Leopard Flowchart &amp; 產能評估" xfId="25654"/>
    <cellStyle name="好_River EE BOM_Creak Pearl Reliability Fixture RFQ_2009 04 24_Creek  Pearl RFQ_May 12_Foxlink_Shadow RFQ NREUni BOM_12032009_Bolt RFQ_Foxlink_03.1 2011_nego meeting@MACH 2" xfId="25655"/>
    <cellStyle name="好_River EE BOM_Creak Pearl Reliability Fixture RFQ_2009 04 24_Creek  Pearl RFQ_May 12_Foxlink_Shadow RFQ NREUni BOM_12032009_Bolt RFQ_Foxlink_03.1 2011_nego meeting@MACH 2 2" xfId="25656"/>
    <cellStyle name="好_River EE BOM_Creak Pearl Reliability Fixture RFQ_2009 04 24_Creek  Pearl RFQ_May 12_Foxlink_Shadow RFQ NREUni BOM_12032009_Bolt RFQ_Foxlink_03.1 2011_nego meeting@MACH 2 3" xfId="25657"/>
    <cellStyle name="好_River EE BOM_Creak Pearl Reliability Fixture RFQ_2009 04 24_Creek  Pearl RFQ_May 12_Foxlink_Shadow RFQ NREUni BOM_12032009_Bolt RFQ_Foxlink_03.1 2011_nego meeting@MACH 3" xfId="25658"/>
    <cellStyle name="好_River EE BOM_Creak Pearl Reliability Fixture RFQ_2009 04 24_Creek  Pearl RFQ_May 12_Foxlink_Shadow RFQ NREUni BOM_12032009_Bolt RFQ_Foxlink_03.1 2011_nego meeting@MACH 3 3" xfId="25659"/>
    <cellStyle name="好_River EE BOM_Creak Pearl Reliability Fixture RFQ_2009 04 24_Creek  Pearl RFQ_May 12_Foxlink_Shadow RFQ NREUni BOM_12032009_Bolt RFQ_Foxlink_03.1 2011_nego meeting@MACH 4" xfId="25660"/>
    <cellStyle name="差_Creak Pearl Reliability Fixture RFQ_2009 04 24_Xl0000002_Leopard RFQ ME BOM Costs-0618-2_Bolt RFQ_Foxlink_03.1 2011_nego meeting@MACH" xfId="25661"/>
    <cellStyle name="好_River EE BOM_Creak Pearl Reliability Fixture RFQ_2009 04 24_Creek  Pearl RFQ_May 12_Jackson and Shadow BOM cost_mainfile_2010 0324 rev.1_Bristol UniBom_Foxlink_02082011 RevA" xfId="25662"/>
    <cellStyle name="好_River EE BOM_Creak Pearl Reliability Fixture RFQ_2009 04 24_Creek  Pearl RFQ_May 12_Jackson and Shadow BOM cost_mainfile_2010 0324 rev.1_Leopard UniBom_Foxlink_12272010 RevF_shirley" xfId="25663"/>
    <cellStyle name="好_River EE BOM_Creak Pearl Reliability Fixture RFQ_2009 04 24_Creek  Pearl RFQ_May 12_Jackson EE BOM " xfId="25664"/>
    <cellStyle name="好_River EE BOM_Creak Pearl Reliability Fixture RFQ_2009 04 24_Creek  Pearl RFQ_May 12_Lemur RFQ ME BOM Costs-0623" xfId="25665"/>
    <cellStyle name="差_F3   SMT設備明細_效益分析_Jackson 效益分析 testing update_16th Jan111" xfId="25666"/>
    <cellStyle name="好_River EE BOM_Creak Pearl Reliability Fixture RFQ_2009 04 24_Creek  Pearl RFQ_May 12_Leopard Lemur Squirrel UniBom-06.22.2010_EE cost _update_internal_Bolt RFQ Proposal_Foxlink_ (Pricing Summary) 2 25 2011 3 3" xfId="25667"/>
    <cellStyle name="好_River EE BOM_Creak Pearl Reliability Fixture RFQ_2009 04 24_Creek  Pearl RFQ_May 12_Leopard Lemur Squirrel UniBom-06.22.2010_EE cost _update_internal" xfId="25668"/>
    <cellStyle name="好_River EE BOM_Creak Pearl Reliability Fixture RFQ_2009 04 24_Creek  Pearl RFQ_May 12_Leopard Lemur Squirrel UniBom-06.22.2010_EE cost _update_internal 2 2" xfId="25669"/>
    <cellStyle name="好_River EE BOM_Creak Pearl Reliability Fixture RFQ_2009 04 24_Creek  Pearl RFQ_May 12_Leopard Lemur Squirrel UniBom-06.22.2010_EE cost _update_internal 2 2 2" xfId="25670"/>
    <cellStyle name="好_River EE BOM_Creak Pearl Reliability Fixture RFQ_2009 04 24_Creek  Pearl RFQ_May 12_Leopard Lemur Squirrel UniBom-06.22.2010_EE cost _update_internal 2 3" xfId="25671"/>
    <cellStyle name="好_River EE BOM_Creak Pearl Reliability Fixture RFQ_2009 04 24_Creek  Pearl RFQ_May 12_Leopard Lemur Squirrel UniBom-06.22.2010_EE cost _update_internal 2 4" xfId="25672"/>
    <cellStyle name="好_River EE BOM_Creak Pearl Reliability Fixture RFQ_2009 04 24_Creek  Pearl RFQ_May 12_Leopard Lemur Squirrel UniBom-06.22.2010_EE cost _update_internal 3" xfId="25673"/>
    <cellStyle name="好_River EE BOM_Creak Pearl Reliability Fixture RFQ_2009 04 24_Creek  Pearl RFQ_May 12_Leopard Lemur Squirrel UniBom-06.22.2010_EE cost _update_internal 3 3" xfId="25674"/>
    <cellStyle name="好_治具工程課2009年KPI_KPI 1006 5" xfId="25675"/>
    <cellStyle name="好_River EE BOM_Creak Pearl Reliability Fixture RFQ_2009 04 24_Creek  Pearl RFQ_May 12_Leopard Lemur Squirrel UniBom-06.22.2010_EE cost _update_internal_Bolt RFQ Proposal_Foxlink_ (Pricing Summary) 2 25 2011" xfId="25676"/>
    <cellStyle name="好_治具工程課2009年KPI_KPI 1006 5 2" xfId="25677"/>
    <cellStyle name="好_River EE BOM_Creak Pearl Reliability Fixture RFQ_2009 04 24_Creek  Pearl RFQ_May 12_Leopard Lemur Squirrel UniBom-06.22.2010_EE cost _update_internal_Bolt RFQ Proposal_Foxlink_ (Pricing Summary) 2 25 2011 2" xfId="25678"/>
    <cellStyle name="好_治具工程課2009年KPI_KPI 1006 5 2 3" xfId="25679"/>
    <cellStyle name="好_River EE BOM_Creak Pearl Reliability Fixture RFQ_2009 04 24_Creek  Pearl RFQ_May 12_Leopard Lemur Squirrel UniBom-06.22.2010_EE cost _update_internal_Bolt RFQ Proposal_Foxlink_ (Pricing Summary) 2 25 2011 2 3" xfId="25680"/>
    <cellStyle name="好_River EE BOM_Creak Pearl Reliability Fixture RFQ_2009 04 24_Creek  Pearl RFQ_May 12_Leopard Lemur Squirrel UniBom-06.22.2010_EE cost _update_internal_Bolt RFQ Proposal_Foxlink_ (Pricing Summary) 2 25 2011 2 4" xfId="25681"/>
    <cellStyle name="好_River EE BOM_Creak Pearl Reliability Fixture RFQ_2009 04 24_Creek RFQ feedback 04_28_2009_FD Update_Jackson and Shadow BOM cost_mainfile_2010 0324 rev.1_Leopard UniBom_Foxlink_12092010 RevD-jen" xfId="25682"/>
    <cellStyle name="好_River EE BOM_Creak Pearl Reliability Fixture RFQ_2009 04 24_Creek  Pearl RFQ_May 12_Leopard Lemur Squirrel UniBom-06.22.2010_EE cost _update_internal_Bolt RFQ Proposal_Foxlink_ (Pricing Summary) 2 25 2011 3 2" xfId="25683"/>
    <cellStyle name="好_治具工程課2009年KPI_KPI 1006 5 4" xfId="25684"/>
    <cellStyle name="好_River EE BOM_Creak Pearl Reliability Fixture RFQ_2009 04 24_Creek  Pearl RFQ_May 12_Leopard Lemur Squirrel UniBom-06.22.2010_EE cost _update_internal_Bolt RFQ Proposal_Foxlink_ (Pricing Summary) 2 25 2011 4" xfId="25685"/>
    <cellStyle name="好_River EE BOM_Creak Pearl Reliability Fixture RFQ_2009 04 24_Creek  Pearl RFQ_May 12_Leopard Lemur Squirrel UniBom-06.22.2010_EE cost _update_internal_Bolt RFQ Proposal_Foxlink_ (Pricing Summary) 2 25 2011 4 2" xfId="25686"/>
    <cellStyle name="好_River EE BOM_Creak Pearl Reliability Fixture RFQ_2009 04 24_Creek  Pearl RFQ_May 12_Leopard Lemur Squirrel UniBom-06.22.2010_EE cost _update_internal_Bolt RFQ Proposal_Foxlink_ (Pricing Summary) 2 25 2011 4 3" xfId="25687"/>
    <cellStyle name="差_Creak Pearl Reliability Fixture RFQ_2009 04 24_Creek RFQ feedback 04_28_2009_FD Update_Leopard_UniBOM_ME_0603-2_Bolt RFQ Proposal_Foxlink_ (Pricing Summary) 2 25 2011 2 2 2" xfId="25688"/>
    <cellStyle name="好_River EE BOM_Creak Pearl Reliability Fixture RFQ_2009 04 24_Creek  Pearl RFQ_May 12_Leopard Lemur Squirrel UniBom-06.22.2010_EE cost _update_internal_Bolt RFQ Proposal_Foxlink_ (Pricing Summary) 2 25 2011 5 3" xfId="25689"/>
    <cellStyle name="好_River EE BOM_Creak Pearl Reliability Fixture RFQ_2009 04 24_Creek  Pearl RFQ_May 12_Leopard Lemur Squirrel UniBom-06.22.2010_EE cost _update_internal_Bolt RFQ Proposal_Foxlink_ (Pricing Summary) 2 25 2011 7" xfId="25690"/>
    <cellStyle name="好_River EE BOM_Creak Pearl Reliability Fixture RFQ_2009 04 24_Pearl RFQ(Submittal)ver2_05_12_2009 _Leopard_UniBOM_ME_0602-1_Bolt RFQ_Foxlink_03.1 2011" xfId="25691"/>
    <cellStyle name="好_River EE BOM_Creak Pearl Reliability Fixture RFQ_2009 04 24_Creek  Pearl RFQ_May 12_Leopard Lemur Squirrel UniBom-06.22.2010_EE cost _update_internal_Bolt RFQ_Foxlink_03.1 2011" xfId="25692"/>
    <cellStyle name="好_River EE BOM_Creak Pearl Reliability Fixture RFQ_2009 04 24_Creek  Pearl RFQ_May 12_Leopard Lemur Squirrel UniBom-06.22.2010_EE cost _update_internal_Bolt RFQ_Foxlink_03.1 2011 2 2" xfId="25693"/>
    <cellStyle name="好_River EE BOM_Creak Pearl Reliability Fixture RFQ_2009 04 24_Creek  Pearl RFQ_May 12_Leopard Lemur Squirrel UniBom-06.22.2010_EE cost _update_internal_Bolt RFQ_Foxlink_03.1 2011 3" xfId="25694"/>
    <cellStyle name="好_River EE BOM_Creak Pearl Reliability Fixture RFQ_2009 04 24_Creek  Pearl RFQ_May 12_Leopard Lemur Squirrel UniBom-06.22.2010_EE cost _update_internal_Bolt RFQ_Foxlink_03.1 2011 3 2" xfId="25695"/>
    <cellStyle name="好_River EE BOM_Creak Pearl Reliability Fixture RFQ_2009 04 24_Creek  Pearl RFQ_May 12_Leopard Lemur Squirrel UniBom-06.22.2010_EE cost _update_internal_Bolt RFQ_Foxlink_03.1 2011 3 3" xfId="25696"/>
    <cellStyle name="好_River EE BOM_Creak Pearl Reliability Fixture RFQ_2009 04 24_Creek  Pearl RFQ_May 12_Leopard Lemur Squirrel UniBom-06.22.2010_EE cost _update_internal_Bolt RFQ_Foxlink_03.1 2011 4" xfId="25697"/>
    <cellStyle name="好_River EE BOM_Creak Pearl Reliability Fixture RFQ_2009 04 24_Creek  Pearl RFQ_May 12_Leopard Lemur Squirrel UniBom-06.22.2010_EE cost _update_internal_Bolt RFQ_Foxlink_03.1 2011 5" xfId="25698"/>
    <cellStyle name="差_MB9月管審換線超時8d_2009MB KPI_MBO3F製造部hp0209-01 3 3" xfId="25699"/>
    <cellStyle name="好_River EE BOM_Creak Pearl Reliability Fixture RFQ_2009 04 24_Creek  Pearl RFQ_May 12_Leopard Lemur Squirrel UniBom-06.22.2010_EE cost _update_internal_Bolt RFQ_Foxlink_03.1 2011_nego meeting@MACH" xfId="25700"/>
    <cellStyle name="好_River EE BOM_Xl0000002_Leopard_UniBOM_ME_0603-2" xfId="25701"/>
    <cellStyle name="好_River EE BOM_Creak Pearl Reliability Fixture RFQ_2009 04 24_Creek  Pearl RFQ_May 12_Leopard Lemur Squirrel UniBom-06.22.2010_EE cost _update_internal_Bolt RFQ_Foxlink_03.1 2011_nego meeting@MACH 2" xfId="25702"/>
    <cellStyle name="好_River EE BOM_Xl0000002_Leopard_UniBOM_ME_0603-2 2" xfId="25703"/>
    <cellStyle name="好_River EE BOM_Creak Pearl Reliability Fixture RFQ_2009 04 24_Creek  Pearl RFQ_May 12_Leopard Lemur Squirrel UniBom-06.22.2010_EE cost _update_internal_Bolt RFQ_Foxlink_03.1 2011_nego meeting@MACH 2 2" xfId="25704"/>
    <cellStyle name="好_River EE BOM_Creak Pearl Reliability Fixture RFQ_2009 04 24_Creek  Pearl RFQ_May 12_Leopard Lemur Squirrel UniBom-06.22.2010_EE cost _update_internal_Bolt RFQ_Foxlink_03.1 2011_nego meeting@MACH 3" xfId="25705"/>
    <cellStyle name="好_River EE BOM_Creak Pearl Reliability Fixture RFQ_2009 04 24_Creek  Pearl RFQ_May 12_Leopard Lemur Squirrel UniBom-06.22.2010_EE cost _update_internal_Bolt RFQ_Foxlink_03.1 2011_nego meeting@MACH 3 2" xfId="25706"/>
    <cellStyle name="差_Creak Pearl Reliability Fixture RFQ_2009 04 24_Creek RFQ feedback 04_28_2009_FD Update_Leopard RFQ ME BOM Costs-0618-2_Bolt RFQ Proposal_Foxlink_ (Pricing Summary) 2 25 2011 3 2" xfId="25707"/>
    <cellStyle name="好_River EE BOM_Creak Pearl Reliability Fixture RFQ_2009 04 24_Creek  Pearl RFQ_May 12_Leopard Lemur Squirrel UniBom-06.22.2010_EE cost _update_internal_Bolt RFQ_Foxlink_03.1 2011_nego meeting@MACH 3 3" xfId="25708"/>
    <cellStyle name="差_Creak Pearl Reliability Fixture RFQ_2009 04 24_Creek RFQ feedback 04_28_2009_FD Update_Foxlink_Shadow RFQ NREUni BOM_12032009 2 3" xfId="25709"/>
    <cellStyle name="好_River EE BOM_Creak Pearl Reliability Fixture RFQ_2009 04 24_Creek  Pearl RFQ_May 12_Leopard Lemur Squirrel UniBom-06.22.2010_EE cost _update_internal_Bolt RFQ_Foxlink_03.1 2011_nego meeting@MACH 5" xfId="25710"/>
    <cellStyle name="好_River EE BOM_Creak Pearl Reliability Fixture RFQ_2009 04 24_Creek  Pearl RFQ_May 12_Leopard RFQ ME BOM Costs-0618" xfId="25711"/>
    <cellStyle name="好_River EE BOM_Creak Pearl Reliability Fixture RFQ_2009 04 24_Creek  Pearl RFQ_May 12_Leopard RFQ ME BOM Costs-0623" xfId="25712"/>
    <cellStyle name="好_River EE BOM_Creak Pearl Reliability Fixture RFQ_2009 04 24_Creek  Pearl RFQ_May 12_Leopard RFQ ME BOM Costs-0618 2" xfId="25713"/>
    <cellStyle name="差_Creak Pearl Reliability Fixture RFQ_2009 04 24_Pearl RFQ(Submittal)ver2_05_12_2009 _Squirrel RFQ ME BOM Costs-0623_Bolt RFQ Proposal_Foxlink_ (Pricing Summary) 2 25 2011 3 3" xfId="25714"/>
    <cellStyle name="好_River EE BOM_Creak Pearl Reliability Fixture RFQ_2009 04 24_Creek  Pearl RFQ_May 12_Leopard RFQ ME BOM Costs-0618 2 2" xfId="25715"/>
    <cellStyle name="好_River EE BOM_Xl0000002_Squirrel UniBom-06.23.2010_update_internal 5" xfId="25716"/>
    <cellStyle name="好_River EE BOM_Creak Pearl Reliability Fixture RFQ_2009 04 24_Creek  Pearl RFQ_May 12_Leopard RFQ ME BOM Costs-0618 2 2 2" xfId="25717"/>
    <cellStyle name="差_HP Mouse 產能評估(Forecast更改後)_MS Bolt wireless mouse FixtureEquipment Cost_A5_2010_02_21" xfId="25718"/>
    <cellStyle name="差_Creak Pearl Reliability Fixture RFQ_2009 04 24_Leopard RFQ ME BOM Costs-0618 2 2" xfId="25719"/>
    <cellStyle name="好_River EE BOM_Creak Pearl Reliability Fixture RFQ_2009 04 24_Creek  Pearl RFQ_May 12_Leopard RFQ ME BOM Costs-0618 2 2 3" xfId="25720"/>
    <cellStyle name="好_River EE BOM_Creak Pearl Reliability Fixture RFQ_2009 04 24_Creek  Pearl RFQ_May 12_Leopard RFQ ME BOM Costs-0618 2 4" xfId="25721"/>
    <cellStyle name="好_River EE BOM_Creak Pearl Reliability Fixture RFQ_2009 04 24_Creek  Pearl RFQ_May 12_Leopard RFQ ME BOM Costs-0618 3" xfId="25722"/>
    <cellStyle name="差_Creak Pearl Reliability Fixture RFQ_2009 04 24_Pearl RFQ(Submittal)ver2_05_12_2009 _Squirrel RFQ ME BOM Costs-0623_Bolt RFQ Proposal_Foxlink_ (Pricing Summary) 2 25 2011 4 3" xfId="25723"/>
    <cellStyle name="好_River EE BOM_Creak Pearl Reliability Fixture RFQ_2009 04 24_Creek  Pearl RFQ_May 12_Leopard RFQ ME BOM Costs-0618 3 2" xfId="25724"/>
    <cellStyle name="好_River EE BOM_Creak Pearl Reliability Fixture RFQ_2009 04 24_Creek  Pearl RFQ_May 12_Leopard RFQ ME BOM Costs-0618_Bolt RFQ Proposal_Foxlink_ (Pricing Summary) 2 25 2011 2" xfId="25725"/>
    <cellStyle name="好_River EE BOM_Creak Pearl Reliability Fixture RFQ_2009 04 24_Creek  Pearl RFQ_May 12_Leopard RFQ ME BOM Costs-0618_Bolt RFQ Proposal_Foxlink_ (Pricing Summary) 2 25 2011 2 2" xfId="25726"/>
    <cellStyle name="好_River EE BOM_Creak Pearl Reliability Fixture RFQ_2009 04 24_Creek  Pearl RFQ_May 12_Leopard RFQ ME BOM Costs-0618_Bolt RFQ Proposal_Foxlink_ (Pricing Summary) 2 25 2011 2 2 2" xfId="25727"/>
    <cellStyle name="好_River EE BOM_Creak Pearl Reliability Fixture RFQ_2009 04 24_Creek  Pearl RFQ_May 12_Leopard RFQ ME BOM Costs-0618_Bolt RFQ Proposal_Foxlink_ (Pricing Summary) 2 25 2011 2 2 3" xfId="25728"/>
    <cellStyle name="好_River EE BOM_Creak Pearl Reliability Fixture RFQ_2009 04 24_Creek  Pearl RFQ_May 12_Leopard RFQ ME BOM Costs-0618_Bolt RFQ Proposal_Foxlink_ (Pricing Summary) 2 25 2011 2 3" xfId="25729"/>
    <cellStyle name="好_River EE BOM_Creak Pearl Reliability Fixture RFQ_2009 04 24_Creek  Pearl RFQ_May 12_Leopard RFQ ME BOM Costs-0618_Bolt RFQ Proposal_Foxlink_ (Pricing Summary) 2 25 2011 3 2" xfId="25730"/>
    <cellStyle name="好_River EE BOM_Creak Pearl Reliability Fixture RFQ_2009 04 24_Creek  Pearl RFQ_May 12_Leopard RFQ ME BOM Costs-0618_Bolt RFQ Proposal_Foxlink_ (Pricing Summary) 2 25 2011 3 3" xfId="25731"/>
    <cellStyle name="差_Creak Pearl Reliability Fixture RFQ_2009 04 24_Pearl RFQ(Submittal)ver2_05_12_2009 _Foxlink_Shadow RFQ NREUni BOM_12032009_Bolt RFQ Proposal_Foxlink_ (Pricing Summary) 2 25 2011 2 2" xfId="25732"/>
    <cellStyle name="好_River EE BOM_Creak Pearl Reliability Fixture RFQ_2009 04 24_Creek  Pearl RFQ_May 12_Leopard RFQ ME BOM Costs-0618_Bolt RFQ Proposal_Foxlink_ (Pricing Summary) 2 25 2011 4" xfId="25733"/>
    <cellStyle name="差_Creak Pearl Reliability Fixture RFQ_2009 04 24_Pearl RFQ(Submittal)ver2_05_12_2009 _Foxlink_Shadow RFQ NREUni BOM_12032009_Bolt RFQ Proposal_Foxlink_ (Pricing Summary) 2 25 2011 2 2 2" xfId="25734"/>
    <cellStyle name="好_River EE BOM_Creak Pearl Reliability Fixture RFQ_2009 04 24_Creek  Pearl RFQ_May 12_Leopard RFQ ME BOM Costs-0618_Bolt RFQ Proposal_Foxlink_ (Pricing Summary) 2 25 2011 4 2" xfId="25735"/>
    <cellStyle name="差_Creak Pearl Reliability Fixture RFQ_2009 04 24_Pearl RFQ(Submittal)ver2_05_12_2009 _Foxlink_Shadow RFQ NREUni BOM_12032009_Bolt RFQ Proposal_Foxlink_ (Pricing Summary) 2 25 2011 2 2 3" xfId="25736"/>
    <cellStyle name="好_River EE BOM_Creak Pearl Reliability Fixture RFQ_2009 04 24_Creek  Pearl RFQ_May 12_Leopard RFQ ME BOM Costs-0618_Bolt RFQ Proposal_Foxlink_ (Pricing Summary) 2 25 2011 4 3" xfId="25737"/>
    <cellStyle name="差_Creak Pearl Reliability Fixture RFQ_2009 04 24_Pearl RFQ(Submittal)ver2_05_12_2009 _Foxlink_Shadow RFQ NREUni BOM_12032009_Bolt RFQ Proposal_Foxlink_ (Pricing Summary) 2 25 2011 2 3" xfId="25738"/>
    <cellStyle name="好_River EE BOM_Creak Pearl Reliability Fixture RFQ_2009 04 24_Creek  Pearl RFQ_May 12_Leopard RFQ ME BOM Costs-0618_Bolt RFQ Proposal_Foxlink_ (Pricing Summary) 2 25 2011 5" xfId="25739"/>
    <cellStyle name="好_River EE BOM_Creak Pearl Reliability Fixture RFQ_2009 04 24_Creek  Pearl RFQ_May 12_Leopard RFQ ME BOM Costs-0618_Bolt RFQ Proposal_Foxlink_ (Pricing Summary) 2 25 2011 5 2" xfId="25740"/>
    <cellStyle name="好_River EE BOM_Creak Pearl Reliability Fixture RFQ_2009 04 24_Creek  Pearl RFQ_May 12_Leopard RFQ ME BOM Costs-0618_Bolt RFQ Proposal_Foxlink_ (Pricing Summary) 2 25 2011 5 3" xfId="25741"/>
    <cellStyle name="差_Creak Pearl Reliability Fixture RFQ_2009 04 24_Pearl RFQ(Submittal)ver2_05_12_2009 _Foxlink_Shadow RFQ NREUni BOM_12032009_Bolt RFQ Proposal_Foxlink_ (Pricing Summary) 2 25 2011 2 4" xfId="25742"/>
    <cellStyle name="差_HP Mouse 產能評估(Forecast更改後)_M1 Squirrel Capacity planFixtureEquipment Cost_A2_06192010_Bristol UniBom_Foxlink_02082011 RevA" xfId="25743"/>
    <cellStyle name="好_River EE BOM_Creak Pearl Reliability Fixture RFQ_2009 04 24_Creek  Pearl RFQ_May 12_Leopard RFQ ME BOM Costs-0618_Bolt RFQ Proposal_Foxlink_ (Pricing Summary) 2 25 2011 6" xfId="25744"/>
    <cellStyle name="好_River EE BOM_Creak Pearl Reliability Fixture RFQ_2009 04 24_Creek  Pearl RFQ_May 12_Leopard RFQ ME BOM Costs-0618_Bolt RFQ_Foxlink_03.1 2011" xfId="25745"/>
    <cellStyle name="差_MB9月管審誤判超標 8D_HP 2 4" xfId="25746"/>
    <cellStyle name="好_River EE BOM_Creak Pearl Reliability Fixture RFQ_2009 04 24_Creek  Pearl RFQ_May 12_Leopard RFQ ME BOM Costs-0618_Bolt RFQ_Foxlink_03.1 2011 2 3" xfId="25747"/>
    <cellStyle name="差 5 3" xfId="25748"/>
    <cellStyle name="差_MB9月管審誤判超標 8D_HP 3 4" xfId="25749"/>
    <cellStyle name="好_River EE BOM_Creak Pearl Reliability Fixture RFQ_2009 04 24_Creek  Pearl RFQ_May 12_Leopard RFQ ME BOM Costs-0618_Bolt RFQ_Foxlink_03.1 2011 3 3" xfId="25750"/>
    <cellStyle name="差_jupite r設備&amp;治工具LIST (總)_pq_Flow Chart&amp;設備治工具清單 _squirrel效益分析08-17" xfId="25751"/>
    <cellStyle name="好_River EE BOM_Creak Pearl Reliability Fixture RFQ_2009 04 24_Creek  Pearl RFQ_May 12_Leopard RFQ ME BOM Costs-0618_Bolt RFQ_Foxlink_03.1 2011 5" xfId="25752"/>
    <cellStyle name="好_River EE BOM_Creak Pearl Reliability Fixture RFQ_2009 04 24_Creek RFQ feedback 04_28_2009_FD Update_Leopard UniBom-06 22 2010_update_internal" xfId="25753"/>
    <cellStyle name="好_River EE BOM_Creak Pearl Reliability Fixture RFQ_2009 04 24_Creek  Pearl RFQ_May 12_Leopard RFQ ME BOM Costs-0618_Bolt RFQ_Foxlink_03.1 2011_nego meeting@MACH 2" xfId="25754"/>
    <cellStyle name="好_River EE BOM_Creak Pearl Reliability Fixture RFQ_2009 04 24_Creek  Pearl RFQ_May 12_Leopard RFQ ME BOM Costs-0618_Bolt RFQ_Foxlink_03.1 2011_nego meeting@MACH 2 2" xfId="25755"/>
    <cellStyle name="好_River EE BOM_Creak Pearl Reliability Fixture RFQ_2009 04 24_Creek  Pearl RFQ_May 12_Leopard RFQ ME BOM Costs-0618_Bolt RFQ_Foxlink_03.1 2011_nego meeting@MACH 2 3" xfId="25756"/>
    <cellStyle name="好_River EE BOM_Creak Pearl Reliability Fixture RFQ_2009 04 24_Creek  Pearl RFQ_May 12_Leopard RFQ ME BOM Costs-0618_Bolt RFQ_Foxlink_03.1 2011_nego meeting@MACH 3 3" xfId="25757"/>
    <cellStyle name="好_River EE BOM_Creak Pearl Reliability Fixture RFQ_2009 04 24_Creek  Pearl RFQ_May 12_Leopard RFQ ME BOM Costs-0618_Bolt RFQ_Foxlink_03.1 2011_nego meeting@MACH 5" xfId="25758"/>
    <cellStyle name="差_HP Mouse 產能評估(上系統)_M1 SuedeFixtureEquipment Cost_A0_2010_10_15_Wedge_ME_BOM-v00-11v0715 3" xfId="25759"/>
    <cellStyle name="差_Creak Pearl Reliability Fixture RFQ_2009 04 24_Pearl RFQ(Submittal)ver2_05_12_2009 _Bolt RFQ Proposal_Foxlink_ (Pricing Summary) 2 25 2011 4" xfId="25760"/>
    <cellStyle name="好_River EE BOM_Creak Pearl Reliability Fixture RFQ_2009 04 24_Creek  Pearl RFQ_May 12_Leopard RFQ ME BOM Costs-0618-2" xfId="25761"/>
    <cellStyle name="好_River EE BOM_Creak Pearl Reliability Fixture RFQ_2009 04 24_Creek  Pearl RFQ_May 12_Leopard RFQ ME BOM Costs-0618-2 2 2" xfId="25762"/>
    <cellStyle name="好_River EE BOM_Creak Pearl Reliability Fixture RFQ_2009 04 24_Creek  Pearl RFQ_May 12_Leopard RFQ ME BOM Costs-0618-2 2 4" xfId="25763"/>
    <cellStyle name="差_MB9月管審誤判超標 8D_2009MB KPI_MBO3F製造部hp0209-01 6 3" xfId="25764"/>
    <cellStyle name="好_River EE BOM_Creak Pearl Reliability Fixture RFQ_2009 04 24_Creek  Pearl RFQ_May 12_Leopard RFQ ME BOM Costs-0618-2_Bolt RFQ Proposal_Foxlink_ (Pricing Summary) 2 25 2011 3 2" xfId="25765"/>
    <cellStyle name="好_River EE BOM_Creak Pearl Reliability Fixture RFQ_2009 04 24_Creek  Pearl RFQ_May 12_Leopard RFQ ME BOM Costs-0618-2_Bolt RFQ Proposal_Foxlink_ (Pricing Summary) 2 25 2011 3 3" xfId="25766"/>
    <cellStyle name="好_River EE BOM_Creak Pearl Reliability Fixture RFQ_2009 04 24_Xl0000002_Leopard UniBom_Foxlink_6 21 2010-ME_nego 2 3" xfId="25767"/>
    <cellStyle name="好_River EE BOM_Creak Pearl Reliability Fixture RFQ_2009 04 24_Creek  Pearl RFQ_May 12_Leopard RFQ ME BOM Costs-0618-2_Bolt RFQ Proposal_Foxlink_ (Pricing Summary) 2 25 2011 4 3" xfId="25768"/>
    <cellStyle name="好_River EE BOM_Creak Pearl Reliability Fixture RFQ_2009 04 24_Xl0000002_Leopard UniBom_Foxlink_6 21 2010-ME_nego 3" xfId="25769"/>
    <cellStyle name="好_River EE BOM_Creak Pearl Reliability Fixture RFQ_2009 04 24_Creek  Pearl RFQ_May 12_Leopard RFQ ME BOM Costs-0618-2_Bolt RFQ Proposal_Foxlink_ (Pricing Summary) 2 25 2011 5" xfId="25770"/>
    <cellStyle name="好_River EE BOM_Creak Pearl Reliability Fixture RFQ_2009 04 24_Xl0000002_Leopard UniBom_Foxlink_6 21 2010-ME_nego 3 2" xfId="25771"/>
    <cellStyle name="好_River EE BOM_Creak Pearl Reliability Fixture RFQ_2009 04 24_Creek  Pearl RFQ_May 12_Leopard RFQ ME BOM Costs-0618-2_Bolt RFQ Proposal_Foxlink_ (Pricing Summary) 2 25 2011 5 2" xfId="25772"/>
    <cellStyle name="壞_Erie Assembly Fixture  Test Equip Cost_20090716_Bolt RFQ Proposal_Foxlink_ (Pricing Summary) 2 25 2011 4 2" xfId="25773"/>
    <cellStyle name="好_River EE BOM_Creak Pearl Reliability Fixture RFQ_2009 04 24_Xl0000002_Leopard UniBom_Foxlink_6 21 2010-ME_nego 3 3" xfId="25774"/>
    <cellStyle name="好_River EE BOM_Creak Pearl Reliability Fixture RFQ_2009 04 24_Creek  Pearl RFQ_May 12_Leopard RFQ ME BOM Costs-0618-2_Bolt RFQ Proposal_Foxlink_ (Pricing Summary) 2 25 2011 5 3" xfId="25775"/>
    <cellStyle name="好_River EE BOM_Creak Pearl Reliability Fixture RFQ_2009 04 24_Creek  Pearl RFQ_May 12_Leopard RFQ ME BOM Costs-0618-2_Bolt RFQ Proposal_Foxlink_ (Pricing Summary) 2 25 2011 6" xfId="25776"/>
    <cellStyle name="好_River EE BOM_Creak Pearl Reliability Fixture RFQ_2009 04 24_Creek  Pearl RFQ_May 12_Leopard RFQ ME BOM Costs-0618-2_Bolt RFQ Proposal_Foxlink_ (Pricing Summary) 2 25 2011 7" xfId="25777"/>
    <cellStyle name="差_HP Mouse 產能評估(上系統)_Bolt RFQ_Foxlink_03.1 2011_nego meeting@MACH 2 3" xfId="25778"/>
    <cellStyle name="好_River EE BOM_Creak Pearl Reliability Fixture RFQ_2009 04 24_Creek  Pearl RFQ_May 12_Leopard RFQ ME BOM Costs-0618-2_Bolt RFQ_Foxlink_03.1 2011" xfId="25779"/>
    <cellStyle name="好_River EE BOM_Creak Pearl Reliability Fixture RFQ_2009 04 24_Creek  Pearl RFQ_May 12_Leopard RFQ ME BOM Costs-0618-2_Bolt RFQ_Foxlink_03.1 2011 2" xfId="25780"/>
    <cellStyle name="好_River EE BOM_Creak Pearl Reliability Fixture RFQ_2009 04 24_Creek  Pearl RFQ_May 12_Leopard RFQ ME BOM Costs-0618-2_Bolt RFQ_Foxlink_03.1 2011 2 2" xfId="25781"/>
    <cellStyle name="好_River EE BOM_Creak Pearl Reliability Fixture RFQ_2009 04 24_Creek  Pearl RFQ_May 12_Leopard RFQ ME BOM Costs-0618-2_Bolt RFQ_Foxlink_03.1 2011 2 3" xfId="25782"/>
    <cellStyle name="好_River EE BOM_Creak Pearl Reliability Fixture RFQ_2009 04 24_Creek  Pearl RFQ_May 12_Leopard RFQ ME BOM Costs-0618-2_Bolt RFQ_Foxlink_03.1 2011_nego meeting@MACH" xfId="25783"/>
    <cellStyle name="好_River EE BOM_Creak Pearl Reliability Fixture RFQ_2009 04 24_Creek  Pearl RFQ_May 12_Leopard RFQ ME BOM Costs-0618-2_Bolt RFQ_Foxlink_03.1 2011_nego meeting@MACH 2" xfId="25784"/>
    <cellStyle name="好_River EE BOM_Creak Pearl Reliability Fixture RFQ_2009 04 24_Creek  Pearl RFQ_May 12_Leopard RFQ ME BOM Costs-0618-2_Bolt RFQ_Foxlink_03.1 2011_nego meeting@MACH 2 2" xfId="25785"/>
    <cellStyle name="好_River EE BOM_Creak Pearl Reliability Fixture RFQ_2009 04 24_Creek  Pearl RFQ_May 12_Leopard RFQ ME BOM Costs-0618-2_Bolt RFQ_Foxlink_03.1 2011_nego meeting@MACH 2 3" xfId="25786"/>
    <cellStyle name="好_River EE BOM_Creak Pearl Reliability Fixture RFQ_2009 04 24_Creek  Pearl RFQ_May 12_Leopard RFQ ME BOM Costs-0618-2_Bolt RFQ_Foxlink_03.1 2011_nego meeting@MACH 3" xfId="25787"/>
    <cellStyle name="好_River EE BOM_Creak Pearl Reliability Fixture RFQ_2009 04 24_Creek  Pearl RFQ_May 12_Leopard RFQ ME BOM Costs-0618-2_Bolt RFQ_Foxlink_03.1 2011_nego meeting@MACH 3 3" xfId="25788"/>
    <cellStyle name="好_效益分析&amp;產能評估_Bolt RFQ_Foxlink_03.1 2011 2 3" xfId="25789"/>
    <cellStyle name="好_River EE BOM_Creak Pearl Reliability Fixture RFQ_2009 04 24_Creek  Pearl RFQ_May 12_Leopard RFQ ME BOM Costs-0618-2_Bolt RFQ_Foxlink_03.1 2011_nego meeting@MACH 5" xfId="25790"/>
    <cellStyle name="好_River EE BOM_Creak Pearl Reliability Fixture RFQ_2009 04 24_Creek  Pearl RFQ_May 12_Leopard UniBom_Foxlink_12272010 RevF_shirley" xfId="25791"/>
    <cellStyle name="好_River EE BOM_Creak Pearl Reliability Fixture RFQ_2009 04 24_Creek  Pearl RFQ_May 12_Leopard UniBom_Foxlink_6 21 2010-ME_nego" xfId="25792"/>
    <cellStyle name="好_River EE BOM_Creak Pearl Reliability Fixture RFQ_2009 04 24_Creek  Pearl RFQ_May 12_Leopard UniBom_Foxlink_6 21 2010-ME_nego 2" xfId="25793"/>
    <cellStyle name="好_River EE BOM_Creak Pearl Reliability Fixture RFQ_2009 04 24_Creek  Pearl RFQ_May 12_Leopard UniBom_Foxlink_6 21 2010-ME_nego 2 2" xfId="25794"/>
    <cellStyle name="好_River EE BOM_Creak Pearl Reliability Fixture RFQ_2009 04 24_Creek  Pearl RFQ_May 12_Leopard UniBom_Foxlink_6 21 2010-ME_nego 2 2 3" xfId="25795"/>
    <cellStyle name="好_River EE BOM_Creak Pearl Reliability Fixture RFQ_2009 04 24_Creek  Pearl RFQ_May 12_Leopard UniBom_Foxlink_6 21 2010-ME_nego 2 3" xfId="25796"/>
    <cellStyle name="好_River EE BOM_Creak Pearl Reliability Fixture RFQ_2009 04 24_Creek  Pearl RFQ_May 12_Leopard UniBom_Foxlink_6 21 2010-ME_nego 3 2" xfId="25797"/>
    <cellStyle name="好_River EE BOM_Creak Pearl Reliability Fixture RFQ_2009 04 24_Creek  Pearl RFQ_May 12_Leopard UniBom_Foxlink_6 21 2010-ME_nego 3 3" xfId="25798"/>
    <cellStyle name="差_Xl0000000_Leopard_UniBOM_ME_0602_Bolt RFQ_Foxlink_03.1 2011_nego meeting@MACH" xfId="25799"/>
    <cellStyle name="好_River EE BOM_Creak Pearl Reliability Fixture RFQ_2009 04 24_Creek  Pearl RFQ_May 12_Leopard UniBom_Foxlink_6 21 2010-ME_nego_Bolt RFQ Proposal_Foxlink_ (Pricing Summary) 2 25 2011 2" xfId="25800"/>
    <cellStyle name="好_River EE BOM_Xl0000000_Leopard Lemur Squirrel UniBom-06.22.2010_EE cost _update_internal 2 2 3" xfId="25801"/>
    <cellStyle name="差_Xl0000000_Leopard_UniBOM_ME_0602_Bolt RFQ_Foxlink_03.1 2011_nego meeting@MACH 2" xfId="25802"/>
    <cellStyle name="好_River EE BOM_Creak Pearl Reliability Fixture RFQ_2009 04 24_Creek  Pearl RFQ_May 12_Leopard UniBom_Foxlink_6 21 2010-ME_nego_Bolt RFQ Proposal_Foxlink_ (Pricing Summary) 2 25 2011 2 2" xfId="25803"/>
    <cellStyle name="差_Xl0000000_Leopard_UniBOM_ME_0602_Bolt RFQ_Foxlink_03.1 2011_nego meeting@MACH 2 3" xfId="25804"/>
    <cellStyle name="好_River EE BOM_Creak Pearl Reliability Fixture RFQ_2009 04 24_Creek  Pearl RFQ_May 12_Leopard UniBom_Foxlink_6 21 2010-ME_nego_Bolt RFQ Proposal_Foxlink_ (Pricing Summary) 2 25 2011 2 2 3" xfId="25805"/>
    <cellStyle name="差_Xl0000000_Leopard_UniBOM_ME_0602_Bolt RFQ_Foxlink_03.1 2011_nego meeting@MACH 3" xfId="25806"/>
    <cellStyle name="好_River EE BOM_Creak Pearl Reliability Fixture RFQ_2009 04 24_Creek  Pearl RFQ_May 12_Leopard UniBom_Foxlink_6 21 2010-ME_nego_Bolt RFQ Proposal_Foxlink_ (Pricing Summary) 2 25 2011 2 3" xfId="25807"/>
    <cellStyle name="差_Xl0000000_Leopard_UniBOM_ME_0602_Bolt RFQ_Foxlink_03.1 2011_nego meeting@MACH 4" xfId="25808"/>
    <cellStyle name="好_River EE BOM_Creak Pearl Reliability Fixture RFQ_2009 04 24_Creek  Pearl RFQ_May 12_Leopard UniBom_Foxlink_6 21 2010-ME_nego_Bolt RFQ Proposal_Foxlink_ (Pricing Summary) 2 25 2011 2 4" xfId="25809"/>
    <cellStyle name="好_River EE BOM_Creak Pearl Reliability Fixture RFQ_2009 04 24_Creek  Pearl RFQ_May 12_Leopard UniBom_Foxlink_6 21 2010-ME_nego_Bolt RFQ Proposal_Foxlink_ (Pricing Summary) 2 25 2011 3" xfId="25810"/>
    <cellStyle name="好_River EE BOM_Xl0000002 2 4" xfId="25811"/>
    <cellStyle name="好_River EE BOM_Creak Pearl Reliability Fixture RFQ_2009 04 24_Creek  Pearl RFQ_May 12_Leopard UniBom_Foxlink_6 21 2010-ME_nego_Bolt RFQ Proposal_Foxlink_ (Pricing Summary) 2 25 2011 4 3" xfId="25812"/>
    <cellStyle name="好_River EE BOM_Xl0000002 3 3" xfId="25813"/>
    <cellStyle name="好_River EE BOM_Creak Pearl Reliability Fixture RFQ_2009 04 24_Creek  Pearl RFQ_May 12_Leopard UniBom_Foxlink_6 21 2010-ME_nego_Bolt RFQ Proposal_Foxlink_ (Pricing Summary) 2 25 2011 5 2" xfId="25814"/>
    <cellStyle name="好_River EE BOM_Creak Pearl Reliability Fixture RFQ_2009 04 24_Creek  Pearl RFQ_May 12_Leopard UniBom_Foxlink_6 21 2010-ME_nego_Bolt RFQ_Foxlink_03.1 2011" xfId="25815"/>
    <cellStyle name="好_River EE BOM_Creak Pearl Reliability Fixture RFQ_2009 04 24_Creek  Pearl RFQ_May 12_Leopard UniBom_Foxlink_6 21 2010-ME_nego_Bolt RFQ_Foxlink_03.1 2011 2" xfId="25816"/>
    <cellStyle name="好_River EE BOM_Creak Pearl Reliability Fixture RFQ_2009 04 24_Creek  Pearl RFQ_May 12_Leopard UniBom_Foxlink_6 21 2010-ME_nego_Bolt RFQ_Foxlink_03.1 2011 2 2" xfId="25817"/>
    <cellStyle name="好_River EE BOM_Creak Pearl Reliability Fixture RFQ_2009 04 24_Creek  Pearl RFQ_May 12_Leopard UniBom_Foxlink_6 21 2010-ME_nego_Bolt RFQ_Foxlink_03.1 2011 2 3" xfId="25818"/>
    <cellStyle name="好_River EE BOM_Creak Pearl Reliability Fixture RFQ_2009 04 24_Creek  Pearl RFQ_May 12_Leopard UniBom_Foxlink_6 21 2010-ME_nego_Bolt RFQ_Foxlink_03.1 2011 3" xfId="25819"/>
    <cellStyle name="好_River EE BOM_Creak Pearl Reliability Fixture RFQ_2009 04 24_Creek  Pearl RFQ_May 12_Leopard UniBom_Foxlink_6 21 2010-ME_nego_Bolt RFQ_Foxlink_03.1 2011 3 2" xfId="25820"/>
    <cellStyle name="好_River EE BOM_Xl0000002_Leopard_UniBOM_ME_0603-2_Bolt RFQ Proposal_Foxlink_ (Pricing Summary) 2 25 2011 2 2" xfId="25821"/>
    <cellStyle name="好_River EE BOM_Creak Pearl Reliability Fixture RFQ_2009 04 24_Creek  Pearl RFQ_May 12_Leopard UniBom_Foxlink_6 21 2010-ME_nego_Bolt RFQ_Foxlink_03.1 2011 4" xfId="25822"/>
    <cellStyle name="好_River EE BOM_Creak Pearl Reliability Fixture RFQ_2009 04 24_Creek  Pearl RFQ_May 12_Leopard UniBom_Foxlink_6 21 2010-ME_nego_Bolt RFQ_Foxlink_03.1 2011_nego meeting@MACH" xfId="25823"/>
    <cellStyle name="好_River EE BOM_Creak Pearl Reliability Fixture RFQ_2009 04 24_Creek  Pearl RFQ_May 12_Leopard UniBom_Foxlink_6 21 2010-ME_nego_Bolt RFQ_Foxlink_03.1 2011_nego meeting@MACH 2" xfId="25824"/>
    <cellStyle name="好_River EE BOM_Creak Pearl Reliability Fixture RFQ_2009 04 24_Xl0000002_Squirrel UniBom_Foxlink_7.27.2010" xfId="25825"/>
    <cellStyle name="好_River EE BOM_Creak Pearl Reliability Fixture RFQ_2009 04 24_Creek  Pearl RFQ_May 12_Leopard UniBom_Foxlink_6 21 2010-ME_nego_Bolt RFQ_Foxlink_03.1 2011_nego meeting@MACH 2 2" xfId="25826"/>
    <cellStyle name="好_River EE BOM_Creak Pearl Reliability Fixture RFQ_2009 04 24_Creek  Pearl RFQ_May 12_Leopard UniBom_Foxlink_6 21 2010-ME_nego_Bolt RFQ_Foxlink_03.1 2011_nego meeting@MACH 2 3" xfId="25827"/>
    <cellStyle name="差_Creek RFQ feedback 04_28_2009_FD Update_Leopard_UniBOM_ME_0603-2_Bolt RFQ Proposal_Foxlink_ (Pricing Summary) 2 25 2011 2 3" xfId="25828"/>
    <cellStyle name="差_Bolt RFQ Proposal_Foxlink_ (Pricing Summary) 2 25 2011 2" xfId="25829"/>
    <cellStyle name="好_River EE BOM_Creak Pearl Reliability Fixture RFQ_2009 04 24_Creek  Pearl RFQ_May 12_Leopard UniBom_Foxlink_6 21 2010-ME_nego_Bolt RFQ_Foxlink_03.1 2011_nego meeting@MACH 3 3" xfId="25830"/>
    <cellStyle name="壞_Creek Assembly Fixture  Test Equipment RFQ_20090427_Leopard UniBom_Foxlink_6 21 2010-ME_nego_Bolt RFQ_Foxlink_03.1 2011 2" xfId="25831"/>
    <cellStyle name="差_Creek RFQ feedback 04_28_2009_FD Update_Leopard_UniBOM_ME_0603-2_Bolt RFQ Proposal_Foxlink_ (Pricing Summary) 2 25 2011 3" xfId="25832"/>
    <cellStyle name="好_River EE BOM_Creak Pearl Reliability Fixture RFQ_2009 04 24_Creek  Pearl RFQ_May 12_Leopard UniBom_Foxlink_6 21 2010-ME_nego_Bolt RFQ_Foxlink_03.1 2011_nego meeting@MACH 4" xfId="25833"/>
    <cellStyle name="壞_Creek Assembly Fixture  Test Equipment RFQ_20090427_Leopard UniBom_Foxlink_6 21 2010-ME_nego_Bolt RFQ_Foxlink_03.1 2011 3" xfId="25834"/>
    <cellStyle name="差_Creek RFQ feedback 04_28_2009_FD Update_Leopard_UniBOM_ME_0603-2_Bolt RFQ Proposal_Foxlink_ (Pricing Summary) 2 25 2011 4" xfId="25835"/>
    <cellStyle name="好_River EE BOM_Creak Pearl Reliability Fixture RFQ_2009 04 24_Creek  Pearl RFQ_May 12_Leopard UniBom_Foxlink_6 21 2010-ME_nego_Bolt RFQ_Foxlink_03.1 2011_nego meeting@MACH 5" xfId="25836"/>
    <cellStyle name="好_River EE BOM_Creak Pearl Reliability Fixture RFQ_2009 04 24_Creek  Pearl RFQ_May 12_Leopard UniBom_Foxlink_6 21 2010-nego" xfId="25837"/>
    <cellStyle name="好_River EE BOM_Creak Pearl Reliability Fixture RFQ_2009 04 24_Creek  Pearl RFQ_May 12_Leopard UniBom_true cost_6.23.2010" xfId="25838"/>
    <cellStyle name="差_效益分析&amp;產能評估_M1 Bolt wireless mouse FixtureEquipment Cost_A2_2010_12_07_Bolt RFQ Proposal_Foxlink_ (Pricing Summary) 2 25 2011 3 2" xfId="25839"/>
    <cellStyle name="好_River EE BOM_Creak Pearl Reliability Fixture RFQ_2009 04 24_Creek  Pearl RFQ_May 12_Leopard UniBom-06 22 2010_update_internal" xfId="25840"/>
    <cellStyle name="好_River EE BOM_Creak Pearl Reliability Fixture RFQ_2009 04 24_Creek  Pearl RFQ_May 12_Leopard_UniBOM_ME_0531 2 2" xfId="25841"/>
    <cellStyle name="好_River EE BOM_Creak Pearl Reliability Fixture RFQ_2009 04 24_Creek  Pearl RFQ_May 12_Leopard_UniBOM_ME_0531 3" xfId="25842"/>
    <cellStyle name="好_River EE BOM_Creak Pearl Reliability Fixture RFQ_2009 04 24_Creek  Pearl RFQ_May 12_Leopard_UniBOM_ME_0531_Bolt RFQ Proposal_Foxlink_ (Pricing Summary) 2 25 2011" xfId="25843"/>
    <cellStyle name="好_River EE BOM_Creak Pearl Reliability Fixture RFQ_2009 04 24_Creek  Pearl RFQ_May 12_Leopard_UniBOM_ME_0531_Bolt RFQ Proposal_Foxlink_ (Pricing Summary) 2 25 2011 2" xfId="25844"/>
    <cellStyle name="好_River EE BOM_Creak Pearl Reliability Fixture RFQ_2009 04 24_Creek  Pearl RFQ_May 12_Leopard_UniBOM_ME_0531_Bolt RFQ Proposal_Foxlink_ (Pricing Summary) 2 25 2011 2 2" xfId="25845"/>
    <cellStyle name="好_River EE BOM_Creak Pearl Reliability Fixture RFQ_2009 04 24_Creek  Pearl RFQ_May 12_Leopard_UniBOM_ME_0531_Bolt RFQ Proposal_Foxlink_ (Pricing Summary) 2 25 2011 2 2 3" xfId="25846"/>
    <cellStyle name="好_River EE BOM_Creak Pearl Reliability Fixture RFQ_2009 04 24_Creek  Pearl RFQ_May 12_Leopard_UniBOM_ME_0531_Bolt RFQ Proposal_Foxlink_ (Pricing Summary) 2 25 2011 2 3" xfId="25847"/>
    <cellStyle name="好_River EE BOM_Creak Pearl Reliability Fixture RFQ_2009 04 24_Creek  Pearl RFQ_May 12_Leopard_UniBOM_ME_0531_Bolt RFQ Proposal_Foxlink_ (Pricing Summary) 2 25 2011 3" xfId="25848"/>
    <cellStyle name="好_River EE BOM_Creak Pearl Reliability Fixture RFQ_2009 04 24_Creek  Pearl RFQ_May 12_Leopard_UniBOM_ME_0531_Bolt RFQ Proposal_Foxlink_ (Pricing Summary) 2 25 2011 3 2" xfId="25849"/>
    <cellStyle name="好_River EE BOM_Creak Pearl Reliability Fixture RFQ_2009 04 24_Creek  Pearl RFQ_May 12_Leopard_UniBOM_ME_0531_Bolt RFQ Proposal_Foxlink_ (Pricing Summary) 2 25 2011 3 3" xfId="25850"/>
    <cellStyle name="差_HP Mouse 產能評估(Forecast更改後)_Bolt RFQ_Foxlink_03.1 2011_nego meeting@MACH 3 3" xfId="25851"/>
    <cellStyle name="好_River EE BOM_Creak Pearl Reliability Fixture RFQ_2009 04 24_Creek  Pearl RFQ_May 12_Leopard_UniBOM_ME_0531_Bolt RFQ Proposal_Foxlink_ (Pricing Summary) 2 25 2011 5 2" xfId="25852"/>
    <cellStyle name="好_River EE BOM_Creak Pearl Reliability Fixture RFQ_2009 04 24_Creek  Pearl RFQ_May 12_Leopard_UniBOM_ME_0531_Bolt RFQ Proposal_Foxlink_ (Pricing Summary) 2 25 2011 6" xfId="25853"/>
    <cellStyle name="差_Creak Pearl Reliability Fixture RFQ_2009 04 24_Creek  Pearl RFQ_May 12_Leopard UniBom_Foxlink_6 21 2010-nego" xfId="25854"/>
    <cellStyle name="好_River EE BOM_Creak Pearl Reliability Fixture RFQ_2009 04 24_Creek  Pearl RFQ_May 12_Leopard_UniBOM_ME_0531_Bolt RFQ Proposal_Foxlink_ (Pricing Summary) 2 25 2011 7" xfId="25855"/>
    <cellStyle name="好_River EE BOM_Creak Pearl Reliability Fixture RFQ_2009 04 24_Creek  Pearl RFQ_May 12_Leopard_UniBOM_ME_0531_Bolt RFQ_Foxlink_03.1 2011 2 3" xfId="25856"/>
    <cellStyle name="好_River EE BOM_Creak Pearl Reliability Fixture RFQ_2009 04 24_Creek  Pearl RFQ_May 12_Leopard_UniBOM_ME_0531_Bolt RFQ_Foxlink_03.1 2011_nego meeting@MACH 2 2" xfId="25857"/>
    <cellStyle name="差_jupite r設備&amp;治工具LIST (總)_Flow Chart&amp;PQ分析(12-1)_Jackson 效益分析 (2-1 B0 上系統)_Leopard效益分析08-17" xfId="25858"/>
    <cellStyle name="好_River EE BOM_Creak Pearl Reliability Fixture RFQ_2009 04 24_Creek  Pearl RFQ_May 12_Leopard_UniBOM_ME_0531_Bolt RFQ_Foxlink_03.1 2011_nego meeting@MACH 2 3" xfId="25859"/>
    <cellStyle name="差_Creek RFQ feedback 04_28_2009_FD Update_Foxlink_Shadow RFQ NREUni BOM_12032009_Bolt RFQ_Foxlink_03.1 2011_nego meeting@MACH 2" xfId="25860"/>
    <cellStyle name="好_River EE BOM_Creak Pearl Reliability Fixture RFQ_2009 04 24_Creek  Pearl RFQ_May 12_Leopard_UniBOM_ME_0531_Bolt RFQ_Foxlink_03.1 2011_nego meeting@MACH 3" xfId="25861"/>
    <cellStyle name="好_River EE BOM_Creak Pearl Reliability Fixture RFQ_2009 04 24_Creek  Pearl RFQ_May 12_Leopard_UniBOM_ME_0531_Bolt RFQ_Foxlink_03.1 2011_nego meeting@MACH 3 2" xfId="25862"/>
    <cellStyle name="差_dallas產能評估_Dallas效益分析&amp;投資回收期 (12-2 A1)_Jackson 效益分析 testing update_16th Jan1" xfId="25863"/>
    <cellStyle name="差_Creek RFQ feedback 04_28_2009_FD Update_Foxlink_Shadow RFQ NREUni BOM_12032009_Bolt RFQ_Foxlink_03.1 2011_nego meeting@MACH 2 2" xfId="25864"/>
    <cellStyle name="差_dallas產能評估_Dallas flow chart&amp;設備&amp;治工具清單(12-8 A0)_Jackson 效益分析 (1-18 A7)" xfId="25865"/>
    <cellStyle name="差_Creek RFQ feedback 04_28_2009_FD Update_Foxlink_Shadow RFQ NREUni BOM_12032009_Bolt RFQ_Foxlink_03.1 2011_nego meeting@MACH 2 3" xfId="25866"/>
    <cellStyle name="好_River EE BOM_Creak Pearl Reliability Fixture RFQ_2009 04 24_Creek  Pearl RFQ_May 12_Leopard_UniBOM_ME_0531_Bolt RFQ_Foxlink_03.1 2011_nego meeting@MACH 3 3" xfId="25867"/>
    <cellStyle name="好_River EE BOM_Creak Pearl Reliability Fixture RFQ_2009 04 24_Creek  Pearl RFQ_May 12_Leopard_UniBOM_ME_0602_Bolt RFQ Proposal_Foxlink_ (Pricing Summary) 2 25 2011" xfId="25868"/>
    <cellStyle name="好_River EE BOM_Xl0000002_Squirrel RFQ ME BOM Costs-0623 2 2" xfId="25869"/>
    <cellStyle name="好_River EE BOM_Xl0000002_Leopard_UniBOM_ME_0602_Bolt RFQ_Foxlink_03.1 2011 2 2" xfId="25870"/>
    <cellStyle name="好_River EE BOM_Creak Pearl Reliability Fixture RFQ_2009 04 24_Creek  Pearl RFQ_May 12_Leopard_UniBOM_ME_0602_Bolt RFQ Proposal_Foxlink_ (Pricing Summary) 2 25 2011 3 2" xfId="25871"/>
    <cellStyle name="好_River EE BOM_Xl0000002_Squirrel RFQ ME BOM Costs-0623 2 3" xfId="25872"/>
    <cellStyle name="好_River EE BOM_Xl0000002_Leopard_UniBOM_ME_0602_Bolt RFQ_Foxlink_03.1 2011 2 3" xfId="25873"/>
    <cellStyle name="好_River EE BOM_Creak Pearl Reliability Fixture RFQ_2009 04 24_Creek  Pearl RFQ_May 12_Leopard_UniBOM_ME_0602_Bolt RFQ Proposal_Foxlink_ (Pricing Summary) 2 25 2011 3 3" xfId="25874"/>
    <cellStyle name="好_River EE BOM_Creak Pearl Reliability Fixture RFQ_2009 04 24_Creek  Pearl RFQ_May 12_Leopard_UniBOM_ME_0602_Bolt RFQ Proposal_Foxlink_ (Pricing Summary) 2 25 2011 5 3" xfId="25875"/>
    <cellStyle name="好_River EE BOM_Xl0000002_Leopard_UniBOM_ME_0602_Bolt RFQ_Foxlink_03.1 2011 5" xfId="25876"/>
    <cellStyle name="好_River EE BOM_Creak Pearl Reliability Fixture RFQ_2009 04 24_Creek  Pearl RFQ_May 12_Leopard_UniBOM_ME_0602_Bolt RFQ Proposal_Foxlink_ (Pricing Summary) 2 25 2011 6" xfId="25877"/>
    <cellStyle name="好_River EE BOM_Creek RFQ feedback 04_28_2009_FD Update_Leopard UniBom_Foxlink_6 21 2010-ME_nego_Bolt RFQ Proposal_Foxlink_ (Pricing Summary) 2 25 2011 2 3" xfId="25878"/>
    <cellStyle name="好_River EE BOM_Creak Pearl Reliability Fixture RFQ_2009 04 24_Creek  Pearl RFQ_May 12_Leopard_UniBOM_ME_0602_Bolt RFQ_Foxlink_03.1 2011 2 2" xfId="25879"/>
    <cellStyle name="好_River EE BOM_Creak Pearl Reliability Fixture RFQ_2009 04 24_Creek  Pearl RFQ_May 12_Leopard_UniBOM_ME_0602_Bolt RFQ_Foxlink_03.1 2011 3 3" xfId="25880"/>
    <cellStyle name="差_HP Mouse 產能評估(上系統)_Erie 效益分析 (Update)_Flow chart and Fixture(Jackson)_A1_Jackson 效益分析 (2-1 B0 上系統)_Leopard效益分析08-17" xfId="25881"/>
    <cellStyle name="好_River EE BOM_Creak Pearl Reliability Fixture RFQ_2009 04 24_Creek  Pearl RFQ_May 12_Leopard_UniBOM_ME_0602_Bolt RFQ_Foxlink_03.1 2011_nego meeting@MACH" xfId="25882"/>
    <cellStyle name="好_River EE BOM_Creak Pearl Reliability Fixture RFQ_2009 04 24_Creek  Pearl RFQ_May 12_Leopard_UniBOM_ME_0602_Bolt RFQ_Foxlink_03.1 2011_nego meeting@MACH 2 2" xfId="25883"/>
    <cellStyle name="好_River EE BOM_Creak Pearl Reliability Fixture RFQ_2009 04 24_Creek  Pearl RFQ_May 12_Leopard_UniBOM_ME_0602_Bolt RFQ_Foxlink_03.1 2011_nego meeting@MACH 3" xfId="25884"/>
    <cellStyle name="好_River EE BOM_Creak Pearl Reliability Fixture RFQ_2009 04 24_Creek  Pearl RFQ_May 12_Leopard_UniBOM_ME_0602_Bolt RFQ_Foxlink_03.1 2011_nego meeting@MACH 3 2" xfId="25885"/>
    <cellStyle name="好_River EE BOM_Creak Pearl Reliability Fixture RFQ_2009 04 24_Creek  Pearl RFQ_May 12_Leopard_UniBOM_ME_0602_Bolt RFQ_Foxlink_03.1 2011_nego meeting@MACH 3 3" xfId="25886"/>
    <cellStyle name="好_River EE BOM_Creak Pearl Reliability Fixture RFQ_2009 04 24_Creek  Pearl RFQ_May 12_Leopard_UniBOM_ME_0602_Bolt RFQ_Foxlink_03.1 2011_nego meeting@MACH 4" xfId="25887"/>
    <cellStyle name="好_River EE BOM_Creak Pearl Reliability Fixture RFQ_2009 04 24_Creek  Pearl RFQ_May 12_Leopard_UniBOM_ME_0602_Bolt RFQ_Foxlink_03.1 2011_nego meeting@MACH 5" xfId="25888"/>
    <cellStyle name="好_River EE BOM_Creak Pearl Reliability Fixture RFQ_2009 04 24_Xl0000002_Squirrel UniBom-06.23.2010_update_internal_Bolt RFQ_Foxlink_03.1 2011_nego meeting@MACH 2 2" xfId="25889"/>
    <cellStyle name="好_River EE BOM_Creak Pearl Reliability Fixture RFQ_2009 04 24_Creek  Pearl RFQ_May 12_Leopard_UniBOM_ME_0602-1" xfId="25890"/>
    <cellStyle name="好_River EE BOM_Creak Pearl Reliability Fixture RFQ_2009 04 24_Creek  Pearl RFQ_May 12_Leopard_UniBOM_ME_0602-1 2" xfId="25891"/>
    <cellStyle name="好_River EE BOM_Creak Pearl Reliability Fixture RFQ_2009 04 24_Creek  Pearl RFQ_May 12_Leopard_UniBOM_ME_0602-1 2 2" xfId="25892"/>
    <cellStyle name="壞_Creek Assembly Fixture  Test Equipment RFQ_20090427_Xl0000002_Leopard UniBom_Foxlink_6 21 2010-ME_nego_Bolt RFQ_Foxlink_03.1 2011_nego meeting@MACH 3" xfId="25893"/>
    <cellStyle name="差_Creek RFQ feedback 04_28_2009_FD Update_Bolt RFQ Proposal_Foxlink_ (Pricing Summary) 2 25 2011 2 2 2" xfId="25894"/>
    <cellStyle name="好_River EE BOM_Creak Pearl Reliability Fixture RFQ_2009 04 24_Creek  Pearl RFQ_May 12_Leopard_UniBOM_ME_0602-1 2 3" xfId="25895"/>
    <cellStyle name="壞_Creek Assembly Fixture  Test Equipment RFQ_20090427_Xl0000002_Leopard UniBom_Foxlink_6 21 2010-ME_nego_Bolt RFQ_Foxlink_03.1 2011_nego meeting@MACH 4" xfId="25896"/>
    <cellStyle name="差_Creek RFQ feedback 04_28_2009_FD Update_Bolt RFQ Proposal_Foxlink_ (Pricing Summary) 2 25 2011 2 2 3" xfId="25897"/>
    <cellStyle name="好_River EE BOM_Creak Pearl Reliability Fixture RFQ_2009 04 24_Creek  Pearl RFQ_May 12_Leopard_UniBOM_ME_0602-1 2 4" xfId="25898"/>
    <cellStyle name="好_River EE BOM_Creak Pearl Reliability Fixture RFQ_2009 04 24_Creek  Pearl RFQ_May 12_Leopard_UniBOM_ME_0602-1 3 2" xfId="25899"/>
    <cellStyle name="好_River EE BOM_Creak Pearl Reliability Fixture RFQ_2009 04 24_Creek  Pearl RFQ_May 12_Leopard_UniBOM_ME_0602-1 3 3" xfId="25900"/>
    <cellStyle name="差_Creak Pearl Reliability Fixture RFQ_2009 04 24_Creek RFQ feedback 04_28_2009_FD Update_Leopard RFQ ME BOM Costs-0618-2_Bolt RFQ Proposal_Foxlink_ (Pricing Summary) 2 25 2011 4 2" xfId="25901"/>
    <cellStyle name="好_River EE BOM_Creak Pearl Reliability Fixture RFQ_2009 04 24_Creek  Pearl RFQ_May 12_Leopard_UniBOM_ME_0602-1_Bolt RFQ Proposal_Foxlink_ (Pricing Summary) 2 25 2011" xfId="25902"/>
    <cellStyle name="差_Creak Pearl Reliability Fixture RFQ_2009 04 24_Creek RFQ feedback 04_28_2009_FD Update_Foxlink_Shadow RFQ NREUni BOM_12032009 2 2 3" xfId="25903"/>
    <cellStyle name="好_River EE BOM_Creak Pearl Reliability Fixture RFQ_2009 04 24_Creek  Pearl RFQ_May 12_Leopard_UniBOM_ME_0602-1_Bolt RFQ Proposal_Foxlink_ (Pricing Summary) 2 25 2011 2" xfId="25904"/>
    <cellStyle name="好_River EE BOM_Creak Pearl Reliability Fixture RFQ_2009 04 24_Creek  Pearl RFQ_May 12_Leopard_UniBOM_ME_0602-1_Bolt RFQ Proposal_Foxlink_ (Pricing Summary) 2 25 2011 2 2" xfId="25905"/>
    <cellStyle name="好_River EE BOM_Creak Pearl Reliability Fixture RFQ_2009 04 24_Creek  Pearl RFQ_May 12_Leopard_UniBOM_ME_0602-1_Bolt RFQ Proposal_Foxlink_ (Pricing Summary) 2 25 2011 2 2 2" xfId="25906"/>
    <cellStyle name="好_River EE BOM_Creak Pearl Reliability Fixture RFQ_2009 04 24_Creek  Pearl RFQ_May 12_Leopard_UniBOM_ME_0602-1_Bolt RFQ Proposal_Foxlink_ (Pricing Summary) 2 25 2011 2 3" xfId="25907"/>
    <cellStyle name="好_River EE BOM_Creak Pearl Reliability Fixture RFQ_2009 04 24_Creek  Pearl RFQ_May 12_Leopard_UniBOM_ME_0602-1_Bolt RFQ Proposal_Foxlink_ (Pricing Summary) 2 25 2011 2 4" xfId="25908"/>
    <cellStyle name="好_River EE BOM_Creak Pearl Reliability Fixture RFQ_2009 04 24_Creek  Pearl RFQ_May 12_Leopard_UniBOM_ME_0602-1_Bolt RFQ Proposal_Foxlink_ (Pricing Summary) 2 25 2011 3" xfId="25909"/>
    <cellStyle name="好_River EE BOM_Creak Pearl Reliability Fixture RFQ_2009 04 24_Creek  Pearl RFQ_May 12_Leopard_UniBOM_ME_0602-1_Bolt RFQ Proposal_Foxlink_ (Pricing Summary) 2 25 2011 4" xfId="25910"/>
    <cellStyle name="好_River EE BOM_Creak Pearl Reliability Fixture RFQ_2009 04 24_Creek RFQ feedback 04_28_2009_FD Update_Squirrel UniBom-06.23.2010_update_internal_Bolt RFQ Proposal_Foxlink_ (Pricing Summary) 2 25 2011 2 2" xfId="25911"/>
    <cellStyle name="好_River EE BOM_Creak Pearl Reliability Fixture RFQ_2009 04 24_Creek  Pearl RFQ_May 12_Leopard_UniBOM_ME_0602-1_Bolt RFQ Proposal_Foxlink_ (Pricing Summary) 2 25 2011 4 3" xfId="25912"/>
    <cellStyle name="好_River EE BOM_Creak Pearl Reliability Fixture RFQ_2009 04 24_Creek RFQ feedback 04_28_2009_FD Update_Squirrel UniBom-06.23.2010_update_internal_Bolt RFQ Proposal_Foxlink_ (Pricing Summary) 2 25 2011 3 2" xfId="25913"/>
    <cellStyle name="好_River EE BOM_Creak Pearl Reliability Fixture RFQ_2009 04 24_Creek  Pearl RFQ_May 12_Leopard_UniBOM_ME_0602-1_Bolt RFQ Proposal_Foxlink_ (Pricing Summary) 2 25 2011 5 3" xfId="25914"/>
    <cellStyle name="好_River EE BOM_Creak Pearl Reliability Fixture RFQ_2009 04 24_Creek  Pearl RFQ_May 12_Leopard_UniBOM_ME_0602-1_Bolt RFQ Proposal_Foxlink_ (Pricing Summary) 2 25 2011 6" xfId="25915"/>
    <cellStyle name="好_River EE BOM_Creak Pearl Reliability Fixture RFQ_2009 04 24_Creek  Pearl RFQ_May 12_Leopard_UniBOM_ME_0602-1_Bolt RFQ_Foxlink_03.1 2011" xfId="25916"/>
    <cellStyle name="好_River EE BOM_Creak Pearl Reliability Fixture RFQ_2009 04 24_Pearl RFQ(Submittal)ver2_05_12_2009 _Leopard RFQ ME BOM Costs-0618_Bolt RFQ_Foxlink_03.1 2011_nego meeting@MACH 5" xfId="25917"/>
    <cellStyle name="好_River EE BOM_Creak Pearl Reliability Fixture RFQ_2009 04 24_Creek  Pearl RFQ_May 12_Leopard_UniBOM_ME_0602-1_Bolt RFQ_Foxlink_03.1 2011 3" xfId="25918"/>
    <cellStyle name="好_River EE BOM_Creak Pearl Reliability Fixture RFQ_2009 04 24_Creek  Pearl RFQ_May 12_Leopard_UniBOM_ME_0602-1_Bolt RFQ_Foxlink_03.1 2011 3 3" xfId="25919"/>
    <cellStyle name="好_River EE BOM_Creak Pearl Reliability Fixture RFQ_2009 04 24_Creek  Pearl RFQ_May 12_Leopard_UniBOM_ME_0602-1_Bolt RFQ_Foxlink_03.1 2011 4" xfId="25920"/>
    <cellStyle name="好_River EE BOM_Creak Pearl Reliability Fixture RFQ_2009 04 24_Creek  Pearl RFQ_May 12_Leopard_UniBOM_ME_0602-1_Bolt RFQ_Foxlink_03.1 2011 5" xfId="25921"/>
    <cellStyle name="好_River EE BOM_Creak Pearl Reliability Fixture RFQ_2009 04 24_Creek  Pearl RFQ_May 12_Leopard_UniBOM_ME_0602-1_Bolt RFQ_Foxlink_03.1 2011_nego meeting@MACH" xfId="25922"/>
    <cellStyle name="好_River EE BOM_Creak Pearl Reliability Fixture RFQ_2009 04 24_Creek  Pearl RFQ_May 12_Leopard_UniBOM_ME_0602-1_Bolt RFQ_Foxlink_03.1 2011_nego meeting@MACH 2" xfId="25923"/>
    <cellStyle name="好_River EE BOM_Creak Pearl Reliability Fixture RFQ_2009 04 24_Creek  Pearl RFQ_May 12_Leopard_UniBOM_ME_0602-1_Bolt RFQ_Foxlink_03.1 2011_nego meeting@MACH 2 2" xfId="25924"/>
    <cellStyle name="差_dallas產能評估_Dallas flow chart&amp;設備&amp;治工具清單(12-8 A0)_~5631336_Jackson 效益分析 (2-1 B0 上系統)_squirrel效益分析08-17" xfId="25925"/>
    <cellStyle name="好_River EE BOM_Creak Pearl Reliability Fixture RFQ_2009 04 24_Creek  Pearl RFQ_May 12_Leopard_UniBOM_ME_0602-1_Bolt RFQ_Foxlink_03.1 2011_nego meeting@MACH 2 3" xfId="25926"/>
    <cellStyle name="好_River EE BOM_Creak Pearl Reliability Fixture RFQ_2009 04 24_Creek  Pearl RFQ_May 12_Leopard_UniBOM_ME_0602-1_Bolt RFQ_Foxlink_03.1 2011_nego meeting@MACH 3 2" xfId="25927"/>
    <cellStyle name="好_River EE BOM_Creak Pearl Reliability Fixture RFQ_2009 04 24_Creek  Pearl RFQ_May 12_Leopard_UniBOM_ME_0602-1_Bolt RFQ_Foxlink_03.1 2011_nego meeting@MACH 4" xfId="25928"/>
    <cellStyle name="好_River EE BOM_Creak Pearl Reliability Fixture RFQ_2009 04 24_Creek  Pearl RFQ_May 12_Leopard_UniBOM_ME_0603-2 2 2" xfId="25929"/>
    <cellStyle name="好_River EE BOM_Creak Pearl Reliability Fixture RFQ_2009 04 24_Creek  Pearl RFQ_May 12_Leopard_UniBOM_ME_0603-2 2 2 2" xfId="25930"/>
    <cellStyle name="好_River EE BOM_Creak Pearl Reliability Fixture RFQ_2009 04 24_Creek  Pearl RFQ_May 12_Leopard_UniBOM_ME_0603-2 2 2 3" xfId="25931"/>
    <cellStyle name="差_Creak Pearl Reliability Fixture RFQ_2009 04 24_Leopard RFQ ME BOM Costs-0618-2_Bolt RFQ_Foxlink_03.1 2011 3 2" xfId="25932"/>
    <cellStyle name="好_River EE BOM_Creak Pearl Reliability Fixture RFQ_2009 04 24_Creek  Pearl RFQ_May 12_Leopard_UniBOM_ME_0603-2 2 3" xfId="25933"/>
    <cellStyle name="好_River EE BOM_Creak Pearl Reliability Fixture RFQ_2009 04 24_Creek  Pearl RFQ_May 12_Leopard_UniBOM_ME_0603-2 2 4" xfId="25934"/>
    <cellStyle name="好_River EE BOM_Creak Pearl Reliability Fixture RFQ_2009 04 24_Creek  Pearl RFQ_May 12_Leopard_UniBOM_ME_0603-2 3" xfId="25935"/>
    <cellStyle name="好_River EE BOM_Creak Pearl Reliability Fixture RFQ_2009 04 24_Creek  Pearl RFQ_May 12_Leopard_UniBOM_ME_0603-2 3 3" xfId="25936"/>
    <cellStyle name="好_River EE BOM_Creak Pearl Reliability Fixture RFQ_2009 04 24_Creek  Pearl RFQ_May 12_Leopard_UniBOM_ME_0603-2_Bolt RFQ Proposal_Foxlink_ (Pricing Summary) 2 25 2011" xfId="25937"/>
    <cellStyle name="好_River EE BOM_Creak Pearl Reliability Fixture RFQ_2009 04 24_Creek  Pearl RFQ_May 12_Leopard_UniBOM_ME_0603-2_Bolt RFQ Proposal_Foxlink_ (Pricing Summary) 2 25 2011 2" xfId="25938"/>
    <cellStyle name="差_Creak Pearl Reliability Fixture RFQ_2009 04 24_Creek  Pearl RFQ_May 12 4" xfId="25939"/>
    <cellStyle name="好_River EE BOM_Squirrel UniBom-06.23.2010_update_internal_Bolt RFQ_Foxlink_03.1 2011_nego meeting@MACH 3 2" xfId="25940"/>
    <cellStyle name="好_River EE BOM_Creak Pearl Reliability Fixture RFQ_2009 04 24_Creek  Pearl RFQ_May 12_Leopard_UniBOM_ME_0603-2_Bolt RFQ Proposal_Foxlink_ (Pricing Summary) 2 25 2011 2 3" xfId="25941"/>
    <cellStyle name="差_Creak Pearl Reliability Fixture RFQ_2009 04 24_Creek  Pearl RFQ_May 12 5" xfId="25942"/>
    <cellStyle name="好_River EE BOM_Squirrel UniBom-06.23.2010_update_internal_Bolt RFQ_Foxlink_03.1 2011_nego meeting@MACH 3 3" xfId="25943"/>
    <cellStyle name="好_River EE BOM_Creak Pearl Reliability Fixture RFQ_2009 04 24_Creek  Pearl RFQ_May 12_Leopard_UniBOM_ME_0603-2_Bolt RFQ Proposal_Foxlink_ (Pricing Summary) 2 25 2011 2 4" xfId="25944"/>
    <cellStyle name="好_River EE BOM_Creak Pearl Reliability Fixture RFQ_2009 04 24_Creek  Pearl RFQ_May 12_Leopard_UniBOM_ME_0603-2_Bolt RFQ Proposal_Foxlink_ (Pricing Summary) 2 25 2011 3 2" xfId="25945"/>
    <cellStyle name="好_River EE BOM_Creak Pearl Reliability Fixture RFQ_2009 04 24_Creek  Pearl RFQ_May 12_Leopard_UniBOM_ME_0603-2_Bolt RFQ Proposal_Foxlink_ (Pricing Summary) 2 25 2011 3 3" xfId="25946"/>
    <cellStyle name="好_River EE BOM_Creak Pearl Reliability Fixture RFQ_2009 04 24_Creek  Pearl RFQ_May 12_Leopard_UniBOM_ME_0603-2_Bolt RFQ Proposal_Foxlink_ (Pricing Summary) 2 25 2011 4 3" xfId="25947"/>
    <cellStyle name="好_River EE BOM_Creak Pearl Reliability Fixture RFQ_2009 04 24_Creek  Pearl RFQ_May 12_Leopard_UniBOM_ME_0603-2_Bolt RFQ Proposal_Foxlink_ (Pricing Summary) 2 25 2011 5" xfId="25948"/>
    <cellStyle name="差_Creak Pearl Reliability Fixture RFQ_2009 04 24_Creek  Pearl RFQ_May 12_Leopard RFQ ME BOM Costs-0618_Bolt RFQ_Foxlink_03.1 2011_nego meeting@MACH 2 3" xfId="25949"/>
    <cellStyle name="好_River EE BOM_Creak Pearl Reliability Fixture RFQ_2009 04 24_Creek  Pearl RFQ_May 12_Leopard_UniBOM_ME_0603-2_Bolt RFQ Proposal_Foxlink_ (Pricing Summary) 2 25 2011 5 2" xfId="25950"/>
    <cellStyle name="好_River EE BOM_Creak Pearl Reliability Fixture RFQ_2009 04 24_Creek  Pearl RFQ_May 12_Leopard_UniBOM_ME_0603-2_Bolt RFQ Proposal_Foxlink_ (Pricing Summary) 2 25 2011 6" xfId="25951"/>
    <cellStyle name="好_River EE BOM_Creak Pearl Reliability Fixture RFQ_2009 04 24_Creek  Pearl RFQ_May 12_Leopard_UniBOM_ME_0603-2_Bolt RFQ Proposal_Foxlink_ (Pricing Summary) 2 25 2011 7" xfId="25952"/>
    <cellStyle name="差_HP Mouse 產能評估(Forecast更改後)_M1 SuedeFixtureEquipment Cost_A0_2010_10_15_Bolt RFQ_Foxlink_03.1 2011_nego meeting@MACH 2" xfId="25953"/>
    <cellStyle name="好_River EE BOM_Creak Pearl Reliability Fixture RFQ_2009 04 24_Creek  Pearl RFQ_May 12_Leopard_UniBOM_ME_0603-2_Bolt RFQ_Foxlink_03.1 2011" xfId="25954"/>
    <cellStyle name="差_HP Mouse 產能評估(Forecast更改後)_M1 SuedeFixtureEquipment Cost_A0_2010_10_15_Bolt RFQ_Foxlink_03.1 2011_nego meeting@MACH 2 2" xfId="25955"/>
    <cellStyle name="好_River EE BOM_Creak Pearl Reliability Fixture RFQ_2009 04 24_Creek  Pearl RFQ_May 12_Leopard_UniBOM_ME_0603-2_Bolt RFQ_Foxlink_03.1 2011 2" xfId="25956"/>
    <cellStyle name="好_River EE BOM_Creak Pearl Reliability Fixture RFQ_2009 04 24_Creek  Pearl RFQ_May 12_Leopard_UniBOM_ME_0603-2_Bolt RFQ_Foxlink_03.1 2011 2 2" xfId="25957"/>
    <cellStyle name="差_HP  專案(設備&amp;治工具需夠買)update_MS Bolt wireless mouse FixtureEquipment Cost_A5_2010_02_21_Bolt RFQ_Foxlink_03.1 2011_nego meeting@MACH 3" xfId="25958"/>
    <cellStyle name="差_HP Mouse 產能評估(Forecast更改後)_M1 SuedeFixtureEquipment Cost_A0_2010_10_15_Bolt RFQ_Foxlink_03.1 2011_nego meeting@MACH 2 3" xfId="25959"/>
    <cellStyle name="好_River EE BOM_Creak Pearl Reliability Fixture RFQ_2009 04 24_Creek  Pearl RFQ_May 12_Leopard_UniBOM_ME_0603-2_Bolt RFQ_Foxlink_03.1 2011 3" xfId="25960"/>
    <cellStyle name="好_River EE BOM_Creak Pearl Reliability Fixture RFQ_2009 04 24_Creek  Pearl RFQ_May 12_Leopard_UniBOM_ME_0603-2_Bolt RFQ_Foxlink_03.1 2011 3 2" xfId="25961"/>
    <cellStyle name="好_River EE BOM_Creek RFQ feedback 04_28_2009_FD Update_Leopard_UniBOM_ME_0531_Bolt RFQ_Foxlink_03.1 2011_nego meeting@MACH 3 2" xfId="25962"/>
    <cellStyle name="好_River EE BOM_Creak Pearl Reliability Fixture RFQ_2009 04 24_Creek  Pearl RFQ_May 12_Leopard_UniBOM_ME_0603-2_Bolt RFQ_Foxlink_03.1 2011 4" xfId="25963"/>
    <cellStyle name="好_River EE BOM_Creak Pearl Reliability Fixture RFQ_2009 04 24_Creek  Pearl RFQ_May 12_Leopard_UniBOM_ME_0603-2_Bolt RFQ_Foxlink_03.1 2011_nego meeting@MACH" xfId="25964"/>
    <cellStyle name="好_River EE BOM_Xl0000002_Leopard UniBom_Foxlink_6 21 2010-ME_nego_Bolt RFQ_Foxlink_03.1 2011 3 3" xfId="25965"/>
    <cellStyle name="好_River EE BOM_Creak Pearl Reliability Fixture RFQ_2009 04 24_Creek  Pearl RFQ_May 12_Leopard_UniBOM_ME_0603-2_Bolt RFQ_Foxlink_03.1 2011_nego meeting@MACH 2 3" xfId="25966"/>
    <cellStyle name="好_River EE BOM_Creak Pearl Reliability Fixture RFQ_2009 04 24_Creek  Pearl RFQ_May 12_Leopard_UniBOM_ME_0603-2_Bolt RFQ_Foxlink_03.1 2011_nego meeting@MACH 3 3" xfId="25967"/>
    <cellStyle name="好_River EE BOM_Creak Pearl Reliability Fixture RFQ_2009 04 24_Creek  Pearl RFQ_May 12_Leopard_UniBOM_ME_0603-2_Bolt RFQ_Foxlink_03.1 2011_nego meeting@MACH 5" xfId="25968"/>
    <cellStyle name="好_River EE BOM_Creak Pearl Reliability Fixture RFQ_2009 04 24_Creek  Pearl RFQ_May 12_Squirrel RFQ ME BOM Costs-0623" xfId="25969"/>
    <cellStyle name="好_River EE BOM_Creak Pearl Reliability Fixture RFQ_2009 04 24_Creek  Pearl RFQ_May 12_Squirrel RFQ ME BOM Costs-0623 2" xfId="25970"/>
    <cellStyle name="好_River EE BOM_Creak Pearl Reliability Fixture RFQ_2009 04 24_Creek  Pearl RFQ_May 12_Squirrel RFQ ME BOM Costs-0623 2 2" xfId="25971"/>
    <cellStyle name="好_River EE BOM_Creak Pearl Reliability Fixture RFQ_2009 04 24_Creek  Pearl RFQ_May 12_Squirrel RFQ ME BOM Costs-0623 2 2 2" xfId="25972"/>
    <cellStyle name="好_River EE BOM_Creak Pearl Reliability Fixture RFQ_2009 04 24_Creek RFQ feedback 04_28_2009_FD Update_Squirrel RFQ ME BOM Costs-0623_Bolt RFQ_Foxlink_03.1 2011 3" xfId="25973"/>
    <cellStyle name="差_F3   SMT設備明細_效益分析_~3106354_~1159284" xfId="25974"/>
    <cellStyle name="差_Creak Pearl Reliability Fixture RFQ_2009 04 24_Leopard_UniBOM_ME_0603-2 3" xfId="25975"/>
    <cellStyle name="好_River EE BOM_Creak Pearl Reliability Fixture RFQ_2009 04 24_Creek  Pearl RFQ_May 12_Squirrel RFQ ME BOM Costs-0623 2 3" xfId="25976"/>
    <cellStyle name="差_Xl0000000_Leopard RFQ ME BOM Costs-0618-2_Bolt RFQ_Foxlink_03.1 2011 2 2" xfId="25977"/>
    <cellStyle name="好_River EE BOM_Creak Pearl Reliability Fixture RFQ_2009 04 24_Creek  Pearl RFQ_May 12_Squirrel RFQ ME BOM Costs-0623 2 4" xfId="25978"/>
    <cellStyle name="好_River EE BOM_Creak Pearl Reliability Fixture RFQ_2009 04 24_Creek  Pearl RFQ_May 12_Squirrel RFQ ME BOM Costs-0623 3" xfId="25979"/>
    <cellStyle name="好_River EE BOM_Creak Pearl Reliability Fixture RFQ_2009 04 24_Creek  Pearl RFQ_May 12_Squirrel RFQ ME BOM Costs-0623 3 3" xfId="25980"/>
    <cellStyle name="好_River EE BOM_Creak Pearl Reliability Fixture RFQ_2009 04 24_Creek  Pearl RFQ_May 12_Squirrel RFQ ME BOM Costs-0623_Bolt RFQ Proposal_Foxlink_ (Pricing Summary) 2 25 2011 2 2 2" xfId="25981"/>
    <cellStyle name="好_River EE BOM_Creak Pearl Reliability Fixture RFQ_2009 04 24_Creek  Pearl RFQ_May 12_Squirrel RFQ ME BOM Costs-0623_Bolt RFQ Proposal_Foxlink_ (Pricing Summary) 2 25 2011 2 2 3" xfId="25982"/>
    <cellStyle name="好_River EE BOM_Creak Pearl Reliability Fixture RFQ_2009 04 24_Creek  Pearl RFQ_May 12_Squirrel RFQ ME BOM Costs-0623_Bolt RFQ Proposal_Foxlink_ (Pricing Summary) 2 25 2011 2 3" xfId="25983"/>
    <cellStyle name="好_River EE BOM_Creak Pearl Reliability Fixture RFQ_2009 04 24_Creek  Pearl RFQ_May 12_Squirrel RFQ ME BOM Costs-0623_Bolt RFQ Proposal_Foxlink_ (Pricing Summary) 2 25 2011 2 4" xfId="25984"/>
    <cellStyle name="好_River EE BOM_Creak Pearl Reliability Fixture RFQ_2009 04 24_Creek  Pearl RFQ_May 12_Squirrel RFQ ME BOM Costs-0623_Bolt RFQ Proposal_Foxlink_ (Pricing Summary) 2 25 2011 3" xfId="25985"/>
    <cellStyle name="好_River EE BOM_Creak Pearl Reliability Fixture RFQ_2009 04 24_Creek  Pearl RFQ_May 12_Squirrel RFQ ME BOM Costs-0623_Bolt RFQ Proposal_Foxlink_ (Pricing Summary) 2 25 2011 3 3" xfId="25986"/>
    <cellStyle name="好_River EE BOM_Creak Pearl Reliability Fixture RFQ_2009 04 24_Creek  Pearl RFQ_May 12_Squirrel RFQ ME BOM Costs-0623_Bolt RFQ Proposal_Foxlink_ (Pricing Summary) 2 25 2011 4" xfId="25987"/>
    <cellStyle name="好_River EE BOM_Creak Pearl Reliability Fixture RFQ_2009 04 24_Creek  Pearl RFQ_May 12_Squirrel RFQ ME BOM Costs-0623_Bolt RFQ Proposal_Foxlink_ (Pricing Summary) 2 25 2011 4 2" xfId="25988"/>
    <cellStyle name="好_River EE BOM_Creak Pearl Reliability Fixture RFQ_2009 04 24_Xl0000002_Foxlink_Shadow RFQ NREUni BOM_12032009 2 2 2" xfId="25989"/>
    <cellStyle name="好_River EE BOM_Creak Pearl Reliability Fixture RFQ_2009 04 24_Creek  Pearl RFQ_May 12_Squirrel RFQ ME BOM Costs-0623_Bolt RFQ Proposal_Foxlink_ (Pricing Summary) 2 25 2011 6" xfId="25990"/>
    <cellStyle name="好_River EE BOM_Creak Pearl Reliability Fixture RFQ_2009 04 24_Xl0000002_Foxlink_Shadow RFQ NREUni BOM_12032009 2 2 3" xfId="25991"/>
    <cellStyle name="好_River EE BOM_Creak Pearl Reliability Fixture RFQ_2009 04 24_Creek  Pearl RFQ_May 12_Squirrel RFQ ME BOM Costs-0623_Bolt RFQ Proposal_Foxlink_ (Pricing Summary) 2 25 2011 7" xfId="25992"/>
    <cellStyle name="好_River EE BOM_Creak Pearl Reliability Fixture RFQ_2009 04 24_Creek  Pearl RFQ_May 12_Squirrel RFQ ME BOM Costs-0623_Bolt RFQ_Foxlink_03.1 2011" xfId="25993"/>
    <cellStyle name="差_治具工程課2009年KPI_HP 2 2 2" xfId="25994"/>
    <cellStyle name="好_River EE BOM_Creak Pearl Reliability Fixture RFQ_2009 04 24_Creek  Pearl RFQ_May 12_Squirrel RFQ ME BOM Costs-0623_Bolt RFQ_Foxlink_03.1 2011 2 3" xfId="25995"/>
    <cellStyle name="好_River EE BOM_Creak Pearl Reliability Fixture RFQ_2009 04 24_Creek  Pearl RFQ_May 12_Squirrel RFQ ME BOM Costs-0623_Bolt RFQ_Foxlink_03.1 2011 3" xfId="25996"/>
    <cellStyle name="差_治具工程課2009年KPI_HP 2 2 2 3" xfId="25997"/>
    <cellStyle name="好_River EE BOM_Creak Pearl Reliability Fixture RFQ_2009 04 24_Creek  Pearl RFQ_May 12_Squirrel RFQ ME BOM Costs-0623_Bolt RFQ_Foxlink_03.1 2011 3 2" xfId="25998"/>
    <cellStyle name="好_River EE BOM_Creak Pearl Reliability Fixture RFQ_2009 04 24_Creek  Pearl RFQ_May 12_Squirrel RFQ ME BOM Costs-0623_Bolt RFQ_Foxlink_03.1 2011 3 3" xfId="25999"/>
    <cellStyle name="好_River EE BOM_Creek RFQ feedback 04_28_2009_FD Update_Leopard Lemur Squirrel UniBom-06.22.2010_EE cost _update_internal_Bolt RFQ Proposal_Foxlink_ (Pricing Summary) 2 25 2011 5 2" xfId="26000"/>
    <cellStyle name="好_River EE BOM_Creak Pearl Reliability Fixture RFQ_2009 04 24_Creek  Pearl RFQ_May 12_Squirrel RFQ ME BOM Costs-0623_Bolt RFQ_Foxlink_03.1 2011 4" xfId="26001"/>
    <cellStyle name="好_River EE BOM_Creak Pearl Reliability Fixture RFQ_2009 04 24_Creek  Pearl RFQ_May 12_Squirrel RFQ ME BOM Costs-0623_Bolt RFQ_Foxlink_03.1 2011_nego meeting@MACH" xfId="26002"/>
    <cellStyle name="差_F3   SMT設備明細_Erie 效益分析 (Update)_Jackson 效益分析 testing update_16th Jan1_Jackson 效益分析 (2-1 B0 上系統)" xfId="26003"/>
    <cellStyle name="好_River EE BOM_Creak Pearl Reliability Fixture RFQ_2009 04 24_Creek  Pearl RFQ_May 12_Squirrel RFQ ME BOM Costs-0623_Bolt RFQ_Foxlink_03.1 2011_nego meeting@MACH 2 3" xfId="26004"/>
    <cellStyle name="好_River EE BOM_Creak Pearl Reliability Fixture RFQ_2009 04 24_Creek  Pearl RFQ_May 12_Squirrel RFQ ME BOM Costs-0624" xfId="26005"/>
    <cellStyle name="好_River EE BOM_Creak Pearl Reliability Fixture RFQ_2009 04 24_Creek  Pearl RFQ_May 12_Squirrel UniBom_Foxlink_6 28 2010" xfId="26006"/>
    <cellStyle name="好_River EE BOM_Creak Pearl Reliability Fixture RFQ_2009 04 24_Creek  Pearl RFQ_May 12_Squirrel UniBom-06 23 2010_update_internal" xfId="26007"/>
    <cellStyle name="好_River EE BOM_Creak Pearl Reliability Fixture RFQ_2009 04 24_Creek  Pearl RFQ_May 12_Squirrel UniBom-06.23.2010_update_internal 2" xfId="26008"/>
    <cellStyle name="好_River EE BOM_Creak Pearl Reliability Fixture RFQ_2009 04 24_Creek  Pearl RFQ_May 12_Squirrel UniBom-06.23.2010_update_internal 2 2 2" xfId="26009"/>
    <cellStyle name="好_River EE BOM_Creak Pearl Reliability Fixture RFQ_2009 04 24_Creek  Pearl RFQ_May 12_Squirrel UniBom-06.23.2010_update_internal 2 2 3" xfId="26010"/>
    <cellStyle name="差_HP Mouse 產能評估(上系統)_Erie 效益分析 (Update)_Flow chart and Fixture(Jackson)_A1_Jackson 效益分析 (2-1 B0 上系統)_Leopard Flowchart &amp; 產能評估" xfId="26011"/>
    <cellStyle name="好_River EE BOM_Creak Pearl Reliability Fixture RFQ_2009 04 24_Creek  Pearl RFQ_May 12_Squirrel UniBom-06.23.2010_update_internal 2 3" xfId="26012"/>
    <cellStyle name="好_River EE BOM_Creak Pearl Reliability Fixture RFQ_2009 04 24_Creek  Pearl RFQ_May 12_Squirrel UniBom-06.23.2010_update_internal 3" xfId="26013"/>
    <cellStyle name="好_River EE BOM_Creak Pearl Reliability Fixture RFQ_2009 04 24_Creek  Pearl RFQ_May 12_Squirrel UniBom-06.23.2010_update_internal 3 2" xfId="26014"/>
    <cellStyle name="好_River EE BOM_Creak Pearl Reliability Fixture RFQ_2009 04 24_Creek  Pearl RFQ_May 12_Squirrel UniBom-06.23.2010_update_internal 4" xfId="26015"/>
    <cellStyle name="差_Creak Pearl Reliability Fixture RFQ_2009 04 24_Xl0000002_Leopard Lemur Squirrel UniBom-06.22.2010_EE cost _update_internal_Bolt RFQ_Foxlink_03.1 2011 2 2" xfId="26016"/>
    <cellStyle name="好_River EE BOM_Creak Pearl Reliability Fixture RFQ_2009 04 24_Creek  Pearl RFQ_May 12_Squirrel UniBom-06.23.2010_update_internal 5" xfId="26017"/>
    <cellStyle name="好_River EE BOM_Creak Pearl Reliability Fixture RFQ_2009 04 24_Creek  Pearl RFQ_May 12_Squirrel UniBom-06.23.2010_update_internal_Bolt RFQ Proposal_Foxlink_ (Pricing Summary) 2 25 2011" xfId="26018"/>
    <cellStyle name="好_River EE BOM_Creak Pearl Reliability Fixture RFQ_2009 04 24_Creek  Pearl RFQ_May 12_Squirrel UniBom-06.23.2010_update_internal_Bolt RFQ Proposal_Foxlink_ (Pricing Summary) 2 25 2011 2" xfId="26019"/>
    <cellStyle name="好_River EE BOM_Creak Pearl Reliability Fixture RFQ_2009 04 24_Creek  Pearl RFQ_May 12_Squirrel UniBom-06.23.2010_update_internal_Bolt RFQ Proposal_Foxlink_ (Pricing Summary) 2 25 2011 2 2" xfId="26020"/>
    <cellStyle name="好_River EE BOM_Creak Pearl Reliability Fixture RFQ_2009 04 24_Creek  Pearl RFQ_May 12_Squirrel UniBom-06.23.2010_update_internal_Bolt RFQ Proposal_Foxlink_ (Pricing Summary) 2 25 2011 2 2 3" xfId="26021"/>
    <cellStyle name="好_River EE BOM_Creak Pearl Reliability Fixture RFQ_2009 04 24_Leopard RFQ ME BOM Costs-0618_Bolt RFQ Proposal_Foxlink_ (Pricing Summary) 2 25 2011 4 2" xfId="26022"/>
    <cellStyle name="好_River EE BOM_Creak Pearl Reliability Fixture RFQ_2009 04 24_Creek  Pearl RFQ_May 12_Squirrel UniBom-06.23.2010_update_internal_Bolt RFQ Proposal_Foxlink_ (Pricing Summary) 2 25 2011 2 3" xfId="26023"/>
    <cellStyle name="好_River EE BOM_Creak Pearl Reliability Fixture RFQ_2009 04 24_Leopard RFQ ME BOM Costs-0618_Bolt RFQ Proposal_Foxlink_ (Pricing Summary) 2 25 2011 4 3" xfId="26024"/>
    <cellStyle name="好_River EE BOM_Creak Pearl Reliability Fixture RFQ_2009 04 24_Creek  Pearl RFQ_May 12_Squirrel UniBom-06.23.2010_update_internal_Bolt RFQ Proposal_Foxlink_ (Pricing Summary) 2 25 2011 2 4" xfId="26025"/>
    <cellStyle name="差_HP Mouse 產能評估(上系統)_M1 Bolt wireless mouse FixtureEquipment Cost_A2_2010_12_07_Bolt RFQ Proposal_Foxlink_ (Pricing Summary) 2 25 2011 2 2 2" xfId="26026"/>
    <cellStyle name="好_River EE BOM_Creak Pearl Reliability Fixture RFQ_2009 04 24_Creek  Pearl RFQ_May 12_Squirrel UniBom-06.23.2010_update_internal_Bolt RFQ Proposal_Foxlink_ (Pricing Summary) 2 25 2011 3 2" xfId="26027"/>
    <cellStyle name="好_River EE BOM_Creak Pearl Reliability Fixture RFQ_2009 04 24_Creek  Pearl RFQ_May 12_Squirrel UniBom-06.23.2010_update_internal_Bolt RFQ Proposal_Foxlink_ (Pricing Summary) 2 25 2011 5 2" xfId="26028"/>
    <cellStyle name="好_River EE BOM_Creak Pearl Reliability Fixture RFQ_2009 04 24_Creek  Pearl RFQ_May 12_Squirrel UniBom-06.23.2010_update_internal_Bolt RFQ_Foxlink_03.1 2011" xfId="26029"/>
    <cellStyle name="差_Creek RFQ feedback 04_28_2009_FD Update_Bristol UniBom_Foxlink_02082011 RevA" xfId="26030"/>
    <cellStyle name="好_River EE BOM_Creak Pearl Reliability Fixture RFQ_2009 04 24_Creek  Pearl RFQ_May 12_Squirrel UniBom-06.23.2010_update_internal_Bolt RFQ_Foxlink_03.1 2011 2" xfId="26031"/>
    <cellStyle name="好_River EE BOM_Creak Pearl Reliability Fixture RFQ_2009 04 24_Creek  Pearl RFQ_May 12_Squirrel UniBom-06.23.2010_update_internal_Bolt RFQ_Foxlink_03.1 2011 3" xfId="26032"/>
    <cellStyle name="好_River EE BOM_Creak Pearl Reliability Fixture RFQ_2009 04 24_Creek  Pearl RFQ_May 12_Squirrel UniBom-06.23.2010_update_internal_Bolt RFQ_Foxlink_03.1 2011_nego meeting@MACH" xfId="26033"/>
    <cellStyle name="好_River EE BOM_Creak Pearl Reliability Fixture RFQ_2009 04 24_Creek  Pearl RFQ_May 12_Squirrel UniBom-06.23.2010_update_internal_Bolt RFQ_Foxlink_03.1 2011_nego meeting@MACH 3 2" xfId="26034"/>
    <cellStyle name="好_River EE BOM_Creak Pearl Reliability Fixture RFQ_2009 04 24_Creek  Pearl RFQ_May 12_Squirrel UniBom-06.23.2010_update_internal_Bolt RFQ_Foxlink_03.1 2011_nego meeting@MACH 3 3" xfId="26035"/>
    <cellStyle name="好_River EE BOM_Creak Pearl Reliability Fixture RFQ_2009 04 24_Creek  Pearl RFQ_May 12_Squirrel UniBom-06.23.2010_update_internal_Bolt RFQ_Foxlink_03.1 2011_nego meeting@MACH 4" xfId="26036"/>
    <cellStyle name="好_效益分析&amp;產能評估_M1 SuedeFixtureEquipment Cost_A0_2010_10_15_Bolt RFQ Proposal_Foxlink_ (Pricing Summary) 2 25 2011 5 2" xfId="26037"/>
    <cellStyle name="好_River EE BOM_Creak Pearl Reliability Fixture RFQ_2009 04 24_Creek  Pearl RFQ_May 12_Squirrel UniBom-06.23.2010_update_internal_Bolt RFQ_Foxlink_03.1 2011_nego meeting@MACH 5" xfId="26038"/>
    <cellStyle name="好_效益分析&amp;產能評估_M1 SuedeFixtureEquipment Cost_A0_2010_10_15_Bolt RFQ Proposal_Foxlink_ (Pricing Summary) 2 25 2011 5 3" xfId="26039"/>
    <cellStyle name="好_River EE BOM_Creak Pearl Reliability Fixture RFQ_2009 04 24_Creek RFQ feedback 04_28_2009_FD Update" xfId="26040"/>
    <cellStyle name="好_River EE BOM_Creak Pearl Reliability Fixture RFQ_2009 04 24_Creek RFQ feedback 04_28_2009_FD Update 2 2 2" xfId="26041"/>
    <cellStyle name="好_River EE BOM_Creak Pearl Reliability Fixture RFQ_2009 04 24_Creek RFQ feedback 04_28_2009_FD Update 2 2 3" xfId="26042"/>
    <cellStyle name="好_River EE BOM_Creak Pearl Reliability Fixture RFQ_2009 04 24_Creek RFQ feedback 04_28_2009_FD Update 2 3" xfId="26043"/>
    <cellStyle name="差_Xl0000000_Leopard Lemur Squirrel UniBom-06.22.2010_EE cost _update_internal_Bolt RFQ_Foxlink_03.1 2011_nego meeting@MACH 5" xfId="26044"/>
    <cellStyle name="好_River EE BOM_Creak Pearl Reliability Fixture RFQ_2009 04 24_Creek RFQ feedback 04_28_2009_FD Update 2 4" xfId="26045"/>
    <cellStyle name="好_River EE BOM_Creak Pearl Reliability Fixture RFQ_2009 04 24_Creek RFQ feedback 04_28_2009_FD Update 3" xfId="26046"/>
    <cellStyle name="好_River EE BOM_Creak Pearl Reliability Fixture RFQ_2009 04 24_Creek RFQ feedback 04_28_2009_FD Update 3 3" xfId="26047"/>
    <cellStyle name="好_River EE BOM_Creak Pearl Reliability Fixture RFQ_2009 04 24_Creek RFQ feedback 04_28_2009_FD Update 4" xfId="26048"/>
    <cellStyle name="好_River EE BOM_Creak Pearl Reliability Fixture RFQ_2009 04 24_Creek RFQ feedback 04_28_2009_FD Update 5" xfId="26049"/>
    <cellStyle name="好_River EE BOM_Xl0000002_Leopard UniBom_Foxlink_6 21 2010-ME_nego 2" xfId="26050"/>
    <cellStyle name="好_River EE BOM_Creak Pearl Reliability Fixture RFQ_2009 04 24_Creek RFQ feedback 04_28_2009_FD Update_Bolt RFQ Proposal_Foxlink_ (Pricing Summary) 2 25 2011 2 2" xfId="26051"/>
    <cellStyle name="差_Creak Pearl Reliability Fixture RFQ_2009 04 24_Creek RFQ feedback 04_28_2009_FD Update_Squirrel RFQ ME BOM Costs-0623_Bolt RFQ Proposal_Foxlink_ (Pricing Summary) 2 25 2011 5" xfId="26052"/>
    <cellStyle name="好_River EE BOM_Xl0000002_Leopard UniBom_Foxlink_6 21 2010-ME_nego 2 2" xfId="26053"/>
    <cellStyle name="好_River EE BOM_Creak Pearl Reliability Fixture RFQ_2009 04 24_Creek RFQ feedback 04_28_2009_FD Update_Bolt RFQ Proposal_Foxlink_ (Pricing Summary) 2 25 2011 2 2 2" xfId="26054"/>
    <cellStyle name="差_Xl0000000_Squirrel RFQ ME BOM Costs-0623_Bolt RFQ_Foxlink_03.1 2011 2 3" xfId="26055"/>
    <cellStyle name="好_River EE BOM_Creak Pearl Reliability Fixture RFQ_2009 04 24_Creek RFQ feedback 04_28_2009_FD Update_Bolt RFQ Proposal_Foxlink_ (Pricing Summary) 2 25 2011 2 4" xfId="26056"/>
    <cellStyle name="好_River EE BOM_Creak Pearl Reliability Fixture RFQ_2009 04 24_Creek RFQ feedback 04_28_2009_FD Update_Bolt RFQ Proposal_Foxlink_ (Pricing Summary) 2 25 2011 3" xfId="26057"/>
    <cellStyle name="好_River EE BOM_Creak Pearl Reliability Fixture RFQ_2009 04 24_Creek RFQ feedback 04_28_2009_FD Update_Bolt RFQ Proposal_Foxlink_ (Pricing Summary) 2 25 2011 3 2" xfId="26058"/>
    <cellStyle name="差_Xl0000000_Squirrel RFQ ME BOM Costs-0623_Bolt RFQ_Foxlink_03.1 2011 3 2" xfId="26059"/>
    <cellStyle name="好_River EE BOM_Creak Pearl Reliability Fixture RFQ_2009 04 24_Creek RFQ feedback 04_28_2009_FD Update_Bolt RFQ Proposal_Foxlink_ (Pricing Summary) 2 25 2011 3 3" xfId="26060"/>
    <cellStyle name="好_River EE BOM_Creak Pearl Reliability Fixture RFQ_2009 04 24_Creek RFQ feedback 04_28_2009_FD Update_Bolt RFQ Proposal_Foxlink_ (Pricing Summary) 2 25 2011 4" xfId="26061"/>
    <cellStyle name="好_River EE BOM_Creak Pearl Reliability Fixture RFQ_2009 04 24_Creek RFQ feedback 04_28_2009_FD Update_Bolt RFQ Proposal_Foxlink_ (Pricing Summary) 2 25 2011 4 3" xfId="26062"/>
    <cellStyle name="好_River EE BOM_Creak Pearl Reliability Fixture RFQ_2009 04 24_Creek RFQ feedback 04_28_2009_FD Update_Bolt RFQ Proposal_Foxlink_ (Pricing Summary) 2 25 2011 5" xfId="26063"/>
    <cellStyle name="差_HP Mouse 產能評估(上系統)_M1 Bolt wireless mouse FixtureEquipment Cost_A2_2010_12_07" xfId="26064"/>
    <cellStyle name="好_River EE BOM_Creak Pearl Reliability Fixture RFQ_2009 04 24_Creek RFQ feedback 04_28_2009_FD Update_Bolt RFQ Proposal_Foxlink_ (Pricing Summary) 2 25 2011 5 2" xfId="26065"/>
    <cellStyle name="好_River EE BOM_Creak Pearl Reliability Fixture RFQ_2009 04 24_Creek RFQ feedback 04_28_2009_FD Update_Bolt RFQ Proposal_Foxlink_ (Pricing Summary) 2 25 2011 5 3" xfId="26066"/>
    <cellStyle name="差_Creak Pearl Reliability Fixture RFQ_2009 04 24_Creek  Pearl RFQ_May 12_Leopard_UniBOM_ME_0602_Bolt RFQ Proposal_Foxlink_ (Pricing Summary) 2 25 2011 2 2" xfId="26067"/>
    <cellStyle name="好_River EE BOM_Creak Pearl Reliability Fixture RFQ_2009 04 24_Creek RFQ feedback 04_28_2009_FD Update_Bolt RFQ Proposal_Foxlink_ (Pricing Summary) 2 25 2011 6" xfId="26068"/>
    <cellStyle name="差_Creak Pearl Reliability Fixture RFQ_2009 04 24_Creek  Pearl RFQ_May 12_Leopard_UniBOM_ME_0602_Bolt RFQ Proposal_Foxlink_ (Pricing Summary) 2 25 2011 2 3" xfId="26069"/>
    <cellStyle name="好_River EE BOM_Creak Pearl Reliability Fixture RFQ_2009 04 24_Creek RFQ feedback 04_28_2009_FD Update_Bolt RFQ Proposal_Foxlink_ (Pricing Summary) 2 25 2011 7" xfId="26070"/>
    <cellStyle name="好_River EE BOM_Creak Pearl Reliability Fixture RFQ_2009 04 24_Creek RFQ feedback 04_28_2009_FD Update_Bolt RFQ_Foxlink_03.1 2011 2 2" xfId="26071"/>
    <cellStyle name="差_F3   SMT設備明細_jupite r設備&amp;治工具LIST (總)_效益分析(總 12-28 Update)_squirrel效益分析08-17" xfId="26072"/>
    <cellStyle name="好_治具工程課2009年KPI 5 2" xfId="26073"/>
    <cellStyle name="好_River EE BOM_Creak Pearl Reliability Fixture RFQ_2009 04 24_Creek RFQ feedback 04_28_2009_FD Update_Bolt RFQ_Foxlink_03.1 2011 2 3" xfId="26074"/>
    <cellStyle name="好_River EE BOM_Creak Pearl Reliability Fixture RFQ_2009 04 24_Creek RFQ feedback 04_28_2009_FD Update_Bolt RFQ_Foxlink_03.1 2011 3" xfId="26075"/>
    <cellStyle name="好_River EE BOM_Creak Pearl Reliability Fixture RFQ_2009 04 24_Creek RFQ feedback 04_28_2009_FD Update_Bolt RFQ_Foxlink_03.1 2011 3 2" xfId="26076"/>
    <cellStyle name="好_治具工程課2009年KPI 6 2" xfId="26077"/>
    <cellStyle name="好_River EE BOM_Creak Pearl Reliability Fixture RFQ_2009 04 24_Creek RFQ feedback 04_28_2009_FD Update_Bolt RFQ_Foxlink_03.1 2011 3 3" xfId="26078"/>
    <cellStyle name="好_River EE BOM_Creak Pearl Reliability Fixture RFQ_2009 04 24_Creek RFQ feedback 04_28_2009_FD Update_Bolt RFQ_Foxlink_03.1 2011 5" xfId="26079"/>
    <cellStyle name="好_River EE BOM_Creak Pearl Reliability Fixture RFQ_2009 04 24_Creek RFQ feedback 04_28_2009_FD Update_Bolt RFQ_Foxlink_03.1 2011_nego meeting@MACH" xfId="26080"/>
    <cellStyle name="好_River EE BOM_Creek RFQ feedback 04_28_2009_FD Update_Leopard UniBom_Foxlink_12092010 RevD-jen" xfId="26081"/>
    <cellStyle name="好_River EE BOM_Creak Pearl Reliability Fixture RFQ_2009 04 24_Creek RFQ feedback 04_28_2009_FD Update_Bolt RFQ_Foxlink_03.1 2011_nego meeting@MACH 2" xfId="26082"/>
    <cellStyle name="好_River EE BOM_Creak Pearl Reliability Fixture RFQ_2009 04 24_Creek RFQ feedback 04_28_2009_FD Update_Bolt RFQ_Foxlink_03.1 2011_nego meeting@MACH 2 2" xfId="26083"/>
    <cellStyle name="好_River EE BOM_Creak Pearl Reliability Fixture RFQ_2009 04 24_Creek RFQ feedback 04_28_2009_FD Update_Bolt RFQ_Foxlink_03.1 2011_nego meeting@MACH 3" xfId="26084"/>
    <cellStyle name="好_River EE BOM_Creak Pearl Reliability Fixture RFQ_2009 04 24_Creek RFQ feedback 04_28_2009_FD Update_Bolt RFQ_Foxlink_03.1 2011_nego meeting@MACH 3 2" xfId="26085"/>
    <cellStyle name="好_River EE BOM_Creak Pearl Reliability Fixture RFQ_2009 04 24_Creek RFQ feedback 04_28_2009_FD Update_Bolt RFQ_Foxlink_03.1 2011_nego meeting@MACH 4" xfId="26086"/>
    <cellStyle name="好_River EE BOM_Creak Pearl Reliability Fixture RFQ_2009 04 24_Creek RFQ feedback 04_28_2009_FD Update_Bolt RFQ_Foxlink_03.1 2011_nego meeting@MACH 5" xfId="26087"/>
    <cellStyle name="好_River EE BOM_Creak Pearl Reliability Fixture RFQ_2009 04 24_Creek RFQ feedback 04_28_2009_FD Update_Bristol UniBom_Foxlink_02082011 RevA" xfId="26088"/>
    <cellStyle name="差_~9527068_Dolce   QA Report 2010_0902_~7519239" xfId="26089"/>
    <cellStyle name="好_River EE BOM_Creak Pearl Reliability Fixture RFQ_2009 04 24_Creek RFQ feedback 04_28_2009_FD Update_Foxlink_Shadow RFQ NREUni BOM_12032009 2 2 2" xfId="26090"/>
    <cellStyle name="好_River EE BOM_Creak Pearl Reliability Fixture RFQ_2009 04 24_Creek RFQ feedback 04_28_2009_FD Update_Foxlink_Shadow RFQ NREUni BOM_12032009 2 2 3" xfId="26091"/>
    <cellStyle name="好_River EE BOM_Creak Pearl Reliability Fixture RFQ_2009 04 24_Creek RFQ feedback 04_28_2009_FD Update_Foxlink_Shadow RFQ NREUni BOM_12032009 2 3" xfId="26092"/>
    <cellStyle name="好_River EE BOM_Creak Pearl Reliability Fixture RFQ_2009 04 24_Creek RFQ feedback 04_28_2009_FD Update_Foxlink_Shadow RFQ NREUni BOM_12032009 2 4" xfId="26093"/>
    <cellStyle name="好_River EE BOM_Creak Pearl Reliability Fixture RFQ_2009 04 24_Creek RFQ feedback 04_28_2009_FD Update_Foxlink_Shadow RFQ NREUni BOM_12032009 3 2" xfId="26094"/>
    <cellStyle name="好_River EE BOM_Creak Pearl Reliability Fixture RFQ_2009 04 24_Creek RFQ feedback 04_28_2009_FD Update_Foxlink_Shadow RFQ NREUni BOM_12032009 3 3" xfId="26095"/>
    <cellStyle name="差_0842周 顯卡報廢超標8D_HP 5 2" xfId="26096"/>
    <cellStyle name="好_River EE BOM_Creak Pearl Reliability Fixture RFQ_2009 04 24_Creek RFQ feedback 04_28_2009_FD Update_Foxlink_Shadow RFQ NREUni BOM_12032009_Bolt RFQ Proposal_Foxlink_ (Pricing Summary) 2 25 2011" xfId="26097"/>
    <cellStyle name="好_River EE BOM_Creak Pearl Reliability Fixture RFQ_2009 04 24_Creek RFQ feedback 04_28_2009_FD Update_Foxlink_Shadow RFQ NREUni BOM_12032009_Bolt RFQ Proposal_Foxlink_ (Pricing Summary) 2 25 2011 2" xfId="26098"/>
    <cellStyle name="好_River EE BOM_Creak Pearl Reliability Fixture RFQ_2009 04 24_Creek RFQ feedback 04_28_2009_FD Update_Foxlink_Shadow RFQ NREUni BOM_12032009_Bolt RFQ Proposal_Foxlink_ (Pricing Summary) 2 25 2011 4" xfId="26099"/>
    <cellStyle name="好_River EE BOM_Creak Pearl Reliability Fixture RFQ_2009 04 24_Creek RFQ feedback 04_28_2009_FD Update_Foxlink_Shadow RFQ NREUni BOM_12032009_Bolt RFQ Proposal_Foxlink_ (Pricing Summary) 2 25 2011 6" xfId="26100"/>
    <cellStyle name="好_River EE BOM_Creak Pearl Reliability Fixture RFQ_2009 04 24_Creek RFQ feedback 04_28_2009_FD Update_Foxlink_Shadow RFQ NREUni BOM_12032009_Bolt RFQ Proposal_Foxlink_ (Pricing Summary) 2 25 2011 7" xfId="26101"/>
    <cellStyle name="好_River EE BOM_Foxlink_Shadow RFQ NREUni BOM_12032009_Bolt RFQ_Foxlink_03.1 2011 3 2" xfId="26102"/>
    <cellStyle name="好_River EE BOM_Creak Pearl Reliability Fixture RFQ_2009 04 24_Creek RFQ feedback 04_28_2009_FD Update_Foxlink_Shadow RFQ NREUni BOM_12032009_Bolt RFQ_Foxlink_03.1 2011" xfId="26103"/>
    <cellStyle name="好_River EE BOM_Creak Pearl Reliability Fixture RFQ_2009 04 24_Creek RFQ feedback 04_28_2009_FD Update_Foxlink_Shadow RFQ NREUni BOM_12032009_Bolt RFQ_Foxlink_03.1 2011 2 2" xfId="26104"/>
    <cellStyle name="好_River EE BOM_Creak Pearl Reliability Fixture RFQ_2009 04 24_Creek RFQ feedback 04_28_2009_FD Update_Foxlink_Shadow RFQ NREUni BOM_12032009_Bolt RFQ_Foxlink_03.1 2011_nego meeting@MACH" xfId="26105"/>
    <cellStyle name="差_Creak Pearl Reliability Fixture RFQ_2009 04 24_Creek RFQ feedback 04_28_2009_FD Update_Bolt RFQ_Foxlink_03.1 2011_nego meeting@MACH 3 2" xfId="26106"/>
    <cellStyle name="差_dallas產能評估_Leopard Flowchart &amp; 產能評估" xfId="26107"/>
    <cellStyle name="好_River EE BOM_Creak Pearl Reliability Fixture RFQ_2009 04 24_Creek RFQ feedback 04_28_2009_FD Update_Foxlink_Shadow RFQ NREUni BOM_12032009_Bolt RFQ_Foxlink_03.1 2011_nego meeting@MACH 2" xfId="26108"/>
    <cellStyle name="好_River EE BOM_Creak Pearl Reliability Fixture RFQ_2009 04 24_Creek RFQ feedback 04_28_2009_FD Update_Foxlink_Shadow RFQ NREUni BOM_12032009_Bolt RFQ_Foxlink_03.1 2011_nego meeting@MACH 2 2" xfId="26109"/>
    <cellStyle name="好_River EE BOM_Creak Pearl Reliability Fixture RFQ_2009 04 24_Creek RFQ feedback 04_28_2009_FD Update_Foxlink_Shadow RFQ NREUni BOM_12032009_Bolt RFQ_Foxlink_03.1 2011_nego meeting@MACH 2 3" xfId="26110"/>
    <cellStyle name="好_River EE BOM_Creak Pearl Reliability Fixture RFQ_2009 04 24_Creek RFQ feedback 04_28_2009_FD Update_Foxlink_Shadow RFQ NREUni BOM_12032009_Bolt RFQ_Foxlink_03.1 2011_nego meeting@MACH 3 2" xfId="26111"/>
    <cellStyle name="好_River EE BOM_Creak Pearl Reliability Fixture RFQ_2009 04 24_Creek RFQ feedback 04_28_2009_FD Update_Foxlink_Shadow RFQ NREUni BOM_12032009_Bolt RFQ_Foxlink_03.1 2011_nego meeting@MACH 3 3" xfId="26112"/>
    <cellStyle name="好_River EE BOM_Creak Pearl Reliability Fixture RFQ_2009 04 24_Xl0000002_Leopard RFQ ME BOM Costs-0618_Bolt RFQ_Foxlink_03.1 2011 3 3" xfId="26113"/>
    <cellStyle name="好_River EE BOM_Creak Pearl Reliability Fixture RFQ_2009 04 24_Creek RFQ feedback 04_28_2009_FD Update_Jackson EE BOM " xfId="26114"/>
    <cellStyle name="好_River EE BOM_Creak Pearl Reliability Fixture RFQ_2009 04 24_Creek RFQ feedback 04_28_2009_FD Update_Lemur RFQ ME BOM Costs-0623" xfId="26115"/>
    <cellStyle name="好_River EE BOM_Creak Pearl Reliability Fixture RFQ_2009 04 24_Creek RFQ feedback 04_28_2009_FD Update_Leopard Lemur Squirrel UniBom-06.22.2010_EE cost _update_internal" xfId="26116"/>
    <cellStyle name="差_Creak Pearl Reliability Fixture RFQ_2009 04 24_Xl0000002_Leopard RFQ ME BOM Costs-0618_Bolt RFQ_Foxlink_03.1 2011" xfId="26117"/>
    <cellStyle name="好_River EE BOM_Creak Pearl Reliability Fixture RFQ_2009 04 24_Creek RFQ feedback 04_28_2009_FD Update_Leopard Lemur Squirrel UniBom-06.22.2010_EE cost _update_internal 2" xfId="26118"/>
    <cellStyle name="差_Creak Pearl Reliability Fixture RFQ_2009 04 24_Xl0000002_Leopard RFQ ME BOM Costs-0618_Bolt RFQ_Foxlink_03.1 2011 2" xfId="26119"/>
    <cellStyle name="好_River EE BOM_Creak Pearl Reliability Fixture RFQ_2009 04 24_Creek RFQ feedback 04_28_2009_FD Update_Leopard Lemur Squirrel UniBom-06.22.2010_EE cost _update_internal 2 2" xfId="26120"/>
    <cellStyle name="差_Creak Pearl Reliability Fixture RFQ_2009 04 24_Xl0000002_Leopard RFQ ME BOM Costs-0618_Bolt RFQ_Foxlink_03.1 2011 2 2" xfId="26121"/>
    <cellStyle name="好_River EE BOM_Creak Pearl Reliability Fixture RFQ_2009 04 24_Creek RFQ feedback 04_28_2009_FD Update_Leopard Lemur Squirrel UniBom-06.22.2010_EE cost _update_internal 2 2 2" xfId="26122"/>
    <cellStyle name="差_Creak Pearl Reliability Fixture RFQ_2009 04 24_Xl0000002_Leopard RFQ ME BOM Costs-0618_Bolt RFQ_Foxlink_03.1 2011 2 3" xfId="26123"/>
    <cellStyle name="好_River EE BOM_Creak Pearl Reliability Fixture RFQ_2009 04 24_Creek RFQ feedback 04_28_2009_FD Update_Leopard Lemur Squirrel UniBom-06.22.2010_EE cost _update_internal 2 2 3" xfId="26124"/>
    <cellStyle name="差_Creek RFQ feedback 04_28_2009_FD Update_Leopard RFQ ME BOM Costs-0618-2 2 2 2" xfId="26125"/>
    <cellStyle name="差_Creak Pearl Reliability Fixture RFQ_2009 04 24_Xl0000002_Leopard RFQ ME BOM Costs-0618_Bolt RFQ_Foxlink_03.1 2011 3" xfId="26126"/>
    <cellStyle name="好_River EE BOM_Creak Pearl Reliability Fixture RFQ_2009 04 24_Creek RFQ feedback 04_28_2009_FD Update_Leopard Lemur Squirrel UniBom-06.22.2010_EE cost _update_internal 2 3" xfId="26127"/>
    <cellStyle name="差_Creek RFQ feedback 04_28_2009_FD Update_Leopard RFQ ME BOM Costs-0618-2 2 2 3" xfId="26128"/>
    <cellStyle name="差_Creak Pearl Reliability Fixture RFQ_2009 04 24_Xl0000002_Leopard RFQ ME BOM Costs-0618_Bolt RFQ_Foxlink_03.1 2011 4" xfId="26129"/>
    <cellStyle name="好_River EE BOM_Creak Pearl Reliability Fixture RFQ_2009 04 24_Creek RFQ feedback 04_28_2009_FD Update_Leopard Lemur Squirrel UniBom-06.22.2010_EE cost _update_internal 2 4" xfId="26130"/>
    <cellStyle name="好_River EE BOM_Creak Pearl Reliability Fixture RFQ_2009 04 24_Xl0000002_Leopard UniBom_Foxlink_6 21 2010-ME_nego_Bolt RFQ_Foxlink_03.1 2011_nego meeting@MACH 2 2" xfId="26131"/>
    <cellStyle name="好_River EE BOM_Creak Pearl Reliability Fixture RFQ_2009 04 24_Creek RFQ feedback 04_28_2009_FD Update_Leopard Lemur Squirrel UniBom-06.22.2010_EE cost _update_internal 3" xfId="26132"/>
    <cellStyle name="好_River EE BOM_Creak Pearl Reliability Fixture RFQ_2009 04 24_Creek RFQ feedback 04_28_2009_FD Update_Leopard Lemur Squirrel UniBom-06.22.2010_EE cost _update_internal 3 2" xfId="26133"/>
    <cellStyle name="好_River EE BOM_Creak Pearl Reliability Fixture RFQ_2009 04 24_Creek RFQ feedback 04_28_2009_FD Update_Leopard Lemur Squirrel UniBom-06.22.2010_EE cost _update_internal 3 3" xfId="26134"/>
    <cellStyle name="好_River EE BOM_Creak Pearl Reliability Fixture RFQ_2009 04 24_Pearl RFQ(Submittal)ver2_05_12_2009 _Foxlink_Shadow RFQ NREUni BOM_12032009_Bolt RFQ Proposal_Foxlink_ (Pricing Summary) 2 25 2011 6" xfId="26135"/>
    <cellStyle name="好_River EE BOM_Creak Pearl Reliability Fixture RFQ_2009 04 24_Creek RFQ feedback 04_28_2009_FD Update_Leopard Lemur Squirrel UniBom-06.22.2010_EE cost _update_internal_Bolt RFQ Proposal_Foxlink_ (Pricing Summary) 2 25 2011 2" xfId="26136"/>
    <cellStyle name="好_River EE BOM_Creak Pearl Reliability Fixture RFQ_2009 04 24_Creek RFQ feedback 04_28_2009_FD Update_Leopard Lemur Squirrel UniBom-06.22.2010_EE cost _update_internal_Bolt RFQ Proposal_Foxlink_ (Pricing Summary) 2 25 2011 2 2" xfId="26137"/>
    <cellStyle name="好_River EE BOM_Creak Pearl Reliability Fixture RFQ_2009 04 24_Creek RFQ feedback 04_28_2009_FD Update_Leopard Lemur Squirrel UniBom-06.22.2010_EE cost _update_internal_Bolt RFQ Proposal_Foxlink_ (Pricing Summary) 2 25 2011 2 3" xfId="26138"/>
    <cellStyle name="好_River EE BOM_Creak Pearl Reliability Fixture RFQ_2009 04 24_Creek RFQ feedback 04_28_2009_FD Update_Leopard Lemur Squirrel UniBom-06.22.2010_EE cost _update_internal_Bolt RFQ Proposal_Foxlink_ (Pricing Summary) 2 25 2011 2 4" xfId="26139"/>
    <cellStyle name="差_F3   SMT設備明細_效益分析_Flow Chart(shadow) A3 _Jackson 效益分析 (2-1 B0 上系統)_Leopard Flowchart &amp; 產能評估" xfId="26140"/>
    <cellStyle name="好_River EE BOM_Creak Pearl Reliability Fixture RFQ_2009 04 24_Pearl RFQ(Submittal)ver2_05_12_2009 _Foxlink_Shadow RFQ NREUni BOM_12032009_Bolt RFQ Proposal_Foxlink_ (Pricing Summary) 2 25 2011 7" xfId="26141"/>
    <cellStyle name="好_River EE BOM_Creak Pearl Reliability Fixture RFQ_2009 04 24_Creek RFQ feedback 04_28_2009_FD Update_Leopard Lemur Squirrel UniBom-06.22.2010_EE cost _update_internal_Bolt RFQ Proposal_Foxlink_ (Pricing Summary) 2 25 2011 3" xfId="26142"/>
    <cellStyle name="好_River EE BOM_Creak Pearl Reliability Fixture RFQ_2009 04 24_Creek RFQ feedback 04_28_2009_FD Update_Leopard Lemur Squirrel UniBom-06.22.2010_EE cost _update_internal_Bolt RFQ Proposal_Foxlink_ (Pricing Summary) 2 25 2011 4" xfId="26143"/>
    <cellStyle name="好_River EE BOM_Creak Pearl Reliability Fixture RFQ_2009 04 24_Creek RFQ feedback 04_28_2009_FD Update_Leopard Lemur Squirrel UniBom-06.22.2010_EE cost _update_internal_Bolt RFQ Proposal_Foxlink_ (Pricing Summary) 2 25 2011 4 3" xfId="26144"/>
    <cellStyle name="好_River EE BOM_Creak Pearl Reliability Fixture RFQ_2009 04 24_Creek RFQ feedback 04_28_2009_FD Update_Leopard Lemur Squirrel UniBom-06.22.2010_EE cost _update_internal_Bolt RFQ Proposal_Foxlink_ (Pricing Summary) 2 25 2011 5" xfId="26145"/>
    <cellStyle name="差_Creak Pearl Reliability Fixture RFQ_2009 04 24_Creek RFQ feedback 04_28_2009_FD Update_Foxlink_Shadow RFQ NREUni BOM_12032009_Bolt RFQ Proposal_Foxlink_ (Pricing Summary) 2 25 2011 4" xfId="26146"/>
    <cellStyle name="好_River EE BOM_Creak Pearl Reliability Fixture RFQ_2009 04 24_Creek RFQ feedback 04_28_2009_FD Update_Leopard Lemur Squirrel UniBom-06.22.2010_EE cost _update_internal_Bolt RFQ Proposal_Foxlink_ (Pricing Summary) 2 25 2011 5 2" xfId="26147"/>
    <cellStyle name="差_Creak Pearl Reliability Fixture RFQ_2009 04 24_Creek RFQ feedback 04_28_2009_FD Update_Foxlink_Shadow RFQ NREUni BOM_12032009_Bolt RFQ Proposal_Foxlink_ (Pricing Summary) 2 25 2011 5" xfId="26148"/>
    <cellStyle name="好_River EE BOM_Creak Pearl Reliability Fixture RFQ_2009 04 24_Creek RFQ feedback 04_28_2009_FD Update_Leopard Lemur Squirrel UniBom-06.22.2010_EE cost _update_internal_Bolt RFQ Proposal_Foxlink_ (Pricing Summary) 2 25 2011 5 3" xfId="26149"/>
    <cellStyle name="差_Creak Pearl Reliability Fixture RFQ_2009 04 24_Creek  Pearl RFQ_May 12_Foxlink_Shadow RFQ NREUni BOM_12032009_Bolt RFQ_Foxlink_03.1 2011 2 3" xfId="26150"/>
    <cellStyle name="好_River EE BOM_Creak Pearl Reliability Fixture RFQ_2009 04 24_Creek RFQ feedback 04_28_2009_FD Update_Leopard Lemur Squirrel UniBom-06.22.2010_EE cost _update_internal_Bolt RFQ Proposal_Foxlink_ (Pricing Summary) 2 25 2011 7" xfId="26151"/>
    <cellStyle name="好_效益分析&amp;產能評估_M1 SuedeFixtureEquipment Cost_A0_2010_10_15 3" xfId="26152"/>
    <cellStyle name="好_River EE BOM_Creak Pearl Reliability Fixture RFQ_2009 04 24_Creek RFQ feedback 04_28_2009_FD Update_Leopard Lemur Squirrel UniBom-06.22.2010_EE cost _update_internal_Bolt RFQ_Foxlink_03.1 2011" xfId="26153"/>
    <cellStyle name="好_效益分析&amp;產能評估_M1 SuedeFixtureEquipment Cost_A0_2010_10_15 3 2" xfId="26154"/>
    <cellStyle name="好_River EE BOM_Creak Pearl Reliability Fixture RFQ_2009 04 24_Creek RFQ feedback 04_28_2009_FD Update_Leopard Lemur Squirrel UniBom-06.22.2010_EE cost _update_internal_Bolt RFQ_Foxlink_03.1 2011 2" xfId="26155"/>
    <cellStyle name="好_River EE BOM_Creak Pearl Reliability Fixture RFQ_2009 04 24_Creek RFQ feedback 04_28_2009_FD Update_Leopard Lemur Squirrel UniBom-06.22.2010_EE cost _update_internal_Bolt RFQ_Foxlink_03.1 2011 2 2" xfId="26156"/>
    <cellStyle name="好_效益分析&amp;產能評估_M1 SuedeFixtureEquipment Cost_A0_2010_10_15 3 3" xfId="26157"/>
    <cellStyle name="好_River EE BOM_Creak Pearl Reliability Fixture RFQ_2009 04 24_Creek RFQ feedback 04_28_2009_FD Update_Leopard Lemur Squirrel UniBom-06.22.2010_EE cost _update_internal_Bolt RFQ_Foxlink_03.1 2011 3" xfId="26158"/>
    <cellStyle name="好_River EE BOM_Creak Pearl Reliability Fixture RFQ_2009 04 24_Pearl RFQ(Submittal)ver2_05_12_2009 _Leopard_UniBOM_ME_0602_Bolt RFQ Proposal_Foxlink_ (Pricing Summary) 2 25 2011 7" xfId="26159"/>
    <cellStyle name="好_River EE BOM_Creak Pearl Reliability Fixture RFQ_2009 04 24_Creek RFQ feedback 04_28_2009_FD Update_Leopard Lemur Squirrel UniBom-06.22.2010_EE cost _update_internal_Bolt RFQ_Foxlink_03.1 2011 3 2" xfId="26160"/>
    <cellStyle name="好_River EE BOM_Creak Pearl Reliability Fixture RFQ_2009 04 24_Leopard_UniBOM_ME_0603-2_Bolt RFQ Proposal_Foxlink_ (Pricing Summary) 2 25 2011 3 2" xfId="26161"/>
    <cellStyle name="好_River EE BOM_Creak Pearl Reliability Fixture RFQ_2009 04 24_Creek RFQ feedback 04_28_2009_FD Update_Leopard Lemur Squirrel UniBom-06.22.2010_EE cost _update_internal_Bolt RFQ_Foxlink_03.1 2011 3 3" xfId="26162"/>
    <cellStyle name="好_River EE BOM_Creak Pearl Reliability Fixture RFQ_2009 04 24_Creek RFQ feedback 04_28_2009_FD Update_Leopard Lemur Squirrel UniBom-06.22.2010_EE cost _update_internal_Bolt RFQ_Foxlink_03.1 2011 4" xfId="26163"/>
    <cellStyle name="差_效益分析&amp;產能評估_MS Bolt wireless mouse FixtureEquipment Cost_A5_2010_02_21 3" xfId="26164"/>
    <cellStyle name="好_River EE BOM_Creak Pearl Reliability Fixture RFQ_2009 04 24_Creek RFQ feedback 04_28_2009_FD Update_Leopard Lemur Squirrel UniBom-06.22.2010_EE cost _update_internal_Bolt RFQ_Foxlink_03.1 2011_nego meeting@MACH 2" xfId="26165"/>
    <cellStyle name="差_效益分析&amp;產能評估_MS Bolt wireless mouse FixtureEquipment Cost_A5_2010_02_21 3 2" xfId="26166"/>
    <cellStyle name="好_River EE BOM_Creak Pearl Reliability Fixture RFQ_2009 04 24_Creek RFQ feedback 04_28_2009_FD Update_Leopard Lemur Squirrel UniBom-06.22.2010_EE cost _update_internal_Bolt RFQ_Foxlink_03.1 2011_nego meeting@MACH 2 2" xfId="26167"/>
    <cellStyle name="差_效益分析&amp;產能評估_MS Bolt wireless mouse FixtureEquipment Cost_A5_2010_02_21 3 3" xfId="26168"/>
    <cellStyle name="好_River EE BOM_Creak Pearl Reliability Fixture RFQ_2009 04 24_Creek RFQ feedback 04_28_2009_FD Update_Leopard Lemur Squirrel UniBom-06.22.2010_EE cost _update_internal_Bolt RFQ_Foxlink_03.1 2011_nego meeting@MACH 2 3" xfId="26169"/>
    <cellStyle name="差_效益分析&amp;產能評估_MS Bolt wireless mouse FixtureEquipment Cost_A5_2010_02_21 4" xfId="26170"/>
    <cellStyle name="好_River EE BOM_Creak Pearl Reliability Fixture RFQ_2009 04 24_Creek RFQ feedback 04_28_2009_FD Update_Leopard Lemur Squirrel UniBom-06.22.2010_EE cost _update_internal_Bolt RFQ_Foxlink_03.1 2011_nego meeting@MACH 3" xfId="26171"/>
    <cellStyle name="好_River EE BOM_Creak Pearl Reliability Fixture RFQ_2009 04 24_Creek RFQ feedback 04_28_2009_FD Update_Leopard Lemur Squirrel UniBom-06.22.2010_EE cost _update_internal_Bolt RFQ_Foxlink_03.1 2011_nego meeting@MACH 3 2" xfId="26172"/>
    <cellStyle name="差_效益分析&amp;產能評估_MS Bolt wireless mouse FixtureEquipment Cost_A5_2010_02_21 5" xfId="26173"/>
    <cellStyle name="差_效益分析&amp;產能評估_Bolt RFQ_Foxlink_03.1 2011_nego meeting@MACH" xfId="26174"/>
    <cellStyle name="好_River EE BOM_Creak Pearl Reliability Fixture RFQ_2009 04 24_Creek RFQ feedback 04_28_2009_FD Update_Leopard Lemur Squirrel UniBom-06.22.2010_EE cost _update_internal_Bolt RFQ_Foxlink_03.1 2011_nego meeting@MACH 4" xfId="26175"/>
    <cellStyle name="好_River EE BOM_Creak Pearl Reliability Fixture RFQ_2009 04 24_Creek RFQ feedback 04_28_2009_FD Update_Leopard Lemur Squirrel UniBom-06.22.2010_EE cost _update_internal_Bolt RFQ_Foxlink_03.1 2011_nego meeting@MACH 5" xfId="26176"/>
    <cellStyle name="好_River EE BOM_Creak Pearl Reliability Fixture RFQ_2009 04 24_Creek RFQ feedback 04_28_2009_FD Update_Leopard RFQ ME BOM Costs-0618" xfId="26177"/>
    <cellStyle name="好_River EE BOM_Creak Pearl Reliability Fixture RFQ_2009 04 24_Creek RFQ feedback 04_28_2009_FD Update_Leopard RFQ ME BOM Costs-0623" xfId="26178"/>
    <cellStyle name="好_River EE BOM_Creak Pearl Reliability Fixture RFQ_2009 04 24_Creek RFQ feedback 04_28_2009_FD Update_Leopard RFQ ME BOM Costs-0618 2" xfId="26179"/>
    <cellStyle name="好_River EE BOM_Creak Pearl Reliability Fixture RFQ_2009 04 24_Creek RFQ feedback 04_28_2009_FD Update_Leopard RFQ ME BOM Costs-0618 2 2 2" xfId="26180"/>
    <cellStyle name="好_治具工程課2009年KPI_KPI 1006 6 3" xfId="26181"/>
    <cellStyle name="好_River EE BOM_Creak Pearl Reliability Fixture RFQ_2009 04 24_Creek RFQ feedback 04_28_2009_FD Update_Leopard RFQ ME BOM Costs-0618 2 3" xfId="26182"/>
    <cellStyle name="好_River EE BOM_Creak Pearl Reliability Fixture RFQ_2009 04 24_Creek RFQ feedback 04_28_2009_FD Update_Leopard RFQ ME BOM Costs-0618 2 4" xfId="26183"/>
    <cellStyle name="好_River EE BOM_Creak Pearl Reliability Fixture RFQ_2009 04 24_Creek RFQ feedback 04_28_2009_FD Update_Leopard RFQ ME BOM Costs-0618 3 2" xfId="26184"/>
    <cellStyle name="好_River EE BOM_Creak Pearl Reliability Fixture RFQ_2009 04 24_Creek RFQ feedback 04_28_2009_FD Update_Leopard RFQ ME BOM Costs-0618 3 3" xfId="26185"/>
    <cellStyle name="好_River EE BOM_Creak Pearl Reliability Fixture RFQ_2009 04 24_Creek RFQ feedback 04_28_2009_FD Update_Leopard RFQ ME BOM Costs-0618_Bolt RFQ Proposal_Foxlink_ (Pricing Summary) 2 25 2011" xfId="26186"/>
    <cellStyle name="好_River EE BOM_Creak Pearl Reliability Fixture RFQ_2009 04 24_Creek RFQ feedback 04_28_2009_FD Update_Leopard RFQ ME BOM Costs-0618_Bolt RFQ Proposal_Foxlink_ (Pricing Summary) 2 25 2011 2" xfId="26187"/>
    <cellStyle name="好_River EE BOM_Creak Pearl Reliability Fixture RFQ_2009 04 24_Creek RFQ feedback 04_28_2009_FD Update_Leopard RFQ ME BOM Costs-0618_Bolt RFQ Proposal_Foxlink_ (Pricing Summary) 2 25 2011 2 2 3" xfId="26188"/>
    <cellStyle name="好_River EE BOM_Creak Pearl Reliability Fixture RFQ_2009 04 24_Creek RFQ feedback 04_28_2009_FD Update_Leopard RFQ ME BOM Costs-0618_Bolt RFQ Proposal_Foxlink_ (Pricing Summary) 2 25 2011 3" xfId="26189"/>
    <cellStyle name="差_F3   SMT設備明細_jupite r設備&amp;治工具LIST (總)_~3106354_Leopard效益分析08-17" xfId="26190"/>
    <cellStyle name="好_River EE BOM_Creak Pearl Reliability Fixture RFQ_2009 04 24_Creek RFQ feedback 04_28_2009_FD Update_Leopard RFQ ME BOM Costs-0618_Bolt RFQ Proposal_Foxlink_ (Pricing Summary) 2 25 2011 3 2" xfId="26191"/>
    <cellStyle name="好_River EE BOM_Creak Pearl Reliability Fixture RFQ_2009 04 24_Creek RFQ feedback 04_28_2009_FD Update_Leopard RFQ ME BOM Costs-0618_Bolt RFQ Proposal_Foxlink_ (Pricing Summary) 2 25 2011 4" xfId="26192"/>
    <cellStyle name="壞_Creek EE BOM cost_20090425_Creek RFQ feedback 04_28_2009_FD Update_Leopard_UniBOM_ME_0531_Bolt RFQ_Foxlink_03.1 2011 5" xfId="26193"/>
    <cellStyle name="差_Creak Pearl Reliability Fixture RFQ_2009 04 24_Pearl RFQ(Submittal)ver2_05_12_2009 _Leopard_UniBOM_ME_0531_Bolt RFQ_Foxlink_03.1 2011_nego meeting@MACH 4" xfId="26194"/>
    <cellStyle name="好_River EE BOM_Creak Pearl Reliability Fixture RFQ_2009 04 24_Creek RFQ feedback 04_28_2009_FD Update_Leopard RFQ ME BOM Costs-0618_Bolt RFQ Proposal_Foxlink_ (Pricing Summary) 2 25 2011 4 2" xfId="26195"/>
    <cellStyle name="差_Creak Pearl Reliability Fixture RFQ_2009 04 24_Pearl RFQ(Submittal)ver2_05_12_2009 _Leopard_UniBOM_ME_0531_Bolt RFQ_Foxlink_03.1 2011_nego meeting@MACH 5" xfId="26196"/>
    <cellStyle name="好_River EE BOM_Creak Pearl Reliability Fixture RFQ_2009 04 24_Creek RFQ feedback 04_28_2009_FD Update_Leopard RFQ ME BOM Costs-0618_Bolt RFQ Proposal_Foxlink_ (Pricing Summary) 2 25 2011 4 3" xfId="26197"/>
    <cellStyle name="差_Flow Chart&amp;PQ分析(12-1)_效益分析(總 12-28 Update)_Leopard效益分析08-17" xfId="26198"/>
    <cellStyle name="好_River EE BOM_Creak Pearl Reliability Fixture RFQ_2009 04 24_Creek RFQ feedback 04_28_2009_FD Update_Leopard RFQ ME BOM Costs-0618_Bolt RFQ Proposal_Foxlink_ (Pricing Summary) 2 25 2011 5" xfId="26199"/>
    <cellStyle name="好_River EE BOM_Creak Pearl Reliability Fixture RFQ_2009 04 24_Creek RFQ feedback 04_28_2009_FD Update_Leopard RFQ ME BOM Costs-0618_Bolt RFQ Proposal_Foxlink_ (Pricing Summary) 2 25 2011 5 2" xfId="26200"/>
    <cellStyle name="好_River EE BOM_Creak Pearl Reliability Fixture RFQ_2009 04 24_Creek RFQ feedback 04_28_2009_FD Update_Leopard RFQ ME BOM Costs-0618_Bolt RFQ Proposal_Foxlink_ (Pricing Summary) 2 25 2011 5 3" xfId="26201"/>
    <cellStyle name="好_River EE BOM_Creak Pearl Reliability Fixture RFQ_2009 04 24_Creek RFQ feedback 04_28_2009_FD Update_Leopard RFQ ME BOM Costs-0618_Bolt RFQ Proposal_Foxlink_ (Pricing Summary) 2 25 2011 7" xfId="26202"/>
    <cellStyle name="好_River EE BOM_Creak Pearl Reliability Fixture RFQ_2009 04 24_Creek RFQ feedback 04_28_2009_FD Update_Leopard RFQ ME BOM Costs-0618_Bolt RFQ_Foxlink_03.1 2011" xfId="26203"/>
    <cellStyle name="好_River EE BOM_Creak Pearl Reliability Fixture RFQ_2009 04 24_Creek RFQ feedback 04_28_2009_FD Update_Leopard RFQ ME BOM Costs-0618_Bolt RFQ_Foxlink_03.1 2011 2 2" xfId="26204"/>
    <cellStyle name="好_River EE BOM_Creak Pearl Reliability Fixture RFQ_2009 04 24_Creek RFQ feedback 04_28_2009_FD Update_Leopard RFQ ME BOM Costs-0618_Bolt RFQ_Foxlink_03.1 2011_nego meeting@MACH 2 2" xfId="26205"/>
    <cellStyle name="好_River EE BOM_Creak Pearl Reliability Fixture RFQ_2009 04 24_Creek RFQ feedback 04_28_2009_FD Update_Leopard RFQ ME BOM Costs-0618_Bolt RFQ_Foxlink_03.1 2011_nego meeting@MACH 2 3" xfId="26206"/>
    <cellStyle name="好_River EE BOM_Creak Pearl Reliability Fixture RFQ_2009 04 24_Creek RFQ feedback 04_28_2009_FD Update_Leopard RFQ ME BOM Costs-0618_Bolt RFQ_Foxlink_03.1 2011_nego meeting@MACH 3" xfId="26207"/>
    <cellStyle name="好_River EE BOM_Creak Pearl Reliability Fixture RFQ_2009 04 24_Creek RFQ feedback 04_28_2009_FD Update_Leopard RFQ ME BOM Costs-0618_Bolt RFQ_Foxlink_03.1 2011_nego meeting@MACH 3 2" xfId="26208"/>
    <cellStyle name="好_River EE BOM_Creak Pearl Reliability Fixture RFQ_2009 04 24_Creek RFQ feedback 04_28_2009_FD Update_Leopard RFQ ME BOM Costs-0618_Bolt RFQ_Foxlink_03.1 2011_nego meeting@MACH 4" xfId="26209"/>
    <cellStyle name="好_River EE BOM_Creak Pearl Reliability Fixture RFQ_2009 04 24_Leopard_UniBOM_ME_0603-2_Bolt RFQ Proposal_Foxlink_ (Pricing Summary) 2 25 2011 2 2 2" xfId="26210"/>
    <cellStyle name="好_River EE BOM_Creak Pearl Reliability Fixture RFQ_2009 04 24_Creek RFQ feedback 04_28_2009_FD Update_Leopard RFQ ME BOM Costs-0618-2 2" xfId="26211"/>
    <cellStyle name="差_F3   SMT設備明細_效益分析_Dallas flow chart&amp;設備&amp;治工具清單(12-8 A0)_Flow chart and Fixture(Jackson)_A1_Jackson 效益分析 (2-1 B0 上系統)_squirrel效益分析08-17" xfId="26212"/>
    <cellStyle name="好_River EE BOM_Creak Pearl Reliability Fixture RFQ_2009 04 24_Creek RFQ feedback 04_28_2009_FD Update_Leopard RFQ ME BOM Costs-0618-2 2 2" xfId="26213"/>
    <cellStyle name="差_Creak Pearl Reliability Fixture RFQ_2009 04 24_Pearl RFQ(Submittal)ver2_05_12_2009 _Leopard RFQ ME BOM Costs-0618_Bolt RFQ Proposal_Foxlink_ (Pricing Summary) 2 25 2011 6" xfId="26214"/>
    <cellStyle name="好_River EE BOM_Creak Pearl Reliability Fixture RFQ_2009 04 24_Creek RFQ feedback 04_28_2009_FD Update_Leopard RFQ ME BOM Costs-0618-2 2 2 2" xfId="26215"/>
    <cellStyle name="好_River EE BOM_Creak Pearl Reliability Fixture RFQ_2009 04 24_Creek RFQ feedback 04_28_2009_FD Update_Leopard RFQ ME BOM Costs-0618-2 2 4" xfId="26216"/>
    <cellStyle name="好_River EE BOM_Creak Pearl Reliability Fixture RFQ_2009 04 24_Creek RFQ feedback 04_28_2009_FD Update_Leopard RFQ ME BOM Costs-0618-2 3 3" xfId="26217"/>
    <cellStyle name="好_River EE BOM_Creak Pearl Reliability Fixture RFQ_2009 04 24_Creek RFQ feedback 04_28_2009_FD Update_Leopard RFQ ME BOM Costs-0618-2_Bolt RFQ Proposal_Foxlink_ (Pricing Summary) 2 25 2011 2 3" xfId="26218"/>
    <cellStyle name="好_River EE BOM_Creak Pearl Reliability Fixture RFQ_2009 04 24_Creek RFQ feedback 04_28_2009_FD Update_Leopard RFQ ME BOM Costs-0618-2_Bolt RFQ Proposal_Foxlink_ (Pricing Summary) 2 25 2011 2 4" xfId="26219"/>
    <cellStyle name="好_River EE BOM_Creak Pearl Reliability Fixture RFQ_2009 04 24_Creek RFQ feedback 04_28_2009_FD Update_Leopard RFQ ME BOM Costs-0618-2_Bolt RFQ Proposal_Foxlink_ (Pricing Summary) 2 25 2011 4 2" xfId="26220"/>
    <cellStyle name="好_River EE BOM_Creak Pearl Reliability Fixture RFQ_2009 04 24_Creek RFQ feedback 04_28_2009_FD Update_Leopard RFQ ME BOM Costs-0618-2_Bolt RFQ Proposal_Foxlink_ (Pricing Summary) 2 25 2011 4 3" xfId="26221"/>
    <cellStyle name="好_River EE BOM_Creak Pearl Reliability Fixture RFQ_2009 04 24_Creek RFQ feedback 04_28_2009_FD Update_Leopard RFQ ME BOM Costs-0618-2_Bolt RFQ Proposal_Foxlink_ (Pricing Summary) 2 25 2011 5" xfId="26222"/>
    <cellStyle name="好_River EE BOM_Creak Pearl Reliability Fixture RFQ_2009 04 24_Creek RFQ feedback 04_28_2009_FD Update_Leopard RFQ ME BOM Costs-0618-2_Bolt RFQ Proposal_Foxlink_ (Pricing Summary) 2 25 2011 5 3" xfId="26223"/>
    <cellStyle name="好_River EE BOM_Creak Pearl Reliability Fixture RFQ_2009 04 24_Creek RFQ feedback 04_28_2009_FD Update_Leopard RFQ ME BOM Costs-0618-2_Bolt RFQ Proposal_Foxlink_ (Pricing Summary) 2 25 2011 6" xfId="26224"/>
    <cellStyle name="差_Creak Pearl Reliability Fixture RFQ_2009 04 24_Creek RFQ feedback 04_28_2009_FD Update_Squirrel UniBom-06.23.2010_update_internal 2 2" xfId="26225"/>
    <cellStyle name="好_River EE BOM_Creak Pearl Reliability Fixture RFQ_2009 04 24_Creek RFQ feedback 04_28_2009_FD Update_Leopard RFQ ME BOM Costs-0618-2_Bolt RFQ Proposal_Foxlink_ (Pricing Summary) 2 25 2011 7" xfId="26226"/>
    <cellStyle name="差_Flow Chart&amp;PQ分析(12-1)_~5631336_Jackson 效益分析 (2-1 B0 上系統)_Leopard Flowchart &amp; 產能評估" xfId="26227"/>
    <cellStyle name="好_River EE BOM_Creak Pearl Reliability Fixture RFQ_2009 04 24_Creek RFQ feedback 04_28_2009_FD Update_Leopard RFQ ME BOM Costs-0618-2_Bolt RFQ_Foxlink_03.1 2011_nego meeting@MACH" xfId="26228"/>
    <cellStyle name="好_River EE BOM_Creak Pearl Reliability Fixture RFQ_2009 04 24_Creek RFQ feedback 04_28_2009_FD Update_Leopard RFQ ME BOM Costs-0618-2_Bolt RFQ_Foxlink_03.1 2011_nego meeting@MACH 2" xfId="26229"/>
    <cellStyle name="好_River EE BOM_Creak Pearl Reliability Fixture RFQ_2009 04 24_Creek RFQ feedback 04_28_2009_FD Update_Leopard RFQ ME BOM Costs-0618-2_Bolt RFQ_Foxlink_03.1 2011_nego meeting@MACH 2 3" xfId="26230"/>
    <cellStyle name="好_River EE BOM_Creak Pearl Reliability Fixture RFQ_2009 04 24_Creek RFQ feedback 04_28_2009_FD Update_Leopard RFQ ME BOM Costs-0618-2_Bolt RFQ_Foxlink_03.1 2011_nego meeting@MACH 3" xfId="26231"/>
    <cellStyle name="好_River EE BOM_Creak Pearl Reliability Fixture RFQ_2009 04 24_Creek RFQ feedback 04_28_2009_FD Update_Leopard RFQ ME BOM Costs-0618-2_Bolt RFQ_Foxlink_03.1 2011_nego meeting@MACH 5" xfId="26232"/>
    <cellStyle name="好_River EE BOM_Creek RFQ feedback 04_28_2009_FD Update_Leopard_UniBOM_ME_0602_Bolt RFQ_Foxlink_03.1 2011 3 3" xfId="26233"/>
    <cellStyle name="好_River EE BOM_Creak Pearl Reliability Fixture RFQ_2009 04 24_Creek RFQ feedback 04_28_2009_FD Update_Leopard UniBom_Foxlink_12272010 RevF_shirley" xfId="26234"/>
    <cellStyle name="差_Creak Pearl Reliability Fixture RFQ_2009 04 24_Creek  Pearl RFQ_May 12_Leopard Lemur Squirrel UniBom-06.22.2010_EE cost _update_internal_Bolt RFQ Proposal_Foxlink_ (Pricing Summary) 2 25 2011 2 2 3" xfId="26235"/>
    <cellStyle name="好_River EE BOM_Creak Pearl Reliability Fixture RFQ_2009 04 24_Creek RFQ feedback 04_28_2009_FD Update_Leopard UniBom_Foxlink_6 21 2010-ME_nego 2" xfId="26236"/>
    <cellStyle name="好_River EE BOM_Creak Pearl Reliability Fixture RFQ_2009 04 24_Creek RFQ feedback 04_28_2009_FD Update_Leopard UniBom_Foxlink_6 21 2010-ME_nego 2 2" xfId="26237"/>
    <cellStyle name="好_River EE BOM_Creak Pearl Reliability Fixture RFQ_2009 04 24_Creek RFQ feedback 04_28_2009_FD Update_Leopard UniBom_Foxlink_6 21 2010-ME_nego 2 2 2" xfId="26238"/>
    <cellStyle name="好_River EE BOM_Creak Pearl Reliability Fixture RFQ_2009 04 24_Creek RFQ feedback 04_28_2009_FD Update_Leopard UniBom_Foxlink_6 21 2010-ME_nego 2 2 3" xfId="26239"/>
    <cellStyle name="差_Xl0000002_Leopard_UniBOM_ME_0531_Bolt RFQ_Foxlink_03.1 2011_nego meeting@MACH 2" xfId="26240"/>
    <cellStyle name="好_River EE BOM_Creak Pearl Reliability Fixture RFQ_2009 04 24_Creek RFQ feedback 04_28_2009_FD Update_Leopard UniBom_Foxlink_6 21 2010-ME_nego 2 4" xfId="26241"/>
    <cellStyle name="好_River EE BOM_Creak Pearl Reliability Fixture RFQ_2009 04 24_Creek RFQ feedback 04_28_2009_FD Update_Leopard UniBom_Foxlink_6 21 2010-ME_nego 3" xfId="26242"/>
    <cellStyle name="好_River EE BOM_Creak Pearl Reliability Fixture RFQ_2009 04 24_Creek RFQ feedback 04_28_2009_FD Update_Leopard UniBom_Foxlink_6 21 2010-ME_nego 3 2" xfId="26243"/>
    <cellStyle name="差_Creak Pearl Reliability Fixture RFQ_2009 04 24_Xl0000002_Leopard_UniBOM_ME_0602_Bolt RFQ Proposal_Foxlink_ (Pricing Summary) 2 25 2011 2 4" xfId="26244"/>
    <cellStyle name="好_River EE BOM_Creak Pearl Reliability Fixture RFQ_2009 04 24_Creek RFQ feedback 04_28_2009_FD Update_Leopard UniBom_Foxlink_6 21 2010-ME_nego_Bolt RFQ Proposal_Foxlink_ (Pricing Summary) 2 25 2011 2" xfId="26245"/>
    <cellStyle name="差_jupite r設備&amp;治工具LIST (總)_flow chart 2009.12.12_~1159284" xfId="26246"/>
    <cellStyle name="好_River EE BOM_Creak Pearl Reliability Fixture RFQ_2009 04 24_Creek RFQ feedback 04_28_2009_FD Update_Leopard UniBom_Foxlink_6 21 2010-ME_nego_Bolt RFQ Proposal_Foxlink_ (Pricing Summary) 2 25 2011 2 2 3" xfId="26247"/>
    <cellStyle name="好_River EE BOM_Creek RFQ feedback 04_28_2009_FD Update_Leopard Lemur Squirrel UniBom-06.22.2010_EE cost _update_internal_Bolt RFQ Proposal_Foxlink_ (Pricing Summary) 2 25 2011 2" xfId="26248"/>
    <cellStyle name="好_River EE BOM_Creak Pearl Reliability Fixture RFQ_2009 04 24_Creek RFQ feedback 04_28_2009_FD Update_Leopard UniBom_Foxlink_6 21 2010-ME_nego_Bolt RFQ Proposal_Foxlink_ (Pricing Summary) 2 25 2011 2 3" xfId="26249"/>
    <cellStyle name="好_River EE BOM_Xl0000000_Squirrel RFQ ME BOM Costs-0623_Bolt RFQ_Foxlink_03.1 2011 2 2" xfId="26250"/>
    <cellStyle name="好_River EE BOM_Creak Pearl Reliability Fixture RFQ_2009 04 24_Creek RFQ feedback 04_28_2009_FD Update_Leopard_UniBOM_ME_0602_Bolt RFQ_Foxlink_03.1 2011_nego meeting@MACH" xfId="26251"/>
    <cellStyle name="好_River EE BOM_Creak Pearl Reliability Fixture RFQ_2009 04 24_Creek RFQ feedback 04_28_2009_FD Update_Leopard UniBom_Foxlink_6 21 2010-ME_nego_Bolt RFQ Proposal_Foxlink_ (Pricing Summary) 2 25 2011 3" xfId="26252"/>
    <cellStyle name="好_River EE BOM_Creak Pearl Reliability Fixture RFQ_2009 04 24_Creek RFQ feedback 04_28_2009_FD Update_Leopard_UniBOM_ME_0602_Bolt RFQ_Foxlink_03.1 2011_nego meeting@MACH 2" xfId="26253"/>
    <cellStyle name="好_River EE BOM_Creak Pearl Reliability Fixture RFQ_2009 04 24_Creek RFQ feedback 04_28_2009_FD Update_Leopard UniBom_Foxlink_6 21 2010-ME_nego_Bolt RFQ Proposal_Foxlink_ (Pricing Summary) 2 25 2011 3 2" xfId="26254"/>
    <cellStyle name="好_River EE BOM_Creak Pearl Reliability Fixture RFQ_2009 04 24_Creek RFQ feedback 04_28_2009_FD Update_Leopard_UniBOM_ME_0602_Bolt RFQ_Foxlink_03.1 2011_nego meeting@MACH 3" xfId="26255"/>
    <cellStyle name="好_River EE BOM_Creak Pearl Reliability Fixture RFQ_2009 04 24_Creek RFQ feedback 04_28_2009_FD Update_Leopard UniBom_Foxlink_6 21 2010-ME_nego_Bolt RFQ Proposal_Foxlink_ (Pricing Summary) 2 25 2011 3 3" xfId="26256"/>
    <cellStyle name="好_River EE BOM_Xl0000000_Squirrel RFQ ME BOM Costs-0623_Bolt RFQ_Foxlink_03.1 2011 2 3" xfId="26257"/>
    <cellStyle name="好_River EE BOM_Creak Pearl Reliability Fixture RFQ_2009 04 24_Creek RFQ feedback 04_28_2009_FD Update_Leopard UniBom_Foxlink_6 21 2010-ME_nego_Bolt RFQ Proposal_Foxlink_ (Pricing Summary) 2 25 2011 4" xfId="26258"/>
    <cellStyle name="好_River EE BOM_Creak Pearl Reliability Fixture RFQ_2009 04 24_Creek RFQ feedback 04_28_2009_FD Update_Leopard UniBom_Foxlink_6 21 2010-ME_nego_Bolt RFQ Proposal_Foxlink_ (Pricing Summary) 2 25 2011 4 3" xfId="26259"/>
    <cellStyle name="差_jupite r設備&amp;治工具LIST (總)_Flow Chart(shadow)-b (1-4 Update)_Jackson 效益分析 (2-1 B0 上系統)" xfId="26260"/>
    <cellStyle name="好_River EE BOM_Creak Pearl Reliability Fixture RFQ_2009 04 24_Creek RFQ feedback 04_28_2009_FD Update_Leopard UniBom_Foxlink_6 21 2010-ME_nego_Bolt RFQ Proposal_Foxlink_ (Pricing Summary) 2 25 2011 5 3" xfId="26261"/>
    <cellStyle name="好_River EE BOM_Creak Pearl Reliability Fixture RFQ_2009 04 24_Creek RFQ feedback 04_28_2009_FD Update_Leopard UniBom_Foxlink_6 21 2010-ME_nego_Bolt RFQ Proposal_Foxlink_ (Pricing Summary) 2 25 2011 7" xfId="26262"/>
    <cellStyle name="差_Xl0000000_Squirrel RFQ ME BOM Costs-0623_Bolt RFQ Proposal_Foxlink_ (Pricing Summary) 2 25 2011 5 3" xfId="26263"/>
    <cellStyle name="好_River EE BOM_Creak Pearl Reliability Fixture RFQ_2009 04 24_Creek RFQ feedback 04_28_2009_FD Update_Leopard UniBom_Foxlink_6 21 2010-ME_nego_Bolt RFQ_Foxlink_03.1 2011 2" xfId="26264"/>
    <cellStyle name="差_Xl0000000_Leopard_UniBOM_ME_0603-2_Bolt RFQ Proposal_Foxlink_ (Pricing Summary) 2 25 2011 7" xfId="26265"/>
    <cellStyle name="好_River EE BOM_Creak Pearl Reliability Fixture RFQ_2009 04 24_Creek RFQ feedback 04_28_2009_FD Update_Leopard UniBom_Foxlink_6 21 2010-ME_nego_Bolt RFQ_Foxlink_03.1 2011 2 2" xfId="26266"/>
    <cellStyle name="好_River EE BOM_Creak Pearl Reliability Fixture RFQ_2009 04 24_Creek RFQ feedback 04_28_2009_FD Update_Leopard UniBom_Foxlink_6 21 2010-ME_nego_Bolt RFQ_Foxlink_03.1 2011 2 3" xfId="26267"/>
    <cellStyle name="好_River EE BOM_Creak Pearl Reliability Fixture RFQ_2009 04 24_Creek RFQ feedback 04_28_2009_FD Update_Leopard UniBom_Foxlink_6 21 2010-ME_nego_Bolt RFQ_Foxlink_03.1 2011 3" xfId="26268"/>
    <cellStyle name="好_River EE BOM_Creak Pearl Reliability Fixture RFQ_2009 04 24_Creek RFQ feedback 04_28_2009_FD Update_Leopard UniBom_Foxlink_6 21 2010-ME_nego_Bolt RFQ_Foxlink_03.1 2011 3 3" xfId="26269"/>
    <cellStyle name="好_River EE BOM_Creek RFQ feedback 04_28_2009_FD Update_Leopard RFQ ME BOM Costs-0618-2_Bolt RFQ_Foxlink_03.1 2011 3 2" xfId="26270"/>
    <cellStyle name="好_River EE BOM_Creak Pearl Reliability Fixture RFQ_2009 04 24_Creek RFQ feedback 04_28_2009_FD Update_Leopard UniBom_Foxlink_6 21 2010-ME_nego_Bolt RFQ_Foxlink_03.1 2011 4" xfId="26271"/>
    <cellStyle name="好_River EE BOM_Creak Pearl Reliability Fixture RFQ_2009 04 24_Creek RFQ feedback 04_28_2009_FD Update_Leopard UniBom_Foxlink_6 21 2010-ME_nego_Bolt RFQ_Foxlink_03.1 2011_nego meeting@MACH 2 2" xfId="26272"/>
    <cellStyle name="好_River EE BOM_Creak Pearl Reliability Fixture RFQ_2009 04 24_Creek RFQ feedback 04_28_2009_FD Update_Leopard UniBom_Foxlink_6 21 2010-ME_nego_Bolt RFQ_Foxlink_03.1 2011_nego meeting@MACH 2 3" xfId="26273"/>
    <cellStyle name="好_River EE BOM_Creak Pearl Reliability Fixture RFQ_2009 04 24_Creek RFQ feedback 04_28_2009_FD Update_Leopard UniBom_Foxlink_6 21 2010-nego" xfId="26274"/>
    <cellStyle name="好_River EE BOM_Creak Pearl Reliability Fixture RFQ_2009 04 24_Creek RFQ feedback 04_28_2009_FD Update_Leopard UniBom_true cost_6.23.2010" xfId="26275"/>
    <cellStyle name="差_Creak Pearl Reliability Fixture RFQ_2009 04 24_Pearl RFQ(Submittal)ver2_05_12_2009 _Leopard_UniBOM_ME_0602" xfId="26276"/>
    <cellStyle name="差_Creak Pearl Reliability Fixture RFQ_2009 04 24_Pearl RFQ(Submittal)ver2_05_12_2009 _Leopard Lemur Squirrel UniBom-06.22.2010_EE cost _update_internal_Bolt RFQ_Foxlink_03.1 2011 3 2" xfId="26277"/>
    <cellStyle name="好_River EE BOM_Creak Pearl Reliability Fixture RFQ_2009 04 24_Creek RFQ feedback 04_28_2009_FD Update_Leopard_UniBOM_ME_0531 2 2" xfId="26278"/>
    <cellStyle name="差_Creak Pearl Reliability Fixture RFQ_2009 04 24_Pearl RFQ(Submittal)ver2_05_12_2009 _Leopard_UniBOM_ME_0602 2" xfId="26279"/>
    <cellStyle name="好_River EE BOM_Creak Pearl Reliability Fixture RFQ_2009 04 24_Creek RFQ feedback 04_28_2009_FD Update_Leopard_UniBOM_ME_0531 2 2 2" xfId="26280"/>
    <cellStyle name="差_Creak Pearl Reliability Fixture RFQ_2009 04 24_Pearl RFQ(Submittal)ver2_05_12_2009 _Leopard_UniBOM_ME_0602 3" xfId="26281"/>
    <cellStyle name="好_River EE BOM_Creak Pearl Reliability Fixture RFQ_2009 04 24_Creek RFQ feedback 04_28_2009_FD Update_Leopard_UniBOM_ME_0531 2 2 3" xfId="26282"/>
    <cellStyle name="差_Creak Pearl Reliability Fixture RFQ_2009 04 24_Pearl RFQ(Submittal)ver2_05_12_2009 _Leopard Lemur Squirrel UniBom-06.22.2010_EE cost _update_internal_Bolt RFQ_Foxlink_03.1 2011 3 3" xfId="26283"/>
    <cellStyle name="好_River EE BOM_Creak Pearl Reliability Fixture RFQ_2009 04 24_Creek RFQ feedback 04_28_2009_FD Update_Leopard_UniBOM_ME_0531 2 3" xfId="26284"/>
    <cellStyle name="好_River EE BOM_Creak Pearl Reliability Fixture RFQ_2009 04 24_Creek RFQ feedback 04_28_2009_FD Update_Leopard_UniBOM_ME_0531 2 4" xfId="26285"/>
    <cellStyle name="好_River EE BOM_LLS Project Tracker 0920 2" xfId="26286"/>
    <cellStyle name="好_River EE BOM_Creak Pearl Reliability Fixture RFQ_2009 04 24_Creek RFQ feedback 04_28_2009_FD Update_Leopard_UniBOM_ME_0531_Bolt RFQ Proposal_Foxlink_ (Pricing Summary) 2 25 2011 2 2 3" xfId="26287"/>
    <cellStyle name="壞_Creek Assembly Fixture  Test Equipment RFQ_20090427_Xl0000002_Leopard_UniBOM_ME_0603-2_Bolt RFQ Proposal_Foxlink_ (Pricing Summary) 2 25 2011 4 2" xfId="26288"/>
    <cellStyle name="好_River EE BOM_Creak Pearl Reliability Fixture RFQ_2009 04 24_Creek RFQ feedback 04_28_2009_FD Update_Leopard_UniBOM_ME_0531_Bolt RFQ Proposal_Foxlink_ (Pricing Summary) 2 25 2011 3" xfId="26289"/>
    <cellStyle name="壞_Creek Assembly Fixture  Test Equipment RFQ_20090427_Xl0000002_Leopard_UniBOM_ME_0603-2_Bolt RFQ Proposal_Foxlink_ (Pricing Summary) 2 25 2011 4 3" xfId="26290"/>
    <cellStyle name="好_River EE BOM_Creak Pearl Reliability Fixture RFQ_2009 04 24_Creek RFQ feedback 04_28_2009_FD Update_Leopard_UniBOM_ME_0531_Bolt RFQ Proposal_Foxlink_ (Pricing Summary) 2 25 2011 4" xfId="26291"/>
    <cellStyle name="好_River EE BOM_Creak Pearl Reliability Fixture RFQ_2009 04 24_Creek RFQ feedback 04_28_2009_FD Update_Leopard_UniBOM_ME_0531_Bolt RFQ Proposal_Foxlink_ (Pricing Summary) 2 25 2011 4 2" xfId="26292"/>
    <cellStyle name="好_River EE BOM_Creak Pearl Reliability Fixture RFQ_2009 04 24_Creek RFQ feedback 04_28_2009_FD Update_Leopard_UniBOM_ME_0531_Bolt RFQ Proposal_Foxlink_ (Pricing Summary) 2 25 2011 5" xfId="26293"/>
    <cellStyle name="好_River EE BOM_Creak Pearl Reliability Fixture RFQ_2009 04 24_Creek RFQ feedback 04_28_2009_FD Update_Leopard_UniBOM_ME_0531_Bolt RFQ Proposal_Foxlink_ (Pricing Summary) 2 25 2011 5 2" xfId="26294"/>
    <cellStyle name="差_Creak Pearl Reliability Fixture RFQ_2009 04 24_Leopard_UniBOM_ME_0603-2_Bolt RFQ Proposal_Foxlink_ (Pricing Summary) 2 25 2011" xfId="26295"/>
    <cellStyle name="差_jupite r設備&amp;治工具LIST (總)_Dallas效益分析&amp;投資回收期 (12-2 A1)_Jackson 效益分析 testing update_16th Jan1_Jackson 效益分析 (2-1 B0 上系統)_Leopard Flowchart &amp; 產能評估" xfId="26296"/>
    <cellStyle name="好_River EE BOM_Creak Pearl Reliability Fixture RFQ_2009 04 24_Creek RFQ feedback 04_28_2009_FD Update_Leopard_UniBOM_ME_0531_Bolt RFQ Proposal_Foxlink_ (Pricing Summary) 2 25 2011 5 3" xfId="26297"/>
    <cellStyle name="好_River EE BOM_Creak Pearl Reliability Fixture RFQ_2009 04 24_Creek RFQ feedback 04_28_2009_FD Update_Leopard_UniBOM_ME_0531_Bolt RFQ Proposal_Foxlink_ (Pricing Summary) 2 25 2011 7" xfId="26298"/>
    <cellStyle name="好_River EE BOM_Creak Pearl Reliability Fixture RFQ_2009 04 24_Creek RFQ feedback 04_28_2009_FD Update_Leopard_UniBOM_ME_0531_Bolt RFQ_Foxlink_03.1 2011 2" xfId="26299"/>
    <cellStyle name="好_River EE BOM_Creak Pearl Reliability Fixture RFQ_2009 04 24_Creek RFQ feedback 04_28_2009_FD Update_Leopard_UniBOM_ME_0531_Bolt RFQ_Foxlink_03.1 2011 2 2" xfId="26300"/>
    <cellStyle name="好_River EE BOM_Creak Pearl Reliability Fixture RFQ_2009 04 24_Creek RFQ feedback 04_28_2009_FD Update_Leopard_UniBOM_ME_0531_Bolt RFQ_Foxlink_03.1 2011 3 2" xfId="26301"/>
    <cellStyle name="差_dallas產能評估_Dallas效益分析&amp;投資回收期 (12-2 A1)_Leopard Flowchart &amp; 產能評估" xfId="26302"/>
    <cellStyle name="好_River EE BOM_Creak Pearl Reliability Fixture RFQ_2009 04 24_Creek RFQ feedback 04_28_2009_FD Update_Leopard_UniBOM_ME_0531_Bolt RFQ_Foxlink_03.1 2011 5" xfId="26303"/>
    <cellStyle name="差_jupite r設備&amp;治工具LIST (總)_Dallas效益分析&amp;投資回收期 (12-2 A1)_~5631336" xfId="26304"/>
    <cellStyle name="好_River EE BOM_Creak Pearl Reliability Fixture RFQ_2009 04 24_Creek RFQ feedback 04_28_2009_FD Update_Leopard_UniBOM_ME_0531_Bolt RFQ_Foxlink_03.1 2011_nego meeting@MACH" xfId="26305"/>
    <cellStyle name="好_River EE BOM_Creak Pearl Reliability Fixture RFQ_2009 04 24_Creek RFQ feedback 04_28_2009_FD Update_Leopard_UniBOM_ME_0531_Bolt RFQ_Foxlink_03.1 2011_nego meeting@MACH 2" xfId="26306"/>
    <cellStyle name="好_River EE BOM_Creak Pearl Reliability Fixture RFQ_2009 04 24_Creek RFQ feedback 04_28_2009_FD Update_Leopard_UniBOM_ME_0531_Bolt RFQ_Foxlink_03.1 2011_nego meeting@MACH 2 2" xfId="26307"/>
    <cellStyle name="好_River EE BOM_Creak Pearl Reliability Fixture RFQ_2009 04 24_Creek RFQ feedback 04_28_2009_FD Update_Leopard_UniBOM_ME_0531_Bolt RFQ_Foxlink_03.1 2011_nego meeting@MACH 5" xfId="26308"/>
    <cellStyle name="好_River EE BOM_Creak Pearl Reliability Fixture RFQ_2009 04 24_Creek RFQ feedback 04_28_2009_FD Update_Leopard_UniBOM_ME_0602" xfId="26309"/>
    <cellStyle name="好_River EE BOM_Creak Pearl Reliability Fixture RFQ_2009 04 24_Creek RFQ feedback 04_28_2009_FD Update_Leopard_UniBOM_ME_0602 2" xfId="26310"/>
    <cellStyle name="差_HP  專案(設備&amp;治工具需夠買)update_Bolt RFQ Proposal_Foxlink_ (Pricing Summary) 2 25 2011 3" xfId="26311"/>
    <cellStyle name="差_Erie mouse 效益分析( 11-19 A1)_Jackson 效益分析 testing update_16th Jan1_Jackson 效益分析 (2-1 B0 上系統)_Leopard效益分析08-17" xfId="26312"/>
    <cellStyle name="好_River EE BOM_Creak Pearl Reliability Fixture RFQ_2009 04 24_Creek RFQ feedback 04_28_2009_FD Update_Leopard_UniBOM_ME_0602 2 2" xfId="26313"/>
    <cellStyle name="差_HP  專案(設備&amp;治工具需夠買)update_Bolt RFQ Proposal_Foxlink_ (Pricing Summary) 2 25 2011 3 2" xfId="26314"/>
    <cellStyle name="好_River EE BOM_Creak Pearl Reliability Fixture RFQ_2009 04 24_Creek RFQ feedback 04_28_2009_FD Update_Leopard_UniBOM_ME_0602 2 2 2" xfId="26315"/>
    <cellStyle name="差_HP  專案(設備&amp;治工具需夠買)update_Bolt RFQ Proposal_Foxlink_ (Pricing Summary) 2 25 2011 5" xfId="26316"/>
    <cellStyle name="好_River EE BOM_Creak Pearl Reliability Fixture RFQ_2009 04 24_Creek RFQ feedback 04_28_2009_FD Update_Leopard_UniBOM_ME_0602 2 4" xfId="26317"/>
    <cellStyle name="好_River EE BOM_Creak Pearl Reliability Fixture RFQ_2009 04 24_Foxlink_Shadow RFQ NREUni BOM_12032009_Bolt RFQ Proposal_Foxlink_ (Pricing Summary) 2 25 2011 2 3" xfId="26318"/>
    <cellStyle name="好_River EE BOM_Creak Pearl Reliability Fixture RFQ_2009 04 24_Creek RFQ feedback 04_28_2009_FD Update_Leopard_UniBOM_ME_0602 3 2" xfId="26319"/>
    <cellStyle name="好_River EE BOM_Creak Pearl Reliability Fixture RFQ_2009 04 24_Creek RFQ feedback 04_28_2009_FD Update_Leopard_UniBOM_ME_0602_Bolt RFQ Proposal_Foxlink_ (Pricing Summary) 2 25 2011 2 2 2" xfId="26320"/>
    <cellStyle name="好_River EE BOM_Creak Pearl Reliability Fixture RFQ_2009 04 24_Creek RFQ feedback 04_28_2009_FD Update_Leopard_UniBOM_ME_0602_Bolt RFQ Proposal_Foxlink_ (Pricing Summary) 2 25 2011 2 3" xfId="26321"/>
    <cellStyle name="好_River EE BOM_Creak Pearl Reliability Fixture RFQ_2009 04 24_Creek RFQ feedback 04_28_2009_FD Update_Leopard_UniBOM_ME_0602_Bolt RFQ Proposal_Foxlink_ (Pricing Summary) 2 25 2011 3 2" xfId="26322"/>
    <cellStyle name="好_River EE BOM_Creak Pearl Reliability Fixture RFQ_2009 04 24_Creek RFQ feedback 04_28_2009_FD Update_Leopard_UniBOM_ME_0602_Bolt RFQ Proposal_Foxlink_ (Pricing Summary) 2 25 2011 3 3" xfId="26323"/>
    <cellStyle name="好_River EE BOM_Creak Pearl Reliability Fixture RFQ_2009 04 24_Creek RFQ feedback 04_28_2009_FD Update_Leopard_UniBOM_ME_0602_Bolt RFQ Proposal_Foxlink_ (Pricing Summary) 2 25 2011 4 2" xfId="26324"/>
    <cellStyle name="好_River EE BOM_Creak Pearl Reliability Fixture RFQ_2009 04 24_Creek RFQ feedback 04_28_2009_FD Update_Leopard_UniBOM_ME_0602_Bolt RFQ Proposal_Foxlink_ (Pricing Summary) 2 25 2011 4 3" xfId="26325"/>
    <cellStyle name="好_River EE BOM_Creak Pearl Reliability Fixture RFQ_2009 04 24_Creek RFQ feedback 04_28_2009_FD Update_Leopard_UniBOM_ME_0602_Bolt RFQ_Foxlink_03.1 2011" xfId="26326"/>
    <cellStyle name="好_River EE BOM_Creak Pearl Reliability Fixture RFQ_2009 04 24_Creek RFQ feedback 04_28_2009_FD Update_Leopard_UniBOM_ME_0602_Bolt RFQ_Foxlink_03.1 2011 2" xfId="26327"/>
    <cellStyle name="好_River EE BOM_Creak Pearl Reliability Fixture RFQ_2009 04 24_Creek RFQ feedback 04_28_2009_FD Update_Leopard_UniBOM_ME_0602_Bolt RFQ_Foxlink_03.1 2011 2 3" xfId="26328"/>
    <cellStyle name="好_River EE BOM_Creak Pearl Reliability Fixture RFQ_2009 04 24_Creek RFQ feedback 04_28_2009_FD Update_Leopard_UniBOM_ME_0602_Bolt RFQ_Foxlink_03.1 2011 3" xfId="26329"/>
    <cellStyle name="好_River EE BOM_Creak Pearl Reliability Fixture RFQ_2009 04 24_Creek RFQ feedback 04_28_2009_FD Update_Leopard_UniBOM_ME_0602_Bolt RFQ_Foxlink_03.1 2011 4" xfId="26330"/>
    <cellStyle name="好_River EE BOM_Creak Pearl Reliability Fixture RFQ_2009 04 24_Creek RFQ feedback 04_28_2009_FD Update_Leopard_UniBOM_ME_0602_Bolt RFQ_Foxlink_03.1 2011 5" xfId="26331"/>
    <cellStyle name="好_River EE BOM_Creak Pearl Reliability Fixture RFQ_2009 04 24_Creek RFQ feedback 04_28_2009_FD Update_Leopard_UniBOM_ME_0602_Bolt RFQ_Foxlink_03.1 2011_nego meeting@MACH 2 2" xfId="26332"/>
    <cellStyle name="好_River EE BOM_Creak Pearl Reliability Fixture RFQ_2009 04 24_Creek RFQ feedback 04_28_2009_FD Update_Leopard_UniBOM_ME_0602_Bolt RFQ_Foxlink_03.1 2011_nego meeting@MACH 3 2" xfId="26333"/>
    <cellStyle name="差_RIO Trial run QA Report-7.21（SEA97217)_Xl0000010" xfId="26334"/>
    <cellStyle name="好_River EE BOM_Creak Pearl Reliability Fixture RFQ_2009 04 24_Creek RFQ feedback 04_28_2009_FD Update_Leopard_UniBOM_ME_0602_Bolt RFQ_Foxlink_03.1 2011_nego meeting@MACH 3 3" xfId="26335"/>
    <cellStyle name="好_River EE BOM_Creak Pearl Reliability Fixture RFQ_2009 04 24_Creek RFQ feedback 04_28_2009_FD Update_Leopard_UniBOM_ME_0602_Bolt RFQ_Foxlink_03.1 2011_nego meeting@MACH 5" xfId="26336"/>
    <cellStyle name="好_River EE BOM_Creak Pearl Reliability Fixture RFQ_2009 04 24_Creek RFQ feedback 04_28_2009_FD Update_Leopard_UniBOM_ME_0602-1" xfId="26337"/>
    <cellStyle name="差_HP Mouse 產能評估(上系統)_M1 SuedeFixtureEquipment Cost_A0_2010_10_15_Bolt RFQ_Foxlink_03.1 2011 5" xfId="26338"/>
    <cellStyle name="好_River EE BOM_Creak Pearl Reliability Fixture RFQ_2009 04 24_Creek RFQ feedback 04_28_2009_FD Update_Leopard_UniBOM_ME_0602-1 2" xfId="26339"/>
    <cellStyle name="好_River EE BOM_Creak Pearl Reliability Fixture RFQ_2009 04 24_Creek RFQ feedback 04_28_2009_FD Update_Leopard_UniBOM_ME_0602-1 2 2" xfId="26340"/>
    <cellStyle name="差_HP  專案(設備&amp;治工具需夠買)update_Erie 效益分析(8-27)_Leopard Flowchart &amp; 產能評估" xfId="26341"/>
    <cellStyle name="好_River EE BOM_Creak Pearl Reliability Fixture RFQ_2009 04 24_Creek RFQ feedback 04_28_2009_FD Update_Leopard_UniBOM_ME_0602-1 2 2 2" xfId="26342"/>
    <cellStyle name="好_River EE BOM_Creak Pearl Reliability Fixture RFQ_2009 04 24_Creek RFQ feedback 04_28_2009_FD Update_Leopard_UniBOM_ME_0602-1 2 3" xfId="26343"/>
    <cellStyle name="好_River EE BOM_Creak Pearl Reliability Fixture RFQ_2009 04 24_Creek RFQ feedback 04_28_2009_FD Update_Leopard_UniBOM_ME_0602-1 2 4" xfId="26344"/>
    <cellStyle name="好_River EE BOM_Creak Pearl Reliability Fixture RFQ_2009 04 24_Creek RFQ feedback 04_28_2009_FD Update_Leopard_UniBOM_ME_0602-1_Bolt RFQ Proposal_Foxlink_ (Pricing Summary) 2 25 2011 2" xfId="26345"/>
    <cellStyle name="好_River EE BOM_Creak Pearl Reliability Fixture RFQ_2009 04 24_Xl0000002_Leopard RFQ ME BOM Costs-0618-2_Bolt RFQ_Foxlink_03.1 2011_nego meeting@MACH 3" xfId="26346"/>
    <cellStyle name="好_River EE BOM_Creak Pearl Reliability Fixture RFQ_2009 04 24_Creek RFQ feedback 04_28_2009_FD Update_Leopard_UniBOM_ME_0602-1_Bolt RFQ Proposal_Foxlink_ (Pricing Summary) 2 25 2011 2 2 3" xfId="26347"/>
    <cellStyle name="好_River EE BOM_Creak Pearl Reliability Fixture RFQ_2009 04 24_Creek RFQ feedback 04_28_2009_FD Update_Leopard_UniBOM_ME_0602-1_Bolt RFQ Proposal_Foxlink_ (Pricing Summary) 2 25 2011 2 3" xfId="26348"/>
    <cellStyle name="好_River EE BOM_Creak Pearl Reliability Fixture RFQ_2009 04 24_Creek RFQ feedback 04_28_2009_FD Update_Leopard_UniBOM_ME_0602-1_Bolt RFQ Proposal_Foxlink_ (Pricing Summary) 2 25 2011 2 4" xfId="26349"/>
    <cellStyle name="好_River EE BOM_Creak Pearl Reliability Fixture RFQ_2009 04 24_Creek RFQ feedback 04_28_2009_FD Update_Leopard_UniBOM_ME_0602-1_Bolt RFQ Proposal_Foxlink_ (Pricing Summary) 2 25 2011 3" xfId="26350"/>
    <cellStyle name="好_River EE BOM_Creak Pearl Reliability Fixture RFQ_2009 04 24_Creek RFQ feedback 04_28_2009_FD Update_Leopard_UniBOM_ME_0602-1_Bolt RFQ Proposal_Foxlink_ (Pricing Summary) 2 25 2011 3 2" xfId="26351"/>
    <cellStyle name="标题 4 3 2 2" xfId="26352"/>
    <cellStyle name="好_River EE BOM_Creak Pearl Reliability Fixture RFQ_2009 04 24_Creek RFQ feedback 04_28_2009_FD Update_Leopard_UniBOM_ME_0602-1_Bolt RFQ Proposal_Foxlink_ (Pricing Summary) 2 25 2011 3 3" xfId="26353"/>
    <cellStyle name="好_River EE BOM_Creak Pearl Reliability Fixture RFQ_2009 04 24_Creek RFQ feedback 04_28_2009_FD Update_Leopard_UniBOM_ME_0602-1_Bolt RFQ Proposal_Foxlink_ (Pricing Summary) 2 25 2011 4" xfId="26354"/>
    <cellStyle name="差_Creak Pearl Reliability Fixture RFQ_2009 04 24_Pearl RFQ(Submittal)ver2_05_12_2009 _Squirrel UniBom-06.23.2010_update_internal_Bolt RFQ_Foxlink_03.1 2011_nego meeting@MACH 2" xfId="26355"/>
    <cellStyle name="好_River EE BOM_Creak Pearl Reliability Fixture RFQ_2009 04 24_Creek RFQ feedback 04_28_2009_FD Update_Leopard_UniBOM_ME_0602-1_Bolt RFQ Proposal_Foxlink_ (Pricing Summary) 2 25 2011 4 3" xfId="26356"/>
    <cellStyle name="好_River EE BOM_Creak Pearl Reliability Fixture RFQ_2009 04 24_Creek RFQ feedback 04_28_2009_FD Update_Leopard_UniBOM_ME_0602-1_Bolt RFQ Proposal_Foxlink_ (Pricing Summary) 2 25 2011 5" xfId="26357"/>
    <cellStyle name="差_Creak Pearl Reliability Fixture RFQ_2009 04 24_Xl0000002_Leopard Lemur Squirrel UniBom-06.22.2010_EE cost _update_internal_Bolt RFQ Proposal_Foxlink_ (Pricing Summary) 2 25 2011 5" xfId="26358"/>
    <cellStyle name="好_River EE BOM_Creak Pearl Reliability Fixture RFQ_2009 04 24_Creek RFQ feedback 04_28_2009_FD Update_Leopard_UniBOM_ME_0602-1_Bolt RFQ Proposal_Foxlink_ (Pricing Summary) 2 25 2011 5 2" xfId="26359"/>
    <cellStyle name="差_Creak Pearl Reliability Fixture RFQ_2009 04 24_Xl0000002_Leopard Lemur Squirrel UniBom-06.22.2010_EE cost _update_internal_Bolt RFQ Proposal_Foxlink_ (Pricing Summary) 2 25 2011 6" xfId="26360"/>
    <cellStyle name="好_River EE BOM_Creak Pearl Reliability Fixture RFQ_2009 04 24_Creek RFQ feedback 04_28_2009_FD Update_Leopard_UniBOM_ME_0602-1_Bolt RFQ Proposal_Foxlink_ (Pricing Summary) 2 25 2011 5 3" xfId="26361"/>
    <cellStyle name="好_River EE BOM_Creak Pearl Reliability Fixture RFQ_2009 04 24_Creek RFQ feedback 04_28_2009_FD Update_Leopard_UniBOM_ME_0602-1_Bolt RFQ_Foxlink_03.1 2011 2 3" xfId="26362"/>
    <cellStyle name="好_River EE BOM_Creak Pearl Reliability Fixture RFQ_2009 04 24_Creek RFQ feedback 04_28_2009_FD Update_Leopard_UniBOM_ME_0602-1_Bolt RFQ_Foxlink_03.1 2011 3 2" xfId="26363"/>
    <cellStyle name="好_River EE BOM_Creak Pearl Reliability Fixture RFQ_2009 04 24_Creek RFQ feedback 04_28_2009_FD Update_Leopard_UniBOM_ME_0602-1_Bolt RFQ_Foxlink_03.1 2011 3 3" xfId="26364"/>
    <cellStyle name="好_River EE BOM_Creak Pearl Reliability Fixture RFQ_2009 04 24_Squirrel RFQ ME BOM Costs-0623_Bolt RFQ_Foxlink_03.1 2011_nego meeting@MACH 2 2" xfId="26365"/>
    <cellStyle name="好_River EE BOM_Creak Pearl Reliability Fixture RFQ_2009 04 24_Creek RFQ feedback 04_28_2009_FD Update_Leopard_UniBOM_ME_0602-1_Bolt RFQ_Foxlink_03.1 2011_nego meeting@MACH" xfId="26366"/>
    <cellStyle name="差_Creek RFQ feedback 04_28_2009_FD Update_Leopard_UniBOM_ME_0531 2 4" xfId="26367"/>
    <cellStyle name="好_River EE BOM_Creak Pearl Reliability Fixture RFQ_2009 04 24_Creek RFQ feedback 04_28_2009_FD Update_Leopard_UniBOM_ME_0602-1_Bolt RFQ_Foxlink_03.1 2011_nego meeting@MACH 2" xfId="26368"/>
    <cellStyle name="好_River EE BOM_Creek RFQ feedback 04_28_2009_FD Update_Squirrel RFQ ME BOM Costs-0623 2" xfId="26369"/>
    <cellStyle name="好_River EE BOM_Creak Pearl Reliability Fixture RFQ_2009 04 24_Creek RFQ feedback 04_28_2009_FD Update_Leopard_UniBOM_ME_0602-1_Bolt RFQ_Foxlink_03.1 2011_nego meeting@MACH 3" xfId="26370"/>
    <cellStyle name="好_River EE BOM_Creek RFQ feedback 04_28_2009_FD Update_Squirrel RFQ ME BOM Costs-0623 2 2" xfId="26371"/>
    <cellStyle name="好_River EE BOM_Creak Pearl Reliability Fixture RFQ_2009 04 24_Creek RFQ feedback 04_28_2009_FD Update_Leopard_UniBOM_ME_0602-1_Bolt RFQ_Foxlink_03.1 2011_nego meeting@MACH 3 2" xfId="26372"/>
    <cellStyle name="好_River EE BOM_Creek RFQ feedback 04_28_2009_FD Update_Squirrel RFQ ME BOM Costs-0623 2 3" xfId="26373"/>
    <cellStyle name="好_River EE BOM_Creak Pearl Reliability Fixture RFQ_2009 04 24_Creek RFQ feedback 04_28_2009_FD Update_Leopard_UniBOM_ME_0602-1_Bolt RFQ_Foxlink_03.1 2011_nego meeting@MACH 3 3" xfId="26374"/>
    <cellStyle name="好_River EE BOM_Creak Pearl Reliability Fixture RFQ_2009 04 24_Creek RFQ feedback 04_28_2009_FD Update_Leopard_UniBOM_ME_0602-1_Bolt RFQ_Foxlink_03.1 2011_nego meeting@MACH 5" xfId="26375"/>
    <cellStyle name="好_River EE BOM_Creak Pearl Reliability Fixture RFQ_2009 04 24_Creek RFQ feedback 04_28_2009_FD Update_Leopard_UniBOM_ME_0603-2" xfId="26376"/>
    <cellStyle name="好_River EE BOM_Creak Pearl Reliability Fixture RFQ_2009 04 24_Xl0000002_Leopard_UniBOM_ME_0531_Bolt RFQ_Foxlink_03.1 2011_nego meeting@MACH 2 2" xfId="26377"/>
    <cellStyle name="好_River EE BOM_Creak Pearl Reliability Fixture RFQ_2009 04 24_Creek RFQ feedback 04_28_2009_FD Update_Leopard_UniBOM_ME_0603-2 2 2 2" xfId="26378"/>
    <cellStyle name="好_River EE BOM_Creak Pearl Reliability Fixture RFQ_2009 04 24_Xl0000002_Leopard_UniBOM_ME_0531_Bolt RFQ_Foxlink_03.1 2011_nego meeting@MACH 2 3" xfId="26379"/>
    <cellStyle name="지정되지 않음" xfId="26380"/>
    <cellStyle name="好_River EE BOM_Creak Pearl Reliability Fixture RFQ_2009 04 24_Creek RFQ feedback 04_28_2009_FD Update_Leopard_UniBOM_ME_0603-2 2 2 3" xfId="26381"/>
    <cellStyle name="好_River EE BOM_Creak Pearl Reliability Fixture RFQ_2009 04 24_Xl0000002_Leopard_UniBOM_ME_0531_Bolt RFQ_Foxlink_03.1 2011_nego meeting@MACH 4" xfId="26382"/>
    <cellStyle name="好_River EE BOM_Creak Pearl Reliability Fixture RFQ_2009 04 24_Creek RFQ feedback 04_28_2009_FD Update_Leopard_UniBOM_ME_0603-2 2 4" xfId="26383"/>
    <cellStyle name="好_River EE BOM_Creak Pearl Reliability Fixture RFQ_2009 04 24_Creek RFQ feedback 04_28_2009_FD Update_Leopard_UniBOM_ME_0603-2 3 2" xfId="26384"/>
    <cellStyle name="好_River EE BOM_Creak Pearl Reliability Fixture RFQ_2009 04 24_Creek RFQ feedback 04_28_2009_FD Update_Leopard_UniBOM_ME_0603-2_Bolt RFQ Proposal_Foxlink_ (Pricing Summary) 2 25 2011" xfId="26385"/>
    <cellStyle name="好_River EE BOM_Creak Pearl Reliability Fixture RFQ_2009 04 24_Creek RFQ feedback 04_28_2009_FD Update_Leopard_UniBOM_ME_0603-2_Bolt RFQ Proposal_Foxlink_ (Pricing Summary) 2 25 2011 2" xfId="26386"/>
    <cellStyle name="差_Creak Pearl Reliability Fixture RFQ_2009 04 24_Xl0000002_Leopard_UniBOM_ME_0602 2" xfId="26387"/>
    <cellStyle name="好_River EE BOM_Creak Pearl Reliability Fixture RFQ_2009 04 24_Creek RFQ feedback 04_28_2009_FD Update_Leopard_UniBOM_ME_0603-2_Bolt RFQ Proposal_Foxlink_ (Pricing Summary) 2 25 2011 2 3" xfId="26388"/>
    <cellStyle name="差_Creak Pearl Reliability Fixture RFQ_2009 04 24_Xl0000002_Leopard_UniBOM_ME_0602 3" xfId="26389"/>
    <cellStyle name="好_River EE BOM_Creak Pearl Reliability Fixture RFQ_2009 04 24_Creek RFQ feedback 04_28_2009_FD Update_Leopard_UniBOM_ME_0603-2_Bolt RFQ Proposal_Foxlink_ (Pricing Summary) 2 25 2011 2 4" xfId="26390"/>
    <cellStyle name="好_River EE BOM_Creak Pearl Reliability Fixture RFQ_2009 04 24_Creek RFQ feedback 04_28_2009_FD Update_Leopard_UniBOM_ME_0603-2_Bolt RFQ Proposal_Foxlink_ (Pricing Summary) 2 25 2011 3" xfId="26391"/>
    <cellStyle name="好_River EE BOM_Creak Pearl Reliability Fixture RFQ_2009 04 24_Creek RFQ feedback 04_28_2009_FD Update_Leopard_UniBOM_ME_0603-2_Bolt RFQ Proposal_Foxlink_ (Pricing Summary) 2 25 2011 3 2" xfId="26392"/>
    <cellStyle name="差_Creak Pearl Reliability Fixture RFQ_2009 04 24_Leopard_UniBOM_ME_0602-1_Bolt RFQ_Foxlink_03.1 2011_nego meeting@MACH" xfId="26393"/>
    <cellStyle name="好_River EE BOM_Creak Pearl Reliability Fixture RFQ_2009 04 24_Creek RFQ feedback 04_28_2009_FD Update_Leopard_UniBOM_ME_0603-2_Bolt RFQ Proposal_Foxlink_ (Pricing Summary) 2 25 2011 3 3" xfId="26394"/>
    <cellStyle name="差_dallas產能評估_Jackson 效益分析 testing update_16th Jan1_Jackson 效益分析 (2-1 B0 上系統)_Leopard Flowchart &amp; 產能評估" xfId="26395"/>
    <cellStyle name="好_River EE BOM_Creak Pearl Reliability Fixture RFQ_2009 04 24_Creek RFQ feedback 04_28_2009_FD Update_Leopard_UniBOM_ME_0603-2_Bolt RFQ Proposal_Foxlink_ (Pricing Summary) 2 25 2011 4" xfId="26396"/>
    <cellStyle name="好_River EE BOM_Creak Pearl Reliability Fixture RFQ_2009 04 24_Creek RFQ feedback 04_28_2009_FD Update_Leopard_UniBOM_ME_0603-2_Bolt RFQ Proposal_Foxlink_ (Pricing Summary) 2 25 2011 4 3" xfId="26397"/>
    <cellStyle name="好_River EE BOM_Xl0000000_Squirrel UniBom-06.23.2010_update_internal 5" xfId="26398"/>
    <cellStyle name="好_River EE BOM_Creak Pearl Reliability Fixture RFQ_2009 04 24_Creek RFQ feedback 04_28_2009_FD Update_Leopard_UniBOM_ME_0603-2_Bolt RFQ Proposal_Foxlink_ (Pricing Summary) 2 25 2011 5 2" xfId="26399"/>
    <cellStyle name="差_F3   SMT設備明細_jupite r設備&amp;治工具LIST (總)_Dallas效益分析&amp;投資回收期 (12-2 A1)_Jackson 效益分析 testing update_16th Jan111_Jackson 效益分析 (2-1 B0 上系統)_Leopard效益分析08-17" xfId="26400"/>
    <cellStyle name="好_River EE BOM_Creak Pearl Reliability Fixture RFQ_2009 04 24_Creek RFQ feedback 04_28_2009_FD Update_Leopard_UniBOM_ME_0603-2_Bolt RFQ Proposal_Foxlink_ (Pricing Summary) 2 25 2011 5 3" xfId="26401"/>
    <cellStyle name="好_River EE BOM_Creak Pearl Reliability Fixture RFQ_2009 04 24_Creek RFQ feedback 04_28_2009_FD Update_Leopard_UniBOM_ME_0603-2_Bolt RFQ_Foxlink_03.1 2011" xfId="26402"/>
    <cellStyle name="好_River EE BOM_Creak Pearl Reliability Fixture RFQ_2009 04 24_Creek RFQ feedback 04_28_2009_FD Update_Squirrel UniBom-06.23.2010_update_internal_Bolt RFQ Proposal_Foxlink_ (Pricing Summary) 2 25 2011 6" xfId="26403"/>
    <cellStyle name="好_River EE BOM_Creak Pearl Reliability Fixture RFQ_2009 04 24_Creek RFQ feedback 04_28_2009_FD Update_Leopard_UniBOM_ME_0603-2_Bolt RFQ_Foxlink_03.1 2011 2" xfId="26404"/>
    <cellStyle name="好_River EE BOM_Creak Pearl Reliability Fixture RFQ_2009 04 24_Creek RFQ feedback 04_28_2009_FD Update_Leopard_UniBOM_ME_0603-2_Bolt RFQ_Foxlink_03.1 2011 2 2" xfId="26405"/>
    <cellStyle name="好_River EE BOM_Xl0000002_Leopard UniBom-06 22 2010_update_internal" xfId="26406"/>
    <cellStyle name="好_River EE BOM_Creak Pearl Reliability Fixture RFQ_2009 04 24_Creek RFQ feedback 04_28_2009_FD Update_Leopard_UniBOM_ME_0603-2_Bolt RFQ_Foxlink_03.1 2011 3 2" xfId="26407"/>
    <cellStyle name="好_River EE BOM_Creak Pearl Reliability Fixture RFQ_2009 04 24_Creek RFQ feedback 04_28_2009_FD Update_Leopard_UniBOM_ME_0603-2_Bolt RFQ_Foxlink_03.1 2011 3 3" xfId="26408"/>
    <cellStyle name="好_River EE BOM_Creak Pearl Reliability Fixture RFQ_2009 04 24_Creek RFQ feedback 04_28_2009_FD Update_Leopard_UniBOM_ME_0603-2_Bolt RFQ_Foxlink_03.1 2011_nego meeting@MACH" xfId="26409"/>
    <cellStyle name="好_River EE BOM_Creak Pearl Reliability Fixture RFQ_2009 04 24_Creek RFQ feedback 04_28_2009_FD Update_Leopard_UniBOM_ME_0603-2_Bolt RFQ_Foxlink_03.1 2011_nego meeting@MACH 2 2" xfId="26410"/>
    <cellStyle name="好_River EE BOM_Creak Pearl Reliability Fixture RFQ_2009 04 24_Creek RFQ feedback 04_28_2009_FD Update_Leopard_UniBOM_ME_0603-2_Bolt RFQ_Foxlink_03.1 2011_nego meeting@MACH 3" xfId="26411"/>
    <cellStyle name="好_River EE BOM_Creak Pearl Reliability Fixture RFQ_2009 04 24_Creek RFQ feedback 04_28_2009_FD Update_Leopard_UniBOM_ME_0603-2_Bolt RFQ_Foxlink_03.1 2011_nego meeting@MACH 3 2" xfId="26412"/>
    <cellStyle name="差_Xl0000002_Leopard_UniBOM_ME_0602-1 2 4" xfId="26413"/>
    <cellStyle name="好_River EE BOM_Creak Pearl Reliability Fixture RFQ_2009 04 24_Creek RFQ feedback 04_28_2009_FD Update_Squirrel RFQ ME BOM Costs-0623 2" xfId="26414"/>
    <cellStyle name="好_River EE BOM_Creak Pearl Reliability Fixture RFQ_2009 04 24_Creek RFQ feedback 04_28_2009_FD Update_Squirrel RFQ ME BOM Costs-0623 2 2 2" xfId="26415"/>
    <cellStyle name="好_River EE BOM_Creak Pearl Reliability Fixture RFQ_2009 04 24_Creek RFQ feedback 04_28_2009_FD Update_Squirrel RFQ ME BOM Costs-0623 2 2 3" xfId="26416"/>
    <cellStyle name="好_River EE BOM_Creak Pearl Reliability Fixture RFQ_2009 04 24_Creek RFQ feedback 04_28_2009_FD Update_Squirrel RFQ ME BOM Costs-0623 2 3" xfId="26417"/>
    <cellStyle name="好_River EE BOM_Creak Pearl Reliability Fixture RFQ_2009 04 24_Creek RFQ feedback 04_28_2009_FD Update_Squirrel RFQ ME BOM Costs-0623 2 4" xfId="26418"/>
    <cellStyle name="差_jupite r設備&amp;治工具LIST (總)_Flow Chart&amp;PQ分析(12-1)_Jackson 效益分析 testing update_16th Jan1" xfId="26419"/>
    <cellStyle name="好_River EE BOM_Creak Pearl Reliability Fixture RFQ_2009 04 24_Leopard_UniBOM_ME_0531 2" xfId="26420"/>
    <cellStyle name="好_River EE BOM_Creak Pearl Reliability Fixture RFQ_2009 04 24_Creek RFQ feedback 04_28_2009_FD Update_Squirrel RFQ ME BOM Costs-0623 3 2" xfId="26421"/>
    <cellStyle name="好_River EE BOM_Creak Pearl Reliability Fixture RFQ_2009 04 24_Leopard_UniBOM_ME_0531 3" xfId="26422"/>
    <cellStyle name="好_River EE BOM_Creak Pearl Reliability Fixture RFQ_2009 04 24_Creek RFQ feedback 04_28_2009_FD Update_Squirrel RFQ ME BOM Costs-0623 3 3" xfId="26423"/>
    <cellStyle name="差_F3   SMT設備明細_效益分析_Dallas flow chart&amp;設備&amp;治工具清單(12-8 A0)_Flow chart and Fixture(1-4)_Jackson 效益分析 (2-1 B0 上系統)" xfId="26424"/>
    <cellStyle name="好_River EE BOM_Creak Pearl Reliability Fixture RFQ_2009 04 24_Creek RFQ feedback 04_28_2009_FD Update_Squirrel RFQ ME BOM Costs-0623_Bolt RFQ Proposal_Foxlink_ (Pricing Summary) 2 25 2011 2" xfId="26425"/>
    <cellStyle name="好_River EE BOM_Creak Pearl Reliability Fixture RFQ_2009 04 24_Creek RFQ feedback 04_28_2009_FD Update_Squirrel RFQ ME BOM Costs-0623_Bolt RFQ Proposal_Foxlink_ (Pricing Summary) 2 25 2011 2 2" xfId="26426"/>
    <cellStyle name="好_River EE BOM_Creak Pearl Reliability Fixture RFQ_2009 04 24_Creek RFQ feedback 04_28_2009_FD Update_Squirrel RFQ ME BOM Costs-0623_Bolt RFQ Proposal_Foxlink_ (Pricing Summary) 2 25 2011 2 2 3" xfId="26427"/>
    <cellStyle name="好_River EE BOM_Creak Pearl Reliability Fixture RFQ_2009 04 24_Creek RFQ feedback 04_28_2009_FD Update_Squirrel RFQ ME BOM Costs-0623_Bolt RFQ Proposal_Foxlink_ (Pricing Summary) 2 25 2011 2 4" xfId="26428"/>
    <cellStyle name="好_River EE BOM_Creak Pearl Reliability Fixture RFQ_2009 04 24_Creek RFQ feedback 04_28_2009_FD Update_Squirrel RFQ ME BOM Costs-0623_Bolt RFQ Proposal_Foxlink_ (Pricing Summary) 2 25 2011 3" xfId="26429"/>
    <cellStyle name="好_River EE BOM_Creak Pearl Reliability Fixture RFQ_2009 04 24_Creek RFQ feedback 04_28_2009_FD Update_Squirrel RFQ ME BOM Costs-0623_Bolt RFQ Proposal_Foxlink_ (Pricing Summary) 2 25 2011 3 2" xfId="26430"/>
    <cellStyle name="差_Xl0000000_Leopard_UniBOM_ME_0603-2 2 2" xfId="26431"/>
    <cellStyle name="好_River EE BOM_Creak Pearl Reliability Fixture RFQ_2009 04 24_Creek RFQ feedback 04_28_2009_FD Update_Squirrel RFQ ME BOM Costs-0623_Bolt RFQ Proposal_Foxlink_ (Pricing Summary) 2 25 2011 3 3" xfId="26432"/>
    <cellStyle name="好_River EE BOM_Creak Pearl Reliability Fixture RFQ_2009 04 24_Creek RFQ feedback 04_28_2009_FD Update_Squirrel RFQ ME BOM Costs-0623_Bolt RFQ Proposal_Foxlink_ (Pricing Summary) 2 25 2011 4" xfId="26433"/>
    <cellStyle name="好_River EE BOM_Creak Pearl Reliability Fixture RFQ_2009 04 24_Creek RFQ feedback 04_28_2009_FD Update_Squirrel RFQ ME BOM Costs-0623_Bolt RFQ Proposal_Foxlink_ (Pricing Summary) 2 25 2011 5" xfId="26434"/>
    <cellStyle name="好_River EE BOM_Creak Pearl Reliability Fixture RFQ_2009 04 24_Xl0000002_Leopard RFQ ME BOM Costs-0618-2" xfId="26435"/>
    <cellStyle name="好_River EE BOM_Creak Pearl Reliability Fixture RFQ_2009 04 24_Creek RFQ feedback 04_28_2009_FD Update_Squirrel RFQ ME BOM Costs-0623_Bolt RFQ Proposal_Foxlink_ (Pricing Summary) 2 25 2011 5 3" xfId="26436"/>
    <cellStyle name="好_River EE BOM_Creak Pearl Reliability Fixture RFQ_2009 04 24_Creek RFQ feedback 04_28_2009_FD Update_Squirrel RFQ ME BOM Costs-0623_Bolt RFQ Proposal_Foxlink_ (Pricing Summary) 2 25 2011 6" xfId="26437"/>
    <cellStyle name="差_Creek RFQ feedback 04_28_2009_FD Update_Leopard_UniBOM_ME_0602_Bolt RFQ Proposal_Foxlink_ (Pricing Summary) 2 25 2011 2 2 3" xfId="26438"/>
    <cellStyle name="差_Creak Pearl Reliability Fixture RFQ_2009 04 24_Leopard_UniBOM_ME_0603-2 2 2" xfId="26439"/>
    <cellStyle name="好_River EE BOM_Creak Pearl Reliability Fixture RFQ_2009 04 24_Creek RFQ feedback 04_28_2009_FD Update_Squirrel RFQ ME BOM Costs-0623_Bolt RFQ_Foxlink_03.1 2011 2 2" xfId="26440"/>
    <cellStyle name="差_Creak Pearl Reliability Fixture RFQ_2009 04 24_Leopard_UniBOM_ME_0603-2 3 2" xfId="26441"/>
    <cellStyle name="好_River EE BOM_Creak Pearl Reliability Fixture RFQ_2009 04 24_Creek RFQ feedback 04_28_2009_FD Update_Squirrel RFQ ME BOM Costs-0623_Bolt RFQ_Foxlink_03.1 2011 3 2" xfId="26442"/>
    <cellStyle name="好_River EE BOM_Creak Pearl Reliability Fixture RFQ_2009 04 24_Creek RFQ feedback 04_28_2009_FD Update_Squirrel RFQ ME BOM Costs-0623_Bolt RFQ_Foxlink_03.1 2011 5" xfId="26443"/>
    <cellStyle name="好_River EE BOM_Creak Pearl Reliability Fixture RFQ_2009 04 24_Creek RFQ feedback 04_28_2009_FD Update_Squirrel RFQ ME BOM Costs-0623_Bolt RFQ_Foxlink_03.1 2011_nego meeting@MACH 2" xfId="26444"/>
    <cellStyle name="好_River EE BOM_Creak Pearl Reliability Fixture RFQ_2009 04 24_Creek RFQ feedback 04_28_2009_FD Update_Squirrel RFQ ME BOM Costs-0623_Bolt RFQ_Foxlink_03.1 2011_nego meeting@MACH 2 3" xfId="26445"/>
    <cellStyle name="好_River EE BOM_Creak Pearl Reliability Fixture RFQ_2009 04 24_Creek RFQ feedback 04_28_2009_FD Update_Squirrel RFQ ME BOM Costs-0623_Bolt RFQ_Foxlink_03.1 2011_nego meeting@MACH 3" xfId="26446"/>
    <cellStyle name="好_River EE BOM_Creak Pearl Reliability Fixture RFQ_2009 04 24_Creek RFQ feedback 04_28_2009_FD Update_Squirrel RFQ ME BOM Costs-0623_Bolt RFQ_Foxlink_03.1 2011_nego meeting@MACH 3 3" xfId="26447"/>
    <cellStyle name="好_River EE BOM_Creak Pearl Reliability Fixture RFQ_2009 04 24_Creek RFQ feedback 04_28_2009_FD Update_Squirrel RFQ ME BOM Costs-0623_Bolt RFQ_Foxlink_03.1 2011_nego meeting@MACH 4" xfId="26448"/>
    <cellStyle name="好_River EE BOM_Creak Pearl Reliability Fixture RFQ_2009 04 24_Creek RFQ feedback 04_28_2009_FD Update_Squirrel RFQ ME BOM Costs-0623_Bolt RFQ_Foxlink_03.1 2011_nego meeting@MACH 5" xfId="26449"/>
    <cellStyle name="好_River EE BOM_Creak Pearl Reliability Fixture RFQ_2009 04 24_Creek RFQ feedback 04_28_2009_FD Update_Squirrel RFQ ME BOM Costs-0624" xfId="26450"/>
    <cellStyle name="好_River EE BOM_Creak Pearl Reliability Fixture RFQ_2009 04 24_Creek RFQ feedback 04_28_2009_FD Update_Squirrel UniBom_Foxlink_6 28 2010" xfId="26451"/>
    <cellStyle name="差_Erie mouse 效益分析( 11-19 A1)_Jackson 效益分析 testing update_16th Jan111_Jackson 效益分析 (2-1 B0 上系統)_Leopard Flowchart &amp; 產能評估" xfId="26452"/>
    <cellStyle name="好_River EE BOM_Creak Pearl Reliability Fixture RFQ_2009 04 24_Creek RFQ feedback 04_28_2009_FD Update_Squirrel UniBom_Foxlink_7.27.2010" xfId="26453"/>
    <cellStyle name="好_River EE BOM_Creak Pearl Reliability Fixture RFQ_2009 04 24_Creek RFQ feedback 04_28_2009_FD Update_Squirrel UniBom-06 23 2010_update_internal" xfId="26454"/>
    <cellStyle name="差_dallas產能評估_flow chart 2009.12.12_Flow chart and Fixture(1-4)" xfId="26455"/>
    <cellStyle name="好_River EE BOM_Creak Pearl Reliability Fixture RFQ_2009 04 24_Creek RFQ feedback 04_28_2009_FD Update_Squirrel UniBom-06.23.2010_update_internal" xfId="26456"/>
    <cellStyle name="好_River EE BOM_Creak Pearl Reliability Fixture RFQ_2009 04 24_Creek RFQ feedback 04_28_2009_FD Update_Squirrel UniBom-06.23.2010_update_internal 2 2" xfId="26457"/>
    <cellStyle name="差_F3   SMT設備明細_jupite r設備&amp;治工具LIST (總)_Dallas flow chart&amp;設備&amp;治工具清單(12-8 A0)_Jackson 效益分析 (1-18 A7)" xfId="26458"/>
    <cellStyle name="好_River EE BOM_Creak Pearl Reliability Fixture RFQ_2009 04 24_Creek RFQ feedback 04_28_2009_FD Update_Squirrel UniBom-06.23.2010_update_internal 2 2 3" xfId="26459"/>
    <cellStyle name="好_River EE BOM_Creak Pearl Reliability Fixture RFQ_2009 04 24_Pearl RFQ(Submittal)ver2_05_12_2009 _Leopard_UniBOM_ME_0603-2_Bolt RFQ_Foxlink_03.1 2011 2" xfId="26460"/>
    <cellStyle name="好_River EE BOM_Creak Pearl Reliability Fixture RFQ_2009 04 24_Creek RFQ feedback 04_28_2009_FD Update_Squirrel UniBom-06.23.2010_update_internal 2 3" xfId="26461"/>
    <cellStyle name="好_River EE BOM_Creak Pearl Reliability Fixture RFQ_2009 04 24_Creek RFQ feedback 04_28_2009_FD Update_Squirrel UniBom-06.23.2010_update_internal 3" xfId="26462"/>
    <cellStyle name="差_F3   SMT設備明細_jupite r設備&amp;治工具LIST (總)_Flow chart and Fixture(Jackson)_A1_Jackson 效益分析 (2-1 B0 上系統)_squirrel效益分析08-17" xfId="26463"/>
    <cellStyle name="好_River EE BOM_Creak Pearl Reliability Fixture RFQ_2009 04 24_Creek RFQ feedback 04_28_2009_FD Update_Squirrel UniBom-06.23.2010_update_internal 3 2" xfId="26464"/>
    <cellStyle name="好_River EE BOM_Creak Pearl Reliability Fixture RFQ_2009 04 24_Creek RFQ feedback 04_28_2009_FD Update_Squirrel UniBom-06.23.2010_update_internal 3 3" xfId="26465"/>
    <cellStyle name="好_River EE BOM_Creak Pearl Reliability Fixture RFQ_2009 04 24_Creek RFQ feedback 04_28_2009_FD Update_Squirrel UniBom-06.23.2010_update_internal 4" xfId="26466"/>
    <cellStyle name="好_River EE BOM_Creak Pearl Reliability Fixture RFQ_2009 04 24_Creek RFQ feedback 04_28_2009_FD Update_Squirrel UniBom-06.23.2010_update_internal 5" xfId="26467"/>
    <cellStyle name="好_River EE BOM_Creak Pearl Reliability Fixture RFQ_2009 04 24_Creek RFQ feedback 04_28_2009_FD Update_Squirrel UniBom-06.23.2010_update_internal_Bolt RFQ Proposal_Foxlink_ (Pricing Summary) 2 25 2011 2 2 2" xfId="26468"/>
    <cellStyle name="好_River EE BOM_Creak Pearl Reliability Fixture RFQ_2009 04 24_Creek RFQ feedback 04_28_2009_FD Update_Squirrel UniBom-06.23.2010_update_internal_Bolt RFQ Proposal_Foxlink_ (Pricing Summary) 2 25 2011 2 3" xfId="26469"/>
    <cellStyle name="差_jupite r設備&amp;治工具LIST (總)_pq_Flow chart and Fixture(Jackson)_A1_Jackson 效益分析 (2-1 B0 上系統)_Leopard Flowchart &amp; 產能評估" xfId="26470"/>
    <cellStyle name="好_River EE BOM_Creak Pearl Reliability Fixture RFQ_2009 04 24_Creek RFQ feedback 04_28_2009_FD Update_Squirrel UniBom-06.23.2010_update_internal_Bolt RFQ Proposal_Foxlink_ (Pricing Summary) 2 25 2011 2 4" xfId="26471"/>
    <cellStyle name="差_Creak Pearl Reliability Fixture RFQ_2009 04 24_Squirrel RFQ ME BOM Costs-0623_Bolt RFQ_Foxlink_03.1 2011_nego meeting@MACH 2 2" xfId="26472"/>
    <cellStyle name="好_River EE BOM_Creak Pearl Reliability Fixture RFQ_2009 04 24_Creek RFQ feedback 04_28_2009_FD Update_Squirrel UniBom-06.23.2010_update_internal_Bolt RFQ Proposal_Foxlink_ (Pricing Summary) 2 25 2011 3 3" xfId="26473"/>
    <cellStyle name="好_River EE BOM_Creak Pearl Reliability Fixture RFQ_2009 04 24_Creek RFQ feedback 04_28_2009_FD Update_Squirrel UniBom-06.23.2010_update_internal_Bolt RFQ Proposal_Foxlink_ (Pricing Summary) 2 25 2011 4" xfId="26474"/>
    <cellStyle name="好_River EE BOM_Creak Pearl Reliability Fixture RFQ_2009 04 24_Creek RFQ feedback 04_28_2009_FD Update_Squirrel UniBom-06.23.2010_update_internal_Bolt RFQ Proposal_Foxlink_ (Pricing Summary) 2 25 2011 4 2" xfId="26475"/>
    <cellStyle name="好_River EE BOM_Creek RFQ feedback 04_28_2009_FD Update_Leopard UniBom_true cost_6.23.2010" xfId="26476"/>
    <cellStyle name="好_River EE BOM_Creak Pearl Reliability Fixture RFQ_2009 04 24_Creek RFQ feedback 04_28_2009_FD Update_Squirrel UniBom-06.23.2010_update_internal_Bolt RFQ Proposal_Foxlink_ (Pricing Summary) 2 25 2011 5 2" xfId="26477"/>
    <cellStyle name="差_Flow Chart&amp;PQ分析(12-1)_Flow chart and Fixture(1-4)_Jackson 效益分析 (2-1 B0 上系統)_Leopard效益分析08-17" xfId="26478"/>
    <cellStyle name="差_Creak Pearl Reliability Fixture RFQ_2009 04 24_Leopard_UniBOM_ME_0603-2_Bolt RFQ_Foxlink_03.1 2011_nego meeting@MACH 2" xfId="26479"/>
    <cellStyle name="好_River EE BOM_Creak Pearl Reliability Fixture RFQ_2009 04 24_Creek RFQ feedback 04_28_2009_FD Update_Squirrel UniBom-06.23.2010_update_internal_Bolt RFQ Proposal_Foxlink_ (Pricing Summary) 2 25 2011 5 3" xfId="26480"/>
    <cellStyle name="好_River EE BOM_Creak Pearl Reliability Fixture RFQ_2009 04 24_Creek RFQ feedback 04_28_2009_FD Update_Squirrel UniBom-06.23.2010_update_internal_Bolt RFQ_Foxlink_03.1 2011_nego meeting@MACH" xfId="26481"/>
    <cellStyle name="好_River EE BOM_Creak Pearl Reliability Fixture RFQ_2009 04 24_Creek RFQ feedback 04_28_2009_FD Update_Squirrel UniBom-06.23.2010_update_internal_Bolt RFQ_Foxlink_03.1 2011_nego meeting@MACH 2 3" xfId="26482"/>
    <cellStyle name="差_HP Mouse 產能評估(Forecast更改後)_Erie 效益分析 (Update)_Jackson 效益分析 testing update_16th Jan1_Jackson 效益分析 (2-1 B0 上系統)" xfId="26483"/>
    <cellStyle name="好_River EE BOM_Creak Pearl Reliability Fixture RFQ_2009 04 24_Creek RFQ feedback 04_28_2009_FD Update_Squirrel UniBom-06.23.2010_update_internal_Bolt RFQ_Foxlink_03.1 2011_nego meeting@MACH 3 2" xfId="26484"/>
    <cellStyle name="好_River EE BOM_Creak Pearl Reliability Fixture RFQ_2009 04 24_Creek RFQ feedback 04_28_2009_FD Update_Squirrel UniBom-06.23.2010_update_internal_Bolt RFQ_Foxlink_03.1 2011_nego meeting@MACH 5" xfId="26485"/>
    <cellStyle name="差_HP  專案(設備&amp;治工具需夠買)update_Erie 效益分析(8-27)_squirrel效益分析08-17" xfId="26486"/>
    <cellStyle name="好_River EE BOM_Creak Pearl Reliability Fixture RFQ_2009 04 24_Foxlink_Shadow RFQ NREUni BOM_12032009 2 2" xfId="26487"/>
    <cellStyle name="好_River EE BOM_Creak Pearl Reliability Fixture RFQ_2009 04 24_Foxlink_Shadow RFQ NREUni BOM_12032009 2 2 2" xfId="26488"/>
    <cellStyle name="好_River EE BOM_Creak Pearl Reliability Fixture RFQ_2009 04 24_Foxlink_Shadow RFQ NREUni BOM_12032009 2 2 3" xfId="26489"/>
    <cellStyle name="差_Flow Chart&amp;PQ分析(12-1)_Jackson 效益分析 (2-1 B0 上系統)_Leopard Flowchart &amp; 產能評估" xfId="26490"/>
    <cellStyle name="好_River EE BOM_Creak Pearl Reliability Fixture RFQ_2009 04 24_Foxlink_Shadow RFQ NREUni BOM_12032009 2 3" xfId="26491"/>
    <cellStyle name="好_River EE BOM_Creak Pearl Reliability Fixture RFQ_2009 04 24_Foxlink_Shadow RFQ NREUni BOM_12032009 2 4" xfId="26492"/>
    <cellStyle name="好_River EE BOM_Creak Pearl Reliability Fixture RFQ_2009 04 24_Foxlink_Shadow RFQ NREUni BOM_12032009 3 2" xfId="26493"/>
    <cellStyle name="好_River EE BOM_Creak Pearl Reliability Fixture RFQ_2009 04 24_Foxlink_Shadow RFQ NREUni BOM_12032009 3 3" xfId="26494"/>
    <cellStyle name="好_River EE BOM_Creak Pearl Reliability Fixture RFQ_2009 04 24_Foxlink_Shadow RFQ NREUni BOM_12032009_Bolt RFQ Proposal_Foxlink_ (Pricing Summary) 2 25 2011 2 2" xfId="26495"/>
    <cellStyle name="好_River EE BOM_Creak Pearl Reliability Fixture RFQ_2009 04 24_Foxlink_Shadow RFQ NREUni BOM_12032009_Bolt RFQ Proposal_Foxlink_ (Pricing Summary) 2 25 2011 2 2 2" xfId="26496"/>
    <cellStyle name="好_River EE BOM_Creak Pearl Reliability Fixture RFQ_2009 04 24_Foxlink_Shadow RFQ NREUni BOM_12032009_Bolt RFQ Proposal_Foxlink_ (Pricing Summary) 2 25 2011 4" xfId="26497"/>
    <cellStyle name="好_River EE BOM_Creak Pearl Reliability Fixture RFQ_2009 04 24_Foxlink_Shadow RFQ NREUni BOM_12032009_Bolt RFQ Proposal_Foxlink_ (Pricing Summary) 2 25 2011 5" xfId="26498"/>
    <cellStyle name="差_Xl0000000_Foxlink_Shadow RFQ NREUni BOM_12032009_Bolt RFQ Proposal_Foxlink_ (Pricing Summary) 2 25 2011 5" xfId="26499"/>
    <cellStyle name="好_River EE BOM_Creak Pearl Reliability Fixture RFQ_2009 04 24_Foxlink_Shadow RFQ NREUni BOM_12032009_Bolt RFQ Proposal_Foxlink_ (Pricing Summary) 2 25 2011 5 2" xfId="26500"/>
    <cellStyle name="差_Xl0000000_Foxlink_Shadow RFQ NREUni BOM_12032009_Bolt RFQ Proposal_Foxlink_ (Pricing Summary) 2 25 2011 6" xfId="26501"/>
    <cellStyle name="好_River EE BOM_Creak Pearl Reliability Fixture RFQ_2009 04 24_Foxlink_Shadow RFQ NREUni BOM_12032009_Bolt RFQ Proposal_Foxlink_ (Pricing Summary) 2 25 2011 5 3" xfId="26502"/>
    <cellStyle name="好_River EE BOM_Creak Pearl Reliability Fixture RFQ_2009 04 24_Foxlink_Shadow RFQ NREUni BOM_12032009_Bolt RFQ Proposal_Foxlink_ (Pricing Summary) 2 25 2011 6" xfId="26503"/>
    <cellStyle name="好_River EE BOM_Creak Pearl Reliability Fixture RFQ_2009 04 24_Foxlink_Shadow RFQ NREUni BOM_12032009_Bolt RFQ_Foxlink_03.1 2011 3 2" xfId="26504"/>
    <cellStyle name="好_費用統計_Jackson 效益分析 (2-1 B0 上系統)_squirrel效益分析08-17" xfId="26505"/>
    <cellStyle name="好_River EE BOM_Creak Pearl Reliability Fixture RFQ_2009 04 24_Foxlink_Shadow RFQ NREUni BOM_12032009_Bolt RFQ_Foxlink_03.1 2011 3 3" xfId="26506"/>
    <cellStyle name="好_River EE BOM_Creak Pearl Reliability Fixture RFQ_2009 04 24_Foxlink_Shadow RFQ NREUni BOM_12032009_Bolt RFQ_Foxlink_03.1 2011 4" xfId="26507"/>
    <cellStyle name="好_River EE BOM_Creak Pearl Reliability Fixture RFQ_2009 04 24_Foxlink_Shadow RFQ NREUni BOM_12032009_Bolt RFQ_Foxlink_03.1 2011_nego meeting@MACH" xfId="26508"/>
    <cellStyle name="好_River EE BOM_Creak Pearl Reliability Fixture RFQ_2009 04 24_Foxlink_Shadow RFQ NREUni BOM_12032009_Bolt RFQ_Foxlink_03.1 2011_nego meeting@MACH 5" xfId="26509"/>
    <cellStyle name="好_River EE BOM_Creak Pearl Reliability Fixture RFQ_2009 04 24_Jackson and Shadow BOM cost_mainfile_2010 0324 rev.1" xfId="26510"/>
    <cellStyle name="好_River EE BOM_Creak Pearl Reliability Fixture RFQ_2009 04 24_Jackson and Shadow BOM cost_mainfile_2010 0324 rev.1_Leopard UniBom_Foxlink_12092010 RevD-jen" xfId="26511"/>
    <cellStyle name="好_River EE BOM_Creak Pearl Reliability Fixture RFQ_2009 04 24_Jackson EE BOM " xfId="26512"/>
    <cellStyle name="好_River EE BOM_Xl0000000_Leopard UniBom_Foxlink_6 21 2010-ME_nego_Bolt RFQ_Foxlink_03.1 2011 2 2" xfId="26513"/>
    <cellStyle name="好_River EE BOM_Xl0000000_Leopard_UniBOM_ME_0602-1_Bolt RFQ Proposal_Foxlink_ (Pricing Summary) 2 25 2011 5 3" xfId="26514"/>
    <cellStyle name="好_River EE BOM_Creak Pearl Reliability Fixture RFQ_2009 04 24_Jackson NRE Uni BOM_update _05072010 rev K" xfId="26515"/>
    <cellStyle name="差_治具工程課2009年KPI_HP 2 4" xfId="26516"/>
    <cellStyle name="好_River EE BOM_Creak Pearl Reliability Fixture RFQ_2009 04 24_Leopard Lemur Squirrel UniBom-06.22.2010_EE cost _update_internal 2 2" xfId="26517"/>
    <cellStyle name="差_治具工程課2009年KPI_HP 2 5" xfId="26518"/>
    <cellStyle name="好_River EE BOM_Creak Pearl Reliability Fixture RFQ_2009 04 24_Leopard Lemur Squirrel UniBom-06.22.2010_EE cost _update_internal 2 3" xfId="26519"/>
    <cellStyle name="好_River EE BOM_Creak Pearl Reliability Fixture RFQ_2009 04 24_Leopard Lemur Squirrel UniBom-06.22.2010_EE cost _update_internal 2 4" xfId="26520"/>
    <cellStyle name="好_River EE BOM_Creak Pearl Reliability Fixture RFQ_2009 04 24_Leopard Lemur Squirrel UniBom-06.22.2010_EE cost _update_internal 3 3" xfId="26521"/>
    <cellStyle name="好_River EE BOM_Creak Pearl Reliability Fixture RFQ_2009 04 24_Leopard Lemur Squirrel UniBom-06.22.2010_EE cost _update_internal_Bolt RFQ Proposal_Foxlink_ (Pricing Summary) 2 25 2011 5 3" xfId="26522"/>
    <cellStyle name="好_River EE BOM_Creak Pearl Reliability Fixture RFQ_2009 04 24_Leopard Lemur Squirrel UniBom-06.22.2010_EE cost _update_internal_Bolt RFQ_Foxlink_03.1 2011 2" xfId="26523"/>
    <cellStyle name="好_River EE BOM_Creak Pearl Reliability Fixture RFQ_2009 04 24_Leopard Lemur Squirrel UniBom-06.22.2010_EE cost _update_internal_Bolt RFQ_Foxlink_03.1 2011 2 2" xfId="26524"/>
    <cellStyle name="好_River EE BOM_Creak Pearl Reliability Fixture RFQ_2009 04 24_Leopard Lemur Squirrel UniBom-06.22.2010_EE cost _update_internal_Bolt RFQ_Foxlink_03.1 2011 2 3" xfId="26525"/>
    <cellStyle name="差_Xl0000002_Leopard RFQ ME BOM Costs-0618_Bolt RFQ_Foxlink_03.1 2011 4" xfId="26526"/>
    <cellStyle name="好_River EE BOM_Creak Pearl Reliability Fixture RFQ_2009 04 24_Leopard Lemur Squirrel UniBom-06.22.2010_EE cost _update_internal_Bolt RFQ_Foxlink_03.1 2011 3 2" xfId="26527"/>
    <cellStyle name="差_Xl0000002_Leopard RFQ ME BOM Costs-0618_Bolt RFQ_Foxlink_03.1 2011 5" xfId="26528"/>
    <cellStyle name="差_F3   SMT設備明細_效益分析_Flow chart and Fixture(1-4)" xfId="26529"/>
    <cellStyle name="好_River EE BOM_Creak Pearl Reliability Fixture RFQ_2009 04 24_Leopard Lemur Squirrel UniBom-06.22.2010_EE cost _update_internal_Bolt RFQ_Foxlink_03.1 2011 3 3" xfId="26530"/>
    <cellStyle name="好_River EE BOM_Creak Pearl Reliability Fixture RFQ_2009 04 24_Leopard Lemur Squirrel UniBom-06.22.2010_EE cost _update_internal_Bolt RFQ_Foxlink_03.1 2011 4" xfId="26531"/>
    <cellStyle name="好_River EE BOM_Creak Pearl Reliability Fixture RFQ_2009 04 24_Leopard Lemur Squirrel UniBom-06.22.2010_EE cost _update_internal_Bolt RFQ_Foxlink_03.1 2011 5" xfId="26532"/>
    <cellStyle name="差_Creak Pearl Reliability Fixture RFQ_2009 04 24_Xl0000002_Leopard Lemur Squirrel UniBom-06.22.2010_EE cost _update_internal_Bolt RFQ_Foxlink_03.1 2011 3" xfId="26533"/>
    <cellStyle name="好_River EE BOM_Creak Pearl Reliability Fixture RFQ_2009 04 24_Leopard Lemur Squirrel UniBom-06.22.2010_EE cost _update_internal_Bolt RFQ_Foxlink_03.1 2011_nego meeting@MACH" xfId="26534"/>
    <cellStyle name="差_Creak Pearl Reliability Fixture RFQ_2009 04 24_Xl0000002_Leopard Lemur Squirrel UniBom-06.22.2010_EE cost _update_internal_Bolt RFQ_Foxlink_03.1 2011 3 2" xfId="26535"/>
    <cellStyle name="差_F3   SMT設備明細_jupite r設備&amp;治工具LIST (總)_pq_~5631336" xfId="26536"/>
    <cellStyle name="好_River EE BOM_Creak Pearl Reliability Fixture RFQ_2009 04 24_Leopard Lemur Squirrel UniBom-06.22.2010_EE cost _update_internal_Bolt RFQ_Foxlink_03.1 2011_nego meeting@MACH 2" xfId="26537"/>
    <cellStyle name="好_River EE BOM_Creak Pearl Reliability Fixture RFQ_2009 04 24_Leopard Lemur Squirrel UniBom-06.22.2010_EE cost _update_internal_Bolt RFQ_Foxlink_03.1 2011_nego meeting@MACH 2 3" xfId="26538"/>
    <cellStyle name="差_Creak Pearl Reliability Fixture RFQ_2009 04 24_Xl0000002_Leopard Lemur Squirrel UniBom-06.22.2010_EE cost _update_internal_Bolt RFQ_Foxlink_03.1 2011 3 3" xfId="26539"/>
    <cellStyle name="好_River EE BOM_Creak Pearl Reliability Fixture RFQ_2009 04 24_Leopard Lemur Squirrel UniBom-06.22.2010_EE cost _update_internal_Bolt RFQ_Foxlink_03.1 2011_nego meeting@MACH 3" xfId="26540"/>
    <cellStyle name="好_River EE BOM_Creak Pearl Reliability Fixture RFQ_2009 04 24_Leopard Lemur Squirrel UniBom-06.22.2010_EE cost _update_internal_Bolt RFQ_Foxlink_03.1 2011_nego meeting@MACH 3 2" xfId="26541"/>
    <cellStyle name="好_River EE BOM_Creak Pearl Reliability Fixture RFQ_2009 04 24_Leopard Lemur Squirrel UniBom-06.22.2010_EE cost _update_internal_Bolt RFQ_Foxlink_03.1 2011_nego meeting@MACH 4" xfId="26542"/>
    <cellStyle name="好_River EE BOM_Creak Pearl Reliability Fixture RFQ_2009 04 24_Leopard RFQ ME BOM Costs-0618" xfId="26543"/>
    <cellStyle name="好_River EE BOM_Creak Pearl Reliability Fixture RFQ_2009 04 24_Leopard RFQ ME BOM Costs-0623" xfId="26544"/>
    <cellStyle name="差_Xl0000000_Foxlink_Shadow RFQ NREUni BOM_12032009_Bolt RFQ_Foxlink_03.1 2011_nego meeting@MACH" xfId="26545"/>
    <cellStyle name="好_River EE BOM_Creak Pearl Reliability Fixture RFQ_2009 04 24_Leopard RFQ ME BOM Costs-0618 2" xfId="26546"/>
    <cellStyle name="差_Xl0000000_Foxlink_Shadow RFQ NREUni BOM_12032009_Bolt RFQ_Foxlink_03.1 2011_nego meeting@MACH 2" xfId="26547"/>
    <cellStyle name="差_Creek RFQ feedback 04_28_2009_FD Update_Squirrel RFQ ME BOM Costs-0623_Bolt RFQ_Foxlink_03.1 2011 5" xfId="26548"/>
    <cellStyle name="好_River EE BOM_Creak Pearl Reliability Fixture RFQ_2009 04 24_Leopard RFQ ME BOM Costs-0618 2 2" xfId="26549"/>
    <cellStyle name="差_Xl0000000_Foxlink_Shadow RFQ NREUni BOM_12032009_Bolt RFQ_Foxlink_03.1 2011_nego meeting@MACH 2 2" xfId="26550"/>
    <cellStyle name="好_River EE BOM_Creak Pearl Reliability Fixture RFQ_2009 04 24_Leopard RFQ ME BOM Costs-0618 2 3" xfId="26551"/>
    <cellStyle name="差_Xl0000000_Foxlink_Shadow RFQ NREUni BOM_12032009_Bolt RFQ_Foxlink_03.1 2011_nego meeting@MACH 2 3" xfId="26552"/>
    <cellStyle name="好_River EE BOM_Creak Pearl Reliability Fixture RFQ_2009 04 24_Leopard RFQ ME BOM Costs-0618 2 4" xfId="26553"/>
    <cellStyle name="好_River EE BOM_Creak Pearl Reliability Fixture RFQ_2009 04 24_Leopard RFQ ME BOM Costs-0618 3" xfId="26554"/>
    <cellStyle name="差_Xl0000000_Foxlink_Shadow RFQ NREUni BOM_12032009_Bolt RFQ_Foxlink_03.1 2011_nego meeting@MACH 3" xfId="26555"/>
    <cellStyle name="好_River EE BOM_Creak Pearl Reliability Fixture RFQ_2009 04 24_Leopard RFQ ME BOM Costs-0618 3 2" xfId="26556"/>
    <cellStyle name="差_Xl0000000_Foxlink_Shadow RFQ NREUni BOM_12032009_Bolt RFQ_Foxlink_03.1 2011_nego meeting@MACH 3 2" xfId="26557"/>
    <cellStyle name="好_River EE BOM_Creek RFQ feedback 04_28_2009_FD Update_Squirrel UniBom-06.23.2010_update_internal_Bolt RFQ_Foxlink_03.1 2011" xfId="26558"/>
    <cellStyle name="好_River EE BOM_Creak Pearl Reliability Fixture RFQ_2009 04 24_Leopard RFQ ME BOM Costs-0618_Bolt RFQ Proposal_Foxlink_ (Pricing Summary) 2 25 2011 2 2 2" xfId="26559"/>
    <cellStyle name="差_Xl0000000_Leopard RFQ ME BOM Costs-0618_Bolt RFQ Proposal_Foxlink_ (Pricing Summary) 2 25 2011 2 2" xfId="26560"/>
    <cellStyle name="好_River EE BOM_Creak Pearl Reliability Fixture RFQ_2009 04 24_Leopard RFQ ME BOM Costs-0618_Bolt RFQ Proposal_Foxlink_ (Pricing Summary) 2 25 2011 2 2 3" xfId="26561"/>
    <cellStyle name="好_River EE BOM_Creak Pearl Reliability Fixture RFQ_2009 04 24_Pearl RFQ(Submittal)ver2_05_12_2009 _Leopard_UniBOM_ME_0602-1_Bolt RFQ_Foxlink_03.1 2011_nego meeting@MACH" xfId="26562"/>
    <cellStyle name="差_Xl0000000_Leopard RFQ ME BOM Costs-0618_Bolt RFQ Proposal_Foxlink_ (Pricing Summary) 2 25 2011 2 3" xfId="26563"/>
    <cellStyle name="好_River EE BOM_Creak Pearl Reliability Fixture RFQ_2009 04 24_Leopard RFQ ME BOM Costs-0618_Bolt RFQ Proposal_Foxlink_ (Pricing Summary) 2 25 2011 2 3" xfId="26564"/>
    <cellStyle name="差_Xl0000000_Leopard RFQ ME BOM Costs-0618_Bolt RFQ Proposal_Foxlink_ (Pricing Summary) 2 25 2011 3" xfId="26565"/>
    <cellStyle name="好_River EE BOM_Creak Pearl Reliability Fixture RFQ_2009 04 24_Leopard RFQ ME BOM Costs-0618_Bolt RFQ Proposal_Foxlink_ (Pricing Summary) 2 25 2011 2 4" xfId="26566"/>
    <cellStyle name="差_Xl0000000_Leopard RFQ ME BOM Costs-0618_Bolt RFQ Proposal_Foxlink_ (Pricing Summary) 2 25 2011 4" xfId="26567"/>
    <cellStyle name="好_River EE BOM_Creak Pearl Reliability Fixture RFQ_2009 04 24_Leopard RFQ ME BOM Costs-0618_Bolt RFQ Proposal_Foxlink_ (Pricing Summary) 2 25 2011 3 2" xfId="26568"/>
    <cellStyle name="好_River EE BOM_Creak Pearl Reliability Fixture RFQ_2009 04 24_Leopard RFQ ME BOM Costs-0618_Bolt RFQ_Foxlink_03.1 2011 2" xfId="26569"/>
    <cellStyle name="好_River EE BOM_Creak Pearl Reliability Fixture RFQ_2009 04 24_Leopard RFQ ME BOM Costs-0618_Bolt RFQ_Foxlink_03.1 2011 2 3" xfId="26570"/>
    <cellStyle name="差_Xl0000002_Squirrel UniBom-06.23.2010_update_internal_Bolt RFQ_Foxlink_03.1 2011_nego meeting@MACH 3 2" xfId="26571"/>
    <cellStyle name="好_River EE BOM_Creak Pearl Reliability Fixture RFQ_2009 04 24_Pearl RFQ(Submittal)ver2_05_12_2009 _Leopard_UniBOM_ME_0602-1 2 4" xfId="26572"/>
    <cellStyle name="好_River EE BOM_Creak Pearl Reliability Fixture RFQ_2009 04 24_Leopard RFQ ME BOM Costs-0618_Bolt RFQ_Foxlink_03.1 2011 3" xfId="26573"/>
    <cellStyle name="好_River EE BOM_Creak Pearl Reliability Fixture RFQ_2009 04 24_Leopard RFQ ME BOM Costs-0618_Bolt RFQ_Foxlink_03.1 2011 4" xfId="26574"/>
    <cellStyle name="好_River EE BOM_Creak Pearl Reliability Fixture RFQ_2009 04 24_Leopard RFQ ME BOM Costs-0618_Bolt RFQ_Foxlink_03.1 2011 5" xfId="26575"/>
    <cellStyle name="好_River EE BOM_Creak Pearl Reliability Fixture RFQ_2009 04 24_Leopard RFQ ME BOM Costs-0618_Bolt RFQ_Foxlink_03.1 2011_nego meeting@MACH" xfId="26576"/>
    <cellStyle name="好_River EE BOM_Creak Pearl Reliability Fixture RFQ_2009 04 24_Leopard RFQ ME BOM Costs-0618_Bolt RFQ_Foxlink_03.1 2011_nego meeting@MACH 2" xfId="26577"/>
    <cellStyle name="好_River EE BOM_Creak Pearl Reliability Fixture RFQ_2009 04 24_Leopard RFQ ME BOM Costs-0618_Bolt RFQ_Foxlink_03.1 2011_nego meeting@MACH 3" xfId="26578"/>
    <cellStyle name="好_River EE BOM_Creak Pearl Reliability Fixture RFQ_2009 04 24_Leopard RFQ ME BOM Costs-0618_Bolt RFQ_Foxlink_03.1 2011_nego meeting@MACH 3 2" xfId="26579"/>
    <cellStyle name="好_River EE BOM_Creak Pearl Reliability Fixture RFQ_2009 04 24_Leopard RFQ ME BOM Costs-0618_Bolt RFQ_Foxlink_03.1 2011_nego meeting@MACH 4" xfId="26580"/>
    <cellStyle name="好_River EE BOM_Creak Pearl Reliability Fixture RFQ_2009 04 24_Leopard RFQ ME BOM Costs-0618_Bolt RFQ_Foxlink_03.1 2011_nego meeting@MACH 5" xfId="26581"/>
    <cellStyle name="好_River EE BOM_Creak Pearl Reliability Fixture RFQ_2009 04 24_Leopard RFQ ME BOM Costs-0618-2" xfId="26582"/>
    <cellStyle name="好_River EE BOM_Creak Pearl Reliability Fixture RFQ_2009 04 24_Leopard RFQ ME BOM Costs-0618-2 2" xfId="26583"/>
    <cellStyle name="差_Creak Pearl Reliability Fixture RFQ_2009 04 24_Leopard UniBom_Foxlink_6 21 2010-ME_nego_Bolt RFQ Proposal_Foxlink_ (Pricing Summary) 2 25 2011 6" xfId="26584"/>
    <cellStyle name="好_River EE BOM_Creak Pearl Reliability Fixture RFQ_2009 04 24_Leopard RFQ ME BOM Costs-0618-2 2 2" xfId="26585"/>
    <cellStyle name="差_Creak Pearl Reliability Fixture RFQ_2009 04 24_Leopard UniBom_Foxlink_6 21 2010-ME_nego_Bolt RFQ Proposal_Foxlink_ (Pricing Summary) 2 25 2011 7" xfId="26586"/>
    <cellStyle name="好_River EE BOM_Creak Pearl Reliability Fixture RFQ_2009 04 24_Leopard RFQ ME BOM Costs-0618-2 2 3" xfId="26587"/>
    <cellStyle name="好_River EE BOM_Creak Pearl Reliability Fixture RFQ_2009 04 24_Leopard RFQ ME BOM Costs-0618-2 3" xfId="26588"/>
    <cellStyle name="好_River EE BOM_Creak Pearl Reliability Fixture RFQ_2009 04 24_Leopard RFQ ME BOM Costs-0618-2 3 2" xfId="26589"/>
    <cellStyle name="好_River EE BOM_Creek RFQ feedback 04_28_2009_FD Update_Jackson NRE Uni BOM_update _05072010 rev K" xfId="26590"/>
    <cellStyle name="好_River EE BOM_Creak Pearl Reliability Fixture RFQ_2009 04 24_Leopard RFQ ME BOM Costs-0618-2_Bolt RFQ Proposal_Foxlink_ (Pricing Summary) 2 25 2011 2" xfId="26591"/>
    <cellStyle name="好_River EE BOM_Creak Pearl Reliability Fixture RFQ_2009 04 24_Leopard RFQ ME BOM Costs-0618-2_Bolt RFQ Proposal_Foxlink_ (Pricing Summary) 2 25 2011 2 2" xfId="26592"/>
    <cellStyle name="好_River EE BOM_Creak Pearl Reliability Fixture RFQ_2009 04 24_Leopard RFQ ME BOM Costs-0618-2_Bolt RFQ Proposal_Foxlink_ (Pricing Summary) 2 25 2011 2 2 3" xfId="26593"/>
    <cellStyle name="好_River EE BOM_Creak Pearl Reliability Fixture RFQ_2009 04 24_Leopard RFQ ME BOM Costs-0618-2_Bolt RFQ Proposal_Foxlink_ (Pricing Summary) 2 25 2011 2 3" xfId="26594"/>
    <cellStyle name="好_River EE BOM_Creak Pearl Reliability Fixture RFQ_2009 04 24_Leopard RFQ ME BOM Costs-0618-2_Bolt RFQ Proposal_Foxlink_ (Pricing Summary) 2 25 2011 3" xfId="26595"/>
    <cellStyle name="差_Erie Trial run  QA Report-1105_Dolce   QA Report 2010_0902 (A3)_Dolce   QA Report 2010_0902" xfId="26596"/>
    <cellStyle name="好_River EE BOM_Creak Pearl Reliability Fixture RFQ_2009 04 24_Leopard RFQ ME BOM Costs-0618-2_Bolt RFQ Proposal_Foxlink_ (Pricing Summary) 2 25 2011 3 2" xfId="26597"/>
    <cellStyle name="好_River EE BOM_Creak Pearl Reliability Fixture RFQ_2009 04 24_Leopard RFQ ME BOM Costs-0618-2_Bolt RFQ Proposal_Foxlink_ (Pricing Summary) 2 25 2011 4" xfId="26598"/>
    <cellStyle name="好_River EE BOM_Creak Pearl Reliability Fixture RFQ_2009 04 24_Leopard RFQ ME BOM Costs-0618-2_Bolt RFQ Proposal_Foxlink_ (Pricing Summary) 2 25 2011 4 2" xfId="26599"/>
    <cellStyle name="好_River EE BOM_Creak Pearl Reliability Fixture RFQ_2009 04 24_Leopard RFQ ME BOM Costs-0618-2_Bolt RFQ Proposal_Foxlink_ (Pricing Summary) 2 25 2011 5" xfId="26600"/>
    <cellStyle name="好_River EE BOM_Creak Pearl Reliability Fixture RFQ_2009 04 24_Leopard RFQ ME BOM Costs-0618-2_Bolt RFQ Proposal_Foxlink_ (Pricing Summary) 2 25 2011 5 3" xfId="26601"/>
    <cellStyle name="好_River EE BOM_Creak Pearl Reliability Fixture RFQ_2009 04 24_Leopard RFQ ME BOM Costs-0618-2_Bolt RFQ Proposal_Foxlink_ (Pricing Summary) 2 25 2011 6" xfId="26602"/>
    <cellStyle name="好_River EE BOM_Creak Pearl Reliability Fixture RFQ_2009 04 24_Pearl RFQ(Submittal)ver2_05_12_2009 _Leopard_UniBOM_ME_0602_Bolt RFQ Proposal_Foxlink_ (Pricing Summary) 2 25 2011 4" xfId="26603"/>
    <cellStyle name="好_River EE BOM_Creak Pearl Reliability Fixture RFQ_2009 04 24_Leopard RFQ ME BOM Costs-0618-2_Bolt RFQ_Foxlink_03.1 2011" xfId="26604"/>
    <cellStyle name="差_F3   SMT設備明細_jupite r設備&amp;治工具LIST (總)_flow chart 2009.12.12_效益分析(總 12-28 Update)_Jackson 效益分析 (2-1 B0 上系統)" xfId="26605"/>
    <cellStyle name="好_River EE BOM_Xl0000002_Leopard RFQ ME BOM Costs-0618 3 3" xfId="26606"/>
    <cellStyle name="好_River EE BOM_Creak Pearl Reliability Fixture RFQ_2009 04 24_Leopard RFQ ME BOM Costs-0618-2_Bolt RFQ_Foxlink_03.1 2011 2 3" xfId="26607"/>
    <cellStyle name="好_River EE BOM_Creak Pearl Reliability Fixture RFQ_2009 04 24_Leopard RFQ ME BOM Costs-0618-2_Bolt RFQ_Foxlink_03.1 2011 3 3" xfId="26608"/>
    <cellStyle name="好_River EE BOM_Creak Pearl Reliability Fixture RFQ_2009 04 24_Leopard RFQ ME BOM Costs-0618-2_Bolt RFQ_Foxlink_03.1 2011 5" xfId="26609"/>
    <cellStyle name="好_River EE BOM_Creak Pearl Reliability Fixture RFQ_2009 04 24_Leopard RFQ ME BOM Costs-0618-2_Bolt RFQ_Foxlink_03.1 2011_nego meeting@MACH 2" xfId="26610"/>
    <cellStyle name="好_River EE BOM_Creak Pearl Reliability Fixture RFQ_2009 04 24_Leopard RFQ ME BOM Costs-0618-2_Bolt RFQ_Foxlink_03.1 2011_nego meeting@MACH 3" xfId="26611"/>
    <cellStyle name="好_River EE BOM_Creak Pearl Reliability Fixture RFQ_2009 04 24_Leopard RFQ ME BOM Costs-0618-2_Bolt RFQ_Foxlink_03.1 2011_nego meeting@MACH 3 3" xfId="26612"/>
    <cellStyle name="好_River EE BOM_Creak Pearl Reliability Fixture RFQ_2009 04 24_Leopard RFQ ME BOM Costs-0618-2_Bolt RFQ_Foxlink_03.1 2011_nego meeting@MACH 4" xfId="26613"/>
    <cellStyle name="好_River EE BOM_Creak Pearl Reliability Fixture RFQ_2009 04 24_Leopard RFQ ME BOM Costs-0618-2_Bolt RFQ_Foxlink_03.1 2011_nego meeting@MACH 5" xfId="26614"/>
    <cellStyle name="好_River EE BOM_Creak Pearl Reliability Fixture RFQ_2009 04 24_Leopard UniBom_Foxlink_12092010 RevD-jen" xfId="26615"/>
    <cellStyle name="好_River EE BOM_Creak Pearl Reliability Fixture RFQ_2009 04 24_Leopard UniBom_Foxlink_6 21 2010-ME_nego" xfId="26616"/>
    <cellStyle name="好_River EE BOM_Creak Pearl Reliability Fixture RFQ_2009 04 24_Leopard UniBom_Foxlink_6 21 2010-ME_nego 2" xfId="26617"/>
    <cellStyle name="差_HP Mouse 產能評估(Forecast更改後)_MS Bolt wireless mouse FixtureEquipment Cost_A5_2010_02_21_Bolt RFQ Proposal_Foxlink_ (Pricing Summary) 2 25 2011 2 3" xfId="26618"/>
    <cellStyle name="好_River EE BOM_Creak Pearl Reliability Fixture RFQ_2009 04 24_Leopard UniBom_Foxlink_6 21 2010-ME_nego 2 2" xfId="26619"/>
    <cellStyle name="好_River EE BOM_Creak Pearl Reliability Fixture RFQ_2009 04 24_Leopard UniBom_Foxlink_6 21 2010-ME_nego 2 2 3" xfId="26620"/>
    <cellStyle name="差_HP Mouse 產能評估(Forecast更改後)_MS Bolt wireless mouse FixtureEquipment Cost_A5_2010_02_21_Bolt RFQ Proposal_Foxlink_ (Pricing Summary) 2 25 2011 2 4" xfId="26621"/>
    <cellStyle name="好_River EE BOM_Creak Pearl Reliability Fixture RFQ_2009 04 24_Leopard UniBom_Foxlink_6 21 2010-ME_nego 2 3" xfId="26622"/>
    <cellStyle name="好_River EE BOM_Creak Pearl Reliability Fixture RFQ_2009 04 24_Leopard UniBom_Foxlink_6 21 2010-ME_nego 2 4" xfId="26623"/>
    <cellStyle name="差_效益分析&amp;產能評估_M1 Bolt wireless mouse FixtureEquipment Cost_A2_2010_12_07_Bolt RFQ Proposal_Foxlink_ (Pricing Summary) 2 25 2011" xfId="26624"/>
    <cellStyle name="差_Creek RFQ feedback 04_28_2009_FD Update_Leopard Lemur Squirrel UniBom-06.22.2010_EE cost _update_internal_Bolt RFQ_Foxlink_03.1 2011 2 2" xfId="26625"/>
    <cellStyle name="好_River EE BOM_Creak Pearl Reliability Fixture RFQ_2009 04 24_Leopard UniBom_Foxlink_6 21 2010-ME_nego 3" xfId="26626"/>
    <cellStyle name="差_效益分析&amp;產能評估_M1 Bolt wireless mouse FixtureEquipment Cost_A2_2010_12_07_Bolt RFQ Proposal_Foxlink_ (Pricing Summary) 2 25 2011 2" xfId="26627"/>
    <cellStyle name="差_HP Mouse 產能評估(Forecast更改後)_MS Bolt wireless mouse FixtureEquipment Cost_A5_2010_02_21_Bolt RFQ Proposal_Foxlink_ (Pricing Summary) 2 25 2011 3 3" xfId="26628"/>
    <cellStyle name="好_River EE BOM_Creak Pearl Reliability Fixture RFQ_2009 04 24_Leopard UniBom_Foxlink_6 21 2010-ME_nego 3 2" xfId="26629"/>
    <cellStyle name="好_River EE BOM_Creak Pearl Reliability Fixture RFQ_2009 04 24_Leopard UniBom_Foxlink_6 21 2010-ME_nego_Bolt RFQ Proposal_Foxlink_ (Pricing Summary) 2 25 2011" xfId="26630"/>
    <cellStyle name="好_River EE BOM_Creak Pearl Reliability Fixture RFQ_2009 04 24_Leopard UniBom_Foxlink_6 21 2010-ME_nego_Bolt RFQ Proposal_Foxlink_ (Pricing Summary) 2 25 2011 2" xfId="26631"/>
    <cellStyle name="差_HP Mouse 產能評估(上系統)_Erie 效益分析 (Update)_Flow Chart&amp;設備治工具清單 _~1159284" xfId="26632"/>
    <cellStyle name="好_River EE BOM_Creak Pearl Reliability Fixture RFQ_2009 04 24_Leopard UniBom_Foxlink_6 21 2010-ME_nego_Bolt RFQ Proposal_Foxlink_ (Pricing Summary) 2 25 2011 2 2 2" xfId="26633"/>
    <cellStyle name="好_River EE BOM_Creak Pearl Reliability Fixture RFQ_2009 04 24_Leopard UniBom_Foxlink_6 21 2010-ME_nego_Bolt RFQ Proposal_Foxlink_ (Pricing Summary) 2 25 2011 2 2 3" xfId="26634"/>
    <cellStyle name="好_River EE BOM_Creak Pearl Reliability Fixture RFQ_2009 04 24_Leopard UniBom_Foxlink_6 21 2010-ME_nego_Bolt RFQ Proposal_Foxlink_ (Pricing Summary) 2 25 2011 2 3" xfId="26635"/>
    <cellStyle name="好_River EE BOM_Creak Pearl Reliability Fixture RFQ_2009 04 24_Leopard UniBom_Foxlink_6 21 2010-ME_nego_Bolt RFQ Proposal_Foxlink_ (Pricing Summary) 2 25 2011 2 4" xfId="26636"/>
    <cellStyle name="差_F3   SMT設備明細_效益分析(總 12-28 Update)" xfId="26637"/>
    <cellStyle name="好_River EE BOM_Creak Pearl Reliability Fixture RFQ_2009 04 24_Leopard UniBom_Foxlink_6 21 2010-ME_nego_Bolt RFQ Proposal_Foxlink_ (Pricing Summary) 2 25 2011 3" xfId="26638"/>
    <cellStyle name="好_River EE BOM_Creak Pearl Reliability Fixture RFQ_2009 04 24_Leopard UniBom_Foxlink_6 21 2010-ME_nego_Bolt RFQ Proposal_Foxlink_ (Pricing Summary) 2 25 2011 3 2" xfId="26639"/>
    <cellStyle name="好_River EE BOM_Creak Pearl Reliability Fixture RFQ_2009 04 24_Leopard UniBom_Foxlink_6 21 2010-ME_nego_Bolt RFQ Proposal_Foxlink_ (Pricing Summary) 2 25 2011 4" xfId="26640"/>
    <cellStyle name="好_River EE BOM_Creak Pearl Reliability Fixture RFQ_2009 04 24_Leopard UniBom_Foxlink_6 21 2010-ME_nego_Bolt RFQ Proposal_Foxlink_ (Pricing Summary) 2 25 2011 4 2" xfId="26641"/>
    <cellStyle name="好_River EE BOM_Creak Pearl Reliability Fixture RFQ_2009 04 24_Leopard UniBom_Foxlink_6 21 2010-ME_nego_Bolt RFQ Proposal_Foxlink_ (Pricing Summary) 2 25 2011 5 2" xfId="26642"/>
    <cellStyle name="好_River EE BOM_Creak Pearl Reliability Fixture RFQ_2009 04 24_Leopard UniBom_Foxlink_6 21 2010-ME_nego_Bolt RFQ_Foxlink_03.1 2011" xfId="26643"/>
    <cellStyle name="好_River EE BOM_Creak Pearl Reliability Fixture RFQ_2009 04 24_Leopard UniBom_Foxlink_6 21 2010-ME_nego_Bolt RFQ_Foxlink_03.1 2011 2" xfId="26644"/>
    <cellStyle name="好_River EE BOM_Creak Pearl Reliability Fixture RFQ_2009 04 24_Leopard UniBom_Foxlink_6 21 2010-ME_nego_Bolt RFQ_Foxlink_03.1 2011 3" xfId="26645"/>
    <cellStyle name="好_River EE BOM_Creak Pearl Reliability Fixture RFQ_2009 04 24_Leopard UniBom_Foxlink_6 21 2010-ME_nego_Bolt RFQ_Foxlink_03.1 2011 3 2" xfId="26646"/>
    <cellStyle name="好_River EE BOM_Creak Pearl Reliability Fixture RFQ_2009 04 24_Leopard UniBom_Foxlink_6 21 2010-ME_nego_Bolt RFQ_Foxlink_03.1 2011 3 3" xfId="26647"/>
    <cellStyle name="差_Jackson and Shadow test cost update _7th Feb 2010 (2)_Bristol MP quote update_08182011_MS" xfId="26648"/>
    <cellStyle name="好_River EE BOM_Creak Pearl Reliability Fixture RFQ_2009 04 24_Leopard UniBom_Foxlink_6 21 2010-ME_nego_Bolt RFQ_Foxlink_03.1 2011 4" xfId="26649"/>
    <cellStyle name="差_Creak Pearl Reliability Fixture RFQ_2009 04 24_Squirrel UniBom-06.23.2010_update_internal_Bolt RFQ_Foxlink_03.1 2011_nego meeting@MACH 2 2" xfId="26650"/>
    <cellStyle name="好_River EE BOM_Creak Pearl Reliability Fixture RFQ_2009 04 24_Leopard UniBom_Foxlink_6 21 2010-ME_nego_Bolt RFQ_Foxlink_03.1 2011 5" xfId="26651"/>
    <cellStyle name="好_River EE BOM_Creak Pearl Reliability Fixture RFQ_2009 04 24_Leopard UniBom_true cost_6.23.2010" xfId="26652"/>
    <cellStyle name="好_River EE BOM_Xl0000002_Squirrel UniBom-06.23.2010_update_internal_Bolt RFQ Proposal_Foxlink_ (Pricing Summary) 2 25 2011 7" xfId="26653"/>
    <cellStyle name="好_River EE BOM_Creak Pearl Reliability Fixture RFQ_2009 04 24_Squirrel UniBom-06.23.2010_update_internal_Bolt RFQ Proposal_Foxlink_ (Pricing Summary) 2 25 2011 2 3" xfId="26654"/>
    <cellStyle name="好_River EE BOM_Creak Pearl Reliability Fixture RFQ_2009 04 24_Leopard UniBom-06 22 2010_update_internal" xfId="26655"/>
    <cellStyle name="好_River EE BOM_Creak Pearl Reliability Fixture RFQ_2009 04 24_Leopard_UniBOM_ME_0531 2 2 2" xfId="26656"/>
    <cellStyle name="好_River EE BOM_Creak Pearl Reliability Fixture RFQ_2009 04 24_Leopard_UniBOM_ME_0531 2 2 3" xfId="26657"/>
    <cellStyle name="差_HP Mouse 產能評估(Forecast更改後)_MS Bolt wireless mouse FixtureEquipment Cost_A5_2010_02_21_Bolt RFQ Proposal_Foxlink_ (Pricing Summary) 2 25 2011 4 2" xfId="26658"/>
    <cellStyle name="好_River EE BOM_Creak Pearl Reliability Fixture RFQ_2009 04 24_Leopard_UniBOM_ME_0531 2 3" xfId="26659"/>
    <cellStyle name="差_HP Mouse 產能評估(Forecast更改後)_MS Bolt wireless mouse FixtureEquipment Cost_A5_2010_02_21_Bolt RFQ Proposal_Foxlink_ (Pricing Summary) 2 25 2011 4 3" xfId="26660"/>
    <cellStyle name="好_River EE BOM_Creak Pearl Reliability Fixture RFQ_2009 04 24_Leopard_UniBOM_ME_0531 2 4" xfId="26661"/>
    <cellStyle name="好_River EE BOM_Creak Pearl Reliability Fixture RFQ_2009 04 24_Leopard_UniBOM_ME_0531 3 2" xfId="26662"/>
    <cellStyle name="好_River EE BOM_Creak Pearl Reliability Fixture RFQ_2009 04 24_Leopard_UniBOM_ME_0531_Bolt RFQ Proposal_Foxlink_ (Pricing Summary) 2 25 2011" xfId="26663"/>
    <cellStyle name="好_River EE BOM_Creak Pearl Reliability Fixture RFQ_2009 04 24_Leopard_UniBOM_ME_0531_Bolt RFQ Proposal_Foxlink_ (Pricing Summary) 2 25 2011 2 2" xfId="26664"/>
    <cellStyle name="好_River EE BOM_Xl0000000_Leopard_UniBOM_ME_0603-2_Bolt RFQ Proposal_Foxlink_ (Pricing Summary) 2 25 2011 4 3" xfId="26665"/>
    <cellStyle name="好_River EE BOM_Creak Pearl Reliability Fixture RFQ_2009 04 24_Leopard_UniBOM_ME_0531_Bolt RFQ Proposal_Foxlink_ (Pricing Summary) 2 25 2011 2 2 2" xfId="26666"/>
    <cellStyle name="好_River EE BOM_Creak Pearl Reliability Fixture RFQ_2009 04 24_Leopard_UniBOM_ME_0531_Bolt RFQ Proposal_Foxlink_ (Pricing Summary) 2 25 2011 2 3" xfId="26667"/>
    <cellStyle name="好_River EE BOM_Creak Pearl Reliability Fixture RFQ_2009 04 24_Leopard_UniBOM_ME_0531_Bolt RFQ Proposal_Foxlink_ (Pricing Summary) 2 25 2011 2 4" xfId="26668"/>
    <cellStyle name="好_River EE BOM_Creak Pearl Reliability Fixture RFQ_2009 04 24_Leopard_UniBOM_ME_0531_Bolt RFQ Proposal_Foxlink_ (Pricing Summary) 2 25 2011 3 2" xfId="26669"/>
    <cellStyle name="好_River EE BOM_Creak Pearl Reliability Fixture RFQ_2009 04 24_Leopard_UniBOM_ME_0531_Bolt RFQ Proposal_Foxlink_ (Pricing Summary) 2 25 2011 3 3" xfId="26670"/>
    <cellStyle name="好_River EE BOM_Creak Pearl Reliability Fixture RFQ_2009 04 24_Leopard_UniBOM_ME_0531_Bolt RFQ Proposal_Foxlink_ (Pricing Summary) 2 25 2011 4" xfId="26671"/>
    <cellStyle name="差_Xl0000000_Leopard UniBom_Foxlink_6 21 2010-ME_nego_Bolt RFQ Proposal_Foxlink_ (Pricing Summary) 2 25 2011 4" xfId="26672"/>
    <cellStyle name="好_River EE BOM_Creak Pearl Reliability Fixture RFQ_2009 04 24_Leopard_UniBOM_ME_0531_Bolt RFQ Proposal_Foxlink_ (Pricing Summary) 2 25 2011 4 2" xfId="26673"/>
    <cellStyle name="差_Xl0000000_Leopard UniBom_Foxlink_6 21 2010-ME_nego_Bolt RFQ Proposal_Foxlink_ (Pricing Summary) 2 25 2011 5" xfId="26674"/>
    <cellStyle name="差_F3   SMT設備明細_jupite r設備&amp;治工具LIST (總)_效益分析 (12-9 A1)_Jackson 效益分析 (2-1 B0 上系統)_Leopard效益分析08-17" xfId="26675"/>
    <cellStyle name="好_River EE BOM_Creak Pearl Reliability Fixture RFQ_2009 04 24_Leopard_UniBOM_ME_0531_Bolt RFQ Proposal_Foxlink_ (Pricing Summary) 2 25 2011 4 3" xfId="26676"/>
    <cellStyle name="好_River EE BOM_Creak Pearl Reliability Fixture RFQ_2009 04 24_Leopard_UniBOM_ME_0531_Bolt RFQ Proposal_Foxlink_ (Pricing Summary) 2 25 2011 7" xfId="26677"/>
    <cellStyle name="好_River EE BOM_Creak Pearl Reliability Fixture RFQ_2009 04 24_Pearl RFQ(Submittal)ver2_05_12_2009 _Squirrel RFQ ME BOM Costs-0623_Bolt RFQ Proposal_Foxlink_ (Pricing Summary) 2 25 2011 5 3" xfId="26678"/>
    <cellStyle name="差_Creek RFQ feedback 04_28_2009_FD Update_Leopard Lemur Squirrel UniBom-06.22.2010_EE cost _update_internal_Bolt RFQ Proposal_Foxlink_ (Pricing Summary) 2 25 2011 5" xfId="26679"/>
    <cellStyle name="好_River EE BOM_Creak Pearl Reliability Fixture RFQ_2009 04 24_Leopard_UniBOM_ME_0531_Bolt RFQ_Foxlink_03.1 2011 2" xfId="26680"/>
    <cellStyle name="差_Creek RFQ feedback 04_28_2009_FD Update_Leopard Lemur Squirrel UniBom-06.22.2010_EE cost _update_internal_Bolt RFQ Proposal_Foxlink_ (Pricing Summary) 2 25 2011 5 2" xfId="26681"/>
    <cellStyle name="好_River EE BOM_Creak Pearl Reliability Fixture RFQ_2009 04 24_Leopard_UniBOM_ME_0531_Bolt RFQ_Foxlink_03.1 2011 2 2" xfId="26682"/>
    <cellStyle name="差_Creek RFQ feedback 04_28_2009_FD Update_Leopard Lemur Squirrel UniBom-06.22.2010_EE cost _update_internal_Bolt RFQ Proposal_Foxlink_ (Pricing Summary) 2 25 2011 5 3" xfId="26683"/>
    <cellStyle name="好_River EE BOM_Creak Pearl Reliability Fixture RFQ_2009 04 24_Leopard_UniBOM_ME_0531_Bolt RFQ_Foxlink_03.1 2011 2 3" xfId="26684"/>
    <cellStyle name="差_Creek RFQ feedback 04_28_2009_FD Update_Leopard_UniBOM_ME_0602-1 3" xfId="26685"/>
    <cellStyle name="好_River EE BOM_Creak Pearl Reliability Fixture RFQ_2009 04 24_Leopard_UniBOM_ME_0531_Bolt RFQ_Foxlink_03.1 2011 3 2" xfId="26686"/>
    <cellStyle name="好_River EE BOM_Creak Pearl Reliability Fixture RFQ_2009 04 24_Leopard_UniBOM_ME_0531_Bolt RFQ_Foxlink_03.1 2011 3 3" xfId="26687"/>
    <cellStyle name="差_Creek RFQ feedback 04_28_2009_FD Update_Leopard Lemur Squirrel UniBom-06.22.2010_EE cost _update_internal_Bolt RFQ Proposal_Foxlink_ (Pricing Summary) 2 25 2011 7" xfId="26688"/>
    <cellStyle name="差_Creak Pearl Reliability Fixture RFQ_2009 04 24_Leopard Lemur Squirrel UniBom-06.22.2010_EE cost _update_internal" xfId="26689"/>
    <cellStyle name="好_River EE BOM_Creak Pearl Reliability Fixture RFQ_2009 04 24_Leopard_UniBOM_ME_0531_Bolt RFQ_Foxlink_03.1 2011 4" xfId="26690"/>
    <cellStyle name="好_River EE BOM_Creak Pearl Reliability Fixture RFQ_2009 04 24_Leopard_UniBOM_ME_0531_Bolt RFQ_Foxlink_03.1 2011 5" xfId="26691"/>
    <cellStyle name="好_River EE BOM_Creak Pearl Reliability Fixture RFQ_2009 04 24_Leopard_UniBOM_ME_0531_Bolt RFQ_Foxlink_03.1 2011_nego meeting@MACH" xfId="26692"/>
    <cellStyle name="差_Creak Pearl Reliability Fixture RFQ_2009 04 24_Xl0000002_Bolt RFQ_Foxlink_03.1 2011_nego meeting@MACH 3" xfId="26693"/>
    <cellStyle name="好_River EE BOM_Creak Pearl Reliability Fixture RFQ_2009 04 24_Leopard_UniBOM_ME_0531_Bolt RFQ_Foxlink_03.1 2011_nego meeting@MACH 2" xfId="26694"/>
    <cellStyle name="差_Creak Pearl Reliability Fixture RFQ_2009 04 24_Xl0000002_Bolt RFQ_Foxlink_03.1 2011_nego meeting@MACH 3 3" xfId="26695"/>
    <cellStyle name="好_River EE BOM_Creak Pearl Reliability Fixture RFQ_2009 04 24_Leopard_UniBOM_ME_0531_Bolt RFQ_Foxlink_03.1 2011_nego meeting@MACH 2 3" xfId="26696"/>
    <cellStyle name="差_Creak Pearl Reliability Fixture RFQ_2009 04 24_Xl0000002_Bolt RFQ_Foxlink_03.1 2011_nego meeting@MACH 4" xfId="26697"/>
    <cellStyle name="好_River EE BOM_Creak Pearl Reliability Fixture RFQ_2009 04 24_Leopard_UniBOM_ME_0531_Bolt RFQ_Foxlink_03.1 2011_nego meeting@MACH 3" xfId="26698"/>
    <cellStyle name="好_River EE BOM_Creak Pearl Reliability Fixture RFQ_2009 04 24_Leopard_UniBOM_ME_0531_Bolt RFQ_Foxlink_03.1 2011_nego meeting@MACH 3 2" xfId="26699"/>
    <cellStyle name="好_River EE BOM_Creak Pearl Reliability Fixture RFQ_2009 04 24_Leopard_UniBOM_ME_0531_Bolt RFQ_Foxlink_03.1 2011_nego meeting@MACH 3 3" xfId="26700"/>
    <cellStyle name="差_Creak Pearl Reliability Fixture RFQ_2009 04 24_Xl0000002_Bolt RFQ_Foxlink_03.1 2011_nego meeting@MACH 5" xfId="26701"/>
    <cellStyle name="好_River EE BOM_Creak Pearl Reliability Fixture RFQ_2009 04 24_Leopard_UniBOM_ME_0531_Bolt RFQ_Foxlink_03.1 2011_nego meeting@MACH 4" xfId="26702"/>
    <cellStyle name="差_Creak Pearl Reliability Fixture RFQ_2009 04 24_Xl0000002_Squirrel UniBom-06.23.2010_update_internal_Bolt RFQ_Foxlink_03.1 2011 3" xfId="26703"/>
    <cellStyle name="好_River EE BOM_Creak Pearl Reliability Fixture RFQ_2009 04 24_Leopard_UniBOM_ME_0602" xfId="26704"/>
    <cellStyle name="差_Creak Pearl Reliability Fixture RFQ_2009 04 24_Xl0000002_Squirrel UniBom-06.23.2010_update_internal_Bolt RFQ_Foxlink_03.1 2011 3 2" xfId="26705"/>
    <cellStyle name="差_F3   SMT設備明細_Erie 效益分析 (Update)_Flow chart and Fixture(Jackson)_A1_Jackson 效益分析 (2-1 B0 上系統)_squirrel效益分析08-17" xfId="26706"/>
    <cellStyle name="好_River EE BOM_Creak Pearl Reliability Fixture RFQ_2009 04 24_Leopard_UniBOM_ME_0602 2" xfId="26707"/>
    <cellStyle name="好_River EE BOM_Creak Pearl Reliability Fixture RFQ_2009 04 24_Leopard_UniBOM_ME_0602 2 3" xfId="26708"/>
    <cellStyle name="好_River EE BOM_Creak Pearl Reliability Fixture RFQ_2009 04 24_Leopard_UniBOM_ME_0602 2 4" xfId="26709"/>
    <cellStyle name="差_Creak Pearl Reliability Fixture RFQ_2009 04 24_Xl0000002_Squirrel UniBom-06.23.2010_update_internal_Bolt RFQ_Foxlink_03.1 2011 3 3" xfId="26710"/>
    <cellStyle name="好_River EE BOM_Creak Pearl Reliability Fixture RFQ_2009 04 24_Leopard_UniBOM_ME_0602 3" xfId="26711"/>
    <cellStyle name="好_River EE BOM_Creak Pearl Reliability Fixture RFQ_2009 04 24_Leopard_UniBOM_ME_0602 3 2" xfId="26712"/>
    <cellStyle name="差_Xl0000002_Foxlink_Shadow RFQ NREUni BOM_12032009_Bolt RFQ Proposal_Foxlink_ (Pricing Summary) 2 25 2011 5 3" xfId="26713"/>
    <cellStyle name="好_River EE BOM_Creak Pearl Reliability Fixture RFQ_2009 04 24_Leopard_UniBOM_ME_0602_Bolt RFQ Proposal_Foxlink_ (Pricing Summary) 2 25 2011 2 2" xfId="26714"/>
    <cellStyle name="差_HP Mouse 產能評估(Forecast更改後)_Bolt RFQ Proposal_Foxlink_ (Pricing Summary) 2 25 2011 5" xfId="26715"/>
    <cellStyle name="差_Creak Pearl Reliability Fixture RFQ_2009 04 24_Creek RFQ feedback 04_28_2009_FD Update_Leopard_UniBOM_ME_0602-1 2 4" xfId="26716"/>
    <cellStyle name="好_River EE BOM_Creak Pearl Reliability Fixture RFQ_2009 04 24_Leopard_UniBOM_ME_0602_Bolt RFQ Proposal_Foxlink_ (Pricing Summary) 2 25 2011 2 2 2" xfId="26717"/>
    <cellStyle name="差_HP Mouse 產能評估(Forecast更改後)_Bolt RFQ Proposal_Foxlink_ (Pricing Summary) 2 25 2011 6" xfId="26718"/>
    <cellStyle name="好_River EE BOM_Creak Pearl Reliability Fixture RFQ_2009 04 24_Leopard_UniBOM_ME_0602_Bolt RFQ Proposal_Foxlink_ (Pricing Summary) 2 25 2011 2 2 3" xfId="26719"/>
    <cellStyle name="好_River EE BOM_Creak Pearl Reliability Fixture RFQ_2009 04 24_Leopard_UniBOM_ME_0602_Bolt RFQ Proposal_Foxlink_ (Pricing Summary) 2 25 2011 2 4" xfId="26720"/>
    <cellStyle name="好_River EE BOM_Creak Pearl Reliability Fixture RFQ_2009 04 24_Leopard_UniBOM_ME_0602_Bolt RFQ Proposal_Foxlink_ (Pricing Summary) 2 25 2011 3" xfId="26721"/>
    <cellStyle name="好_River EE BOM_Creak Pearl Reliability Fixture RFQ_2009 04 24_Leopard_UniBOM_ME_0602_Bolt RFQ Proposal_Foxlink_ (Pricing Summary) 2 25 2011 3 2" xfId="26722"/>
    <cellStyle name="好_River EE BOM_Creak Pearl Reliability Fixture RFQ_2009 04 24_Leopard_UniBOM_ME_0602_Bolt RFQ Proposal_Foxlink_ (Pricing Summary) 2 25 2011 4" xfId="26723"/>
    <cellStyle name="好_River EE BOM_Creak Pearl Reliability Fixture RFQ_2009 04 24_Leopard_UniBOM_ME_0602_Bolt RFQ Proposal_Foxlink_ (Pricing Summary) 2 25 2011 4 2" xfId="26724"/>
    <cellStyle name="好_River EE BOM_Creak Pearl Reliability Fixture RFQ_2009 04 24_Leopard_UniBOM_ME_0602_Bolt RFQ Proposal_Foxlink_ (Pricing Summary) 2 25 2011 5" xfId="26725"/>
    <cellStyle name="好_River EE BOM_Creak Pearl Reliability Fixture RFQ_2009 04 24_Leopard_UniBOM_ME_0602_Bolt RFQ Proposal_Foxlink_ (Pricing Summary) 2 25 2011 5 2" xfId="26726"/>
    <cellStyle name="好_River EE BOM_Creak Pearl Reliability Fixture RFQ_2009 04 24_Leopard_UniBOM_ME_0602_Bolt RFQ Proposal_Foxlink_ (Pricing Summary) 2 25 2011 5 3" xfId="26727"/>
    <cellStyle name="好_River EE BOM_Creak Pearl Reliability Fixture RFQ_2009 04 24_Leopard_UniBOM_ME_0602_Bolt RFQ Proposal_Foxlink_ (Pricing Summary) 2 25 2011 6" xfId="26728"/>
    <cellStyle name="差_HP Mouse 產能評估(Forecast更改後)_Erie 效益分析(8-27)_Jackson 效益分析 (2-1 B0 上系統)" xfId="26729"/>
    <cellStyle name="好_River EE BOM_Creak Pearl Reliability Fixture RFQ_2009 04 24_Leopard_UniBOM_ME_0602_Bolt RFQ Proposal_Foxlink_ (Pricing Summary) 2 25 2011 7" xfId="26730"/>
    <cellStyle name="差_Creak Pearl Reliability Fixture RFQ_2009 04 24_Bolt RFQ_Foxlink_03.1 2011 2 3" xfId="26731"/>
    <cellStyle name="好_River EE BOM_Creak Pearl Reliability Fixture RFQ_2009 04 24_Leopard_UniBOM_ME_0602_Bolt RFQ_Foxlink_03.1 2011" xfId="26732"/>
    <cellStyle name="好_River EE BOM_Creak Pearl Reliability Fixture RFQ_2009 04 24_Leopard_UniBOM_ME_0602_Bolt RFQ_Foxlink_03.1 2011 2" xfId="26733"/>
    <cellStyle name="好_River EE BOM_Creak Pearl Reliability Fixture RFQ_2009 04 24_Leopard_UniBOM_ME_0602_Bolt RFQ_Foxlink_03.1 2011 2 2" xfId="26734"/>
    <cellStyle name="好_River EE BOM_Creak Pearl Reliability Fixture RFQ_2009 04 24_Leopard_UniBOM_ME_0602_Bolt RFQ_Foxlink_03.1 2011 2 3" xfId="26735"/>
    <cellStyle name="好_River EE BOM_Creak Pearl Reliability Fixture RFQ_2009 04 24_Leopard_UniBOM_ME_0602_Bolt RFQ_Foxlink_03.1 2011 3" xfId="26736"/>
    <cellStyle name="好_River EE BOM_Creak Pearl Reliability Fixture RFQ_2009 04 24_Leopard_UniBOM_ME_0602_Bolt RFQ_Foxlink_03.1 2011 5" xfId="26737"/>
    <cellStyle name="差_HP Mouse 產能評估(Forecast更改後)_MS Bolt wireless mouse FixtureEquipment Cost_A5_2010_02_21_Bolt RFQ_Foxlink_03.1 2011_nego meeting@MACH 2 3" xfId="26738"/>
    <cellStyle name="好_River EE BOM_Creak Pearl Reliability Fixture RFQ_2009 04 24_Leopard_UniBOM_ME_0602_Bolt RFQ_Foxlink_03.1 2011_nego meeting@MACH" xfId="26739"/>
    <cellStyle name="好_River EE BOM_Creak Pearl Reliability Fixture RFQ_2009 04 24_Leopard_UniBOM_ME_0602_Bolt RFQ_Foxlink_03.1 2011_nego meeting@MACH 2" xfId="26740"/>
    <cellStyle name="好_River EE BOM_Creak Pearl Reliability Fixture RFQ_2009 04 24_Leopard_UniBOM_ME_0602_Bolt RFQ_Foxlink_03.1 2011_nego meeting@MACH 2 2" xfId="26741"/>
    <cellStyle name="好_River EE BOM_Creak Pearl Reliability Fixture RFQ_2009 04 24_Leopard_UniBOM_ME_0602_Bolt RFQ_Foxlink_03.1 2011_nego meeting@MACH 2 3" xfId="26742"/>
    <cellStyle name="好_River EE BOM_Creak Pearl Reliability Fixture RFQ_2009 04 24_Leopard_UniBOM_ME_0602_Bolt RFQ_Foxlink_03.1 2011_nego meeting@MACH 3 3" xfId="26743"/>
    <cellStyle name="好_River EE BOM_Creak Pearl Reliability Fixture RFQ_2009 04 24_Leopard_UniBOM_ME_0602_Bolt RFQ_Foxlink_03.1 2011_nego meeting@MACH 4" xfId="26744"/>
    <cellStyle name="好_River EE BOM_Creak Pearl Reliability Fixture RFQ_2009 04 24_Leopard_UniBOM_ME_0602_Bolt RFQ_Foxlink_03.1 2011_nego meeting@MACH 5" xfId="26745"/>
    <cellStyle name="好_River EE BOM_Creak Pearl Reliability Fixture RFQ_2009 04 24_Leopard_UniBOM_ME_0602-1" xfId="26746"/>
    <cellStyle name="好_River EE BOM_Creak Pearl Reliability Fixture RFQ_2009 04 24_Leopard_UniBOM_ME_0602-1 2" xfId="26747"/>
    <cellStyle name="好_River EE BOM_Creak Pearl Reliability Fixture RFQ_2009 04 24_Leopard_UniBOM_ME_0602-1 2 2" xfId="26748"/>
    <cellStyle name="好_River EE BOM_Creak Pearl Reliability Fixture RFQ_2009 04 24_Leopard_UniBOM_ME_0602-1 2 2 2" xfId="26749"/>
    <cellStyle name="好_River EE BOM_Creak Pearl Reliability Fixture RFQ_2009 04 24_Leopard_UniBOM_ME_0602-1 2 2 3" xfId="26750"/>
    <cellStyle name="好_River EE BOM_Creak Pearl Reliability Fixture RFQ_2009 04 24_Leopard_UniBOM_ME_0602-1 2 3" xfId="26751"/>
    <cellStyle name="好_River EE BOM_Creak Pearl Reliability Fixture RFQ_2009 04 24_Leopard_UniBOM_ME_0602-1 2 4" xfId="26752"/>
    <cellStyle name="好_River EE BOM_Creak Pearl Reliability Fixture RFQ_2009 04 24_Leopard_UniBOM_ME_0602-1 3" xfId="26753"/>
    <cellStyle name="好_River EE BOM_Creak Pearl Reliability Fixture RFQ_2009 04 24_Leopard_UniBOM_ME_0602-1 3 2" xfId="26754"/>
    <cellStyle name="差_HP  專案(設備&amp;治工具需夠買)update_Erie 效益分析 (Update)_~5631336_Jackson 效益分析 (2-1 B0 上系統)_Leopard Flowchart &amp; 產能評估" xfId="26755"/>
    <cellStyle name="好_River EE BOM_Creak Pearl Reliability Fixture RFQ_2009 04 24_Leopard_UniBOM_ME_0602-1 3 3" xfId="26756"/>
    <cellStyle name="差_Xl0000002_Leopard RFQ ME BOM Costs-0618-2_Bolt RFQ Proposal_Foxlink_ (Pricing Summary) 2 25 2011 5 2" xfId="26757"/>
    <cellStyle name="好_River EE BOM_Creak Pearl Reliability Fixture RFQ_2009 04 24_Leopard_UniBOM_ME_0602-1_Bolt RFQ Proposal_Foxlink_ (Pricing Summary) 2 25 2011" xfId="26758"/>
    <cellStyle name="好_River EE BOM_Creak Pearl Reliability Fixture RFQ_2009 04 24_Leopard_UniBOM_ME_0602-1_Bolt RFQ Proposal_Foxlink_ (Pricing Summary) 2 25 2011 2" xfId="26759"/>
    <cellStyle name="好_River EE BOM_Creak Pearl Reliability Fixture RFQ_2009 04 24_Leopard_UniBOM_ME_0602-1_Bolt RFQ Proposal_Foxlink_ (Pricing Summary) 2 25 2011 2 2" xfId="26760"/>
    <cellStyle name="好_River EE BOM_Creak Pearl Reliability Fixture RFQ_2009 04 24_Leopard_UniBOM_ME_0602-1_Bolt RFQ Proposal_Foxlink_ (Pricing Summary) 2 25 2011 2 2 2" xfId="26761"/>
    <cellStyle name="好_River EE BOM_Creak Pearl Reliability Fixture RFQ_2009 04 24_Leopard_UniBOM_ME_0602-1_Bolt RFQ Proposal_Foxlink_ (Pricing Summary) 2 25 2011 2 4" xfId="26762"/>
    <cellStyle name="好_River EE BOM_Creak Pearl Reliability Fixture RFQ_2009 04 24_Leopard_UniBOM_ME_0602-1_Bolt RFQ Proposal_Foxlink_ (Pricing Summary) 2 25 2011 3" xfId="26763"/>
    <cellStyle name="好_River EE BOM_Creak Pearl Reliability Fixture RFQ_2009 04 24_Leopard_UniBOM_ME_0602-1_Bolt RFQ Proposal_Foxlink_ (Pricing Summary) 2 25 2011 3 2" xfId="26764"/>
    <cellStyle name="好_River EE BOM_Creak Pearl Reliability Fixture RFQ_2009 04 24_Pearl RFQ(Submittal)ver2_05_12_2009 _Leopard_UniBOM_ME_0531" xfId="26765"/>
    <cellStyle name="好_River EE BOM_Creak Pearl Reliability Fixture RFQ_2009 04 24_Leopard_UniBOM_ME_0602-1_Bolt RFQ Proposal_Foxlink_ (Pricing Summary) 2 25 2011 3 3" xfId="26766"/>
    <cellStyle name="好_River EE BOM_Creak Pearl Reliability Fixture RFQ_2009 04 24_Leopard_UniBOM_ME_0602-1_Bolt RFQ Proposal_Foxlink_ (Pricing Summary) 2 25 2011 4 3" xfId="26767"/>
    <cellStyle name="好_River EE BOM_Creak Pearl Reliability Fixture RFQ_2009 04 24_Leopard_UniBOM_ME_0602-1_Bolt RFQ Proposal_Foxlink_ (Pricing Summary) 2 25 2011 5 2" xfId="26768"/>
    <cellStyle name="好_River EE BOM_Creek RFQ feedback 04_28_2009_FD Update_Leopard_UniBOM_ME_0602-1 3 2" xfId="26769"/>
    <cellStyle name="好_River EE BOM_Creak Pearl Reliability Fixture RFQ_2009 04 24_Leopard_UniBOM_ME_0602-1_Bolt RFQ Proposal_Foxlink_ (Pricing Summary) 2 25 2011 6" xfId="26770"/>
    <cellStyle name="好_River EE BOM_Creak Pearl Reliability Fixture RFQ_2009 04 24_Leopard_UniBOM_ME_0602-1_Bolt RFQ_Foxlink_03.1 2011 2" xfId="26771"/>
    <cellStyle name="好_River EE BOM_Creak Pearl Reliability Fixture RFQ_2009 04 24_Leopard_UniBOM_ME_0602-1_Bolt RFQ_Foxlink_03.1 2011 3" xfId="26772"/>
    <cellStyle name="好_River EE BOM_Creak Pearl Reliability Fixture RFQ_2009 04 24_Leopard_UniBOM_ME_0602-1_Bolt RFQ_Foxlink_03.1 2011 5" xfId="26773"/>
    <cellStyle name="好_River EE BOM_Creak Pearl Reliability Fixture RFQ_2009 04 24_Leopard_UniBOM_ME_0602-1_Bolt RFQ_Foxlink_03.1 2011_nego meeting@MACH" xfId="26774"/>
    <cellStyle name="好_River EE BOM_Creak Pearl Reliability Fixture RFQ_2009 04 24_Leopard_UniBOM_ME_0602-1_Bolt RFQ_Foxlink_03.1 2011_nego meeting@MACH 2" xfId="26775"/>
    <cellStyle name="差_jupite r設備&amp;治工具LIST (總)_Flow Chart(shadow) A3 _Jackson 效益分析 (2-1 B0 上系統)_Leopard Flowchart &amp; 產能評估" xfId="26776"/>
    <cellStyle name="好_River EE BOM_Creak Pearl Reliability Fixture RFQ_2009 04 24_Leopard_UniBOM_ME_0602-1_Bolt RFQ_Foxlink_03.1 2011_nego meeting@MACH 2 2" xfId="26777"/>
    <cellStyle name="好_River EE BOM_Creak Pearl Reliability Fixture RFQ_2009 04 24_Leopard_UniBOM_ME_0602-1_Bolt RFQ_Foxlink_03.1 2011_nego meeting@MACH 2 3" xfId="26778"/>
    <cellStyle name="好_River EE BOM_Xl0000002_Leopard UniBom_true cost_6.23.2010" xfId="26779"/>
    <cellStyle name="好_River EE BOM_Creak Pearl Reliability Fixture RFQ_2009 04 24_Leopard_UniBOM_ME_0603-2" xfId="26780"/>
    <cellStyle name="好_River EE BOM_Creak Pearl Reliability Fixture RFQ_2009 04 24_Leopard_UniBOM_ME_0603-2 2" xfId="26781"/>
    <cellStyle name="好_River EE BOM_Creak Pearl Reliability Fixture RFQ_2009 04 24_Leopard_UniBOM_ME_0603-2 2 2 2" xfId="26782"/>
    <cellStyle name="好_River EE BOM_Creak Pearl Reliability Fixture RFQ_2009 04 24_Leopard_UniBOM_ME_0603-2 2 2 3" xfId="26783"/>
    <cellStyle name="好_River EE BOM_Creak Pearl Reliability Fixture RFQ_2009 04 24_Leopard_UniBOM_ME_0603-2 3 2" xfId="26784"/>
    <cellStyle name="差_HP Mouse 產能評估(Forecast更改後)_MS Bolt wireless mouse FixtureEquipment Cost_A5_2010_02_21_Bolt RFQ Proposal_Foxlink_ (Pricing Summary) 2 25 2011 2 2 2" xfId="26785"/>
    <cellStyle name="好_River EE BOM_Creak Pearl Reliability Fixture RFQ_2009 04 24_Leopard_UniBOM_ME_0603-2 3 3" xfId="26786"/>
    <cellStyle name="差_Creak Pearl Reliability Fixture RFQ_2009 04 24_Xl0000002_Leopard_UniBOM_ME_0603-2_Bolt RFQ_Foxlink_03.1 2011_nego meeting@MACH 3 2" xfId="26787"/>
    <cellStyle name="好_River EE BOM_Creak Pearl Reliability Fixture RFQ_2009 04 24_Leopard_UniBOM_ME_0603-2_Bolt RFQ Proposal_Foxlink_ (Pricing Summary) 2 25 2011" xfId="26788"/>
    <cellStyle name="好_River EE BOM_Creak Pearl Reliability Fixture RFQ_2009 04 24_Leopard_UniBOM_ME_0603-2_Bolt RFQ Proposal_Foxlink_ (Pricing Summary) 2 25 2011 2" xfId="26789"/>
    <cellStyle name="好_River EE BOM_Creak Pearl Reliability Fixture RFQ_2009 04 24_Leopard_UniBOM_ME_0603-2_Bolt RFQ Proposal_Foxlink_ (Pricing Summary) 2 25 2011 2 3" xfId="26790"/>
    <cellStyle name="好_River EE BOM_Creak Pearl Reliability Fixture RFQ_2009 04 24_Leopard_UniBOM_ME_0603-2_Bolt RFQ Proposal_Foxlink_ (Pricing Summary) 2 25 2011 3" xfId="26791"/>
    <cellStyle name="差_Creek RFQ feedback 04_28_2009_FD Update_Leopard RFQ ME BOM Costs-0618-2 2" xfId="26792"/>
    <cellStyle name="好_River EE BOM_Creak Pearl Reliability Fixture RFQ_2009 04 24_Leopard_UniBOM_ME_0603-2_Bolt RFQ Proposal_Foxlink_ (Pricing Summary) 2 25 2011 4" xfId="26793"/>
    <cellStyle name="差_Creek RFQ feedback 04_28_2009_FD Update_Leopard RFQ ME BOM Costs-0618-2 2 2" xfId="26794"/>
    <cellStyle name="好_River EE BOM_Creak Pearl Reliability Fixture RFQ_2009 04 24_Leopard_UniBOM_ME_0603-2_Bolt RFQ Proposal_Foxlink_ (Pricing Summary) 2 25 2011 4 2" xfId="26795"/>
    <cellStyle name="差_Creek RFQ feedback 04_28_2009_FD Update_Leopard RFQ ME BOM Costs-0618-2 2 3" xfId="26796"/>
    <cellStyle name="好_River EE BOM_Creak Pearl Reliability Fixture RFQ_2009 04 24_Leopard_UniBOM_ME_0603-2_Bolt RFQ Proposal_Foxlink_ (Pricing Summary) 2 25 2011 4 3" xfId="26797"/>
    <cellStyle name="差_Creek RFQ feedback 04_28_2009_FD Update_Leopard RFQ ME BOM Costs-0618-2 3" xfId="26798"/>
    <cellStyle name="好_River EE BOM_Creak Pearl Reliability Fixture RFQ_2009 04 24_Leopard_UniBOM_ME_0603-2_Bolt RFQ Proposal_Foxlink_ (Pricing Summary) 2 25 2011 5" xfId="26799"/>
    <cellStyle name="好_River EE BOM_Creak Pearl Reliability Fixture RFQ_2009 04 24_Leopard_UniBOM_ME_0603-2_Bolt RFQ Proposal_Foxlink_ (Pricing Summary) 2 25 2011 6" xfId="26800"/>
    <cellStyle name="好_River EE BOM_Creak Pearl Reliability Fixture RFQ_2009 04 24_Leopard_UniBOM_ME_0603-2_Bolt RFQ Proposal_Foxlink_ (Pricing Summary) 2 25 2011 7" xfId="26801"/>
    <cellStyle name="好_River EE BOM_Creak Pearl Reliability Fixture RFQ_2009 04 24_Leopard_UniBOM_ME_0603-2_Bolt RFQ_Foxlink_03.1 2011 2" xfId="26802"/>
    <cellStyle name="好_River EE BOM_Creek RFQ feedback 04_28_2009_FD Update_Foxlink_Shadow RFQ NREUni BOM_12032009_Bolt RFQ Proposal_Foxlink_ (Pricing Summary) 2 25 2011 2 3" xfId="26803"/>
    <cellStyle name="好_River EE BOM_Creak Pearl Reliability Fixture RFQ_2009 04 24_Leopard_UniBOM_ME_0603-2_Bolt RFQ_Foxlink_03.1 2011 2 3" xfId="26804"/>
    <cellStyle name="好_River EE BOM_Creak Pearl Reliability Fixture RFQ_2009 04 24_Leopard_UniBOM_ME_0603-2_Bolt RFQ_Foxlink_03.1 2011 5" xfId="26805"/>
    <cellStyle name="差_Creak Pearl Reliability Fixture RFQ_2009 04 24_Creek RFQ feedback 04_28_2009_FD Update_Leopard_UniBOM_ME_0602-1_Bolt RFQ Proposal_Foxlink_ (Pricing Summary) 2 25 2011 4 2" xfId="26806"/>
    <cellStyle name="好_River EE BOM_Creek RFQ feedback 04_28_2009_FD Update_Leopard_UniBOM_ME_0603-2 3" xfId="26807"/>
    <cellStyle name="好_River EE BOM_Creak Pearl Reliability Fixture RFQ_2009 04 24_Leopard_UniBOM_ME_0603-2_Bolt RFQ_Foxlink_03.1 2011_nego meeting@MACH" xfId="26808"/>
    <cellStyle name="好_River EE BOM_Creek RFQ feedback 04_28_2009_FD Update_Leopard_UniBOM_ME_0603-2 3 3" xfId="26809"/>
    <cellStyle name="好_River EE BOM_Creak Pearl Reliability Fixture RFQ_2009 04 24_Leopard_UniBOM_ME_0603-2_Bolt RFQ_Foxlink_03.1 2011_nego meeting@MACH 3" xfId="26810"/>
    <cellStyle name="好_River EE BOM_Creak Pearl Reliability Fixture RFQ_2009 04 24_Leopard_UniBOM_ME_0603-2_Bolt RFQ_Foxlink_03.1 2011_nego meeting@MACH 4" xfId="26811"/>
    <cellStyle name="好_River EE BOM_Creak Pearl Reliability Fixture RFQ_2009 04 24_Pearl RFQ(Submittal)ver2_05_12_2009  2" xfId="26812"/>
    <cellStyle name="好_River EE BOM_Creak Pearl Reliability Fixture RFQ_2009 04 24_Pearl RFQ(Submittal)ver2_05_12_2009  2 2" xfId="26813"/>
    <cellStyle name="好_River EE BOM_Creak Pearl Reliability Fixture RFQ_2009 04 24_Pearl RFQ(Submittal)ver2_05_12_2009  2 2 2" xfId="26814"/>
    <cellStyle name="好_River EE BOM_Creak Pearl Reliability Fixture RFQ_2009 04 24_Pearl RFQ(Submittal)ver2_05_12_2009  2 2 3" xfId="26815"/>
    <cellStyle name="好_River EE BOM_Creak Pearl Reliability Fixture RFQ_2009 04 24_Pearl RFQ(Submittal)ver2_05_12_2009  2 3" xfId="26816"/>
    <cellStyle name="好_River EE BOM_Creak Pearl Reliability Fixture RFQ_2009 04 24_Pearl RFQ(Submittal)ver2_05_12_2009  2 4" xfId="26817"/>
    <cellStyle name="差_jupite r設備&amp;治工具LIST (總)_Dallas效益分析&amp;投資回收期 (12-2 A1)_Flow Chart&amp;設備治工具清單 " xfId="26818"/>
    <cellStyle name="好_River EE BOM_Creak Pearl Reliability Fixture RFQ_2009 04 24_Pearl RFQ(Submittal)ver2_05_12_2009  3" xfId="26819"/>
    <cellStyle name="好_River EE BOM_Creak Pearl Reliability Fixture RFQ_2009 04 24_Pearl RFQ(Submittal)ver2_05_12_2009  3 2" xfId="26820"/>
    <cellStyle name="好_River EE BOM_Creak Pearl Reliability Fixture RFQ_2009 04 24_Pearl RFQ(Submittal)ver2_05_12_2009  3 3" xfId="26821"/>
    <cellStyle name="好_River EE BOM_Creak Pearl Reliability Fixture RFQ_2009 04 24_Pearl RFQ(Submittal)ver2_05_12_2009 _Bolt RFQ Proposal_Foxlink_ (Pricing Summary) 2 25 2011" xfId="26822"/>
    <cellStyle name="好_River EE BOM_Creak Pearl Reliability Fixture RFQ_2009 04 24_Pearl RFQ(Submittal)ver2_05_12_2009 _Bolt RFQ Proposal_Foxlink_ (Pricing Summary) 2 25 2011 2 2" xfId="26823"/>
    <cellStyle name="好_River EE BOM_Creak Pearl Reliability Fixture RFQ_2009 04 24_Pearl RFQ(Submittal)ver2_05_12_2009 _Bolt RFQ Proposal_Foxlink_ (Pricing Summary) 2 25 2011 2 2 2" xfId="26824"/>
    <cellStyle name="好_River EE BOM_Creak Pearl Reliability Fixture RFQ_2009 04 24_Pearl RFQ(Submittal)ver2_05_12_2009 _Bolt RFQ Proposal_Foxlink_ (Pricing Summary) 2 25 2011 2 3" xfId="26825"/>
    <cellStyle name="好_River EE BOM_Creak Pearl Reliability Fixture RFQ_2009 04 24_Pearl RFQ(Submittal)ver2_05_12_2009 _Leopard RFQ ME BOM Costs-0618-2 2 3" xfId="26826"/>
    <cellStyle name="差_Creak Pearl Reliability Fixture RFQ_2009 04 24_Creek RFQ feedback 04_28_2009_FD Update_Leopard_UniBOM_ME_0531_Bolt RFQ Proposal_Foxlink_ (Pricing Summary) 2 25 2011 2 2 2" xfId="26827"/>
    <cellStyle name="好_River EE BOM_Creek RFQ feedback 04_28_2009_FD Update_Leopard_UniBOM_ME_0602-1_Bolt RFQ_Foxlink_03.1 2011_nego meeting@MACH 2" xfId="26828"/>
    <cellStyle name="好_River EE BOM_Creak Pearl Reliability Fixture RFQ_2009 04 24_Pearl RFQ(Submittal)ver2_05_12_2009 _Bolt RFQ Proposal_Foxlink_ (Pricing Summary) 2 25 2011 3 2" xfId="26829"/>
    <cellStyle name="差_Creak Pearl Reliability Fixture RFQ_2009 04 24_Creek RFQ feedback 04_28_2009_FD Update_Leopard_UniBOM_ME_0531_Bolt RFQ Proposal_Foxlink_ (Pricing Summary) 2 25 2011 2 3" xfId="26830"/>
    <cellStyle name="好_River EE BOM_Creak Pearl Reliability Fixture RFQ_2009 04 24_Pearl RFQ(Submittal)ver2_05_12_2009 _Bolt RFQ Proposal_Foxlink_ (Pricing Summary) 2 25 2011 4" xfId="26831"/>
    <cellStyle name="好_River EE BOM_Creak Pearl Reliability Fixture RFQ_2009 04 24_Pearl RFQ(Submittal)ver2_05_12_2009 _Leopard RFQ ME BOM Costs-0618-2 3 3" xfId="26832"/>
    <cellStyle name="好_River EE BOM_Creak Pearl Reliability Fixture RFQ_2009 04 24_Pearl RFQ(Submittal)ver2_05_12_2009 _Bolt RFQ Proposal_Foxlink_ (Pricing Summary) 2 25 2011 4 2" xfId="26833"/>
    <cellStyle name="好_River EE BOM_Creak Pearl Reliability Fixture RFQ_2009 04 24_Pearl RFQ(Submittal)ver2_05_12_2009 _Bolt RFQ Proposal_Foxlink_ (Pricing Summary) 2 25 2011 4 3" xfId="26834"/>
    <cellStyle name="好_River EE BOM_Creak Pearl Reliability Fixture RFQ_2009 04 24_Pearl RFQ(Submittal)ver2_05_12_2009 _Bolt RFQ_Foxlink_03.1 2011 2" xfId="26835"/>
    <cellStyle name="好_River EE BOM_Creak Pearl Reliability Fixture RFQ_2009 04 24_Pearl RFQ(Submittal)ver2_05_12_2009 _Bolt RFQ_Foxlink_03.1 2011 2 2" xfId="26836"/>
    <cellStyle name="好_River EE BOM_Creak Pearl Reliability Fixture RFQ_2009 04 24_Pearl RFQ(Submittal)ver2_05_12_2009 _Bolt RFQ_Foxlink_03.1 2011 3" xfId="26837"/>
    <cellStyle name="好_River EE BOM_Creak Pearl Reliability Fixture RFQ_2009 04 24_Pearl RFQ(Submittal)ver2_05_12_2009 _Bolt RFQ_Foxlink_03.1 2011 3 2" xfId="26838"/>
    <cellStyle name="好_River EE BOM_Creak Pearl Reliability Fixture RFQ_2009 04 24_Pearl RFQ(Submittal)ver2_05_12_2009 _Bolt RFQ_Foxlink_03.1 2011 3 3" xfId="26839"/>
    <cellStyle name="好_River EE BOM_Creak Pearl Reliability Fixture RFQ_2009 04 24_Pearl RFQ(Submittal)ver2_05_12_2009 _Bolt RFQ_Foxlink_03.1 2011 4" xfId="26840"/>
    <cellStyle name="好_River EE BOM_Creak Pearl Reliability Fixture RFQ_2009 04 24_Pearl RFQ(Submittal)ver2_05_12_2009 _Bolt RFQ_Foxlink_03.1 2011 5" xfId="26841"/>
    <cellStyle name="差_Creak Pearl Reliability Fixture RFQ_2009 04 24_Pearl RFQ(Submittal)ver2_05_12_2009 _Leopard UniBom_Foxlink_6 21 2010-ME_nego_Bolt RFQ Proposal_Foxlink_ (Pricing Summary) 2 25 2011 2 4" xfId="26842"/>
    <cellStyle name="好_River EE BOM_Creak Pearl Reliability Fixture RFQ_2009 04 24_Pearl RFQ(Submittal)ver2_05_12_2009 _Bolt RFQ_Foxlink_03.1 2011_nego meeting@MACH" xfId="26843"/>
    <cellStyle name="好_River EE BOM_Creak Pearl Reliability Fixture RFQ_2009 04 24_Pearl RFQ(Submittal)ver2_05_12_2009 _Bolt RFQ_Foxlink_03.1 2011_nego meeting@MACH 2" xfId="26844"/>
    <cellStyle name="好_River EE BOM_Creak Pearl Reliability Fixture RFQ_2009 04 24_Pearl RFQ(Submittal)ver2_05_12_2009 _Bolt RFQ_Foxlink_03.1 2011_nego meeting@MACH 2 3" xfId="26845"/>
    <cellStyle name="差_jupite r設備&amp;治工具LIST (總)_~3106354_squirrel效益分析08-17" xfId="26846"/>
    <cellStyle name="差_Creak Pearl Reliability Fixture RFQ_2009 04 24_Creek  Pearl RFQ_May 12_Leopard RFQ ME BOM Costs-0618-2_Bolt RFQ_Foxlink_03.1 2011_nego meeting@MACH 3" xfId="26847"/>
    <cellStyle name="好_River EE BOM_Creak Pearl Reliability Fixture RFQ_2009 04 24_Pearl RFQ(Submittal)ver2_05_12_2009 _Bolt RFQ_Foxlink_03.1 2011_nego meeting@MACH 3 2" xfId="26848"/>
    <cellStyle name="好_River EE BOM_Creak Pearl Reliability Fixture RFQ_2009 04 24_Pearl RFQ(Submittal)ver2_05_12_2009 _Bolt RFQ_Foxlink_03.1 2011_nego meeting@MACH 4" xfId="26849"/>
    <cellStyle name="好_River EE BOM_Creak Pearl Reliability Fixture RFQ_2009 04 24_Pearl RFQ(Submittal)ver2_05_12_2009 _Bolt RFQ_Foxlink_03.1 2011_nego meeting@MACH 5" xfId="26850"/>
    <cellStyle name="好_River EE BOM_Creak Pearl Reliability Fixture RFQ_2009 04 24_Pearl RFQ(Submittal)ver2_05_12_2009 _Bristol UniBom_Foxlink_02082011 RevA" xfId="26851"/>
    <cellStyle name="好_River EE BOM_Creak Pearl Reliability Fixture RFQ_2009 04 24_Pearl RFQ(Submittal)ver2_05_12_2009 _Foxlink_Shadow RFQ NREUni BOM_12032009 2 2" xfId="26852"/>
    <cellStyle name="差_F3   SMT設備明細_jupite r設備&amp;治工具LIST (總)_Jackson 效益分析 testing update_16th Jan111_Jackson 效益分析 (2-1 B0 上系統)_Leopard Flowchart &amp; 產能評估" xfId="26853"/>
    <cellStyle name="好_River EE BOM_Creak Pearl Reliability Fixture RFQ_2009 04 24_Pearl RFQ(Submittal)ver2_05_12_2009 _Foxlink_Shadow RFQ NREUni BOM_12032009 2 2 2" xfId="26854"/>
    <cellStyle name="好_River EE BOM_Creak Pearl Reliability Fixture RFQ_2009 04 24_Pearl RFQ(Submittal)ver2_05_12_2009 _Foxlink_Shadow RFQ NREUni BOM_12032009 3 2" xfId="26855"/>
    <cellStyle name="好_River EE BOM_Creak Pearl Reliability Fixture RFQ_2009 04 24_Pearl RFQ(Submittal)ver2_05_12_2009 _Foxlink_Shadow RFQ NREUni BOM_12032009 3 3" xfId="26856"/>
    <cellStyle name="好_River EE BOM_Creak Pearl Reliability Fixture RFQ_2009 04 24_Pearl RFQ(Submittal)ver2_05_12_2009 _Foxlink_Shadow RFQ NREUni BOM_12032009_Bolt RFQ Proposal_Foxlink_ (Pricing Summary) 2 25 2011 2" xfId="26857"/>
    <cellStyle name="好_River EE BOM_Creak Pearl Reliability Fixture RFQ_2009 04 24_Pearl RFQ(Submittal)ver2_05_12_2009 _Foxlink_Shadow RFQ NREUni BOM_12032009_Bolt RFQ Proposal_Foxlink_ (Pricing Summary) 2 25 2011 2 2" xfId="26858"/>
    <cellStyle name="差_Creek RFQ feedback 04_28_2009_FD Update_Leopard UniBom_Foxlink_6 21 2010-ME_nego 3" xfId="26859"/>
    <cellStyle name="好_River EE BOM_Creak Pearl Reliability Fixture RFQ_2009 04 24_Pearl RFQ(Submittal)ver2_05_12_2009 _Foxlink_Shadow RFQ NREUni BOM_12032009_Bolt RFQ Proposal_Foxlink_ (Pricing Summary) 2 25 2011 2 2 2" xfId="26860"/>
    <cellStyle name="好_River EE BOM_Creak Pearl Reliability Fixture RFQ_2009 04 24_Pearl RFQ(Submittal)ver2_05_12_2009 _Foxlink_Shadow RFQ NREUni BOM_12032009_Bolt RFQ Proposal_Foxlink_ (Pricing Summary) 2 25 2011 2 2 3" xfId="26861"/>
    <cellStyle name="好_River EE BOM_Creak Pearl Reliability Fixture RFQ_2009 04 24_Pearl RFQ(Submittal)ver2_05_12_2009 _Foxlink_Shadow RFQ NREUni BOM_12032009_Bolt RFQ Proposal_Foxlink_ (Pricing Summary) 2 25 2011 2 3" xfId="26862"/>
    <cellStyle name="好_River EE BOM_Creak Pearl Reliability Fixture RFQ_2009 04 24_Pearl RFQ(Submittal)ver2_05_12_2009 _Foxlink_Shadow RFQ NREUni BOM_12032009_Bolt RFQ Proposal_Foxlink_ (Pricing Summary) 2 25 2011 3" xfId="26863"/>
    <cellStyle name="差_HP  專案(設備&amp;治工具需夠買)update_Erie 效益分析 (Update)_Flow Chart&amp;設備治工具清單 _Jackson 效益分析 (2-1 B0 上系統)_squirrel效益分析08-17" xfId="26864"/>
    <cellStyle name="好_River EE BOM_Creak Pearl Reliability Fixture RFQ_2009 04 24_Pearl RFQ(Submittal)ver2_05_12_2009 _Foxlink_Shadow RFQ NREUni BOM_12032009_Bolt RFQ Proposal_Foxlink_ (Pricing Summary) 2 25 2011 3 2" xfId="26865"/>
    <cellStyle name="好_River EE BOM_Creak Pearl Reliability Fixture RFQ_2009 04 24_Pearl RFQ(Submittal)ver2_05_12_2009 _Foxlink_Shadow RFQ NREUni BOM_12032009_Bolt RFQ Proposal_Foxlink_ (Pricing Summary) 2 25 2011 3 3" xfId="26866"/>
    <cellStyle name="差_Xl0000000_Leopard RFQ ME BOM Costs-0618_Bolt RFQ_Foxlink_03.1 2011 3 2" xfId="26867"/>
    <cellStyle name="好_River EE BOM_Creak Pearl Reliability Fixture RFQ_2009 04 24_Pearl RFQ(Submittal)ver2_05_12_2009 _Foxlink_Shadow RFQ NREUni BOM_12032009_Bolt RFQ Proposal_Foxlink_ (Pricing Summary) 2 25 2011 4" xfId="26868"/>
    <cellStyle name="好_River EE BOM_Creak Pearl Reliability Fixture RFQ_2009 04 24_Pearl RFQ(Submittal)ver2_05_12_2009 _Foxlink_Shadow RFQ NREUni BOM_12032009_Bolt RFQ Proposal_Foxlink_ (Pricing Summary) 2 25 2011 4 2" xfId="26869"/>
    <cellStyle name="差_Xl0000000_Leopard RFQ ME BOM Costs-0618_Bolt RFQ_Foxlink_03.1 2011 3 3" xfId="26870"/>
    <cellStyle name="好_River EE BOM_Creak Pearl Reliability Fixture RFQ_2009 04 24_Pearl RFQ(Submittal)ver2_05_12_2009 _Foxlink_Shadow RFQ NREUni BOM_12032009_Bolt RFQ Proposal_Foxlink_ (Pricing Summary) 2 25 2011 5" xfId="26871"/>
    <cellStyle name="差_F3   SMT設備明細_效益分析_Flow Chart(shadow) A3 _squirrel效益分析08-17" xfId="26872"/>
    <cellStyle name="好_River EE BOM_Creak Pearl Reliability Fixture RFQ_2009 04 24_Pearl RFQ(Submittal)ver2_05_12_2009 _Foxlink_Shadow RFQ NREUni BOM_12032009_Bolt RFQ Proposal_Foxlink_ (Pricing Summary) 2 25 2011 5 2" xfId="26873"/>
    <cellStyle name="好_River EE BOM_Creak Pearl Reliability Fixture RFQ_2009 04 24_Pearl RFQ(Submittal)ver2_05_12_2009 _Foxlink_Shadow RFQ NREUni BOM_12032009_Bolt RFQ Proposal_Foxlink_ (Pricing Summary) 2 25 2011 5 3" xfId="26874"/>
    <cellStyle name="好_River EE BOM_Creak Pearl Reliability Fixture RFQ_2009 04 24_Pearl RFQ(Submittal)ver2_05_12_2009 _Foxlink_Shadow RFQ NREUni BOM_12032009_Bolt RFQ_Foxlink_03.1 2011" xfId="26875"/>
    <cellStyle name="好_River EE BOM_Creak Pearl Reliability Fixture RFQ_2009 04 24_Pearl RFQ(Submittal)ver2_05_12_2009 _Foxlink_Shadow RFQ NREUni BOM_12032009_Bolt RFQ_Foxlink_03.1 2011 2 2" xfId="26876"/>
    <cellStyle name="好_River EE BOM_Creak Pearl Reliability Fixture RFQ_2009 04 24_Pearl RFQ(Submittal)ver2_05_12_2009 _Foxlink_Shadow RFQ NREUni BOM_12032009_Bolt RFQ_Foxlink_03.1 2011 2 3" xfId="26877"/>
    <cellStyle name="好_River EE BOM_Creak Pearl Reliability Fixture RFQ_2009 04 24_Pearl RFQ(Submittal)ver2_05_12_2009 _Foxlink_Shadow RFQ NREUni BOM_12032009_Bolt RFQ_Foxlink_03.1 2011 3 3" xfId="26878"/>
    <cellStyle name="好_River EE BOM_Creak Pearl Reliability Fixture RFQ_2009 04 24_Pearl RFQ(Submittal)ver2_05_12_2009 _Foxlink_Shadow RFQ NREUni BOM_12032009_Bolt RFQ_Foxlink_03.1 2011 4" xfId="26879"/>
    <cellStyle name="好_River EE BOM_Creak Pearl Reliability Fixture RFQ_2009 04 24_Pearl RFQ(Submittal)ver2_05_12_2009 _Foxlink_Shadow RFQ NREUni BOM_12032009_Bolt RFQ_Foxlink_03.1 2011_nego meeting@MACH" xfId="26880"/>
    <cellStyle name="好_River EE BOM_Creak Pearl Reliability Fixture RFQ_2009 04 24_Pearl RFQ(Submittal)ver2_05_12_2009 _Foxlink_Shadow RFQ NREUni BOM_12032009_Bolt RFQ_Foxlink_03.1 2011_nego meeting@MACH 2" xfId="26881"/>
    <cellStyle name="好_River EE BOM_Creak Pearl Reliability Fixture RFQ_2009 04 24_Pearl RFQ(Submittal)ver2_05_12_2009 _Foxlink_Shadow RFQ NREUni BOM_12032009_Bolt RFQ_Foxlink_03.1 2011_nego meeting@MACH 2 2" xfId="26882"/>
    <cellStyle name="好_River EE BOM_Creak Pearl Reliability Fixture RFQ_2009 04 24_Pearl RFQ(Submittal)ver2_05_12_2009 _Foxlink_Shadow RFQ NREUni BOM_12032009_Bolt RFQ_Foxlink_03.1 2011_nego meeting@MACH 2 3" xfId="26883"/>
    <cellStyle name="好_治具工程課2009年KPI 2 2 3" xfId="26884"/>
    <cellStyle name="好_River EE BOM_Xl0000000_Bolt RFQ_Foxlink_03.1 2011_nego meeting@MACH 2 3" xfId="26885"/>
    <cellStyle name="好_River EE BOM_Creak Pearl Reliability Fixture RFQ_2009 04 24_Pearl RFQ(Submittal)ver2_05_12_2009 _Foxlink_Shadow RFQ NREUni BOM_12032009_Bolt RFQ_Foxlink_03.1 2011_nego meeting@MACH 3 2" xfId="26886"/>
    <cellStyle name="好_River EE BOM_Creak Pearl Reliability Fixture RFQ_2009 04 24_Pearl RFQ(Submittal)ver2_05_12_2009 _Foxlink_Shadow RFQ NREUni BOM_12032009_Bolt RFQ_Foxlink_03.1 2011_nego meeting@MACH 4" xfId="26887"/>
    <cellStyle name="好_River EE BOM_Creak Pearl Reliability Fixture RFQ_2009 04 24_Pearl RFQ(Submittal)ver2_05_12_2009 _Foxlink_Shadow RFQ NREUni BOM_12032009_Bolt RFQ_Foxlink_03.1 2011_nego meeting@MACH 5" xfId="26888"/>
    <cellStyle name="好_治具工程課2009年KPI_產線生產規劃KPI 2 2 2" xfId="26889"/>
    <cellStyle name="好_River EE BOM_Creak Pearl Reliability Fixture RFQ_2009 04 24_Pearl RFQ(Submittal)ver2_05_12_2009 _Jackson and Shadow BOM cost_mainfile_2010 0324 rev.1" xfId="26890"/>
    <cellStyle name="差_Creak Pearl Reliability Fixture RFQ_2009 04 24_Creek  Pearl RFQ_May 12_Leopard_UniBOM_ME_0531_Bolt RFQ_Foxlink_03.1 2011_nego meeting@MACH 3 3" xfId="26891"/>
    <cellStyle name="好_治具工程課2009年KPI_2009MB KPI-0205" xfId="26892"/>
    <cellStyle name="好_River EE BOM_Creak Pearl Reliability Fixture RFQ_2009 04 24_Pearl RFQ(Submittal)ver2_05_12_2009 _Jackson and Shadow BOM cost_mainfile_2010 0324 rev.1_Bristol UniBom_Foxlink_02082011 RevA" xfId="26893"/>
    <cellStyle name="好_River EE BOM_Creak Pearl Reliability Fixture RFQ_2009 04 24_Pearl RFQ(Submittal)ver2_05_12_2009 _Jackson and Shadow BOM cost_mainfile_2010 0324 rev.1_Leopard UniBom_Foxlink_12092010 RevD-jen" xfId="26894"/>
    <cellStyle name="好_River EE BOM_Creak Pearl Reliability Fixture RFQ_2009 04 24_Pearl RFQ(Submittal)ver2_05_12_2009 _Jackson NRE Uni BOM_update _05072010 rev K" xfId="26895"/>
    <cellStyle name="差_HP Mouse 產能評估(Forecast更改後)_Erie 效益分析 (Update)_Jackson 效益分析 testing update_16th Jan111" xfId="26896"/>
    <cellStyle name="好_River EE BOM_Creak Pearl Reliability Fixture RFQ_2009 04 24_Pearl RFQ(Submittal)ver2_05_12_2009 _Leopard Lemur Squirrel UniBom-06.22.2010_EE cost _update_internal" xfId="26897"/>
    <cellStyle name="好_River EE BOM_Creak Pearl Reliability Fixture RFQ_2009 04 24_Pearl RFQ(Submittal)ver2_05_12_2009 _Leopard Lemur Squirrel UniBom-06.22.2010_EE cost _update_internal 2 2" xfId="26898"/>
    <cellStyle name="好_River EE BOM_Creak Pearl Reliability Fixture RFQ_2009 04 24_Pearl RFQ(Submittal)ver2_05_12_2009 _Leopard Lemur Squirrel UniBom-06.22.2010_EE cost _update_internal 2 2 2" xfId="26899"/>
    <cellStyle name="好_River EE BOM_Creak Pearl Reliability Fixture RFQ_2009 04 24_Pearl RFQ(Submittal)ver2_05_12_2009 _Leopard Lemur Squirrel UniBom-06.22.2010_EE cost _update_internal 2 2 3" xfId="26900"/>
    <cellStyle name="好_River EE BOM_Creak Pearl Reliability Fixture RFQ_2009 04 24_Pearl RFQ(Submittal)ver2_05_12_2009 _Leopard Lemur Squirrel UniBom-06.22.2010_EE cost _update_internal 3 2" xfId="26901"/>
    <cellStyle name="好_River EE BOM_Creak Pearl Reliability Fixture RFQ_2009 04 24_Pearl RFQ(Submittal)ver2_05_12_2009 _Leopard Lemur Squirrel UniBom-06.22.2010_EE cost _update_internal_Bolt RFQ Proposal_Foxlink_ (Pricing Summary) 2 25 2011" xfId="26902"/>
    <cellStyle name="好_River EE BOM_Creak Pearl Reliability Fixture RFQ_2009 04 24_Pearl RFQ(Submittal)ver2_05_12_2009 _Leopard Lemur Squirrel UniBom-06.22.2010_EE cost _update_internal_Bolt RFQ Proposal_Foxlink_ (Pricing Summary) 2 25 2011 2" xfId="26903"/>
    <cellStyle name="好_River EE BOM_Creak Pearl Reliability Fixture RFQ_2009 04 24_Pearl RFQ(Submittal)ver2_05_12_2009 _Leopard Lemur Squirrel UniBom-06.22.2010_EE cost _update_internal_Bolt RFQ Proposal_Foxlink_ (Pricing Summary) 2 25 2011 2 2 2" xfId="26904"/>
    <cellStyle name="好_River EE BOM_Creak Pearl Reliability Fixture RFQ_2009 04 24_Pearl RFQ(Submittal)ver2_05_12_2009 _Leopard Lemur Squirrel UniBom-06.22.2010_EE cost _update_internal_Bolt RFQ Proposal_Foxlink_ (Pricing Summary) 2 25 2011 3" xfId="26905"/>
    <cellStyle name="差_Creek RFQ feedback 04_28_2009_FD Update_Squirrel RFQ ME BOM Costs-0623_Bolt RFQ_Foxlink_03.1 2011_nego meeting@MACH 3 2" xfId="26906"/>
    <cellStyle name="好_River EE BOM_Creak Pearl Reliability Fixture RFQ_2009 04 24_Pearl RFQ(Submittal)ver2_05_12_2009 _Leopard Lemur Squirrel UniBom-06.22.2010_EE cost _update_internal_Bolt RFQ Proposal_Foxlink_ (Pricing Summary) 2 25 2011 3 3" xfId="26907"/>
    <cellStyle name="好_River EE BOM_Creak Pearl Reliability Fixture RFQ_2009 04 24_Pearl RFQ(Submittal)ver2_05_12_2009 _Leopard Lemur Squirrel UniBom-06.22.2010_EE cost _update_internal_Bolt RFQ Proposal_Foxlink_ (Pricing Summary) 2 25 2011 4" xfId="26908"/>
    <cellStyle name="好_River EE BOM_Creak Pearl Reliability Fixture RFQ_2009 04 24_Pearl RFQ(Submittal)ver2_05_12_2009 _Leopard Lemur Squirrel UniBom-06.22.2010_EE cost _update_internal_Bolt RFQ Proposal_Foxlink_ (Pricing Summary) 2 25 2011 4 2" xfId="26909"/>
    <cellStyle name="好_River EE BOM_Creak Pearl Reliability Fixture RFQ_2009 04 24_Pearl RFQ(Submittal)ver2_05_12_2009 _Leopard Lemur Squirrel UniBom-06.22.2010_EE cost _update_internal_Bolt RFQ Proposal_Foxlink_ (Pricing Summary) 2 25 2011 4 3" xfId="26910"/>
    <cellStyle name="好_River EE BOM_Creak Pearl Reliability Fixture RFQ_2009 04 24_Pearl RFQ(Submittal)ver2_05_12_2009 _Leopard Lemur Squirrel UniBom-06.22.2010_EE cost _update_internal_Bolt RFQ Proposal_Foxlink_ (Pricing Summary) 2 25 2011 5 2" xfId="26911"/>
    <cellStyle name="好_River EE BOM_Creak Pearl Reliability Fixture RFQ_2009 04 24_Pearl RFQ(Submittal)ver2_05_12_2009 _Leopard Lemur Squirrel UniBom-06.22.2010_EE cost _update_internal_Bolt RFQ Proposal_Foxlink_ (Pricing Summary) 2 25 2011 5 3" xfId="26912"/>
    <cellStyle name="好_River EE BOM_Creak Pearl Reliability Fixture RFQ_2009 04 24_Pearl RFQ(Submittal)ver2_05_12_2009 _Leopard Lemur Squirrel UniBom-06.22.2010_EE cost _update_internal_Bolt RFQ Proposal_Foxlink_ (Pricing Summary) 2 25 2011 6" xfId="26913"/>
    <cellStyle name="好_River EE BOM_Creak Pearl Reliability Fixture RFQ_2009 04 24_Pearl RFQ(Submittal)ver2_05_12_2009 _Leopard Lemur Squirrel UniBom-06.22.2010_EE cost _update_internal_Bolt RFQ_Foxlink_03.1 2011" xfId="26914"/>
    <cellStyle name="好_River EE BOM_Creak Pearl Reliability Fixture RFQ_2009 04 24_Pearl RFQ(Submittal)ver2_05_12_2009 _Leopard Lemur Squirrel UniBom-06.22.2010_EE cost _update_internal_Bolt RFQ_Foxlink_03.1 2011 2" xfId="26915"/>
    <cellStyle name="好_River EE BOM_Creak Pearl Reliability Fixture RFQ_2009 04 24_Pearl RFQ(Submittal)ver2_05_12_2009 _Leopard Lemur Squirrel UniBom-06.22.2010_EE cost _update_internal_Bolt RFQ_Foxlink_03.1 2011 2 2" xfId="26916"/>
    <cellStyle name="好_River EE BOM_Creak Pearl Reliability Fixture RFQ_2009 04 24_Pearl RFQ(Submittal)ver2_05_12_2009 _Leopard Lemur Squirrel UniBom-06.22.2010_EE cost _update_internal_Bolt RFQ_Foxlink_03.1 2011 2 3" xfId="26917"/>
    <cellStyle name="好_River EE BOM_Creak Pearl Reliability Fixture RFQ_2009 04 24_Pearl RFQ(Submittal)ver2_05_12_2009 _Leopard Lemur Squirrel UniBom-06.22.2010_EE cost _update_internal_Bolt RFQ_Foxlink_03.1 2011 3" xfId="26918"/>
    <cellStyle name="好_River EE BOM_Creak Pearl Reliability Fixture RFQ_2009 04 24_Pearl RFQ(Submittal)ver2_05_12_2009 _Leopard Lemur Squirrel UniBom-06.22.2010_EE cost _update_internal_Bolt RFQ_Foxlink_03.1 2011 3 2" xfId="26919"/>
    <cellStyle name="差_Xl0000000_Squirrel RFQ ME BOM Costs-0623_Bolt RFQ_Foxlink_03.1 2011 2" xfId="26920"/>
    <cellStyle name="好_River EE BOM_Creak Pearl Reliability Fixture RFQ_2009 04 24_Pearl RFQ(Submittal)ver2_05_12_2009 _Leopard Lemur Squirrel UniBom-06.22.2010_EE cost _update_internal_Bolt RFQ_Foxlink_03.1 2011 4" xfId="26921"/>
    <cellStyle name="差_Xl0000000_Squirrel RFQ ME BOM Costs-0623_Bolt RFQ_Foxlink_03.1 2011 3" xfId="26922"/>
    <cellStyle name="好_River EE BOM_Creak Pearl Reliability Fixture RFQ_2009 04 24_Pearl RFQ(Submittal)ver2_05_12_2009 _Leopard Lemur Squirrel UniBom-06.22.2010_EE cost _update_internal_Bolt RFQ_Foxlink_03.1 2011 5" xfId="26923"/>
    <cellStyle name="差_F3   SMT設備明細_M1 Bolt wireless mouse FixtureEquipment Cost_A2_2010_12_07_Bolt RFQ Proposal_Foxlink_ (Pricing Summary) 2 25 2011 4 2" xfId="26924"/>
    <cellStyle name="差_Creek RFQ feedback 04_28_2009_FD Update_Squirrel UniBom-06.23.2010_update_internal 4" xfId="26925"/>
    <cellStyle name="好_River EE BOM_Creak Pearl Reliability Fixture RFQ_2009 04 24_Pearl RFQ(Submittal)ver2_05_12_2009 _Leopard Lemur Squirrel UniBom-06.22.2010_EE cost _update_internal_Bolt RFQ_Foxlink_03.1 2011_nego meeting@MACH 2 3" xfId="26926"/>
    <cellStyle name="好_River EE BOM_Creak Pearl Reliability Fixture RFQ_2009 04 24_Pearl RFQ(Submittal)ver2_05_12_2009 _Leopard Lemur Squirrel UniBom-06.22.2010_EE cost _update_internal_Bolt RFQ_Foxlink_03.1 2011_nego meeting@MACH 3" xfId="26927"/>
    <cellStyle name="差_HP  專案(設備&amp;治工具需夠買)update_M1 SuedeFixtureEquipment Cost_A0_2010_10_15_Wedge_ME_BOM-v00-11v0630 2 2" xfId="26928"/>
    <cellStyle name="好_River EE BOM_Creak Pearl Reliability Fixture RFQ_2009 04 24_Pearl RFQ(Submittal)ver2_05_12_2009 _Leopard Lemur Squirrel UniBom-06.22.2010_EE cost _update_internal_Bolt RFQ_Foxlink_03.1 2011_nego meeting@MACH 3 2" xfId="26929"/>
    <cellStyle name="好_River EE BOM_Creak Pearl Reliability Fixture RFQ_2009 04 24_Pearl RFQ(Submittal)ver2_05_12_2009 _Leopard RFQ ME BOM Costs-0618" xfId="26930"/>
    <cellStyle name="好_River EE BOM_Creak Pearl Reliability Fixture RFQ_2009 04 24_Pearl RFQ(Submittal)ver2_05_12_2009 _Leopard RFQ ME BOM Costs-0623" xfId="26931"/>
    <cellStyle name="好_River EE BOM_Creak Pearl Reliability Fixture RFQ_2009 04 24_Pearl RFQ(Submittal)ver2_05_12_2009 _Leopard RFQ ME BOM Costs-0618 2 2 2" xfId="26932"/>
    <cellStyle name="好_River EE BOM_Creak Pearl Reliability Fixture RFQ_2009 04 24_Pearl RFQ(Submittal)ver2_05_12_2009 _Leopard RFQ ME BOM Costs-0618 2 2 3" xfId="26933"/>
    <cellStyle name="好_River EE BOM_Creak Pearl Reliability Fixture RFQ_2009 04 24_Pearl RFQ(Submittal)ver2_05_12_2009 _Leopard RFQ ME BOM Costs-0618 3" xfId="26934"/>
    <cellStyle name="差_Creak Pearl Reliability Fixture RFQ_2009 04 24_Xl0000002_Leopard UniBom_Foxlink_6 21 2010-ME_nego_Bolt RFQ Proposal_Foxlink_ (Pricing Summary) 2 25 2011 3 2" xfId="26935"/>
    <cellStyle name="好_River EE BOM_Creak Pearl Reliability Fixture RFQ_2009 04 24_Pearl RFQ(Submittal)ver2_05_12_2009 _Leopard RFQ ME BOM Costs-0618_Bolt RFQ Proposal_Foxlink_ (Pricing Summary) 2 25 2011" xfId="26936"/>
    <cellStyle name="好_River EE BOM_Creak Pearl Reliability Fixture RFQ_2009 04 24_Pearl RFQ(Submittal)ver2_05_12_2009 _Leopard RFQ ME BOM Costs-0618_Bolt RFQ Proposal_Foxlink_ (Pricing Summary) 2 25 2011 2" xfId="26937"/>
    <cellStyle name="好_River EE BOM_Creak Pearl Reliability Fixture RFQ_2009 04 24_Pearl RFQ(Submittal)ver2_05_12_2009 _Leopard RFQ ME BOM Costs-0618_Bolt RFQ Proposal_Foxlink_ (Pricing Summary) 2 25 2011 2 3" xfId="26938"/>
    <cellStyle name="好_River EE BOM_Creak Pearl Reliability Fixture RFQ_2009 04 24_Xl0000002_Leopard RFQ ME BOM Costs-0618-2_Bolt RFQ Proposal_Foxlink_ (Pricing Summary) 2 25 2011 5 2" xfId="26939"/>
    <cellStyle name="好_River EE BOM_Creak Pearl Reliability Fixture RFQ_2009 04 24_Pearl RFQ(Submittal)ver2_05_12_2009 _Leopard RFQ ME BOM Costs-0618_Bolt RFQ Proposal_Foxlink_ (Pricing Summary) 2 25 2011 2 4" xfId="26940"/>
    <cellStyle name="差_Creak Pearl Reliability Fixture RFQ_2009 04 24_Creek  Pearl RFQ_May 12_Squirrel UniBom-06.23.2010_update_internal_Bolt RFQ_Foxlink_03.1 2011 2 3" xfId="26941"/>
    <cellStyle name="好_River EE BOM_Creak Pearl Reliability Fixture RFQ_2009 04 24_Pearl RFQ(Submittal)ver2_05_12_2009 _Leopard RFQ ME BOM Costs-0618_Bolt RFQ Proposal_Foxlink_ (Pricing Summary) 2 25 2011 3 2" xfId="26942"/>
    <cellStyle name="好_River EE BOM_Creak Pearl Reliability Fixture RFQ_2009 04 24_Pearl RFQ(Submittal)ver2_05_12_2009 _Leopard RFQ ME BOM Costs-0618_Bolt RFQ Proposal_Foxlink_ (Pricing Summary) 2 25 2011 3 3" xfId="26943"/>
    <cellStyle name="差_Creak Pearl Reliability Fixture RFQ_2009 04 24_Creek  Pearl RFQ_May 12_Squirrel UniBom-06.23.2010_update_internal_Bolt RFQ_Foxlink_03.1 2011 3 3" xfId="26944"/>
    <cellStyle name="表示済みのハイパーリンク" xfId="26945"/>
    <cellStyle name="好_River EE BOM_Creak Pearl Reliability Fixture RFQ_2009 04 24_Pearl RFQ(Submittal)ver2_05_12_2009 _Leopard RFQ ME BOM Costs-0618_Bolt RFQ Proposal_Foxlink_ (Pricing Summary) 2 25 2011 4 2" xfId="26946"/>
    <cellStyle name="好_River EE BOM_Creak Pearl Reliability Fixture RFQ_2009 04 24_Pearl RFQ(Submittal)ver2_05_12_2009 _Leopard RFQ ME BOM Costs-0618_Bolt RFQ Proposal_Foxlink_ (Pricing Summary) 2 25 2011 4 3" xfId="26947"/>
    <cellStyle name="差_Creak Pearl Reliability Fixture RFQ_2009 04 24_Creek RFQ feedback 04_28_2009_FD Update_Leopard_UniBOM_ME_0602_Bolt RFQ_Foxlink_03.1 2011 3 2" xfId="26948"/>
    <cellStyle name="好_River EE BOM_Creak Pearl Reliability Fixture RFQ_2009 04 24_Pearl RFQ(Submittal)ver2_05_12_2009 _Leopard RFQ ME BOM Costs-0618_Bolt RFQ Proposal_Foxlink_ (Pricing Summary) 2 25 2011 6" xfId="26949"/>
    <cellStyle name="差_Creak Pearl Reliability Fixture RFQ_2009 04 24_Creek RFQ feedback 04_28_2009_FD Update_Leopard_UniBOM_ME_0602_Bolt RFQ_Foxlink_03.1 2011 3 3" xfId="26950"/>
    <cellStyle name="好_River EE BOM_Creak Pearl Reliability Fixture RFQ_2009 04 24_Pearl RFQ(Submittal)ver2_05_12_2009 _Leopard RFQ ME BOM Costs-0618_Bolt RFQ Proposal_Foxlink_ (Pricing Summary) 2 25 2011 7" xfId="26951"/>
    <cellStyle name="好_River EE BOM_Creak Pearl Reliability Fixture RFQ_2009 04 24_Pearl RFQ(Submittal)ver2_05_12_2009 _Leopard RFQ ME BOM Costs-0618_Bolt RFQ_Foxlink_03.1 2011" xfId="26952"/>
    <cellStyle name="差_jupite r設備&amp;治工具LIST (總)_效益分析 (12-9 A1)_~1159284" xfId="26953"/>
    <cellStyle name="好_River EE BOM_Creak Pearl Reliability Fixture RFQ_2009 04 24_Pearl RFQ(Submittal)ver2_05_12_2009 _Leopard RFQ ME BOM Costs-0618_Bolt RFQ_Foxlink_03.1 2011 2 2" xfId="26954"/>
    <cellStyle name="好_River EE BOM_Creak Pearl Reliability Fixture RFQ_2009 04 24_Pearl RFQ(Submittal)ver2_05_12_2009 _Leopard RFQ ME BOM Costs-0618_Bolt RFQ_Foxlink_03.1 2011 2 3" xfId="26955"/>
    <cellStyle name="好_River EE BOM_Creak Pearl Reliability Fixture RFQ_2009 04 24_Squirrel RFQ ME BOM Costs-0623 3" xfId="26956"/>
    <cellStyle name="好_River EE BOM_Creak Pearl Reliability Fixture RFQ_2009 04 24_Pearl RFQ(Submittal)ver2_05_12_2009 _Leopard RFQ ME BOM Costs-0618_Bolt RFQ_Foxlink_03.1 2011 3 3" xfId="26957"/>
    <cellStyle name="好_River EE BOM_Creak Pearl Reliability Fixture RFQ_2009 04 24_Pearl RFQ(Submittal)ver2_05_12_2009 _Leopard RFQ ME BOM Costs-0618_Bolt RFQ_Foxlink_03.1 2011_nego meeting@MACH 2 2" xfId="26958"/>
    <cellStyle name="好_River EE BOM_Creak Pearl Reliability Fixture RFQ_2009 04 24_Pearl RFQ(Submittal)ver2_05_12_2009 _Leopard RFQ ME BOM Costs-0618_Bolt RFQ_Foxlink_03.1 2011_nego meeting@MACH 3 2" xfId="26959"/>
    <cellStyle name="好_River EE BOM_Creak Pearl Reliability Fixture RFQ_2009 04 24_Pearl RFQ(Submittal)ver2_05_12_2009 _Leopard RFQ ME BOM Costs-0618-2 2" xfId="26960"/>
    <cellStyle name="好_River EE BOM_Creak Pearl Reliability Fixture RFQ_2009 04 24_Pearl RFQ(Submittal)ver2_05_12_2009 _Leopard RFQ ME BOM Costs-0618-2 2 2 2" xfId="26961"/>
    <cellStyle name="好_River EE BOM_Creak Pearl Reliability Fixture RFQ_2009 04 24_Pearl RFQ(Submittal)ver2_05_12_2009 _Leopard RFQ ME BOM Costs-0618-2 2 2 3" xfId="26962"/>
    <cellStyle name="好_River EE BOM_Creak Pearl Reliability Fixture RFQ_2009 04 24_Pearl RFQ(Submittal)ver2_05_12_2009 _Leopard RFQ ME BOM Costs-0618-2 3" xfId="26963"/>
    <cellStyle name="好_River EE BOM_Creak Pearl Reliability Fixture RFQ_2009 04 24_Pearl RFQ(Submittal)ver2_05_12_2009 _Leopard RFQ ME BOM Costs-0618-2_Bolt RFQ Proposal_Foxlink_ (Pricing Summary) 2 25 2011" xfId="26964"/>
    <cellStyle name="差_MS Bolt wireless mouse FixtureEquipment Cost_A5_2010_02_21_Bolt RFQ Proposal_Foxlink_ (Pricing Summary) 2 25 2011 5 2" xfId="26965"/>
    <cellStyle name="差_HP Mouse 產能評估(Forecast更改後)_Bolt RFQ Proposal_Foxlink_ (Pricing Summary) 2 25 2011 4 3" xfId="26966"/>
    <cellStyle name="好_River EE BOM_Creak Pearl Reliability Fixture RFQ_2009 04 24_Pearl RFQ(Submittal)ver2_05_12_2009 _Leopard RFQ ME BOM Costs-0618-2_Bolt RFQ Proposal_Foxlink_ (Pricing Summary) 2 25 2011 2 2" xfId="26967"/>
    <cellStyle name="差_MS Bolt wireless mouse FixtureEquipment Cost_A5_2010_02_21_Bolt RFQ Proposal_Foxlink_ (Pricing Summary) 2 25 2011 7" xfId="26968"/>
    <cellStyle name="差_Creak Pearl Reliability Fixture RFQ_2009 04 24_Xl0000002_Leopard UniBom_Foxlink_6 21 2010-ME_nego_Bolt RFQ Proposal_Foxlink_ (Pricing Summary) 2 25 2011" xfId="26969"/>
    <cellStyle name="好_River EE BOM_Creak Pearl Reliability Fixture RFQ_2009 04 24_Pearl RFQ(Submittal)ver2_05_12_2009 _Leopard RFQ ME BOM Costs-0618-2_Bolt RFQ Proposal_Foxlink_ (Pricing Summary) 2 25 2011 4" xfId="26970"/>
    <cellStyle name="差_Creak Pearl Reliability Fixture RFQ_2009 04 24_Xl0000002_Leopard UniBom_Foxlink_6 21 2010-ME_nego_Bolt RFQ Proposal_Foxlink_ (Pricing Summary) 2 25 2011 2" xfId="26971"/>
    <cellStyle name="好_River EE BOM_Creak Pearl Reliability Fixture RFQ_2009 04 24_Pearl RFQ(Submittal)ver2_05_12_2009 _Leopard RFQ ME BOM Costs-0618-2_Bolt RFQ Proposal_Foxlink_ (Pricing Summary) 2 25 2011 4 2" xfId="26972"/>
    <cellStyle name="差_Creak Pearl Reliability Fixture RFQ_2009 04 24_Xl0000002_Leopard UniBom_Foxlink_6 21 2010-ME_nego_Bolt RFQ Proposal_Foxlink_ (Pricing Summary) 2 25 2011 3" xfId="26973"/>
    <cellStyle name="好_River EE BOM_Creak Pearl Reliability Fixture RFQ_2009 04 24_Pearl RFQ(Submittal)ver2_05_12_2009 _Leopard RFQ ME BOM Costs-0618-2_Bolt RFQ Proposal_Foxlink_ (Pricing Summary) 2 25 2011 4 3" xfId="26974"/>
    <cellStyle name="差_HP  專案(設備&amp;治工具需夠買)update_M1 SuedeFixtureEquipment Cost_A0_2010_10_15 2 4" xfId="26975"/>
    <cellStyle name="好_River EE BOM_Creak Pearl Reliability Fixture RFQ_2009 04 24_Pearl RFQ(Submittal)ver2_05_12_2009 _Leopard RFQ ME BOM Costs-0618-2_Bolt RFQ_Foxlink_03.1 2011 3 2" xfId="26976"/>
    <cellStyle name="差_Creak Pearl Reliability Fixture RFQ_2009 04 24_Xl0000002_Leopard Lemur Squirrel UniBom-06.22.2010_EE cost _update_internal 2 2" xfId="26977"/>
    <cellStyle name="好_River EE BOM_Creak Pearl Reliability Fixture RFQ_2009 04 24_Pearl RFQ(Submittal)ver2_05_12_2009 _Leopard RFQ ME BOM Costs-0618-2_Bolt RFQ_Foxlink_03.1 2011_nego meeting@MACH" xfId="26978"/>
    <cellStyle name="差_Creak Pearl Reliability Fixture RFQ_2009 04 24_Xl0000002_Leopard Lemur Squirrel UniBom-06.22.2010_EE cost _update_internal 2 2 2" xfId="26979"/>
    <cellStyle name="好_River EE BOM_Creak Pearl Reliability Fixture RFQ_2009 04 24_Pearl RFQ(Submittal)ver2_05_12_2009 _Leopard RFQ ME BOM Costs-0618-2_Bolt RFQ_Foxlink_03.1 2011_nego meeting@MACH 2" xfId="26980"/>
    <cellStyle name="樣式 1 2" xfId="26981"/>
    <cellStyle name="好_River EE BOM_Creak Pearl Reliability Fixture RFQ_2009 04 24_Pearl RFQ(Submittal)ver2_05_12_2009 _Leopard RFQ ME BOM Costs-0618-2_Bolt RFQ_Foxlink_03.1 2011_nego meeting@MACH 2 3" xfId="26982"/>
    <cellStyle name="差_Creak Pearl Reliability Fixture RFQ_2009 04 24_Xl0000002_Leopard Lemur Squirrel UniBom-06.22.2010_EE cost _update_internal 2 2 3" xfId="26983"/>
    <cellStyle name="好_River EE BOM_Creak Pearl Reliability Fixture RFQ_2009 04 24_Pearl RFQ(Submittal)ver2_05_12_2009 _Leopard RFQ ME BOM Costs-0618-2_Bolt RFQ_Foxlink_03.1 2011_nego meeting@MACH 3" xfId="26984"/>
    <cellStyle name="好_River EE BOM_Squirrel UniBom-06.23.2010_update_internal_Bolt RFQ_Foxlink_03.1 2011 4" xfId="26985"/>
    <cellStyle name="好_River EE BOM_Creak Pearl Reliability Fixture RFQ_2009 04 24_Pearl RFQ(Submittal)ver2_05_12_2009 _Leopard RFQ ME BOM Costs-0618-2_Bolt RFQ_Foxlink_03.1 2011_nego meeting@MACH 3 2" xfId="26986"/>
    <cellStyle name="好_River EE BOM_Creak Pearl Reliability Fixture RFQ_2009 04 24_Pearl RFQ(Submittal)ver2_05_12_2009 _Leopard RFQ ME BOM Costs-0618-2_Bolt RFQ_Foxlink_03.1 2011_nego meeting@MACH 5" xfId="26987"/>
    <cellStyle name="差_治具工程課2009年KPI_2009MB KPI-0205 2 2 3" xfId="26988"/>
    <cellStyle name="好_River EE BOM_Creak Pearl Reliability Fixture RFQ_2009 04 24_Pearl RFQ(Submittal)ver2_05_12_2009 _Leopard UniBom_Foxlink_6 21 2010-ME_nego 2 2" xfId="26989"/>
    <cellStyle name="好_River EE BOM_Creak Pearl Reliability Fixture RFQ_2009 04 24_Pearl RFQ(Submittal)ver2_05_12_2009 _Leopard UniBom_Foxlink_6 21 2010-ME_nego 2 2 3" xfId="26990"/>
    <cellStyle name="差_HP  專案(設備&amp;治工具需夠買)update_Erie 效益分析 (Update)_Jackson 效益分析 (2-1 B0 上系統)_Leopard效益分析08-17" xfId="26991"/>
    <cellStyle name="差_治具工程課2009年KPI_2009MB KPI-0205 2 2 4" xfId="26992"/>
    <cellStyle name="好_River EE BOM_Creak Pearl Reliability Fixture RFQ_2009 04 24_Pearl RFQ(Submittal)ver2_05_12_2009 _Leopard UniBom_Foxlink_6 21 2010-ME_nego 2 3" xfId="26993"/>
    <cellStyle name="好_River EE BOM_Creak Pearl Reliability Fixture RFQ_2009 04 24_Pearl RFQ(Submittal)ver2_05_12_2009 _Leopard UniBom_Foxlink_6 21 2010-ME_nego 2 4" xfId="26994"/>
    <cellStyle name="差_Xl0000002_Squirrel RFQ ME BOM Costs-0623_Bolt RFQ Proposal_Foxlink_ (Pricing Summary) 2 25 2011 5 2" xfId="26995"/>
    <cellStyle name="好_River EE BOM_Creak Pearl Reliability Fixture RFQ_2009 04 24_Pearl RFQ(Submittal)ver2_05_12_2009 _Leopard UniBom_Foxlink_6 21 2010-ME_nego 3" xfId="26996"/>
    <cellStyle name="差_治具工程課2009年KPI_2009MB KPI-0205 2 3 3" xfId="26997"/>
    <cellStyle name="好_River EE BOM_Creak Pearl Reliability Fixture RFQ_2009 04 24_Pearl RFQ(Submittal)ver2_05_12_2009 _Leopard UniBom_Foxlink_6 21 2010-ME_nego 3 2" xfId="26998"/>
    <cellStyle name="好_River EE BOM_Creak Pearl Reliability Fixture RFQ_2009 04 24_Pearl RFQ(Submittal)ver2_05_12_2009 _Leopard UniBom_Foxlink_6 21 2010-ME_nego 3 3" xfId="26999"/>
    <cellStyle name="差_Creak Pearl Reliability Fixture RFQ_2009 04 24_Creek  Pearl RFQ_May 12_Leopard UniBom_Foxlink_12272010 RevF_shirley" xfId="27000"/>
    <cellStyle name="差_jupite r設備&amp;治工具LIST (總)_flow chart 2009.12.12_Flow Chart&amp;設備治工具清單 _Jackson 效益分析 (2-1 B0 上系統)_squirrel效益分析08-17" xfId="27001"/>
    <cellStyle name="好_River EE BOM_Creak Pearl Reliability Fixture RFQ_2009 04 24_Pearl RFQ(Submittal)ver2_05_12_2009 _Leopard UniBom_Foxlink_6 21 2010-ME_nego_Bolt RFQ Proposal_Foxlink_ (Pricing Summary) 2 25 2011" xfId="27002"/>
    <cellStyle name="好_River EE BOM_Creak Pearl Reliability Fixture RFQ_2009 04 24_Pearl RFQ(Submittal)ver2_05_12_2009 _Leopard UniBom_Foxlink_6 21 2010-ME_nego_Bolt RFQ Proposal_Foxlink_ (Pricing Summary) 2 25 2011 2" xfId="27003"/>
    <cellStyle name="差_F3   SMT設備明細_效益分析_~3106354_Jackson 效益分析 (2-1 B0 上系統)_Leopard效益分析08-17" xfId="27004"/>
    <cellStyle name="好_River EE BOM_Creak Pearl Reliability Fixture RFQ_2009 04 24_Pearl RFQ(Submittal)ver2_05_12_2009 _Leopard UniBom_Foxlink_6 21 2010-ME_nego_Bolt RFQ Proposal_Foxlink_ (Pricing Summary) 2 25 2011 2 2" xfId="27005"/>
    <cellStyle name="好_River EE BOM_Creak Pearl Reliability Fixture RFQ_2009 04 24_Pearl RFQ(Submittal)ver2_05_12_2009 _Leopard UniBom_Foxlink_6 21 2010-ME_nego_Bolt RFQ Proposal_Foxlink_ (Pricing Summary) 2 25 2011 3" xfId="27006"/>
    <cellStyle name="好_River EE BOM_Creak Pearl Reliability Fixture RFQ_2009 04 24_Pearl RFQ(Submittal)ver2_05_12_2009 _Leopard UniBom_Foxlink_6 21 2010-ME_nego_Bolt RFQ Proposal_Foxlink_ (Pricing Summary) 2 25 2011 4 3" xfId="27007"/>
    <cellStyle name="差_Erie mouse 效益分析( 11-19 A1)_Flow Chart&amp;設備治工具清單 _Jackson 效益分析 (2-1 B0 上系統)_Leopard Flowchart &amp; 產能評估" xfId="27008"/>
    <cellStyle name="好_River EE BOM_Creak Pearl Reliability Fixture RFQ_2009 04 24_Pearl RFQ(Submittal)ver2_05_12_2009 _Leopard UniBom_Foxlink_6 21 2010-ME_nego_Bolt RFQ Proposal_Foxlink_ (Pricing Summary) 2 25 2011 5 2" xfId="27009"/>
    <cellStyle name="差_Creek RFQ feedback 04_28_2009_FD Update_Leopard_UniBOM_ME_0602-1_Bolt RFQ Proposal_Foxlink_ (Pricing Summary) 2 25 2011 2" xfId="27010"/>
    <cellStyle name="好_River EE BOM_Creak Pearl Reliability Fixture RFQ_2009 04 24_Pearl RFQ(Submittal)ver2_05_12_2009 _Leopard UniBom_Foxlink_6 21 2010-ME_nego_Bolt RFQ Proposal_Foxlink_ (Pricing Summary) 2 25 2011 5 3" xfId="27011"/>
    <cellStyle name="差_Creek RFQ feedback 04_28_2009_FD Update_Leopard_UniBOM_ME_0602-1_Bolt RFQ Proposal_Foxlink_ (Pricing Summary) 2 25 2011 3" xfId="27012"/>
    <cellStyle name="好_River EE BOM_Creak Pearl Reliability Fixture RFQ_2009 04 24_Pearl RFQ(Submittal)ver2_05_12_2009 _Leopard UniBom_Foxlink_6 21 2010-ME_nego_Bolt RFQ Proposal_Foxlink_ (Pricing Summary) 2 25 2011 6" xfId="27013"/>
    <cellStyle name="好_River EE BOM_Creak Pearl Reliability Fixture RFQ_2009 04 24_Pearl RFQ(Submittal)ver2_05_12_2009 _Leopard UniBom_Foxlink_6 21 2010-ME_nego_Bolt RFQ_Foxlink_03.1 2011 2" xfId="27014"/>
    <cellStyle name="好_River EE BOM_Creak Pearl Reliability Fixture RFQ_2009 04 24_Pearl RFQ(Submittal)ver2_05_12_2009 _Leopard UniBom_Foxlink_6 21 2010-ME_nego_Bolt RFQ_Foxlink_03.1 2011 2 2" xfId="27015"/>
    <cellStyle name="好_River EE BOM_Creak Pearl Reliability Fixture RFQ_2009 04 24_Pearl RFQ(Submittal)ver2_05_12_2009 _Leopard UniBom_Foxlink_6 21 2010-ME_nego_Bolt RFQ_Foxlink_03.1 2011 2 3" xfId="27016"/>
    <cellStyle name="差_Creak Pearl Reliability Fixture RFQ_2009 04 24_Xl0000002_Leopard_UniBOM_ME_0531_Bolt RFQ Proposal_Foxlink_ (Pricing Summary) 2 25 2011 2 2" xfId="27017"/>
    <cellStyle name="好_River EE BOM_Creak Pearl Reliability Fixture RFQ_2009 04 24_Pearl RFQ(Submittal)ver2_05_12_2009 _Leopard UniBom_Foxlink_6 21 2010-ME_nego_Bolt RFQ_Foxlink_03.1 2011 4" xfId="27018"/>
    <cellStyle name="差_Creak Pearl Reliability Fixture RFQ_2009 04 24_Xl0000002_Leopard_UniBOM_ME_0531_Bolt RFQ Proposal_Foxlink_ (Pricing Summary) 2 25 2011 2 3" xfId="27019"/>
    <cellStyle name="好_River EE BOM_Creak Pearl Reliability Fixture RFQ_2009 04 24_Pearl RFQ(Submittal)ver2_05_12_2009 _Leopard UniBom_Foxlink_6 21 2010-ME_nego_Bolt RFQ_Foxlink_03.1 2011 5" xfId="27020"/>
    <cellStyle name="好_River EE BOM_Creak Pearl Reliability Fixture RFQ_2009 04 24_Pearl RFQ(Submittal)ver2_05_12_2009 _Leopard UniBom_Foxlink_6 21 2010-ME_nego_Bolt RFQ_Foxlink_03.1 2011_nego meeting@MACH" xfId="27021"/>
    <cellStyle name="好_River EE BOM_Creak Pearl Reliability Fixture RFQ_2009 04 24_Pearl RFQ(Submittal)ver2_05_12_2009 _Leopard UniBom_Foxlink_6 21 2010-ME_nego_Bolt RFQ_Foxlink_03.1 2011_nego meeting@MACH 2 3" xfId="27022"/>
    <cellStyle name="好_River EE BOM_Creak Pearl Reliability Fixture RFQ_2009 04 24_Pearl RFQ(Submittal)ver2_05_12_2009 _Leopard UniBom_Foxlink_6 21 2010-ME_nego_Bolt RFQ_Foxlink_03.1 2011_nego meeting@MACH 3 2" xfId="27023"/>
    <cellStyle name="好_River EE BOM_Creak Pearl Reliability Fixture RFQ_2009 04 24_Pearl RFQ(Submittal)ver2_05_12_2009 _Leopard UniBom_Foxlink_6 21 2010-ME_nego_Bolt RFQ_Foxlink_03.1 2011_nego meeting@MACH 3 3" xfId="27024"/>
    <cellStyle name="差_HP Mouse 產能評估(上系統)_M1 Bolt wireless mouse FixtureEquipment Cost_A2_2010_12_07_Bolt RFQ Proposal_Foxlink_ (Pricing Summary) 2 25 2011 3" xfId="27025"/>
    <cellStyle name="好_River EE BOM_Creak Pearl Reliability Fixture RFQ_2009 04 24_Pearl RFQ(Submittal)ver2_05_12_2009 _Leopard UniBom_Foxlink_6 21 2010-ME_nego_Bolt RFQ_Foxlink_03.1 2011_nego meeting@MACH 5" xfId="27026"/>
    <cellStyle name="差_Creak Pearl Reliability Fixture RFQ_2009 04 24_Xl0000002_Leopard_UniBOM_ME_0602_Bolt RFQ_Foxlink_03.1 2011 5" xfId="27027"/>
    <cellStyle name="好_River EE BOM_Creak Pearl Reliability Fixture RFQ_2009 04 24_Pearl RFQ(Submittal)ver2_05_12_2009 _Leopard_UniBOM_ME_0531 2" xfId="27028"/>
    <cellStyle name="好_River EE BOM_Creak Pearl Reliability Fixture RFQ_2009 04 24_Pearl RFQ(Submittal)ver2_05_12_2009 _Leopard_UniBOM_ME_0531 2 2 3" xfId="27029"/>
    <cellStyle name="好_River EE BOM_Creak Pearl Reliability Fixture RFQ_2009 04 24_Pearl RFQ(Submittal)ver2_05_12_2009 _Leopard_UniBOM_ME_0531 3 3" xfId="27030"/>
    <cellStyle name="好_River EE BOM_Creak Pearl Reliability Fixture RFQ_2009 04 24_Pearl RFQ(Submittal)ver2_05_12_2009 _Leopard_UniBOM_ME_0531_Bolt RFQ Proposal_Foxlink_ (Pricing Summary) 2 25 2011" xfId="27031"/>
    <cellStyle name="好_River EE BOM_Creak Pearl Reliability Fixture RFQ_2009 04 24_Pearl RFQ(Submittal)ver2_05_12_2009 _Leopard_UniBOM_ME_0531_Bolt RFQ Proposal_Foxlink_ (Pricing Summary) 2 25 2011 2 2" xfId="27032"/>
    <cellStyle name="好_River EE BOM_Creak Pearl Reliability Fixture RFQ_2009 04 24_Pearl RFQ(Submittal)ver2_05_12_2009 _Leopard_UniBOM_ME_0531_Bolt RFQ Proposal_Foxlink_ (Pricing Summary) 2 25 2011 3" xfId="27033"/>
    <cellStyle name="好_River EE BOM_Creak Pearl Reliability Fixture RFQ_2009 04 24_Pearl RFQ(Submittal)ver2_05_12_2009 _Leopard_UniBOM_ME_0531_Bolt RFQ Proposal_Foxlink_ (Pricing Summary) 2 25 2011 3 2" xfId="27034"/>
    <cellStyle name="好_River EE BOM_Creak Pearl Reliability Fixture RFQ_2009 04 24_Pearl RFQ(Submittal)ver2_05_12_2009 _Leopard_UniBOM_ME_0531_Bolt RFQ Proposal_Foxlink_ (Pricing Summary) 2 25 2011 4 3" xfId="27035"/>
    <cellStyle name="差_Creak Pearl Reliability Fixture RFQ_2009 04 24_Pearl RFQ(Submittal)ver2_05_12_2009 _Leopard_UniBOM_ME_0603-2_Bolt RFQ_Foxlink_03.1 2011 3 3" xfId="27036"/>
    <cellStyle name="好_River EE BOM_Creak Pearl Reliability Fixture RFQ_2009 04 24_Pearl RFQ(Submittal)ver2_05_12_2009 _Leopard_UniBOM_ME_0531_Bolt RFQ Proposal_Foxlink_ (Pricing Summary) 2 25 2011 5" xfId="27037"/>
    <cellStyle name="好_River EE BOM_Creak Pearl Reliability Fixture RFQ_2009 04 24_Pearl RFQ(Submittal)ver2_05_12_2009 _Leopard_UniBOM_ME_0531_Bolt RFQ Proposal_Foxlink_ (Pricing Summary) 2 25 2011 5 3" xfId="27038"/>
    <cellStyle name="好_River EE BOM_Creak Pearl Reliability Fixture RFQ_2009 04 24_Pearl RFQ(Submittal)ver2_05_12_2009 _Leopard_UniBOM_ME_0531_Bolt RFQ_Foxlink_03.1 2011_nego meeting@MACH 2 2" xfId="27039"/>
    <cellStyle name="好_效益分析&amp;產能評估_MS Bolt wireless mouse FixtureEquipment Cost_A5_2010_02_21_Bolt RFQ_Foxlink_03.1 2011 3 2" xfId="27040"/>
    <cellStyle name="好_River EE BOM_Creak Pearl Reliability Fixture RFQ_2009 04 24_Pearl RFQ(Submittal)ver2_05_12_2009 _Leopard_UniBOM_ME_0531_Bolt RFQ_Foxlink_03.1 2011 2 2" xfId="27041"/>
    <cellStyle name="好_效益分析&amp;產能評估_MS Bolt wireless mouse FixtureEquipment Cost_A5_2010_02_21_Bolt RFQ_Foxlink_03.1 2011 4" xfId="27042"/>
    <cellStyle name="好_River EE BOM_Creak Pearl Reliability Fixture RFQ_2009 04 24_Pearl RFQ(Submittal)ver2_05_12_2009 _Leopard_UniBOM_ME_0531_Bolt RFQ_Foxlink_03.1 2011 3" xfId="27043"/>
    <cellStyle name="好_River EE BOM_Creak Pearl Reliability Fixture RFQ_2009 04 24_Pearl RFQ(Submittal)ver2_05_12_2009 _Leopard_UniBOM_ME_0531_Bolt RFQ_Foxlink_03.1 2011 5" xfId="27044"/>
    <cellStyle name="差_Creak Pearl Reliability Fixture RFQ_2009 04 24_Creek  Pearl RFQ_May 12_Bolt RFQ Proposal_Foxlink_ (Pricing Summary) 2 25 2011 4" xfId="27045"/>
    <cellStyle name="好_River EE BOM_Creak Pearl Reliability Fixture RFQ_2009 04 24_Pearl RFQ(Submittal)ver2_05_12_2009 _Leopard_UniBOM_ME_0531_Bolt RFQ_Foxlink_03.1 2011_nego meeting@MACH" xfId="27046"/>
    <cellStyle name="差_Creak Pearl Reliability Fixture RFQ_2009 04 24_Creek  Pearl RFQ_May 12_Bolt RFQ Proposal_Foxlink_ (Pricing Summary) 2 25 2011 4 2" xfId="27047"/>
    <cellStyle name="好_River EE BOM_Creak Pearl Reliability Fixture RFQ_2009 04 24_Pearl RFQ(Submittal)ver2_05_12_2009 _Leopard_UniBOM_ME_0531_Bolt RFQ_Foxlink_03.1 2011_nego meeting@MACH 2" xfId="27048"/>
    <cellStyle name="好_River EE BOM_Creak Pearl Reliability Fixture RFQ_2009 04 24_Pearl RFQ(Submittal)ver2_05_12_2009 _Leopard_UniBOM_ME_0531_Bolt RFQ_Foxlink_03.1 2011_nego meeting@MACH 4" xfId="27049"/>
    <cellStyle name="好_River EE BOM_Creak Pearl Reliability Fixture RFQ_2009 04 24_Pearl RFQ(Submittal)ver2_05_12_2009 _Leopard_UniBOM_ME_0602" xfId="27050"/>
    <cellStyle name="好_River EE BOM_Creak Pearl Reliability Fixture RFQ_2009 04 24_Pearl RFQ(Submittal)ver2_05_12_2009 _Leopard_UniBOM_ME_0602 2 2 2" xfId="27051"/>
    <cellStyle name="好_River EE BOM_Creak Pearl Reliability Fixture RFQ_2009 04 24_Pearl RFQ(Submittal)ver2_05_12_2009 _Leopard_UniBOM_ME_0602 2 2 3" xfId="27052"/>
    <cellStyle name="差_Creak Pearl Reliability Fixture RFQ_2009 04 24_Xl0000002 3" xfId="27053"/>
    <cellStyle name="好_River EE BOM_Creek RFQ feedback 04_28_2009_FD Update_Leopard_UniBOM_ME_0603-2_Bolt RFQ_Foxlink_03.1 2011_nego meeting@MACH 2" xfId="27054"/>
    <cellStyle name="好_River EE BOM_Creak Pearl Reliability Fixture RFQ_2009 04 24_Pearl RFQ(Submittal)ver2_05_12_2009 _Leopard_UniBOM_ME_0602 2 4" xfId="27055"/>
    <cellStyle name="好_River EE BOM_Creak Pearl Reliability Fixture RFQ_2009 04 24_Pearl RFQ(Submittal)ver2_05_12_2009 _Leopard_UniBOM_ME_0602 3" xfId="27056"/>
    <cellStyle name="好_River EE BOM_Creak Pearl Reliability Fixture RFQ_2009 04 24_Pearl RFQ(Submittal)ver2_05_12_2009 _Leopard_UniBOM_ME_0602_Bolt RFQ Proposal_Foxlink_ (Pricing Summary) 2 25 2011 2 2" xfId="27057"/>
    <cellStyle name="好_River EE BOM_Creak Pearl Reliability Fixture RFQ_2009 04 24_Pearl RFQ(Submittal)ver2_05_12_2009 _Leopard_UniBOM_ME_0602_Bolt RFQ Proposal_Foxlink_ (Pricing Summary) 2 25 2011 2 2 2" xfId="27058"/>
    <cellStyle name="好_River EE BOM_Creak Pearl Reliability Fixture RFQ_2009 04 24_Pearl RFQ(Submittal)ver2_05_12_2009 _Leopard_UniBOM_ME_0602_Bolt RFQ Proposal_Foxlink_ (Pricing Summary) 2 25 2011 2 3" xfId="27059"/>
    <cellStyle name="好_River EE BOM_Creak Pearl Reliability Fixture RFQ_2009 04 24_Pearl RFQ(Submittal)ver2_05_12_2009 _Leopard_UniBOM_ME_0602_Bolt RFQ Proposal_Foxlink_ (Pricing Summary) 2 25 2011 2 4" xfId="27060"/>
    <cellStyle name="好_River EE BOM_Creak Pearl Reliability Fixture RFQ_2009 04 24_Pearl RFQ(Submittal)ver2_05_12_2009 _Leopard_UniBOM_ME_0602_Bolt RFQ Proposal_Foxlink_ (Pricing Summary) 2 25 2011 3 2" xfId="27061"/>
    <cellStyle name="差_Creak Pearl Reliability Fixture RFQ_2009 04 24_Pearl RFQ(Submittal)ver2_05_12_2009 _Foxlink_Shadow RFQ NREUni BOM_12032009_Bolt RFQ_Foxlink_03.1 2011_nego meeting@MACH 2 2" xfId="27062"/>
    <cellStyle name="好_River EE BOM_Creak Pearl Reliability Fixture RFQ_2009 04 24_Pearl RFQ(Submittal)ver2_05_12_2009 _Leopard_UniBOM_ME_0602_Bolt RFQ Proposal_Foxlink_ (Pricing Summary) 2 25 2011 3 3" xfId="27063"/>
    <cellStyle name="好_River EE BOM_Creak Pearl Reliability Fixture RFQ_2009 04 24_Pearl RFQ(Submittal)ver2_05_12_2009 _Leopard_UniBOM_ME_0602_Bolt RFQ Proposal_Foxlink_ (Pricing Summary) 2 25 2011 5" xfId="27064"/>
    <cellStyle name="好_River EE BOM_Creak Pearl Reliability Fixture RFQ_2009 04 24_Pearl RFQ(Submittal)ver2_05_12_2009 _Leopard_UniBOM_ME_0602_Bolt RFQ Proposal_Foxlink_ (Pricing Summary) 2 25 2011 6" xfId="27065"/>
    <cellStyle name="好_River EE BOM_Xl0000002_Leopard UniBom_Foxlink_6 21 2010-ME_nego 3 3" xfId="27066"/>
    <cellStyle name="好_River EE BOM_Creak Pearl Reliability Fixture RFQ_2009 04 24_Pearl RFQ(Submittal)ver2_05_12_2009 _Leopard_UniBOM_ME_0602_Bolt RFQ_Foxlink_03.1 2011" xfId="27067"/>
    <cellStyle name="差_Creak Pearl Reliability Fixture RFQ_2009 04 24_Pearl RFQ(Submittal)ver2_05_12_2009 _Bolt RFQ_Foxlink_03.1 2011 3" xfId="27068"/>
    <cellStyle name="好_River EE BOM_Creak Pearl Reliability Fixture RFQ_2009 04 24_Pearl RFQ(Submittal)ver2_05_12_2009 _Leopard_UniBOM_ME_0602_Bolt RFQ_Foxlink_03.1 2011 2" xfId="27069"/>
    <cellStyle name="差_Creak Pearl Reliability Fixture RFQ_2009 04 24_Pearl RFQ(Submittal)ver2_05_12_2009 _Bolt RFQ_Foxlink_03.1 2011 4" xfId="27070"/>
    <cellStyle name="好_River EE BOM_Creak Pearl Reliability Fixture RFQ_2009 04 24_Pearl RFQ(Submittal)ver2_05_12_2009 _Leopard_UniBOM_ME_0602_Bolt RFQ_Foxlink_03.1 2011 3" xfId="27071"/>
    <cellStyle name="差_Creak Pearl Reliability Fixture RFQ_2009 04 24_Xl0000002_Jackson and Shadow BOM cost_mainfile_2010 0324 rev.1_Leopard UniBom_Foxlink_12092010 RevD-jen" xfId="27072"/>
    <cellStyle name="好_River EE BOM_Creak Pearl Reliability Fixture RFQ_2009 04 24_Pearl RFQ(Submittal)ver2_05_12_2009 _Leopard_UniBOM_ME_0602_Bolt RFQ_Foxlink_03.1 2011 5" xfId="27073"/>
    <cellStyle name="好_River EE BOM_Creak Pearl Reliability Fixture RFQ_2009 04 24_Pearl RFQ(Submittal)ver2_05_12_2009 _Leopard_UniBOM_ME_0602_Bolt RFQ_Foxlink_03.1 2011_nego meeting@MACH" xfId="27074"/>
    <cellStyle name="差_jupite r設備&amp;治工具LIST (總)_效益分析(總 12-28 Update)" xfId="27075"/>
    <cellStyle name="好_River EE BOM_Creak Pearl Reliability Fixture RFQ_2009 04 24_Pearl RFQ(Submittal)ver2_05_12_2009 _Leopard_UniBOM_ME_0602_Bolt RFQ_Foxlink_03.1 2011_nego meeting@MACH 2" xfId="27076"/>
    <cellStyle name="好_River EE BOM_Creak Pearl Reliability Fixture RFQ_2009 04 24_Pearl RFQ(Submittal)ver2_05_12_2009 _Leopard_UniBOM_ME_0602_Bolt RFQ_Foxlink_03.1 2011_nego meeting@MACH 3" xfId="27077"/>
    <cellStyle name="好_River EE BOM_Creak Pearl Reliability Fixture RFQ_2009 04 24_Pearl RFQ(Submittal)ver2_05_12_2009 _Leopard_UniBOM_ME_0602_Bolt RFQ_Foxlink_03.1 2011_nego meeting@MACH 3 3" xfId="27078"/>
    <cellStyle name="差_F3   SMT設備明細_M1 SuedeFixtureEquipment Cost_A0_2010_10_15_Bolt RFQ_Foxlink_03.1 2011_nego meeting@MACH 5" xfId="27079"/>
    <cellStyle name="好_River EE BOM_Creak Pearl Reliability Fixture RFQ_2009 04 24_Pearl RFQ(Submittal)ver2_05_12_2009 _Leopard_UniBOM_ME_0602-1" xfId="27080"/>
    <cellStyle name="好_治具工程課2009年KPI_HP 2 2 3" xfId="27081"/>
    <cellStyle name="好_River EE BOM_Creek RFQ feedback 04_28_2009_FD Update_Bolt RFQ Proposal_Foxlink_ (Pricing Summary) 2 25 2011 3 2" xfId="27082"/>
    <cellStyle name="好_River EE BOM_Creak Pearl Reliability Fixture RFQ_2009 04 24_Xl0000002_Leopard UniBom_Foxlink_6 21 2010-ME_nego_Bolt RFQ Proposal_Foxlink_ (Pricing Summary) 2 25 2011 3" xfId="27083"/>
    <cellStyle name="好_River EE BOM_Creak Pearl Reliability Fixture RFQ_2009 04 24_Pearl RFQ(Submittal)ver2_05_12_2009 _Leopard_UniBOM_ME_0602-1 2 2 3" xfId="27084"/>
    <cellStyle name="好_River EE BOM_Creak Pearl Reliability Fixture RFQ_2009 04 24_Pearl RFQ(Submittal)ver2_05_12_2009 _Leopard_UniBOM_ME_0602-1_Bolt RFQ Proposal_Foxlink_ (Pricing Summary) 2 25 2011" xfId="27085"/>
    <cellStyle name="好_River EE BOM_Creak Pearl Reliability Fixture RFQ_2009 04 24_Pearl RFQ(Submittal)ver2_05_12_2009 _Leopard_UniBOM_ME_0602-1_Bolt RFQ Proposal_Foxlink_ (Pricing Summary) 2 25 2011 2 2 2" xfId="27086"/>
    <cellStyle name="好_River EE BOM_Creak Pearl Reliability Fixture RFQ_2009 04 24_Pearl RFQ(Submittal)ver2_05_12_2009 _Leopard_UniBOM_ME_0602-1_Bolt RFQ Proposal_Foxlink_ (Pricing Summary) 2 25 2011 2 2 3" xfId="27087"/>
    <cellStyle name="好_River EE BOM_Creak Pearl Reliability Fixture RFQ_2009 04 24_Pearl RFQ(Submittal)ver2_05_12_2009 _Leopard_UniBOM_ME_0602-1_Bolt RFQ Proposal_Foxlink_ (Pricing Summary) 2 25 2011 2 4" xfId="27088"/>
    <cellStyle name="好_River EE BOM_Creak Pearl Reliability Fixture RFQ_2009 04 24_Pearl RFQ(Submittal)ver2_05_12_2009 _Leopard_UniBOM_ME_0602-1_Bolt RFQ Proposal_Foxlink_ (Pricing Summary) 2 25 2011 4 2" xfId="27089"/>
    <cellStyle name="好_River EE BOM_Creak Pearl Reliability Fixture RFQ_2009 04 24_Pearl RFQ(Submittal)ver2_05_12_2009 _Leopard_UniBOM_ME_0602-1_Bolt RFQ Proposal_Foxlink_ (Pricing Summary) 2 25 2011 5 2" xfId="27090"/>
    <cellStyle name="好_River EE BOM_Creak Pearl Reliability Fixture RFQ_2009 04 24_Pearl RFQ(Submittal)ver2_05_12_2009 _Leopard_UniBOM_ME_0602-1_Bolt RFQ Proposal_Foxlink_ (Pricing Summary) 2 25 2011 5 3" xfId="27091"/>
    <cellStyle name="差_HP Mouse 產能評估(Forecast更改後)_Erie 效益分析 (Update)_Flow Chart&amp;設備治工具清單 " xfId="27092"/>
    <cellStyle name="好_River EE BOM_Creak Pearl Reliability Fixture RFQ_2009 04 24_Pearl RFQ(Submittal)ver2_05_12_2009 _Leopard_UniBOM_ME_0602-1_Bolt RFQ Proposal_Foxlink_ (Pricing Summary) 2 25 2011 7" xfId="27093"/>
    <cellStyle name="好_River EE BOM_Creak Pearl Reliability Fixture RFQ_2009 04 24_Pearl RFQ(Submittal)ver2_05_12_2009 _Leopard_UniBOM_ME_0602-1_Bolt RFQ_Foxlink_03.1 2011 2" xfId="27094"/>
    <cellStyle name="好_River EE BOM_Creak Pearl Reliability Fixture RFQ_2009 04 24_Pearl RFQ(Submittal)ver2_05_12_2009 _Leopard_UniBOM_ME_0602-1_Bolt RFQ_Foxlink_03.1 2011 2 3" xfId="27095"/>
    <cellStyle name="差_F3   SMT設備明細_jupite r設備&amp;治工具LIST (總)_pq_效益分析(總 12-28 Update)_Jackson 效益分析 (2-1 B0 上系統)_squirrel效益分析08-17" xfId="27096"/>
    <cellStyle name="差_MB9月管審誤判超標 8D_HP 3" xfId="27097"/>
    <cellStyle name="好_River EE BOM_Creak Pearl Reliability Fixture RFQ_2009 04 24_Pearl RFQ(Submittal)ver2_05_12_2009 _Leopard_UniBOM_ME_0602-1_Bolt RFQ_Foxlink_03.1 2011 3 3" xfId="27098"/>
    <cellStyle name="好_River EE BOM_Creak Pearl Reliability Fixture RFQ_2009 04 24_Pearl RFQ(Submittal)ver2_05_12_2009 _Leopard_UniBOM_ME_0602-1_Bolt RFQ_Foxlink_03.1 2011_nego meeting@MACH 2" xfId="27099"/>
    <cellStyle name="好_River EE BOM_Creak Pearl Reliability Fixture RFQ_2009 04 24_Pearl RFQ(Submittal)ver2_05_12_2009 _Leopard_UniBOM_ME_0602-1_Bolt RFQ_Foxlink_03.1 2011_nego meeting@MACH 3 2" xfId="27100"/>
    <cellStyle name="好_River EE BOM_Creak Pearl Reliability Fixture RFQ_2009 04 24_Pearl RFQ(Submittal)ver2_05_12_2009 _Leopard_UniBOM_ME_0602-1_Bolt RFQ_Foxlink_03.1 2011_nego meeting@MACH 3 3" xfId="27101"/>
    <cellStyle name="好_River EE BOM_Creak Pearl Reliability Fixture RFQ_2009 04 24_Pearl RFQ(Submittal)ver2_05_12_2009 _Leopard_UniBOM_ME_0602-1_Bolt RFQ_Foxlink_03.1 2011_nego meeting@MACH 4" xfId="27102"/>
    <cellStyle name="好_River EE BOM_Creek RFQ feedback 04_28_2009_FD Update_Bolt RFQ Proposal_Foxlink_ (Pricing Summary) 2 25 2011 4 3" xfId="27103"/>
    <cellStyle name="好_River EE BOM_Creak Pearl Reliability Fixture RFQ_2009 04 24_Pearl RFQ(Submittal)ver2_05_12_2009 _Leopard_UniBOM_ME_0603-2" xfId="27104"/>
    <cellStyle name="好_River EE BOM_Creak Pearl Reliability Fixture RFQ_2009 04 24_Pearl RFQ(Submittal)ver2_05_12_2009 _Leopard_UniBOM_ME_0603-2 2 2 2" xfId="27105"/>
    <cellStyle name="好_River EE BOM_Creak Pearl Reliability Fixture RFQ_2009 04 24_Pearl RFQ(Submittal)ver2_05_12_2009 _Leopard_UniBOM_ME_0603-2 2 2 3" xfId="27106"/>
    <cellStyle name="好_River EE BOM_Creak Pearl Reliability Fixture RFQ_2009 04 24_Pearl RFQ(Submittal)ver2_05_12_2009 _Leopard_UniBOM_ME_0603-2 3 3" xfId="27107"/>
    <cellStyle name="好_River EE BOM_Creak Pearl Reliability Fixture RFQ_2009 04 24_Pearl RFQ(Submittal)ver2_05_12_2009 _Leopard_UniBOM_ME_0603-2_Bolt RFQ Proposal_Foxlink_ (Pricing Summary) 2 25 2011" xfId="27108"/>
    <cellStyle name="好_River EE BOM_Creak Pearl Reliability Fixture RFQ_2009 04 24_Pearl RFQ(Submittal)ver2_05_12_2009 _Leopard_UniBOM_ME_0603-2_Bolt RFQ Proposal_Foxlink_ (Pricing Summary) 2 25 2011 2 2" xfId="27109"/>
    <cellStyle name="好_River EE BOM_Xl0000000_Leopard RFQ ME BOM Costs-0618-2 3 3" xfId="27110"/>
    <cellStyle name="好_River EE BOM_Creak Pearl Reliability Fixture RFQ_2009 04 24_Pearl RFQ(Submittal)ver2_05_12_2009 _Leopard_UniBOM_ME_0603-2_Bolt RFQ Proposal_Foxlink_ (Pricing Summary) 2 25 2011 2 2 2" xfId="27111"/>
    <cellStyle name="好_River EE BOM_Creak Pearl Reliability Fixture RFQ_2009 04 24_Pearl RFQ(Submittal)ver2_05_12_2009 _Leopard_UniBOM_ME_0603-2_Bolt RFQ Proposal_Foxlink_ (Pricing Summary) 2 25 2011 2 3" xfId="27112"/>
    <cellStyle name="好_River EE BOM_Creak Pearl Reliability Fixture RFQ_2009 04 24_Pearl RFQ(Submittal)ver2_05_12_2009 _Leopard_UniBOM_ME_0603-2_Bolt RFQ Proposal_Foxlink_ (Pricing Summary) 2 25 2011 2 4" xfId="27113"/>
    <cellStyle name="差_Creak Pearl Reliability Fixture RFQ_2009 04 24_Creek RFQ feedback 04_28_2009_FD Update_Leopard RFQ ME BOM Costs-0618-2_Bolt RFQ_Foxlink_03.1 2011 5" xfId="27114"/>
    <cellStyle name="好_River EE BOM_Creak Pearl Reliability Fixture RFQ_2009 04 24_Pearl RFQ(Submittal)ver2_05_12_2009 _Leopard_UniBOM_ME_0603-2_Bolt RFQ Proposal_Foxlink_ (Pricing Summary) 2 25 2011 3 2" xfId="27115"/>
    <cellStyle name="好_River EE BOM_Creak Pearl Reliability Fixture RFQ_2009 04 24_Pearl RFQ(Submittal)ver2_05_12_2009 _Leopard_UniBOM_ME_0603-2_Bolt RFQ Proposal_Foxlink_ (Pricing Summary) 2 25 2011 3 3" xfId="27116"/>
    <cellStyle name="好_River EE BOM_Creak Pearl Reliability Fixture RFQ_2009 04 24_Pearl RFQ(Submittal)ver2_05_12_2009 _Leopard_UniBOM_ME_0603-2_Bolt RFQ Proposal_Foxlink_ (Pricing Summary) 2 25 2011 4 3" xfId="27117"/>
    <cellStyle name="好_River EE BOM_Creak Pearl Reliability Fixture RFQ_2009 04 24_Pearl RFQ(Submittal)ver2_05_12_2009 _Leopard_UniBOM_ME_0603-2_Bolt RFQ Proposal_Foxlink_ (Pricing Summary) 2 25 2011 5 2" xfId="27118"/>
    <cellStyle name="好_River EE BOM_Creak Pearl Reliability Fixture RFQ_2009 04 24_Pearl RFQ(Submittal)ver2_05_12_2009 _Leopard_UniBOM_ME_0603-2_Bolt RFQ Proposal_Foxlink_ (Pricing Summary) 2 25 2011 5 3" xfId="27119"/>
    <cellStyle name="好_River EE BOM_Creak Pearl Reliability Fixture RFQ_2009 04 24_Pearl RFQ(Submittal)ver2_05_12_2009 _Leopard_UniBOM_ME_0603-2_Bolt RFQ_Foxlink_03.1 2011" xfId="27120"/>
    <cellStyle name="好_River EE BOM_Creak Pearl Reliability Fixture RFQ_2009 04 24_Pearl RFQ(Submittal)ver2_05_12_2009 _Leopard_UniBOM_ME_0603-2_Bolt RFQ_Foxlink_03.1 2011 2 2" xfId="27121"/>
    <cellStyle name="好_River EE BOM_Creak Pearl Reliability Fixture RFQ_2009 04 24_Pearl RFQ(Submittal)ver2_05_12_2009 _Leopard_UniBOM_ME_0603-2_Bolt RFQ_Foxlink_03.1 2011 2 3" xfId="27122"/>
    <cellStyle name="好_River EE BOM_Creak Pearl Reliability Fixture RFQ_2009 04 24_Pearl RFQ(Submittal)ver2_05_12_2009 _Leopard_UniBOM_ME_0603-2_Bolt RFQ_Foxlink_03.1 2011 3" xfId="27123"/>
    <cellStyle name="好_River EE BOM_Creak Pearl Reliability Fixture RFQ_2009 04 24_Pearl RFQ(Submittal)ver2_05_12_2009 _Squirrel RFQ ME BOM Costs-0623_Bolt RFQ Proposal_Foxlink_ (Pricing Summary) 2 25 2011 2 2 3" xfId="27124"/>
    <cellStyle name="好_River EE BOM_Creak Pearl Reliability Fixture RFQ_2009 04 24_Pearl RFQ(Submittal)ver2_05_12_2009 _Leopard_UniBOM_ME_0603-2_Bolt RFQ_Foxlink_03.1 2011 3 2" xfId="27125"/>
    <cellStyle name="好_River EE BOM_Creak Pearl Reliability Fixture RFQ_2009 04 24_Pearl RFQ(Submittal)ver2_05_12_2009 _Leopard_UniBOM_ME_0603-2_Bolt RFQ_Foxlink_03.1 2011 3 3" xfId="27126"/>
    <cellStyle name="好_River EE BOM_Creak Pearl Reliability Fixture RFQ_2009 04 24_Pearl RFQ(Submittal)ver2_05_12_2009 _Leopard_UniBOM_ME_0603-2_Bolt RFQ_Foxlink_03.1 2011_nego meeting@MACH" xfId="27127"/>
    <cellStyle name="好_River EE BOM_Creak Pearl Reliability Fixture RFQ_2009 04 24_Pearl RFQ(Submittal)ver2_05_12_2009 _Leopard_UniBOM_ME_0603-2_Bolt RFQ_Foxlink_03.1 2011_nego meeting@MACH 2 2" xfId="27128"/>
    <cellStyle name="好_River EE BOM_Creak Pearl Reliability Fixture RFQ_2009 04 24_Pearl RFQ(Submittal)ver2_05_12_2009 _Leopard_UniBOM_ME_0603-2_Bolt RFQ_Foxlink_03.1 2011_nego meeting@MACH 3" xfId="27129"/>
    <cellStyle name="好_River EE BOM_Creak Pearl Reliability Fixture RFQ_2009 04 24_Pearl RFQ(Submittal)ver2_05_12_2009 _Leopard_UniBOM_ME_0603-2_Bolt RFQ_Foxlink_03.1 2011_nego meeting@MACH 3 2" xfId="27130"/>
    <cellStyle name="好_River EE BOM_Creak Pearl Reliability Fixture RFQ_2009 04 24_Pearl RFQ(Submittal)ver2_05_12_2009 _Leopard_UniBOM_ME_0603-2_Bolt RFQ_Foxlink_03.1 2011_nego meeting@MACH 5" xfId="27131"/>
    <cellStyle name="好_River EE BOM_Creak Pearl Reliability Fixture RFQ_2009 04 24_Pearl RFQ(Submittal)ver2_05_12_2009 _Squirrel RFQ ME BOM Costs-0623 2" xfId="27132"/>
    <cellStyle name="好_River EE BOM_Creak Pearl Reliability Fixture RFQ_2009 04 24_Pearl RFQ(Submittal)ver2_05_12_2009 _Squirrel RFQ ME BOM Costs-0623 2 2" xfId="27133"/>
    <cellStyle name="好_River EE BOM_Creak Pearl Reliability Fixture RFQ_2009 04 24_Pearl RFQ(Submittal)ver2_05_12_2009 _Squirrel RFQ ME BOM Costs-0623 2 2 2" xfId="27134"/>
    <cellStyle name="好_River EE BOM_Creak Pearl Reliability Fixture RFQ_2009 04 24_Pearl RFQ(Submittal)ver2_05_12_2009 _Squirrel RFQ ME BOM Costs-0623 3" xfId="27135"/>
    <cellStyle name="好_River EE BOM_Creak Pearl Reliability Fixture RFQ_2009 04 24_Pearl RFQ(Submittal)ver2_05_12_2009 _Squirrel RFQ ME BOM Costs-0623 3 2" xfId="27136"/>
    <cellStyle name="好_River EE BOM_Creak Pearl Reliability Fixture RFQ_2009 04 24_Pearl RFQ(Submittal)ver2_05_12_2009 _Squirrel RFQ ME BOM Costs-0623_Bolt RFQ Proposal_Foxlink_ (Pricing Summary) 2 25 2011" xfId="27137"/>
    <cellStyle name="好_River EE BOM_Creak Pearl Reliability Fixture RFQ_2009 04 24_Pearl RFQ(Submittal)ver2_05_12_2009 _Squirrel RFQ ME BOM Costs-0623_Bolt RFQ Proposal_Foxlink_ (Pricing Summary) 2 25 2011 2 2" xfId="27138"/>
    <cellStyle name="好_River EE BOM_Creak Pearl Reliability Fixture RFQ_2009 04 24_Pearl RFQ(Submittal)ver2_05_12_2009 _Squirrel RFQ ME BOM Costs-0623_Bolt RFQ Proposal_Foxlink_ (Pricing Summary) 2 25 2011 2 2 2" xfId="27139"/>
    <cellStyle name="好_River EE BOM_Creak Pearl Reliability Fixture RFQ_2009 04 24_Pearl RFQ(Submittal)ver2_05_12_2009 _Squirrel RFQ ME BOM Costs-0623_Bolt RFQ Proposal_Foxlink_ (Pricing Summary) 2 25 2011 2 3" xfId="27140"/>
    <cellStyle name="好_River EE BOM_Creak Pearl Reliability Fixture RFQ_2009 04 24_Pearl RFQ(Submittal)ver2_05_12_2009 _Squirrel RFQ ME BOM Costs-0623_Bolt RFQ Proposal_Foxlink_ (Pricing Summary) 2 25 2011 2 4" xfId="27141"/>
    <cellStyle name="好_River EE BOM_Creak Pearl Reliability Fixture RFQ_2009 04 24_Pearl RFQ(Submittal)ver2_05_12_2009 _Squirrel RFQ ME BOM Costs-0623_Bolt RFQ Proposal_Foxlink_ (Pricing Summary) 2 25 2011 3" xfId="27142"/>
    <cellStyle name="好_River EE BOM_Creak Pearl Reliability Fixture RFQ_2009 04 24_Pearl RFQ(Submittal)ver2_05_12_2009 _Squirrel RFQ ME BOM Costs-0623_Bolt RFQ Proposal_Foxlink_ (Pricing Summary) 2 25 2011 3 2" xfId="27143"/>
    <cellStyle name="差_jupite r設備&amp;治工具LIST (總)_pq_Flow chart and Fixture(1-4)_Jackson 效益分析 (2-1 B0 上系統)_Leopard Flowchart &amp; 產能評估" xfId="27144"/>
    <cellStyle name="好_River EE BOM_Creak Pearl Reliability Fixture RFQ_2009 04 24_Pearl RFQ(Submittal)ver2_05_12_2009 _Squirrel RFQ ME BOM Costs-0623_Bolt RFQ Proposal_Foxlink_ (Pricing Summary) 2 25 2011 4" xfId="27145"/>
    <cellStyle name="好_River EE BOM_Creak Pearl Reliability Fixture RFQ_2009 04 24_Pearl RFQ(Submittal)ver2_05_12_2009 _Squirrel RFQ ME BOM Costs-0623_Bolt RFQ Proposal_Foxlink_ (Pricing Summary) 2 25 2011 4 3" xfId="27146"/>
    <cellStyle name="差_效益分析&amp;產能評估_MS Bolt wireless mouse FixtureEquipment Cost_A5_2010_02_21_Bolt RFQ_Foxlink_03.1 2011" xfId="27147"/>
    <cellStyle name="好_River EE BOM_Creak Pearl Reliability Fixture RFQ_2009 04 24_Pearl RFQ(Submittal)ver2_05_12_2009 _Squirrel RFQ ME BOM Costs-0623_Bolt RFQ Proposal_Foxlink_ (Pricing Summary) 2 25 2011 5" xfId="27148"/>
    <cellStyle name="好_River EE BOM_Creak Pearl Reliability Fixture RFQ_2009 04 24_Pearl RFQ(Submittal)ver2_05_12_2009 _Squirrel RFQ ME BOM Costs-0623_Bolt RFQ Proposal_Foxlink_ (Pricing Summary) 2 25 2011 5 2" xfId="27149"/>
    <cellStyle name="差_Creek RFQ feedback 04_28_2009_FD Update_Leopard Lemur Squirrel UniBom-06.22.2010_EE cost _update_internal_Bolt RFQ Proposal_Foxlink_ (Pricing Summary) 2 25 2011 4" xfId="27150"/>
    <cellStyle name="好_River EE BOM_Creak Pearl Reliability Fixture RFQ_2009 04 24_Pearl RFQ(Submittal)ver2_05_12_2009 _Squirrel RFQ ME BOM Costs-0623_Bolt RFQ Proposal_Foxlink_ (Pricing Summary) 2 25 2011 6" xfId="27151"/>
    <cellStyle name="好_River EE BOM_Creak Pearl Reliability Fixture RFQ_2009 04 24_Pearl RFQ(Submittal)ver2_05_12_2009 _Squirrel RFQ ME BOM Costs-0623_Bolt RFQ_Foxlink_03.1 2011 2 2" xfId="27152"/>
    <cellStyle name="好_River EE BOM_Creak Pearl Reliability Fixture RFQ_2009 04 24_Pearl RFQ(Submittal)ver2_05_12_2009 _Squirrel RFQ ME BOM Costs-0623_Bolt RFQ_Foxlink_03.1 2011 2 3" xfId="27153"/>
    <cellStyle name="差_Creak Pearl Reliability Fixture RFQ_2009 04 24_Squirrel RFQ ME BOM Costs-0623 2 2 2" xfId="27154"/>
    <cellStyle name="差_Xl0000000_Leopard_UniBOM_ME_0603-2 3 3" xfId="27155"/>
    <cellStyle name="好_River EE BOM_Creak Pearl Reliability Fixture RFQ_2009 04 24_Pearl RFQ(Submittal)ver2_05_12_2009 _Squirrel RFQ ME BOM Costs-0623_Bolt RFQ_Foxlink_03.1 2011 3" xfId="27156"/>
    <cellStyle name="好_River EE BOM_Creak Pearl Reliability Fixture RFQ_2009 04 24_Pearl RFQ(Submittal)ver2_05_12_2009 _Squirrel RFQ ME BOM Costs-0623_Bolt RFQ_Foxlink_03.1 2011 3 2" xfId="27157"/>
    <cellStyle name="好_River EE BOM_Creak Pearl Reliability Fixture RFQ_2009 04 24_Xl0000002_Leopard RFQ ME BOM Costs-0618_Bolt RFQ Proposal_Foxlink_ (Pricing Summary) 2 25 2011" xfId="27158"/>
    <cellStyle name="好_River EE BOM_Creak Pearl Reliability Fixture RFQ_2009 04 24_Pearl RFQ(Submittal)ver2_05_12_2009 _Squirrel RFQ ME BOM Costs-0623_Bolt RFQ_Foxlink_03.1 2011 3 3" xfId="27159"/>
    <cellStyle name="差_Creak Pearl Reliability Fixture RFQ_2009 04 24_Squirrel RFQ ME BOM Costs-0623 2 2 3" xfId="27160"/>
    <cellStyle name="好_River EE BOM_Creak Pearl Reliability Fixture RFQ_2009 04 24_Pearl RFQ(Submittal)ver2_05_12_2009 _Squirrel RFQ ME BOM Costs-0623_Bolt RFQ_Foxlink_03.1 2011 4" xfId="27161"/>
    <cellStyle name="好_River EE BOM_Creak Pearl Reliability Fixture RFQ_2009 04 24_Pearl RFQ(Submittal)ver2_05_12_2009 _Squirrel RFQ ME BOM Costs-0624" xfId="27162"/>
    <cellStyle name="好_River EE BOM_Creak Pearl Reliability Fixture RFQ_2009 04 24_Pearl RFQ(Submittal)ver2_05_12_2009 _Squirrel UniBom_Foxlink_6 28 2010" xfId="27163"/>
    <cellStyle name="好_River EE BOM_Creak Pearl Reliability Fixture RFQ_2009 04 24_Pearl RFQ(Submittal)ver2_05_12_2009 _Squirrel UniBom_Foxlink_7.27.2010" xfId="27164"/>
    <cellStyle name="差_Creak Pearl Reliability Fixture RFQ_2009 04 24_Creek  Pearl RFQ_May 12_Leopard RFQ ME BOM Costs-0618 2 4" xfId="27165"/>
    <cellStyle name="好_River EE BOM_Creak Pearl Reliability Fixture RFQ_2009 04 24_Pearl RFQ(Submittal)ver2_05_12_2009 _Squirrel UniBom-06 23 2010_update_internal" xfId="27166"/>
    <cellStyle name="差_HP Mouse 產能評估(上系統)_M1 Lemur Capacity planFixtureEquipment Cost_A2_06192010_Bristol UniBom_Foxlink_02082011 RevA" xfId="27167"/>
    <cellStyle name="好_River EE BOM_Creek RFQ feedback 04_28_2009_FD Update_Leopard RFQ ME BOM Costs-0618-2_Bolt RFQ Proposal_Foxlink_ (Pricing Summary) 2 25 2011 4 3" xfId="27168"/>
    <cellStyle name="好_River EE BOM_Creak Pearl Reliability Fixture RFQ_2009 04 24_Pearl RFQ(Submittal)ver2_05_12_2009 _Squirrel UniBom-06.23.2010_update_internal" xfId="27169"/>
    <cellStyle name="好_River EE BOM_Creak Pearl Reliability Fixture RFQ_2009 04 24_Pearl RFQ(Submittal)ver2_05_12_2009 _Squirrel UniBom-06.23.2010_update_internal 2 2" xfId="27170"/>
    <cellStyle name="好_River EE BOM_Creak Pearl Reliability Fixture RFQ_2009 04 24_Pearl RFQ(Submittal)ver2_05_12_2009 _Squirrel UniBom-06.23.2010_update_internal 2 2 2" xfId="27171"/>
    <cellStyle name="好_River EE BOM_Creak Pearl Reliability Fixture RFQ_2009 04 24_Xl0000002_Squirrel UniBom-06.23.2010_update_internal 3 2" xfId="27172"/>
    <cellStyle name="好_River EE BOM_Creak Pearl Reliability Fixture RFQ_2009 04 24_Pearl RFQ(Submittal)ver2_05_12_2009 _Squirrel UniBom-06.23.2010_update_internal 2 3" xfId="27173"/>
    <cellStyle name="差_F3   SMT設備明細_效益分析_flow chart 2009.12.12_Flow Chart&amp;設備治工具清單 " xfId="27174"/>
    <cellStyle name="好_River EE BOM_Creak Pearl Reliability Fixture RFQ_2009 04 24_Pearl RFQ(Submittal)ver2_05_12_2009 _Squirrel UniBom-06.23.2010_update_internal 3 2" xfId="27175"/>
    <cellStyle name="好_River EE BOM_Creak Pearl Reliability Fixture RFQ_2009 04 24_Pearl RFQ(Submittal)ver2_05_12_2009 _Squirrel UniBom-06.23.2010_update_internal 3 3" xfId="27176"/>
    <cellStyle name="好_River EE BOM_Creak Pearl Reliability Fixture RFQ_2009 04 24_Pearl RFQ(Submittal)ver2_05_12_2009 _Squirrel UniBom-06.23.2010_update_internal 5" xfId="27177"/>
    <cellStyle name="好_River EE BOM_Creek RFQ feedback 04_28_2009_FD Update_Squirrel UniBom-06.23.2010_update_internal_Bolt RFQ_Foxlink_03.1 2011 3" xfId="27178"/>
    <cellStyle name="好_River EE BOM_Creak Pearl Reliability Fixture RFQ_2009 04 24_Pearl RFQ(Submittal)ver2_05_12_2009 _Squirrel UniBom-06.23.2010_update_internal_Bolt RFQ Proposal_Foxlink_ (Pricing Summary) 2 25 2011 2 2 2" xfId="27179"/>
    <cellStyle name="好_River EE BOM_Creak Pearl Reliability Fixture RFQ_2009 04 24_Pearl RFQ(Submittal)ver2_05_12_2009 _Squirrel UniBom-06.23.2010_update_internal_Bolt RFQ Proposal_Foxlink_ (Pricing Summary) 2 25 2011 2 3" xfId="27180"/>
    <cellStyle name="好_River EE BOM_Creak Pearl Reliability Fixture RFQ_2009 04 24_Pearl RFQ(Submittal)ver2_05_12_2009 _Squirrel UniBom-06.23.2010_update_internal_Bolt RFQ Proposal_Foxlink_ (Pricing Summary) 2 25 2011 2 4" xfId="27181"/>
    <cellStyle name="好_River EE BOM_Creak Pearl Reliability Fixture RFQ_2009 04 24_Pearl RFQ(Submittal)ver2_05_12_2009 _Squirrel UniBom-06.23.2010_update_internal_Bolt RFQ Proposal_Foxlink_ (Pricing Summary) 2 25 2011 3 3" xfId="27182"/>
    <cellStyle name="好_River EE BOM_Creak Pearl Reliability Fixture RFQ_2009 04 24_Pearl RFQ(Submittal)ver2_05_12_2009 _Squirrel UniBom-06.23.2010_update_internal_Bolt RFQ Proposal_Foxlink_ (Pricing Summary) 2 25 2011 4" xfId="27183"/>
    <cellStyle name="好_River EE BOM_Creak Pearl Reliability Fixture RFQ_2009 04 24_Pearl RFQ(Submittal)ver2_05_12_2009 _Squirrel UniBom-06.23.2010_update_internal_Bolt RFQ Proposal_Foxlink_ (Pricing Summary) 2 25 2011 4 3" xfId="27184"/>
    <cellStyle name="好_River EE BOM_Creek RFQ feedback 04_28_2009_FD Update_Leopard RFQ ME BOM Costs-0618_Bolt RFQ Proposal_Foxlink_ (Pricing Summary) 2 25 2011 3 3" xfId="27185"/>
    <cellStyle name="好_River EE BOM_Creak Pearl Reliability Fixture RFQ_2009 04 24_Pearl RFQ(Submittal)ver2_05_12_2009 _Squirrel UniBom-06.23.2010_update_internal_Bolt RFQ_Foxlink_03.1 2011 2 2" xfId="27186"/>
    <cellStyle name="好_River EE BOM_Creak Pearl Reliability Fixture RFQ_2009 04 24_Pearl RFQ(Submittal)ver2_05_12_2009 _Squirrel UniBom-06.23.2010_update_internal_Bolt RFQ_Foxlink_03.1 2011 2 3" xfId="27187"/>
    <cellStyle name="好_River EE BOM_Creak Pearl Reliability Fixture RFQ_2009 04 24_Pearl RFQ(Submittal)ver2_05_12_2009 _Squirrel UniBom-06.23.2010_update_internal_Bolt RFQ_Foxlink_03.1 2011 5" xfId="27188"/>
    <cellStyle name="好_River EE BOM_Creak Pearl Reliability Fixture RFQ_2009 04 24_Pearl RFQ(Submittal)ver2_05_12_2009 _Squirrel UniBom-06.23.2010_update_internal_Bolt RFQ_Foxlink_03.1 2011_nego meeting@MACH 2" xfId="27189"/>
    <cellStyle name="好_River EE BOM_Creak Pearl Reliability Fixture RFQ_2009 04 24_Pearl RFQ(Submittal)ver2_05_12_2009 _Squirrel UniBom-06.23.2010_update_internal_Bolt RFQ_Foxlink_03.1 2011_nego meeting@MACH 2 2" xfId="27190"/>
    <cellStyle name="差_Xl0000002_Leopard_UniBOM_ME_0602_Bolt RFQ Proposal_Foxlink_ (Pricing Summary) 2 25 2011 2 2" xfId="27191"/>
    <cellStyle name="好_River EE BOM_Creak Pearl Reliability Fixture RFQ_2009 04 24_Pearl RFQ(Submittal)ver2_05_12_2009 _Squirrel UniBom-06.23.2010_update_internal_Bolt RFQ_Foxlink_03.1 2011_nego meeting@MACH 2 3" xfId="27192"/>
    <cellStyle name="好_River EE BOM_Creak Pearl Reliability Fixture RFQ_2009 04 24_Pearl RFQ(Submittal)ver2_05_12_2009 _Squirrel UniBom-06.23.2010_update_internal_Bolt RFQ_Foxlink_03.1 2011_nego meeting@MACH 3" xfId="27193"/>
    <cellStyle name="差_Xl0000002_Leopard UniBom_Foxlink_6 21 2010-ME_nego_Bolt RFQ_Foxlink_03.1 2011 2 3" xfId="27194"/>
    <cellStyle name="差_Creak Pearl Reliability Fixture RFQ_2009 04 24_Xl0000002_Squirrel RFQ ME BOM Costs-0623_Bolt RFQ_Foxlink_03.1 2011_nego meeting@MACH 2 3" xfId="27195"/>
    <cellStyle name="好_River EE BOM_Creak Pearl Reliability Fixture RFQ_2009 04 24_Pearl RFQ(Submittal)ver2_05_12_2009 _Squirrel UniBom-06.23.2010_update_internal_Bolt RFQ_Foxlink_03.1 2011_nego meeting@MACH 3 2" xfId="27196"/>
    <cellStyle name="好_River EE BOM_Creak Pearl Reliability Fixture RFQ_2009 04 24_Pearl RFQ(Submittal)ver2_05_12_2009 _Squirrel UniBom-06.23.2010_update_internal_Bolt RFQ_Foxlink_03.1 2011_nego meeting@MACH 4" xfId="27197"/>
    <cellStyle name="好_River EE BOM_Creak Pearl Reliability Fixture RFQ_2009 04 24_Pearl RFQ(Submittal)ver2_05_12_2009 _Squirrel UniBom-06.23.2010_update_internal_Bolt RFQ_Foxlink_03.1 2011_nego meeting@MACH 5" xfId="27198"/>
    <cellStyle name="好_River EE BOM_Creak Pearl Reliability Fixture RFQ_2009 04 24_Squirrel RFQ ME BOM Costs-0623 2 2" xfId="27199"/>
    <cellStyle name="好_River EE BOM_Creak Pearl Reliability Fixture RFQ_2009 04 24_Squirrel RFQ ME BOM Costs-0623 2 2 2" xfId="27200"/>
    <cellStyle name="好_River EE BOM_Creak Pearl Reliability Fixture RFQ_2009 04 24_Squirrel RFQ ME BOM Costs-0623 2 3" xfId="27201"/>
    <cellStyle name="好_River EE BOM_Creak Pearl Reliability Fixture RFQ_2009 04 24_Squirrel RFQ ME BOM Costs-0623 3 2" xfId="27202"/>
    <cellStyle name="差_Creak Pearl Reliability Fixture RFQ_2009 04 24_Pearl RFQ(Submittal)ver2_05_12_2009 _Bolt RFQ_Foxlink_03.1 2011_nego meeting@MACH" xfId="27203"/>
    <cellStyle name="好_River EE BOM_Creak Pearl Reliability Fixture RFQ_2009 04 24_Squirrel RFQ ME BOM Costs-0623 3 3" xfId="27204"/>
    <cellStyle name="好_River EE BOM_Creak Pearl Reliability Fixture RFQ_2009 04 24_Squirrel RFQ ME BOM Costs-0623_Bolt RFQ Proposal_Foxlink_ (Pricing Summary) 2 25 2011" xfId="27205"/>
    <cellStyle name="好_River EE BOM_Creak Pearl Reliability Fixture RFQ_2009 04 24_Squirrel RFQ ME BOM Costs-0623_Bolt RFQ Proposal_Foxlink_ (Pricing Summary) 2 25 2011 2 2 2" xfId="27206"/>
    <cellStyle name="好_River EE BOM_Creak Pearl Reliability Fixture RFQ_2009 04 24_Squirrel RFQ ME BOM Costs-0623_Bolt RFQ Proposal_Foxlink_ (Pricing Summary) 2 25 2011 2 2 3" xfId="27207"/>
    <cellStyle name="好_River EE BOM_Creak Pearl Reliability Fixture RFQ_2009 04 24_Squirrel RFQ ME BOM Costs-0623_Bolt RFQ Proposal_Foxlink_ (Pricing Summary) 2 25 2011 2 4" xfId="27208"/>
    <cellStyle name="差_pq_~5631336_Jackson 效益分析 (2-1 B0 上系統)_Leopard效益分析08-17" xfId="27209"/>
    <cellStyle name="好_River EE BOM_Creak Pearl Reliability Fixture RFQ_2009 04 24_Squirrel RFQ ME BOM Costs-0623_Bolt RFQ_Foxlink_03.1 2011" xfId="27210"/>
    <cellStyle name="差_F3   SMT設備明細_jupite r設備&amp;治工具LIST (總)_Dallas flow chart&amp;設備&amp;治工具清單(12-8 A0)_Flow chart and Fixture(Jackson)_A1_Jackson 效益分析 (2-1 B0 上系統)_Leopard Flowchart &amp; 產能評估" xfId="27211"/>
    <cellStyle name="好_River EE BOM_Creak Pearl Reliability Fixture RFQ_2009 04 24_Squirrel RFQ ME BOM Costs-0623_Bolt RFQ_Foxlink_03.1 2011 2" xfId="27212"/>
    <cellStyle name="差_Creak Pearl Reliability Fixture RFQ_2009 04 24_Creek  Pearl RFQ_May 12_Leopard_UniBOM_ME_0603-2_Bolt RFQ Proposal_Foxlink_ (Pricing Summary) 2 25 2011 2 2 2" xfId="27213"/>
    <cellStyle name="好_River EE BOM_Creak Pearl Reliability Fixture RFQ_2009 04 24_Squirrel RFQ ME BOM Costs-0623_Bolt RFQ_Foxlink_03.1 2011 2 3" xfId="27214"/>
    <cellStyle name="好_River EE BOM_Creak Pearl Reliability Fixture RFQ_2009 04 24_Squirrel RFQ ME BOM Costs-0623_Bolt RFQ_Foxlink_03.1 2011 5" xfId="27215"/>
    <cellStyle name="好_River EE BOM_Creak Pearl Reliability Fixture RFQ_2009 04 24_Squirrel RFQ ME BOM Costs-0623_Bolt RFQ_Foxlink_03.1 2011_nego meeting@MACH" xfId="27216"/>
    <cellStyle name="好_River EE BOM_Creak Pearl Reliability Fixture RFQ_2009 04 24_Squirrel RFQ ME BOM Costs-0623_Bolt RFQ_Foxlink_03.1 2011_nego meeting@MACH 2" xfId="27217"/>
    <cellStyle name="好_River EE BOM_Creak Pearl Reliability Fixture RFQ_2009 04 24_Squirrel RFQ ME BOM Costs-0623_Bolt RFQ_Foxlink_03.1 2011_nego meeting@MACH 2 3" xfId="27218"/>
    <cellStyle name="好_River EE BOM_Creak Pearl Reliability Fixture RFQ_2009 04 24_Squirrel RFQ ME BOM Costs-0623_Bolt RFQ_Foxlink_03.1 2011_nego meeting@MACH 3" xfId="27219"/>
    <cellStyle name="好_River EE BOM_Creak Pearl Reliability Fixture RFQ_2009 04 24_Squirrel RFQ ME BOM Costs-0623_Bolt RFQ_Foxlink_03.1 2011_nego meeting@MACH 3 2" xfId="27220"/>
    <cellStyle name="好_River EE BOM_Creak Pearl Reliability Fixture RFQ_2009 04 24_Squirrel RFQ ME BOM Costs-0623_Bolt RFQ_Foxlink_03.1 2011_nego meeting@MACH 4" xfId="27221"/>
    <cellStyle name="好_River EE BOM_Creak Pearl Reliability Fixture RFQ_2009 04 24_Squirrel RFQ ME BOM Costs-0623_Bolt RFQ_Foxlink_03.1 2011_nego meeting@MACH 5" xfId="27222"/>
    <cellStyle name="好_River EE BOM_Creak Pearl Reliability Fixture RFQ_2009 04 24_Squirrel UniBom_Foxlink_6 28 2010" xfId="27223"/>
    <cellStyle name="好_River EE BOM_Creak Pearl Reliability Fixture RFQ_2009 04 24_Squirrel UniBom-06.23.2010_update_internal" xfId="27224"/>
    <cellStyle name="好_River EE BOM_Creak Pearl Reliability Fixture RFQ_2009 04 24_Squirrel UniBom-06.23.2010_update_internal 2" xfId="27225"/>
    <cellStyle name="好_River EE BOM_Creak Pearl Reliability Fixture RFQ_2009 04 24_Squirrel UniBom-06.23.2010_update_internal 2 4" xfId="27226"/>
    <cellStyle name="差_效益分析&amp;產能評估_M1 SuedeFixtureEquipment Cost_A0_2010_10_15_Wedge_ME_BOM-v00-11v0715 3" xfId="27227"/>
    <cellStyle name="好_River EE BOM_Creak Pearl Reliability Fixture RFQ_2009 04 24_Squirrel UniBom-06.23.2010_update_internal 3" xfId="27228"/>
    <cellStyle name="差_Creak Pearl Reliability Fixture RFQ_2009 04 24_Leopard_UniBOM_ME_0531" xfId="27229"/>
    <cellStyle name="好_River EE BOM_Creak Pearl Reliability Fixture RFQ_2009 04 24_Squirrel UniBom-06.23.2010_update_internal 3 2" xfId="27230"/>
    <cellStyle name="好_River EE BOM_Creak Pearl Reliability Fixture RFQ_2009 04 24_Squirrel UniBom-06.23.2010_update_internal 3 3" xfId="27231"/>
    <cellStyle name="差_dallas產能評估_squirrel效益分析08-17" xfId="27232"/>
    <cellStyle name="好_River EE BOM_Xl0000000_Leopard_UniBOM_ME_0531_Bolt RFQ Proposal_Foxlink_ (Pricing Summary) 2 25 2011 2 2" xfId="27233"/>
    <cellStyle name="好_River EE BOM_Creak Pearl Reliability Fixture RFQ_2009 04 24_Squirrel UniBom-06.23.2010_update_internal 5" xfId="27234"/>
    <cellStyle name="好_River EE BOM_Creak Pearl Reliability Fixture RFQ_2009 04 24_Squirrel UniBom-06.23.2010_update_internal_Bolt RFQ Proposal_Foxlink_ (Pricing Summary) 2 25 2011 2" xfId="27235"/>
    <cellStyle name="好_River EE BOM_Xl0000002_Squirrel UniBom-06.23.2010_update_internal_Bolt RFQ Proposal_Foxlink_ (Pricing Summary) 2 25 2011 6" xfId="27236"/>
    <cellStyle name="好_River EE BOM_Creak Pearl Reliability Fixture RFQ_2009 04 24_Squirrel UniBom-06.23.2010_update_internal_Bolt RFQ Proposal_Foxlink_ (Pricing Summary) 2 25 2011 2 2" xfId="27237"/>
    <cellStyle name="好_River EE BOM_Creak Pearl Reliability Fixture RFQ_2009 04 24_Squirrel UniBom-06.23.2010_update_internal_Bolt RFQ Proposal_Foxlink_ (Pricing Summary) 2 25 2011 2 2 2" xfId="27238"/>
    <cellStyle name="差_Creek RFQ feedback 04_28_2009_FD Update_Leopard_UniBOM_ME_0531_Bolt RFQ Proposal_Foxlink_ (Pricing Summary) 2 25 2011 5 2" xfId="27239"/>
    <cellStyle name="好_River EE BOM_Creak Pearl Reliability Fixture RFQ_2009 04 24_Squirrel UniBom-06.23.2010_update_internal_Bolt RFQ Proposal_Foxlink_ (Pricing Summary) 2 25 2011 2 2 3" xfId="27240"/>
    <cellStyle name="好_River EE BOM_Creak Pearl Reliability Fixture RFQ_2009 04 24_Squirrel UniBom-06.23.2010_update_internal_Bolt RFQ Proposal_Foxlink_ (Pricing Summary) 2 25 2011 2 4" xfId="27241"/>
    <cellStyle name="好_River EE BOM_Creak Pearl Reliability Fixture RFQ_2009 04 24_Squirrel UniBom-06.23.2010_update_internal_Bolt RFQ Proposal_Foxlink_ (Pricing Summary) 2 25 2011 3 2" xfId="27242"/>
    <cellStyle name="好_River EE BOM_Creak Pearl Reliability Fixture RFQ_2009 04 24_Squirrel UniBom-06.23.2010_update_internal_Bolt RFQ Proposal_Foxlink_ (Pricing Summary) 2 25 2011 3 3" xfId="27243"/>
    <cellStyle name="好_River EE BOM_Creak Pearl Reliability Fixture RFQ_2009 04 24_Squirrel UniBom-06.23.2010_update_internal_Bolt RFQ Proposal_Foxlink_ (Pricing Summary) 2 25 2011 4" xfId="27244"/>
    <cellStyle name="好_River EE BOM_Creak Pearl Reliability Fixture RFQ_2009 04 24_Xl0000002_Squirrel UniBom-06.23.2010_update_internal_Bolt RFQ Proposal_Foxlink_ (Pricing Summary) 2 25 2011 2 3" xfId="27245"/>
    <cellStyle name="好_River EE BOM_Creak Pearl Reliability Fixture RFQ_2009 04 24_Squirrel UniBom-06.23.2010_update_internal_Bolt RFQ Proposal_Foxlink_ (Pricing Summary) 2 25 2011 4 2" xfId="27246"/>
    <cellStyle name="好_River EE BOM_Creak Pearl Reliability Fixture RFQ_2009 04 24_Xl0000002_Squirrel UniBom-06.23.2010_update_internal_Bolt RFQ Proposal_Foxlink_ (Pricing Summary) 2 25 2011 2 4" xfId="27247"/>
    <cellStyle name="好_River EE BOM_Creak Pearl Reliability Fixture RFQ_2009 04 24_Squirrel UniBom-06.23.2010_update_internal_Bolt RFQ Proposal_Foxlink_ (Pricing Summary) 2 25 2011 4 3" xfId="27248"/>
    <cellStyle name="好_River EE BOM_Creak Pearl Reliability Fixture RFQ_2009 04 24_Squirrel UniBom-06.23.2010_update_internal_Bolt RFQ Proposal_Foxlink_ (Pricing Summary) 2 25 2011 5" xfId="27249"/>
    <cellStyle name="差_Xl0000000_Leopard Lemur Squirrel UniBom-06.22.2010_EE cost _update_internal_Bolt RFQ Proposal_Foxlink_ (Pricing Summary) 2 25 2011" xfId="27250"/>
    <cellStyle name="好_River EE BOM_Creak Pearl Reliability Fixture RFQ_2009 04 24_Xl0000002_Squirrel UniBom-06.23.2010_update_internal_Bolt RFQ Proposal_Foxlink_ (Pricing Summary) 2 25 2011 3 3" xfId="27251"/>
    <cellStyle name="好_River EE BOM_Creak Pearl Reliability Fixture RFQ_2009 04 24_Squirrel UniBom-06.23.2010_update_internal_Bolt RFQ Proposal_Foxlink_ (Pricing Summary) 2 25 2011 5 2" xfId="27252"/>
    <cellStyle name="好_River EE BOM_Creak Pearl Reliability Fixture RFQ_2009 04 24_Squirrel UniBom-06.23.2010_update_internal_Bolt RFQ Proposal_Foxlink_ (Pricing Summary) 2 25 2011 5 3" xfId="27253"/>
    <cellStyle name="好_River EE BOM_Creak Pearl Reliability Fixture RFQ_2009 04 24_Squirrel UniBom-06.23.2010_update_internal_Bolt RFQ Proposal_Foxlink_ (Pricing Summary) 2 25 2011 7" xfId="27254"/>
    <cellStyle name="好_River EE BOM_Xl0000002_Leopard_UniBOM_ME_0602_Bolt RFQ Proposal_Foxlink_ (Pricing Summary) 2 25 2011 6" xfId="27255"/>
    <cellStyle name="好_River EE BOM_Creak Pearl Reliability Fixture RFQ_2009 04 24_Squirrel UniBom-06.23.2010_update_internal_Bolt RFQ_Foxlink_03.1 2011" xfId="27256"/>
    <cellStyle name="差_Creak Pearl Reliability Fixture RFQ_2009 04 24_Creek RFQ feedback 04_28_2009_FD Update_Squirrel UniBom-06.23.2010_update_internal_Bolt RFQ Proposal_Foxlink_ (Pricing Summary) 2 25 2011" xfId="27257"/>
    <cellStyle name="好_River EE BOM_Creak Pearl Reliability Fixture RFQ_2009 04 24_Squirrel UniBom-06.23.2010_update_internal_Bolt RFQ_Foxlink_03.1 2011 2" xfId="27258"/>
    <cellStyle name="差_Creak Pearl Reliability Fixture RFQ_2009 04 24_Creek RFQ feedback 04_28_2009_FD Update_Squirrel UniBom-06.23.2010_update_internal_Bolt RFQ Proposal_Foxlink_ (Pricing Summary) 2 25 2011 2" xfId="27259"/>
    <cellStyle name="好_River EE BOM_Creak Pearl Reliability Fixture RFQ_2009 04 24_Squirrel UniBom-06.23.2010_update_internal_Bolt RFQ_Foxlink_03.1 2011 2 2" xfId="27260"/>
    <cellStyle name="差_Creak Pearl Reliability Fixture RFQ_2009 04 24_Creek RFQ feedback 04_28_2009_FD Update_Squirrel UniBom-06.23.2010_update_internal_Bolt RFQ Proposal_Foxlink_ (Pricing Summary) 2 25 2011 3" xfId="27261"/>
    <cellStyle name="好_River EE BOM_Creak Pearl Reliability Fixture RFQ_2009 04 24_Squirrel UniBom-06.23.2010_update_internal_Bolt RFQ_Foxlink_03.1 2011 2 3" xfId="27262"/>
    <cellStyle name="好_River EE BOM_Creak Pearl Reliability Fixture RFQ_2009 04 24_Squirrel UniBom-06.23.2010_update_internal_Bolt RFQ_Foxlink_03.1 2011 3" xfId="27263"/>
    <cellStyle name="好_River EE BOM_Creak Pearl Reliability Fixture RFQ_2009 04 24_Squirrel UniBom-06.23.2010_update_internal_Bolt RFQ_Foxlink_03.1 2011 3 2" xfId="27264"/>
    <cellStyle name="好_River EE BOM_Creak Pearl Reliability Fixture RFQ_2009 04 24_Squirrel UniBom-06.23.2010_update_internal_Bolt RFQ_Foxlink_03.1 2011 5" xfId="27265"/>
    <cellStyle name="好_River EE BOM_Creak Pearl Reliability Fixture RFQ_2009 04 24_Squirrel UniBom-06.23.2010_update_internal_Bolt RFQ_Foxlink_03.1 2011_nego meeting@MACH" xfId="27266"/>
    <cellStyle name="好_River EE BOM_Creak Pearl Reliability Fixture RFQ_2009 04 24_Squirrel UniBom-06.23.2010_update_internal_Bolt RFQ_Foxlink_03.1 2011_nego meeting@MACH 2" xfId="27267"/>
    <cellStyle name="好_River EE BOM_Creak Pearl Reliability Fixture RFQ_2009 04 24_Squirrel UniBom-06.23.2010_update_internal_Bolt RFQ_Foxlink_03.1 2011_nego meeting@MACH 2 2" xfId="27268"/>
    <cellStyle name="好_River EE BOM_Creak Pearl Reliability Fixture RFQ_2009 04 24_Squirrel UniBom-06.23.2010_update_internal_Bolt RFQ_Foxlink_03.1 2011_nego meeting@MACH 2 3" xfId="27269"/>
    <cellStyle name="好_River EE BOM_Creak Pearl Reliability Fixture RFQ_2009 04 24_Squirrel UniBom-06.23.2010_update_internal_Bolt RFQ_Foxlink_03.1 2011_nego meeting@MACH 3" xfId="27270"/>
    <cellStyle name="好_River EE BOM_Creak Pearl Reliability Fixture RFQ_2009 04 24_Squirrel UniBom-06.23.2010_update_internal_Bolt RFQ_Foxlink_03.1 2011_nego meeting@MACH 3 2" xfId="27271"/>
    <cellStyle name="好_River EE BOM_Creak Pearl Reliability Fixture RFQ_2009 04 24_Xl0000002" xfId="27272"/>
    <cellStyle name="好_River EE BOM_Creak Pearl Reliability Fixture RFQ_2009 04 24_Xl0000002 2 4" xfId="27273"/>
    <cellStyle name="好_River EE BOM_Creak Pearl Reliability Fixture RFQ_2009 04 24_Xl0000002_Bolt RFQ Proposal_Foxlink_ (Pricing Summary) 2 25 2011 2" xfId="27274"/>
    <cellStyle name="好_River EE BOM_Creak Pearl Reliability Fixture RFQ_2009 04 24_Xl0000002_Bolt RFQ Proposal_Foxlink_ (Pricing Summary) 2 25 2011 2 2 2" xfId="27275"/>
    <cellStyle name="好_River EE BOM_Creak Pearl Reliability Fixture RFQ_2009 04 24_Xl0000002_Bolt RFQ Proposal_Foxlink_ (Pricing Summary) 2 25 2011 2 2 3" xfId="27276"/>
    <cellStyle name="好_River EE BOM_Creak Pearl Reliability Fixture RFQ_2009 04 24_Xl0000002_Bolt RFQ Proposal_Foxlink_ (Pricing Summary) 2 25 2011 2 3" xfId="27277"/>
    <cellStyle name="好_River EE BOM_Creak Pearl Reliability Fixture RFQ_2009 04 24_Xl0000002_Bolt RFQ Proposal_Foxlink_ (Pricing Summary) 2 25 2011 2 4" xfId="27278"/>
    <cellStyle name="好_River EE BOM_Creak Pearl Reliability Fixture RFQ_2009 04 24_Xl0000002_Bolt RFQ Proposal_Foxlink_ (Pricing Summary) 2 25 2011 3" xfId="27279"/>
    <cellStyle name="好_River EE BOM_Creak Pearl Reliability Fixture RFQ_2009 04 24_Xl0000002_Bolt RFQ Proposal_Foxlink_ (Pricing Summary) 2 25 2011 3 2" xfId="27280"/>
    <cellStyle name="好_River EE BOM_Creak Pearl Reliability Fixture RFQ_2009 04 24_Xl0000002_Bolt RFQ Proposal_Foxlink_ (Pricing Summary) 2 25 2011 3 3" xfId="27281"/>
    <cellStyle name="差_Creak Pearl Reliability Fixture RFQ_2009 04 24_Leopard_UniBOM_ME_0602_Bolt RFQ_Foxlink_03.1 2011_nego meeting@MACH 2 2" xfId="27282"/>
    <cellStyle name="好_River EE BOM_Creak Pearl Reliability Fixture RFQ_2009 04 24_Xl0000002_Bolt RFQ Proposal_Foxlink_ (Pricing Summary) 2 25 2011 4" xfId="27283"/>
    <cellStyle name="好_River EE BOM_Creak Pearl Reliability Fixture RFQ_2009 04 24_Xl0000002_Bolt RFQ Proposal_Foxlink_ (Pricing Summary) 2 25 2011 4 3" xfId="27284"/>
    <cellStyle name="差_Creak Pearl Reliability Fixture RFQ_2009 04 24_Leopard_UniBOM_ME_0602_Bolt RFQ_Foxlink_03.1 2011_nego meeting@MACH 2 3" xfId="27285"/>
    <cellStyle name="好_River EE BOM_Creak Pearl Reliability Fixture RFQ_2009 04 24_Xl0000002_Bolt RFQ Proposal_Foxlink_ (Pricing Summary) 2 25 2011 5" xfId="27286"/>
    <cellStyle name="好_River EE BOM_Creak Pearl Reliability Fixture RFQ_2009 04 24_Xl0000002_Bolt RFQ Proposal_Foxlink_ (Pricing Summary) 2 25 2011 5 2" xfId="27287"/>
    <cellStyle name="好_River EE BOM_Creak Pearl Reliability Fixture RFQ_2009 04 24_Xl0000002_Bolt RFQ Proposal_Foxlink_ (Pricing Summary) 2 25 2011 5 3" xfId="27288"/>
    <cellStyle name="好_River EE BOM_Creak Pearl Reliability Fixture RFQ_2009 04 24_Xl0000002_Bolt RFQ Proposal_Foxlink_ (Pricing Summary) 2 25 2011 6" xfId="27289"/>
    <cellStyle name="差_效益分析&amp;產能評估_Bolt RFQ_Foxlink_03.1 2011_nego meeting@MACH 2 2" xfId="27290"/>
    <cellStyle name="好_River EE BOM_Creak Pearl Reliability Fixture RFQ_2009 04 24_Xl0000002_Bolt RFQ Proposal_Foxlink_ (Pricing Summary) 2 25 2011 7" xfId="27291"/>
    <cellStyle name="好_River EE BOM_Creak Pearl Reliability Fixture RFQ_2009 04 24_Xl0000002_Bolt RFQ_Foxlink_03.1 2011 2 2" xfId="27292"/>
    <cellStyle name="好_River EE BOM_Creak Pearl Reliability Fixture RFQ_2009 04 24_Xl0000002_Bolt RFQ_Foxlink_03.1 2011 3 3" xfId="27293"/>
    <cellStyle name="好_River EE BOM_Creak Pearl Reliability Fixture RFQ_2009 04 24_Xl0000002_Bolt RFQ_Foxlink_03.1 2011 4" xfId="27294"/>
    <cellStyle name="好_River EE BOM_Creak Pearl Reliability Fixture RFQ_2009 04 24_Xl0000002_Bolt RFQ_Foxlink_03.1 2011 5" xfId="27295"/>
    <cellStyle name="好_River EE BOM_Creak Pearl Reliability Fixture RFQ_2009 04 24_Xl0000002_Bolt RFQ_Foxlink_03.1 2011_nego meeting@MACH" xfId="27296"/>
    <cellStyle name="好_River EE BOM_Creak Pearl Reliability Fixture RFQ_2009 04 24_Xl0000002_Bolt RFQ_Foxlink_03.1 2011_nego meeting@MACH 2" xfId="27297"/>
    <cellStyle name="好_River EE BOM_Creak Pearl Reliability Fixture RFQ_2009 04 24_Xl0000002_Bolt RFQ_Foxlink_03.1 2011_nego meeting@MACH 3" xfId="27298"/>
    <cellStyle name="好_River EE BOM_Creak Pearl Reliability Fixture RFQ_2009 04 24_Xl0000002_Bolt RFQ_Foxlink_03.1 2011_nego meeting@MACH 5" xfId="27299"/>
    <cellStyle name="好_River EE BOM_Creak Pearl Reliability Fixture RFQ_2009 04 24_Xl0000002_Foxlink_Shadow RFQ NREUni BOM_12032009 2" xfId="27300"/>
    <cellStyle name="好_River EE BOM_Creak Pearl Reliability Fixture RFQ_2009 04 24_Xl0000002_Foxlink_Shadow RFQ NREUni BOM_12032009 2 2" xfId="27301"/>
    <cellStyle name="好_River EE BOM_Creak Pearl Reliability Fixture RFQ_2009 04 24_Xl0000002_Foxlink_Shadow RFQ NREUni BOM_12032009 3" xfId="27302"/>
    <cellStyle name="好_River EE BOM_Creak Pearl Reliability Fixture RFQ_2009 04 24_Xl0000002_Foxlink_Shadow RFQ NREUni BOM_12032009 3 2" xfId="27303"/>
    <cellStyle name="好_River EE BOM_Creak Pearl Reliability Fixture RFQ_2009 04 24_Xl0000002_Foxlink_Shadow RFQ NREUni BOM_12032009_Bolt RFQ Proposal_Foxlink_ (Pricing Summary) 2 25 2011" xfId="27304"/>
    <cellStyle name="差_jupite r設備&amp;治工具LIST (總)_flow chart 2009.12.12_Jackson 效益分析 (1-18 A7)" xfId="27305"/>
    <cellStyle name="好_River EE BOM_Creak Pearl Reliability Fixture RFQ_2009 04 24_Xl0000002_Foxlink_Shadow RFQ NREUni BOM_12032009_Bolt RFQ Proposal_Foxlink_ (Pricing Summary) 2 25 2011 2" xfId="27306"/>
    <cellStyle name="好_River EE BOM_Creak Pearl Reliability Fixture RFQ_2009 04 24_Xl0000002_Foxlink_Shadow RFQ NREUni BOM_12032009_Bolt RFQ Proposal_Foxlink_ (Pricing Summary) 2 25 2011 2 2" xfId="27307"/>
    <cellStyle name="好_River EE BOM_Creak Pearl Reliability Fixture RFQ_2009 04 24_Xl0000002_Foxlink_Shadow RFQ NREUni BOM_12032009_Bolt RFQ Proposal_Foxlink_ (Pricing Summary) 2 25 2011 2 2 2" xfId="27308"/>
    <cellStyle name="差_Creak Pearl Reliability Fixture RFQ_2009 04 24_Creek RFQ feedback 04_28_2009_FD Update_Squirrel RFQ ME BOM Costs-0623 2" xfId="27309"/>
    <cellStyle name="好_River EE BOM_Creak Pearl Reliability Fixture RFQ_2009 04 24_Xl0000002_Foxlink_Shadow RFQ NREUni BOM_12032009_Bolt RFQ Proposal_Foxlink_ (Pricing Summary) 2 25 2011 2 2 3" xfId="27310"/>
    <cellStyle name="好_River EE BOM_Creak Pearl Reliability Fixture RFQ_2009 04 24_Xl0000002_Foxlink_Shadow RFQ NREUni BOM_12032009_Bolt RFQ Proposal_Foxlink_ (Pricing Summary) 2 25 2011 2 3" xfId="27311"/>
    <cellStyle name="好_River EE BOM_Xl0000000_Leopard_UniBOM_ME_0603-2" xfId="27312"/>
    <cellStyle name="好_River EE BOM_Creak Pearl Reliability Fixture RFQ_2009 04 24_Xl0000002_Foxlink_Shadow RFQ NREUni BOM_12032009_Bolt RFQ Proposal_Foxlink_ (Pricing Summary) 2 25 2011 3 2" xfId="27313"/>
    <cellStyle name="好_River EE BOM_Creak Pearl Reliability Fixture RFQ_2009 04 24_Xl0000002_Foxlink_Shadow RFQ NREUni BOM_12032009_Bolt RFQ Proposal_Foxlink_ (Pricing Summary) 2 25 2011 3 3" xfId="27314"/>
    <cellStyle name="好_River EE BOM_Creak Pearl Reliability Fixture RFQ_2009 04 24_Xl0000002_Foxlink_Shadow RFQ NREUni BOM_12032009_Bolt RFQ Proposal_Foxlink_ (Pricing Summary) 2 25 2011 4 2" xfId="27315"/>
    <cellStyle name="好_River EE BOM_Creak Pearl Reliability Fixture RFQ_2009 04 24_Xl0000002_Foxlink_Shadow RFQ NREUni BOM_12032009_Bolt RFQ Proposal_Foxlink_ (Pricing Summary) 2 25 2011 4 3" xfId="27316"/>
    <cellStyle name="好_River EE BOM_Creak Pearl Reliability Fixture RFQ_2009 04 24_Xl0000002_Foxlink_Shadow RFQ NREUni BOM_12032009_Bolt RFQ Proposal_Foxlink_ (Pricing Summary) 2 25 2011 5 2" xfId="27317"/>
    <cellStyle name="好_River EE BOM_Creak Pearl Reliability Fixture RFQ_2009 04 24_Xl0000002_Foxlink_Shadow RFQ NREUni BOM_12032009_Bolt RFQ Proposal_Foxlink_ (Pricing Summary) 2 25 2011 6" xfId="27318"/>
    <cellStyle name="好_River EE BOM_Creak Pearl Reliability Fixture RFQ_2009 04 24_Xl0000002_Foxlink_Shadow RFQ NREUni BOM_12032009_Bolt RFQ_Foxlink_03.1 2011 2" xfId="27319"/>
    <cellStyle name="差_jupite r設備&amp;治工具LIST (總)_Dallas flow chart&amp;設備&amp;治工具清單(12-8 A0)_Leopard Flowchart &amp; 產能評估" xfId="27320"/>
    <cellStyle name="好_River EE BOM_Creak Pearl Reliability Fixture RFQ_2009 04 24_Xl0000002_Foxlink_Shadow RFQ NREUni BOM_12032009_Bolt RFQ_Foxlink_03.1 2011 2 2" xfId="27321"/>
    <cellStyle name="好_River EE BOM_Creak Pearl Reliability Fixture RFQ_2009 04 24_Xl0000002_Foxlink_Shadow RFQ NREUni BOM_12032009_Bolt RFQ_Foxlink_03.1 2011 3" xfId="27322"/>
    <cellStyle name="好_River EE BOM_Creak Pearl Reliability Fixture RFQ_2009 04 24_Xl0000002_Foxlink_Shadow RFQ NREUni BOM_12032009_Bolt RFQ_Foxlink_03.1 2011 3 3" xfId="27323"/>
    <cellStyle name="好_River EE BOM_Creak Pearl Reliability Fixture RFQ_2009 04 24_Xl0000002_Foxlink_Shadow RFQ NREUni BOM_12032009_Bolt RFQ_Foxlink_03.1 2011 4" xfId="27324"/>
    <cellStyle name="好_River EE BOM_Creak Pearl Reliability Fixture RFQ_2009 04 24_Xl0000002_Foxlink_Shadow RFQ NREUni BOM_12032009_Bolt RFQ_Foxlink_03.1 2011 5" xfId="27325"/>
    <cellStyle name="好_River EE BOM_Creak Pearl Reliability Fixture RFQ_2009 04 24_Xl0000002_Foxlink_Shadow RFQ NREUni BOM_12032009_Bolt RFQ_Foxlink_03.1 2011_nego meeting@MACH" xfId="27326"/>
    <cellStyle name="好_River EE BOM_Creak Pearl Reliability Fixture RFQ_2009 04 24_Xl0000002_Foxlink_Shadow RFQ NREUni BOM_12032009_Bolt RFQ_Foxlink_03.1 2011_nego meeting@MACH 2" xfId="27327"/>
    <cellStyle name="好_River EE BOM_Creak Pearl Reliability Fixture RFQ_2009 04 24_Xl0000002_Foxlink_Shadow RFQ NREUni BOM_12032009_Bolt RFQ_Foxlink_03.1 2011_nego meeting@MACH 2 2" xfId="27328"/>
    <cellStyle name="差_Creak Pearl Reliability Fixture RFQ_2009 04 24_Creek RFQ feedback 04_28_2009_FD Update_Squirrel RFQ ME BOM Costs-0623_Bolt RFQ_Foxlink_03.1 2011 5" xfId="27329"/>
    <cellStyle name="好_River EE BOM_Creak Pearl Reliability Fixture RFQ_2009 04 24_Xl0000002_Foxlink_Shadow RFQ NREUni BOM_12032009_Bolt RFQ_Foxlink_03.1 2011_nego meeting@MACH 3 3" xfId="27330"/>
    <cellStyle name="差_Xl0000002_Leopard_UniBOM_ME_0603-2_Bolt RFQ_Foxlink_03.1 2011_nego meeting@MACH 2 3" xfId="27331"/>
    <cellStyle name="好_River EE BOM_Creak Pearl Reliability Fixture RFQ_2009 04 24_Xl0000002_Foxlink_Shadow RFQ NREUni BOM_12032009_Bolt RFQ_Foxlink_03.1 2011_nego meeting@MACH 4" xfId="27332"/>
    <cellStyle name="差_F3   SMT設備明細_效益分析_Dallas效益分析&amp;投資回收期 (12-2 A1)_Flow Chart&amp;設備治工具清單 _squirrel效益分析08-17" xfId="27333"/>
    <cellStyle name="好_River EE BOM_Creak Pearl Reliability Fixture RFQ_2009 04 24_Xl0000002_Leopard RFQ ME BOM Costs-0618_Bolt RFQ Proposal_Foxlink_ (Pricing Summary) 2 25 2011 2 2" xfId="27334"/>
    <cellStyle name="好_River EE BOM_Creak Pearl Reliability Fixture RFQ_2009 04 24_Xl0000002_Leopard RFQ ME BOM Costs-0618_Bolt RFQ Proposal_Foxlink_ (Pricing Summary) 2 25 2011 2 3" xfId="27335"/>
    <cellStyle name="好_River EE BOM_Creak Pearl Reliability Fixture RFQ_2009 04 24_Xl0000002_Foxlink_Shadow RFQ NREUni BOM_12032009_Bolt RFQ_Foxlink_03.1 2011_nego meeting@MACH 5" xfId="27336"/>
    <cellStyle name="好_River EE BOM_Creak Pearl Reliability Fixture RFQ_2009 04 24_Xl0000002_Jackson and Shadow BOM cost_mainfile_2010 0324 rev.1" xfId="27337"/>
    <cellStyle name="好_效益分析&amp;產能評估_MS Bolt wireless mouse FixtureEquipment Cost_A5_2010_02_21_Bolt RFQ_Foxlink_03.1 2011_nego meeting@MACH 3 3" xfId="27338"/>
    <cellStyle name="好_River EE BOM_Creak Pearl Reliability Fixture RFQ_2009 04 24_Xl0000002_Jackson and Shadow BOM cost_mainfile_2010 0324 rev.1_Leopard UniBom_Foxlink_12272010 RevF_shirley" xfId="27339"/>
    <cellStyle name="差_效益分析&amp;產能評估_M1 SuedeFixtureEquipment Cost_A0_2010_10_15 4" xfId="27340"/>
    <cellStyle name="壞_Creek EE BOM cost_20090425_Squirrel RFQ ME BOM Costs-0623_Bolt RFQ Proposal_Foxlink_ (Pricing Summary) 2 25 2011 3" xfId="27341"/>
    <cellStyle name="差_MB9月管審換線超時8d 2 4" xfId="27342"/>
    <cellStyle name="好_River EE BOM_Creek RFQ feedback 04_28_2009_FD Update_Leopard UniBom_Foxlink_6 21 2010-ME_nego_Bolt RFQ Proposal_Foxlink_ (Pricing Summary) 2 25 2011 5 3" xfId="27343"/>
    <cellStyle name="好_River EE BOM_Creak Pearl Reliability Fixture RFQ_2009 04 24_Xl0000002_Jackson EE BOM " xfId="27344"/>
    <cellStyle name="好_River EE BOM_Creak Pearl Reliability Fixture RFQ_2009 04 24_Xl0000002_Leopard UniBom_Foxlink_6 21 2010-ME_nego_Bolt RFQ_Foxlink_03.1 2011_nego meeting@MACH 2 3" xfId="27345"/>
    <cellStyle name="好_River EE BOM_Creak Pearl Reliability Fixture RFQ_2009 04 24_Xl0000002_Jackson NRE Uni BOM_update _05072010 rev K" xfId="27346"/>
    <cellStyle name="好_River EE BOM_Creak Pearl Reliability Fixture RFQ_2009 04 24_Xl0000002_Leopard Lemur Squirrel UniBom-06.22.2010_EE cost _update_internal" xfId="27347"/>
    <cellStyle name="好_River EE BOM_Creak Pearl Reliability Fixture RFQ_2009 04 24_Xl0000002_Leopard Lemur Squirrel UniBom-06.22.2010_EE cost _update_internal 2 2 2" xfId="27348"/>
    <cellStyle name="好_River EE BOM_Creak Pearl Reliability Fixture RFQ_2009 04 24_Xl0000002_Leopard Lemur Squirrel UniBom-06.22.2010_EE cost _update_internal 2 3" xfId="27349"/>
    <cellStyle name="好_River EE BOM_Creak Pearl Reliability Fixture RFQ_2009 04 24_Xl0000002_Leopard Lemur Squirrel UniBom-06.22.2010_EE cost _update_internal 2 4" xfId="27350"/>
    <cellStyle name="好_River EE BOM_Creak Pearl Reliability Fixture RFQ_2009 04 24_Xl0000002_Leopard Lemur Squirrel UniBom-06.22.2010_EE cost _update_internal_Bolt RFQ Proposal_Foxlink_ (Pricing Summary) 2 25 2011" xfId="27351"/>
    <cellStyle name="好_River EE BOM_Creak Pearl Reliability Fixture RFQ_2009 04 24_Xl0000002_Leopard Lemur Squirrel UniBom-06.22.2010_EE cost _update_internal_Bolt RFQ Proposal_Foxlink_ (Pricing Summary) 2 25 2011 2" xfId="27352"/>
    <cellStyle name="好_River EE BOM_Creak Pearl Reliability Fixture RFQ_2009 04 24_Xl0000002_Leopard Lemur Squirrel UniBom-06.22.2010_EE cost _update_internal_Bolt RFQ Proposal_Foxlink_ (Pricing Summary) 2 25 2011 2 2" xfId="27353"/>
    <cellStyle name="好_River EE BOM_Squirrel UniBom-06.23.2010_update_internal_Bolt RFQ_Foxlink_03.1 2011 2 2" xfId="27354"/>
    <cellStyle name="好_River EE BOM_Creak Pearl Reliability Fixture RFQ_2009 04 24_Xl0000002_Leopard Lemur Squirrel UniBom-06.22.2010_EE cost _update_internal_Bolt RFQ Proposal_Foxlink_ (Pricing Summary) 2 25 2011 2 3" xfId="27355"/>
    <cellStyle name="好_River EE BOM_Creak Pearl Reliability Fixture RFQ_2009 04 24_Xl0000002_Leopard Lemur Squirrel UniBom-06.22.2010_EE cost _update_internal_Bolt RFQ Proposal_Foxlink_ (Pricing Summary) 2 25 2011 3" xfId="27356"/>
    <cellStyle name="好_River EE BOM_Creak Pearl Reliability Fixture RFQ_2009 04 24_Xl0000002_Leopard Lemur Squirrel UniBom-06.22.2010_EE cost _update_internal_Bolt RFQ Proposal_Foxlink_ (Pricing Summary) 2 25 2011 3 2" xfId="27357"/>
    <cellStyle name="好_River EE BOM_Squirrel UniBom-06.23.2010_update_internal_Bolt RFQ_Foxlink_03.1 2011 3 2" xfId="27358"/>
    <cellStyle name="好_River EE BOM_Creak Pearl Reliability Fixture RFQ_2009 04 24_Xl0000002_Leopard Lemur Squirrel UniBom-06.22.2010_EE cost _update_internal_Bolt RFQ Proposal_Foxlink_ (Pricing Summary) 2 25 2011 3 3" xfId="27359"/>
    <cellStyle name="好_River EE BOM_Creak Pearl Reliability Fixture RFQ_2009 04 24_Xl0000002_Leopard Lemur Squirrel UniBom-06.22.2010_EE cost _update_internal_Bolt RFQ Proposal_Foxlink_ (Pricing Summary) 2 25 2011 4" xfId="27360"/>
    <cellStyle name="好_River EE BOM_Creak Pearl Reliability Fixture RFQ_2009 04 24_Xl0000002_Leopard Lemur Squirrel UniBom-06.22.2010_EE cost _update_internal_Bolt RFQ Proposal_Foxlink_ (Pricing Summary) 2 25 2011 4 2" xfId="27361"/>
    <cellStyle name="好_River EE BOM_Creak Pearl Reliability Fixture RFQ_2009 04 24_Xl0000002_Leopard Lemur Squirrel UniBom-06.22.2010_EE cost _update_internal_Bolt RFQ Proposal_Foxlink_ (Pricing Summary) 2 25 2011 4 3" xfId="27362"/>
    <cellStyle name="好_River EE BOM_Creak Pearl Reliability Fixture RFQ_2009 04 24_Xl0000002_Leopard Lemur Squirrel UniBom-06.22.2010_EE cost _update_internal_Bolt RFQ Proposal_Foxlink_ (Pricing Summary) 2 25 2011 5 2" xfId="27363"/>
    <cellStyle name="好_River EE BOM_Creak Pearl Reliability Fixture RFQ_2009 04 24_Xl0000002_Leopard Lemur Squirrel UniBom-06.22.2010_EE cost _update_internal_Bolt RFQ Proposal_Foxlink_ (Pricing Summary) 2 25 2011 6" xfId="27364"/>
    <cellStyle name="好_River EE BOM_Creak Pearl Reliability Fixture RFQ_2009 04 24_Xl0000002_Leopard Lemur Squirrel UniBom-06.22.2010_EE cost _update_internal_Bolt RFQ Proposal_Foxlink_ (Pricing Summary) 2 25 2011 7" xfId="27365"/>
    <cellStyle name="好_River EE BOM_Creak Pearl Reliability Fixture RFQ_2009 04 24_Xl0000002_Leopard Lemur Squirrel UniBom-06.22.2010_EE cost _update_internal_Bolt RFQ_Foxlink_03.1 2011 3 2" xfId="27366"/>
    <cellStyle name="好_River EE BOM_Creak Pearl Reliability Fixture RFQ_2009 04 24_Xl0000002_Leopard Lemur Squirrel UniBom-06.22.2010_EE cost _update_internal_Bolt RFQ_Foxlink_03.1 2011 3 3" xfId="27367"/>
    <cellStyle name="差_F3   SMT設備明細_jupite r設備&amp;治工具LIST (總)_Dallas flow chart&amp;設備&amp;治工具清單(12-8 A0)_Jackson 效益分析 testing update_16th Jan111" xfId="27368"/>
    <cellStyle name="好_River EE BOM_Creak Pearl Reliability Fixture RFQ_2009 04 24_Xl0000002_Leopard Lemur Squirrel UniBom-06.22.2010_EE cost _update_internal_Bolt RFQ_Foxlink_03.1 2011 4" xfId="27369"/>
    <cellStyle name="好_River EE BOM_Creak Pearl Reliability Fixture RFQ_2009 04 24_Xl0000002_Leopard Lemur Squirrel UniBom-06.22.2010_EE cost _update_internal_Bolt RFQ_Foxlink_03.1 2011 5" xfId="27370"/>
    <cellStyle name="好_River EE BOM_Creak Pearl Reliability Fixture RFQ_2009 04 24_Xl0000002_Leopard Lemur Squirrel UniBom-06.22.2010_EE cost _update_internal_Bolt RFQ_Foxlink_03.1 2011_nego meeting@MACH 2" xfId="27371"/>
    <cellStyle name="差_Creak Pearl Reliability Fixture RFQ_2009 04 24_Xl0000002_Leopard_UniBOM_ME_0603-2 3" xfId="27372"/>
    <cellStyle name="好_River EE BOM_Creak Pearl Reliability Fixture RFQ_2009 04 24_Xl0000002_Leopard Lemur Squirrel UniBom-06.22.2010_EE cost _update_internal_Bolt RFQ_Foxlink_03.1 2011_nego meeting@MACH 2 2" xfId="27373"/>
    <cellStyle name="好_River EE BOM_Creak Pearl Reliability Fixture RFQ_2009 04 24_Xl0000002_Leopard Lemur Squirrel UniBom-06.22.2010_EE cost _update_internal_Bolt RFQ_Foxlink_03.1 2011_nego meeting@MACH 2 3" xfId="27374"/>
    <cellStyle name="差_Creak Pearl Reliability Fixture RFQ_2009 04 24_Creek RFQ feedback 04_28_2009_FD Update_Leopard UniBom_Foxlink_6 21 2010-ME_nego_Bolt RFQ Proposal_Foxlink_ (Pricing Summary) 2 25 2011 5 2" xfId="27375"/>
    <cellStyle name="好_River EE BOM_Creak Pearl Reliability Fixture RFQ_2009 04 24_Xl0000002_Leopard Lemur Squirrel UniBom-06.22.2010_EE cost _update_internal_Bolt RFQ_Foxlink_03.1 2011_nego meeting@MACH 4" xfId="27376"/>
    <cellStyle name="好_River EE BOM_Creak Pearl Reliability Fixture RFQ_2009 04 24_Xl0000002_Leopard RFQ ME BOM Costs-0618" xfId="27377"/>
    <cellStyle name="好_River EE BOM_Creak Pearl Reliability Fixture RFQ_2009 04 24_Xl0000002_Leopard RFQ ME BOM Costs-0623" xfId="27378"/>
    <cellStyle name="好_River EE BOM_Creak Pearl Reliability Fixture RFQ_2009 04 24_Xl0000002_Leopard RFQ ME BOM Costs-0618 2" xfId="27379"/>
    <cellStyle name="差_Xl0000002_Leopard RFQ ME BOM Costs-0618-2 2 4" xfId="27380"/>
    <cellStyle name="好_River EE BOM_Creak Pearl Reliability Fixture RFQ_2009 04 24_Xl0000002_Leopard RFQ ME BOM Costs-0618 2 2" xfId="27381"/>
    <cellStyle name="好_River EE BOM_Creak Pearl Reliability Fixture RFQ_2009 04 24_Xl0000002_Leopard RFQ ME BOM Costs-0618 2 2 2" xfId="27382"/>
    <cellStyle name="好_River EE BOM_Creak Pearl Reliability Fixture RFQ_2009 04 24_Xl0000002_Leopard RFQ ME BOM Costs-0618 2 2 3" xfId="27383"/>
    <cellStyle name="好_River EE BOM_Creak Pearl Reliability Fixture RFQ_2009 04 24_Xl0000002_Leopard RFQ ME BOM Costs-0618 2 3" xfId="27384"/>
    <cellStyle name="好_River EE BOM_Creak Pearl Reliability Fixture RFQ_2009 04 24_Xl0000002_Leopard RFQ ME BOM Costs-0618 2 4" xfId="27385"/>
    <cellStyle name="好_River EE BOM_Creak Pearl Reliability Fixture RFQ_2009 04 24_Xl0000002_Leopard RFQ ME BOM Costs-0618 3" xfId="27386"/>
    <cellStyle name="好_River EE BOM_Creak Pearl Reliability Fixture RFQ_2009 04 24_Xl0000002_Leopard RFQ ME BOM Costs-0618 3 2" xfId="27387"/>
    <cellStyle name="差_F3   SMT設備明細_效益分析_Dallas flow chart&amp;設備&amp;治工具清單(12-8 A0)_Jackson 效益分析 (2-1 B0 上系統)_Leopard效益分析08-17" xfId="27388"/>
    <cellStyle name="好_River EE BOM_Creak Pearl Reliability Fixture RFQ_2009 04 24_Xl0000002_Leopard RFQ ME BOM Costs-0618 3 3" xfId="27389"/>
    <cellStyle name="好_River EE BOM_Creak Pearl Reliability Fixture RFQ_2009 04 24_Xl0000002_Leopard RFQ ME BOM Costs-0618_Bolt RFQ Proposal_Foxlink_ (Pricing Summary) 2 25 2011 2" xfId="27390"/>
    <cellStyle name="好_River EE BOM_Creak Pearl Reliability Fixture RFQ_2009 04 24_Xl0000002_Leopard RFQ ME BOM Costs-0618_Bolt RFQ Proposal_Foxlink_ (Pricing Summary) 2 25 2011 2 2 2" xfId="27391"/>
    <cellStyle name="好_River EE BOM_Creak Pearl Reliability Fixture RFQ_2009 04 24_Xl0000002_Leopard RFQ ME BOM Costs-0618_Bolt RFQ Proposal_Foxlink_ (Pricing Summary) 2 25 2011 2 2 3" xfId="27392"/>
    <cellStyle name="差_治具工程課2009年KPI 6" xfId="27393"/>
    <cellStyle name="差_Xl0000002_Leopard_UniBOM_ME_0603-2_Bolt RFQ_Foxlink_03.1 2011_nego meeting@MACH 3 3" xfId="27394"/>
    <cellStyle name="好_River EE BOM_Creak Pearl Reliability Fixture RFQ_2009 04 24_Xl0000002_Leopard RFQ ME BOM Costs-0618_Bolt RFQ Proposal_Foxlink_ (Pricing Summary) 2 25 2011 3 2" xfId="27395"/>
    <cellStyle name="好_River EE BOM_Creak Pearl Reliability Fixture RFQ_2009 04 24_Xl0000002_Leopard RFQ ME BOM Costs-0618_Bolt RFQ Proposal_Foxlink_ (Pricing Summary) 2 25 2011 3 3" xfId="27396"/>
    <cellStyle name="好_River EE BOM_Creak Pearl Reliability Fixture RFQ_2009 04 24_Xl0000002_Leopard RFQ ME BOM Costs-0618_Bolt RFQ Proposal_Foxlink_ (Pricing Summary) 2 25 2011 4" xfId="27397"/>
    <cellStyle name="好_River EE BOM_Creak Pearl Reliability Fixture RFQ_2009 04 24_Xl0000002_Leopard RFQ ME BOM Costs-0618_Bolt RFQ Proposal_Foxlink_ (Pricing Summary) 2 25 2011 4 2" xfId="27398"/>
    <cellStyle name="好_River EE BOM_Creak Pearl Reliability Fixture RFQ_2009 04 24_Xl0000002_Leopard RFQ ME BOM Costs-0618_Bolt RFQ Proposal_Foxlink_ (Pricing Summary) 2 25 2011 4 3" xfId="27399"/>
    <cellStyle name="好_River EE BOM_Creak Pearl Reliability Fixture RFQ_2009 04 24_Xl0000002_Leopard RFQ ME BOM Costs-0618_Bolt RFQ Proposal_Foxlink_ (Pricing Summary) 2 25 2011 5" xfId="27400"/>
    <cellStyle name="好_River EE BOM_Creak Pearl Reliability Fixture RFQ_2009 04 24_Xl0000002_Leopard RFQ ME BOM Costs-0618_Bolt RFQ Proposal_Foxlink_ (Pricing Summary) 2 25 2011 6" xfId="27401"/>
    <cellStyle name="好_River EE BOM_Creak Pearl Reliability Fixture RFQ_2009 04 24_Xl0000002_Leopard RFQ ME BOM Costs-0618_Bolt RFQ Proposal_Foxlink_ (Pricing Summary) 2 25 2011 7" xfId="27402"/>
    <cellStyle name="好_River EE BOM_Creak Pearl Reliability Fixture RFQ_2009 04 24_Xl0000002_Leopard RFQ ME BOM Costs-0618_Bolt RFQ_Foxlink_03.1 2011 3 2" xfId="27403"/>
    <cellStyle name="差_MB9月管審誤判超標 8D 2 5" xfId="27404"/>
    <cellStyle name="好_River EE BOM_Creak Pearl Reliability Fixture RFQ_2009 04 24_Xl0000002_Leopard RFQ ME BOM Costs-0618_Bolt RFQ_Foxlink_03.1 2011_nego meeting@MACH" xfId="27405"/>
    <cellStyle name="好_River EE BOM_Creak Pearl Reliability Fixture RFQ_2009 04 24_Xl0000002_Leopard RFQ ME BOM Costs-0618_Bolt RFQ_Foxlink_03.1 2011_nego meeting@MACH 2" xfId="27406"/>
    <cellStyle name="好_River EE BOM_Creak Pearl Reliability Fixture RFQ_2009 04 24_Xl0000002_Leopard RFQ ME BOM Costs-0618_Bolt RFQ_Foxlink_03.1 2011_nego meeting@MACH 2 3" xfId="27407"/>
    <cellStyle name="好_River EE BOM_Creak Pearl Reliability Fixture RFQ_2009 04 24_Xl0000002_Leopard RFQ ME BOM Costs-0618_Bolt RFQ_Foxlink_03.1 2011_nego meeting@MACH 3" xfId="27408"/>
    <cellStyle name="好_River EE BOM_Creak Pearl Reliability Fixture RFQ_2009 04 24_Xl0000002_Leopard RFQ ME BOM Costs-0618_Bolt RFQ_Foxlink_03.1 2011_nego meeting@MACH 4" xfId="27409"/>
    <cellStyle name="好_River EE BOM_Creak Pearl Reliability Fixture RFQ_2009 04 24_Xl0000002_Leopard RFQ ME BOM Costs-0618-2 2" xfId="27410"/>
    <cellStyle name="差_Creek RFQ feedback 04_28_2009_FD Update_Leopard_UniBOM_ME_0602 2 2 3" xfId="27411"/>
    <cellStyle name="好_River EE BOM_Creak Pearl Reliability Fixture RFQ_2009 04 24_Xl0000002_Leopard RFQ ME BOM Costs-0618-2 2 2" xfId="27412"/>
    <cellStyle name="好_River EE BOM_Creak Pearl Reliability Fixture RFQ_2009 04 24_Xl0000002_Leopard RFQ ME BOM Costs-0618-2 2 2 2" xfId="27413"/>
    <cellStyle name="好_River EE BOM_Creak Pearl Reliability Fixture RFQ_2009 04 24_Xl0000002_Leopard RFQ ME BOM Costs-0618-2 2 2 3" xfId="27414"/>
    <cellStyle name="好_River EE BOM_Creak Pearl Reliability Fixture RFQ_2009 04 24_Xl0000002_Leopard RFQ ME BOM Costs-0618-2 2 3" xfId="27415"/>
    <cellStyle name="好_River EE BOM_Creak Pearl Reliability Fixture RFQ_2009 04 24_Xl0000002_Leopard RFQ ME BOM Costs-0618-2 2 4" xfId="27416"/>
    <cellStyle name="差_Creak Pearl Reliability Fixture RFQ_2009 04 24_Creek RFQ feedback 04_28_2009_FD Update_Squirrel RFQ ME BOM Costs-0624" xfId="27417"/>
    <cellStyle name="好_River EE BOM_Creak Pearl Reliability Fixture RFQ_2009 04 24_Xl0000002_Leopard RFQ ME BOM Costs-0618-2 3 2" xfId="27418"/>
    <cellStyle name="好_River EE BOM_Creak Pearl Reliability Fixture RFQ_2009 04 24_Xl0000002_Leopard RFQ ME BOM Costs-0618-2 3 3" xfId="27419"/>
    <cellStyle name="好_River EE BOM_Creek RFQ feedback 04_28_2009_FD Update_Squirrel UniBom-06.23.2010_update_internal_Bolt RFQ_Foxlink_03.1 2011 5" xfId="27420"/>
    <cellStyle name="好_River EE BOM_Creak Pearl Reliability Fixture RFQ_2009 04 24_Xl0000002_Leopard RFQ ME BOM Costs-0618-2_Bolt RFQ Proposal_Foxlink_ (Pricing Summary) 2 25 2011 2 2" xfId="27421"/>
    <cellStyle name="好_River EE BOM_Creak Pearl Reliability Fixture RFQ_2009 04 24_Xl0000002_Leopard RFQ ME BOM Costs-0618-2_Bolt RFQ Proposal_Foxlink_ (Pricing Summary) 2 25 2011 2 2 2" xfId="27422"/>
    <cellStyle name="好_River EE BOM_Creak Pearl Reliability Fixture RFQ_2009 04 24_Xl0000002_Leopard RFQ ME BOM Costs-0618-2_Bolt RFQ Proposal_Foxlink_ (Pricing Summary) 2 25 2011 4 3" xfId="27423"/>
    <cellStyle name="好_River EE BOM_Creak Pearl Reliability Fixture RFQ_2009 04 24_Xl0000002_Leopard RFQ ME BOM Costs-0618-2_Bolt RFQ Proposal_Foxlink_ (Pricing Summary) 2 25 2011 5 3" xfId="27424"/>
    <cellStyle name="差_F3   SMT設備明細_jupite r設備&amp;治工具LIST (總)_Jackson 效益分析 testing update_16th Jan111_Jackson 效益分析 (2-1 B0 上系統)_squirrel效益分析08-17" xfId="27425"/>
    <cellStyle name="差_Xl0000002_Leopard_UniBOM_ME_0531_Bolt RFQ Proposal_Foxlink_ (Pricing Summary) 2 25 2011 3 3" xfId="27426"/>
    <cellStyle name="好_River EE BOM_Creak Pearl Reliability Fixture RFQ_2009 04 24_Xl0000002_Leopard RFQ ME BOM Costs-0618-2_Bolt RFQ Proposal_Foxlink_ (Pricing Summary) 2 25 2011 7" xfId="27427"/>
    <cellStyle name="好_River EE BOM_Creak Pearl Reliability Fixture RFQ_2009 04 24_Xl0000002_Leopard RFQ ME BOM Costs-0618-2_Bolt RFQ_Foxlink_03.1 2011" xfId="27428"/>
    <cellStyle name="好_River EE BOM_Creak Pearl Reliability Fixture RFQ_2009 04 24_Xl0000002_Leopard RFQ ME BOM Costs-0618-2_Bolt RFQ_Foxlink_03.1 2011 2" xfId="27429"/>
    <cellStyle name="差_Erie mouse 效益分析( 11-19 A1)_效益分析(總 12-28 Update)_~1159284" xfId="27430"/>
    <cellStyle name="好_River EE BOM_Creak Pearl Reliability Fixture RFQ_2009 04 24_Xl0000002_Leopard RFQ ME BOM Costs-0618-2_Bolt RFQ_Foxlink_03.1 2011 2 2" xfId="27431"/>
    <cellStyle name="好_River EE BOM_Creak Pearl Reliability Fixture RFQ_2009 04 24_Xl0000002_Leopard RFQ ME BOM Costs-0618-2_Bolt RFQ_Foxlink_03.1 2011 2 3" xfId="27432"/>
    <cellStyle name="好_River EE BOM_Creak Pearl Reliability Fixture RFQ_2009 04 24_Xl0000002_Leopard RFQ ME BOM Costs-0618-2_Bolt RFQ_Foxlink_03.1 2011 3" xfId="27433"/>
    <cellStyle name="好_River EE BOM_Creak Pearl Reliability Fixture RFQ_2009 04 24_Xl0000002_Leopard RFQ ME BOM Costs-0618-2_Bolt RFQ_Foxlink_03.1 2011 3 2" xfId="27434"/>
    <cellStyle name="好_River EE BOM_Creak Pearl Reliability Fixture RFQ_2009 04 24_Xl0000002_Leopard RFQ ME BOM Costs-0618-2_Bolt RFQ_Foxlink_03.1 2011 3 3" xfId="27435"/>
    <cellStyle name="好_River EE BOM_Creak Pearl Reliability Fixture RFQ_2009 04 24_Xl0000002_Leopard RFQ ME BOM Costs-0618-2_Bolt RFQ_Foxlink_03.1 2011 4" xfId="27436"/>
    <cellStyle name="好_River EE BOM_Creak Pearl Reliability Fixture RFQ_2009 04 24_Xl0000002_Leopard RFQ ME BOM Costs-0618-2_Bolt RFQ_Foxlink_03.1 2011 5" xfId="27437"/>
    <cellStyle name="好_River EE BOM_Creak Pearl Reliability Fixture RFQ_2009 04 24_Xl0000002_Leopard RFQ ME BOM Costs-0618-2_Bolt RFQ_Foxlink_03.1 2011_nego meeting@MACH 2 2" xfId="27438"/>
    <cellStyle name="好_River EE BOM_Creak Pearl Reliability Fixture RFQ_2009 04 24_Xl0000002_Leopard RFQ ME BOM Costs-0618-2_Bolt RFQ_Foxlink_03.1 2011_nego meeting@MACH 2 3" xfId="27439"/>
    <cellStyle name="好_River EE BOM_Creek RFQ feedback 04_28_2009_FD Update_Squirrel RFQ ME BOM Costs-0623_Bolt RFQ_Foxlink_03.1 2011" xfId="27440"/>
    <cellStyle name="好_River EE BOM_Creak Pearl Reliability Fixture RFQ_2009 04 24_Xl0000002_Leopard RFQ ME BOM Costs-0618-2_Bolt RFQ_Foxlink_03.1 2011_nego meeting@MACH 3 2" xfId="27441"/>
    <cellStyle name="差_Creak Pearl Reliability Fixture RFQ_2009 04 24_Xl0000002_Leopard_UniBOM_ME_0531_Bolt RFQ_Foxlink_03.1 2011" xfId="27442"/>
    <cellStyle name="好_River EE BOM_Creak Pearl Reliability Fixture RFQ_2009 04 24_Xl0000002_Leopard RFQ ME BOM Costs-0618-2_Bolt RFQ_Foxlink_03.1 2011_nego meeting@MACH 3 3" xfId="27443"/>
    <cellStyle name="壞_Creek EE BOM cost_20090425_Leopard RFQ ME BOM Costs-0618_Bolt RFQ_Foxlink_03.1 2011 3 2" xfId="27444"/>
    <cellStyle name="好_River EE BOM_Creak Pearl Reliability Fixture RFQ_2009 04 24_Xl0000002_Leopard RFQ ME BOM Costs-0618-2_Bolt RFQ_Foxlink_03.1 2011_nego meeting@MACH 5" xfId="27445"/>
    <cellStyle name="好_River EE BOM_Creak Pearl Reliability Fixture RFQ_2009 04 24_Xl0000002_Leopard_UniBOM_ME_0602 3 2" xfId="27446"/>
    <cellStyle name="好_River EE BOM_Creak Pearl Reliability Fixture RFQ_2009 04 24_Xl0000002_Leopard UniBom_Foxlink_6 21 2010-ME_nego" xfId="27447"/>
    <cellStyle name="差_治具工程課2009年KPI_2009MB KPI-0205 2 2 2 3" xfId="27448"/>
    <cellStyle name="好_River EE BOM_Creak Pearl Reliability Fixture RFQ_2009 04 24_Xl0000002_Leopard UniBom_Foxlink_6 21 2010-ME_nego 2 2 2" xfId="27449"/>
    <cellStyle name="好_River EE BOM_Creak Pearl Reliability Fixture RFQ_2009 04 24_Xl0000002_Leopard UniBom_Foxlink_6 21 2010-ME_nego 2 2 3" xfId="27450"/>
    <cellStyle name="好_River EE BOM_Creak Pearl Reliability Fixture RFQ_2009 04 24_Xl0000002_Leopard UniBom_Foxlink_6 21 2010-ME_nego 2 4" xfId="27451"/>
    <cellStyle name="好_治具工程課2009年KPI_HP 2 2" xfId="27452"/>
    <cellStyle name="好_River EE BOM_Creak Pearl Reliability Fixture RFQ_2009 04 24_Xl0000002_Leopard UniBom_Foxlink_6 21 2010-ME_nego_Bolt RFQ Proposal_Foxlink_ (Pricing Summary) 2 25 2011" xfId="27453"/>
    <cellStyle name="好_治具工程課2009年KPI_HP 2 2 2 2" xfId="27454"/>
    <cellStyle name="好_River EE BOM_Creak Pearl Reliability Fixture RFQ_2009 04 24_Xl0000002_Leopard UniBom_Foxlink_6 21 2010-ME_nego_Bolt RFQ Proposal_Foxlink_ (Pricing Summary) 2 25 2011 2 2" xfId="27455"/>
    <cellStyle name="好_River EE BOM_Creak Pearl Reliability Fixture RFQ_2009 04 24_Xl0000002_Leopard UniBom_Foxlink_6 21 2010-ME_nego_Bolt RFQ Proposal_Foxlink_ (Pricing Summary) 2 25 2011 2 2 2" xfId="27456"/>
    <cellStyle name="好_治具工程課2009年KPI_HP 2 2 4" xfId="27457"/>
    <cellStyle name="好_River EE BOM_Creek RFQ feedback 04_28_2009_FD Update_Bolt RFQ Proposal_Foxlink_ (Pricing Summary) 2 25 2011 3 3" xfId="27458"/>
    <cellStyle name="好_River EE BOM_Creak Pearl Reliability Fixture RFQ_2009 04 24_Xl0000002_Leopard UniBom_Foxlink_6 21 2010-ME_nego_Bolt RFQ Proposal_Foxlink_ (Pricing Summary) 2 25 2011 4" xfId="27459"/>
    <cellStyle name="好_River EE BOM_Creak Pearl Reliability Fixture RFQ_2009 04 24_Xl0000002_Leopard UniBom_Foxlink_6 21 2010-ME_nego_Bolt RFQ Proposal_Foxlink_ (Pricing Summary) 2 25 2011 5 2" xfId="27460"/>
    <cellStyle name="好_River EE BOM_Creak Pearl Reliability Fixture RFQ_2009 04 24_Xl0000002_Leopard UniBom_Foxlink_6 21 2010-ME_nego_Bolt RFQ Proposal_Foxlink_ (Pricing Summary) 2 25 2011 7" xfId="27461"/>
    <cellStyle name="好_River EE BOM_Creak Pearl Reliability Fixture RFQ_2009 04 24_Xl0000002_Leopard UniBom_Foxlink_6 21 2010-ME_nego_Bolt RFQ_Foxlink_03.1 2011" xfId="27462"/>
    <cellStyle name="好_River EE BOM_Creak Pearl Reliability Fixture RFQ_2009 04 24_Xl0000002_Leopard UniBom_Foxlink_6 21 2010-ME_nego_Bolt RFQ_Foxlink_03.1 2011 3" xfId="27463"/>
    <cellStyle name="好_River EE BOM_Creak Pearl Reliability Fixture RFQ_2009 04 24_Xl0000002_Leopard UniBom_Foxlink_6 21 2010-ME_nego_Bolt RFQ_Foxlink_03.1 2011 3 2" xfId="27464"/>
    <cellStyle name="好_River EE BOM_Creak Pearl Reliability Fixture RFQ_2009 04 24_Xl0000002_Leopard UniBom_Foxlink_6 21 2010-ME_nego_Bolt RFQ_Foxlink_03.1 2011 3 3" xfId="27465"/>
    <cellStyle name="好_River EE BOM_Creak Pearl Reliability Fixture RFQ_2009 04 24_Xl0000002_Leopard UniBom_Foxlink_6 21 2010-ME_nego_Bolt RFQ_Foxlink_03.1 2011 4" xfId="27466"/>
    <cellStyle name="好_River EE BOM_Creak Pearl Reliability Fixture RFQ_2009 04 24_Xl0000002_Leopard UniBom_Foxlink_6 21 2010-ME_nego_Bolt RFQ_Foxlink_03.1 2011 5" xfId="27467"/>
    <cellStyle name="差_HP Mouse 產能評估(Forecast更改後)_Erie 效益分析 (Update)_~5631336_Jackson 效益分析 (2-1 B0 上系統)_Leopard Flowchart &amp; 產能評估" xfId="27468"/>
    <cellStyle name="好_River EE BOM_Creak Pearl Reliability Fixture RFQ_2009 04 24_Xl0000002_Leopard UniBom_Foxlink_6 21 2010-ME_nego_Bolt RFQ_Foxlink_03.1 2011_nego meeting@MACH" xfId="27469"/>
    <cellStyle name="好_River EE BOM_Creak Pearl Reliability Fixture RFQ_2009 04 24_Xl0000002_Leopard UniBom_Foxlink_6 21 2010-ME_nego_Bolt RFQ_Foxlink_03.1 2011_nego meeting@MACH 2" xfId="27470"/>
    <cellStyle name="好_River EE BOM_Creak Pearl Reliability Fixture RFQ_2009 04 24_Xl0000002_Leopard UniBom_Foxlink_6 21 2010-ME_nego_Bolt RFQ_Foxlink_03.1 2011_nego meeting@MACH 3 2" xfId="27471"/>
    <cellStyle name="好_River EE BOM_Creak Pearl Reliability Fixture RFQ_2009 04 24_Xl0000002_Leopard UniBom_Foxlink_6 21 2010-ME_nego_Bolt RFQ_Foxlink_03.1 2011_nego meeting@MACH 3 3" xfId="27472"/>
    <cellStyle name="差_Xl0000002_Leopard_UniBOM_ME_0603-2_Bolt RFQ_Foxlink_03.1 2011 3" xfId="27473"/>
    <cellStyle name="好_River EE BOM_Creak Pearl Reliability Fixture RFQ_2009 04 24_Xl0000002_Leopard UniBom_true cost_6.23.2010" xfId="27474"/>
    <cellStyle name="好_River EE BOM_Xl0000000_Leopard_UniBOM_ME_0602_Bolt RFQ Proposal_Foxlink_ (Pricing Summary) 2 25 2011 2 4" xfId="27475"/>
    <cellStyle name="好_River EE BOM_Creak Pearl Reliability Fixture RFQ_2009 04 24_Xl0000002_Leopard_UniBOM_ME_0531 2" xfId="27476"/>
    <cellStyle name="好_River EE BOM_Creak Pearl Reliability Fixture RFQ_2009 04 24_Xl0000002_Leopard_UniBOM_ME_0531 2 2" xfId="27477"/>
    <cellStyle name="好_River EE BOM_Creak Pearl Reliability Fixture RFQ_2009 04 24_Xl0000002_Leopard_UniBOM_ME_0531 3" xfId="27478"/>
    <cellStyle name="差_Creak Pearl Reliability Fixture RFQ_2009 04 24_Creek RFQ feedback 04_28_2009_FD Update_Leopard RFQ ME BOM Costs-0618-2_Bolt RFQ Proposal_Foxlink_ (Pricing Summary) 2 25 2011 2 4" xfId="27479"/>
    <cellStyle name="好_River EE BOM_Creak Pearl Reliability Fixture RFQ_2009 04 24_Xl0000002_Leopard_UniBOM_ME_0531 3 2" xfId="27480"/>
    <cellStyle name="好_River EE BOM_Creak Pearl Reliability Fixture RFQ_2009 04 24_Xl0000002_Leopard_UniBOM_ME_0531_Bolt RFQ Proposal_Foxlink_ (Pricing Summary) 2 25 2011" xfId="27481"/>
    <cellStyle name="好_River EE BOM_Creak Pearl Reliability Fixture RFQ_2009 04 24_Xl0000002_Leopard_UniBOM_ME_0531_Bolt RFQ Proposal_Foxlink_ (Pricing Summary) 2 25 2011 2" xfId="27482"/>
    <cellStyle name="差_Xl0000000_Leopard_UniBOM_ME_0531_Bolt RFQ_Foxlink_03.1 2011_nego meeting@MACH 2 3" xfId="27483"/>
    <cellStyle name="好_River EE BOM_Creak Pearl Reliability Fixture RFQ_2009 04 24_Xl0000002_Leopard_UniBOM_ME_0531_Bolt RFQ Proposal_Foxlink_ (Pricing Summary) 2 25 2011 2 2 3" xfId="27484"/>
    <cellStyle name="好_River EE BOM_Creak Pearl Reliability Fixture RFQ_2009 04 24_Xl0000002_Leopard_UniBOM_ME_0531_Bolt RFQ Proposal_Foxlink_ (Pricing Summary) 2 25 2011 2 4" xfId="27485"/>
    <cellStyle name="好_River EE BOM_Creak Pearl Reliability Fixture RFQ_2009 04 24_Xl0000002_Leopard_UniBOM_ME_0531_Bolt RFQ Proposal_Foxlink_ (Pricing Summary) 2 25 2011 3" xfId="27486"/>
    <cellStyle name="好_River EE BOM_Xl0000000_Squirrel UniBom-06.23.2010_update_internal_Bolt RFQ_Foxlink_03.1 2011" xfId="27487"/>
    <cellStyle name="好_River EE BOM_Creak Pearl Reliability Fixture RFQ_2009 04 24_Xl0000002_Leopard_UniBOM_ME_0531_Bolt RFQ Proposal_Foxlink_ (Pricing Summary) 2 25 2011 3 3" xfId="27488"/>
    <cellStyle name="好_River EE BOM_Creak Pearl Reliability Fixture RFQ_2009 04 24_Xl0000002_Leopard_UniBOM_ME_0531_Bolt RFQ Proposal_Foxlink_ (Pricing Summary) 2 25 2011 4" xfId="27489"/>
    <cellStyle name="好_River EE BOM_Creak Pearl Reliability Fixture RFQ_2009 04 24_Xl0000002_Leopard_UniBOM_ME_0531_Bolt RFQ Proposal_Foxlink_ (Pricing Summary) 2 25 2011 4 2" xfId="27490"/>
    <cellStyle name="好_River EE BOM_Creak Pearl Reliability Fixture RFQ_2009 04 24_Xl0000002_Leopard_UniBOM_ME_0531_Bolt RFQ Proposal_Foxlink_ (Pricing Summary) 2 25 2011 4 3" xfId="27491"/>
    <cellStyle name="好_River EE BOM_Creak Pearl Reliability Fixture RFQ_2009 04 24_Xl0000002_Leopard_UniBOM_ME_0531_Bolt RFQ Proposal_Foxlink_ (Pricing Summary) 2 25 2011 6" xfId="27492"/>
    <cellStyle name="好_River EE BOM_Creak Pearl Reliability Fixture RFQ_2009 04 24_Xl0000002_Leopard_UniBOM_ME_0531_Bolt RFQ Proposal_Foxlink_ (Pricing Summary) 2 25 2011 7" xfId="27493"/>
    <cellStyle name="好_River EE BOM_Creak Pearl Reliability Fixture RFQ_2009 04 24_Xl0000002_Leopard_UniBOM_ME_0531_Bolt RFQ_Foxlink_03.1 2011 2 2" xfId="27494"/>
    <cellStyle name="好_River EE BOM_Creak Pearl Reliability Fixture RFQ_2009 04 24_Xl0000002_Leopard_UniBOM_ME_0531_Bolt RFQ_Foxlink_03.1 2011 3 2" xfId="27495"/>
    <cellStyle name="好_River EE BOM_Creak Pearl Reliability Fixture RFQ_2009 04 24_Xl0000002_Leopard_UniBOM_ME_0531_Bolt RFQ_Foxlink_03.1 2011_nego meeting@MACH 3 2" xfId="27496"/>
    <cellStyle name="好_River EE BOM_Creak Pearl Reliability Fixture RFQ_2009 04 24_Xl0000002_Leopard_UniBOM_ME_0531_Bolt RFQ_Foxlink_03.1 2011_nego meeting@MACH 3 3" xfId="27497"/>
    <cellStyle name="好_River QA Report- 8.23_Dolce   QA Report 2010_0902" xfId="27498"/>
    <cellStyle name="好_River EE BOM_Creak Pearl Reliability Fixture RFQ_2009 04 24_Xl0000002_Leopard_UniBOM_ME_0531_Bolt RFQ_Foxlink_03.1 2011_nego meeting@MACH 5" xfId="27499"/>
    <cellStyle name="好_River EE BOM_Creak Pearl Reliability Fixture RFQ_2009 04 24_Xl0000002_Leopard_UniBOM_ME_0602 2 3" xfId="27500"/>
    <cellStyle name="好_River EE BOM_Creak Pearl Reliability Fixture RFQ_2009 04 24_Xl0000002_Leopard_UniBOM_ME_0602 2 4" xfId="27501"/>
    <cellStyle name="差_0842周 顯卡報廢超標8D_2009MB KPI_MBO3F製造部hp0209-01 2 2 2 3" xfId="27502"/>
    <cellStyle name="好_River EE BOM_Creak Pearl Reliability Fixture RFQ_2009 04 24_Xl0000002_Leopard_UniBOM_ME_0602 3" xfId="27503"/>
    <cellStyle name="好_River EE BOM_Creak Pearl Reliability Fixture RFQ_2009 04 24_Xl0000002_Leopard_UniBOM_ME_0602_Bolt RFQ Proposal_Foxlink_ (Pricing Summary) 2 25 2011 2 2" xfId="27504"/>
    <cellStyle name="好_River EE BOM_Creak Pearl Reliability Fixture RFQ_2009 04 24_Xl0000002_Leopard_UniBOM_ME_0602_Bolt RFQ Proposal_Foxlink_ (Pricing Summary) 2 25 2011 2 3" xfId="27505"/>
    <cellStyle name="好_River EE BOM_Creak Pearl Reliability Fixture RFQ_2009 04 24_Xl0000002_Leopard_UniBOM_ME_0602_Bolt RFQ Proposal_Foxlink_ (Pricing Summary) 2 25 2011 3" xfId="27506"/>
    <cellStyle name="好_River EE BOM_Creak Pearl Reliability Fixture RFQ_2009 04 24_Xl0000002_Leopard_UniBOM_ME_0602_Bolt RFQ Proposal_Foxlink_ (Pricing Summary) 2 25 2011 3 2" xfId="27507"/>
    <cellStyle name="好_River EE BOM_Creak Pearl Reliability Fixture RFQ_2009 04 24_Xl0000002_Leopard_UniBOM_ME_0602_Bolt RFQ Proposal_Foxlink_ (Pricing Summary) 2 25 2011 3 3" xfId="27508"/>
    <cellStyle name="差_Creak Pearl Reliability Fixture RFQ_2009 04 24_Creek RFQ feedback 04_28_2009_FD Update_Leopard RFQ ME BOM Costs-0618_Bolt RFQ_Foxlink_03.1 2011_nego meeting@MACH 2 2" xfId="27509"/>
    <cellStyle name="好_River EE BOM_Creak Pearl Reliability Fixture RFQ_2009 04 24_Xl0000002_Leopard_UniBOM_ME_0602_Bolt RFQ Proposal_Foxlink_ (Pricing Summary) 2 25 2011 7" xfId="27510"/>
    <cellStyle name="好_River EE BOM_Creak Pearl Reliability Fixture RFQ_2009 04 24_Xl0000002_Leopard_UniBOM_ME_0602_Bolt RFQ_Foxlink_03.1 2011 2 3" xfId="27511"/>
    <cellStyle name="差_Creak Pearl Reliability Fixture RFQ_2009 04 24_Leopard_UniBOM_ME_0602_Bolt RFQ Proposal_Foxlink_ (Pricing Summary) 2 25 2011 2 2 2" xfId="27512"/>
    <cellStyle name="好_River EE BOM_Creak Pearl Reliability Fixture RFQ_2009 04 24_Xl0000002_Leopard_UniBOM_ME_0602_Bolt RFQ_Foxlink_03.1 2011_nego meeting@MACH" xfId="27513"/>
    <cellStyle name="好_River EE BOM_Creak Pearl Reliability Fixture RFQ_2009 04 24_Xl0000002_Leopard_UniBOM_ME_0602_Bolt RFQ_Foxlink_03.1 2011_nego meeting@MACH 2 2" xfId="27514"/>
    <cellStyle name="差_Xl0000000_Leopard_UniBOM_ME_0603-2 2 2 2" xfId="27515"/>
    <cellStyle name="好_River EE BOM_Creak Pearl Reliability Fixture RFQ_2009 04 24_Xl0000002_Leopard_UniBOM_ME_0602_Bolt RFQ_Foxlink_03.1 2011_nego meeting@MACH 2 3" xfId="27516"/>
    <cellStyle name="好_River EE BOM_Creak Pearl Reliability Fixture RFQ_2009 04 24_Xl0000002_Leopard_UniBOM_ME_0602_Bolt RFQ_Foxlink_03.1 2011_nego meeting@MACH 3" xfId="27517"/>
    <cellStyle name="好_River EE BOM_Creak Pearl Reliability Fixture RFQ_2009 04 24_Xl0000002_Leopard_UniBOM_ME_0602_Bolt RFQ_Foxlink_03.1 2011_nego meeting@MACH 3 3" xfId="27518"/>
    <cellStyle name="好_River EE BOM_Creak Pearl Reliability Fixture RFQ_2009 04 24_Xl0000002_Leopard_UniBOM_ME_0602_Bolt RFQ_Foxlink_03.1 2011_nego meeting@MACH 4" xfId="27519"/>
    <cellStyle name="好_River EE BOM_Creak Pearl Reliability Fixture RFQ_2009 04 24_Xl0000002_Leopard_UniBOM_ME_0602_Bolt RFQ_Foxlink_03.1 2011_nego meeting@MACH 5" xfId="27520"/>
    <cellStyle name="差_jupite r設備&amp;治工具LIST (總)_效益分析 (12-9 A1)_Jackson 效益分析 (2-1 B0 上系統)" xfId="27521"/>
    <cellStyle name="好_River EE BOM_Creak Pearl Reliability Fixture RFQ_2009 04 24_Xl0000002_Leopard_UniBOM_ME_0602-1" xfId="27522"/>
    <cellStyle name="好_River EE BOM_Creak Pearl Reliability Fixture RFQ_2009 04 24_Xl0000002_Leopard_UniBOM_ME_0602-1 2 2" xfId="27523"/>
    <cellStyle name="好_River EE BOM_Creak Pearl Reliability Fixture RFQ_2009 04 24_Xl0000002_Leopard_UniBOM_ME_0602-1 2 2 2" xfId="27524"/>
    <cellStyle name="好_River EE BOM_Creak Pearl Reliability Fixture RFQ_2009 04 24_Xl0000002_Leopard_UniBOM_ME_0602-1 2 2 3" xfId="27525"/>
    <cellStyle name="好_River EE BOM_Creak Pearl Reliability Fixture RFQ_2009 04 24_Xl0000002_Leopard_UniBOM_ME_0602-1 2 3" xfId="27526"/>
    <cellStyle name="好_River EE BOM_Creak Pearl Reliability Fixture RFQ_2009 04 24_Xl0000002_Leopard_UniBOM_ME_0602-1 2 4" xfId="27527"/>
    <cellStyle name="好_River EE BOM_Creak Pearl Reliability Fixture RFQ_2009 04 24_Xl0000002_Leopard_UniBOM_ME_0602-1 3" xfId="27528"/>
    <cellStyle name="好_River EE BOM_Creak Pearl Reliability Fixture RFQ_2009 04 24_Xl0000002_Leopard_UniBOM_ME_0602-1 3 2" xfId="27529"/>
    <cellStyle name="好_River EE BOM_Creak Pearl Reliability Fixture RFQ_2009 04 24_Xl0000002_Leopard_UniBOM_ME_0602-1 3 3" xfId="27530"/>
    <cellStyle name="好_River EE BOM_Creak Pearl Reliability Fixture RFQ_2009 04 24_Xl0000002_Leopard_UniBOM_ME_0602-1_Bolt RFQ Proposal_Foxlink_ (Pricing Summary) 2 25 2011" xfId="27531"/>
    <cellStyle name="好_River EE BOM_Creak Pearl Reliability Fixture RFQ_2009 04 24_Xl0000002_Leopard_UniBOM_ME_0602-1_Bolt RFQ Proposal_Foxlink_ (Pricing Summary) 2 25 2011 2" xfId="27532"/>
    <cellStyle name="好_River EE BOM_Creak Pearl Reliability Fixture RFQ_2009 04 24_Xl0000002_Leopard_UniBOM_ME_0602-1_Bolt RFQ Proposal_Foxlink_ (Pricing Summary) 2 25 2011 2 2" xfId="27533"/>
    <cellStyle name="好_River EE BOM_Creak Pearl Reliability Fixture RFQ_2009 04 24_Xl0000002_Leopard_UniBOM_ME_0602-1_Bolt RFQ Proposal_Foxlink_ (Pricing Summary) 2 25 2011 2 2 2" xfId="27534"/>
    <cellStyle name="好_River EE BOM_Creak Pearl Reliability Fixture RFQ_2009 04 24_Xl0000002_Leopard_UniBOM_ME_0602-1_Bolt RFQ Proposal_Foxlink_ (Pricing Summary) 2 25 2011 2 2 3" xfId="27535"/>
    <cellStyle name="好_River EE BOM_Creak Pearl Reliability Fixture RFQ_2009 04 24_Xl0000002_Leopard_UniBOM_ME_0602-1_Bolt RFQ Proposal_Foxlink_ (Pricing Summary) 2 25 2011 2 3" xfId="27536"/>
    <cellStyle name="好_River EE BOM_Creak Pearl Reliability Fixture RFQ_2009 04 24_Xl0000002_Leopard_UniBOM_ME_0602-1_Bolt RFQ Proposal_Foxlink_ (Pricing Summary) 2 25 2011 2 4" xfId="27537"/>
    <cellStyle name="好_River EE BOM_Creak Pearl Reliability Fixture RFQ_2009 04 24_Xl0000002_Leopard_UniBOM_ME_0602-1_Bolt RFQ Proposal_Foxlink_ (Pricing Summary) 2 25 2011 3" xfId="27538"/>
    <cellStyle name="好_River EE BOM_Creak Pearl Reliability Fixture RFQ_2009 04 24_Xl0000002_Leopard_UniBOM_ME_0602-1_Bolt RFQ Proposal_Foxlink_ (Pricing Summary) 2 25 2011 4" xfId="27539"/>
    <cellStyle name="好_River EE BOM_Creak Pearl Reliability Fixture RFQ_2009 04 24_Xl0000002_Leopard_UniBOM_ME_0602-1_Bolt RFQ Proposal_Foxlink_ (Pricing Summary) 2 25 2011 4 2" xfId="27540"/>
    <cellStyle name="好_River EE BOM_Creak Pearl Reliability Fixture RFQ_2009 04 24_Xl0000002_Leopard_UniBOM_ME_0602-1_Bolt RFQ Proposal_Foxlink_ (Pricing Summary) 2 25 2011 5" xfId="27541"/>
    <cellStyle name="差_jupite r設備&amp;治工具LIST (總)_Dallas效益分析&amp;投資回收期 (12-2 A1)_Jackson 效益分析 (1-18 A7)" xfId="27542"/>
    <cellStyle name="好_River EE BOM_Creak Pearl Reliability Fixture RFQ_2009 04 24_Xl0000002_Leopard_UniBOM_ME_0602-1_Bolt RFQ Proposal_Foxlink_ (Pricing Summary) 2 25 2011 5 3" xfId="27543"/>
    <cellStyle name="差_Creak Pearl Reliability Fixture RFQ_2009 04 24_Xl0000002_Leopard_UniBOM_ME_0531_Bolt RFQ_Foxlink_03.1 2011_nego meeting@MACH 3 2" xfId="27544"/>
    <cellStyle name="好_River EE BOM_Creak Pearl Reliability Fixture RFQ_2009 04 24_Xl0000002_Leopard_UniBOM_ME_0602-1_Bolt RFQ Proposal_Foxlink_ (Pricing Summary) 2 25 2011 6" xfId="27545"/>
    <cellStyle name="差_Creak Pearl Reliability Fixture RFQ_2009 04 24_Xl0000002_Leopard_UniBOM_ME_0531_Bolt RFQ_Foxlink_03.1 2011_nego meeting@MACH 3 3" xfId="27546"/>
    <cellStyle name="好_River EE BOM_Creak Pearl Reliability Fixture RFQ_2009 04 24_Xl0000002_Leopard_UniBOM_ME_0602-1_Bolt RFQ Proposal_Foxlink_ (Pricing Summary) 2 25 2011 7" xfId="27547"/>
    <cellStyle name="好_River EE BOM_Creak Pearl Reliability Fixture RFQ_2009 04 24_Xl0000002_Leopard_UniBOM_ME_0602-1_Bolt RFQ_Foxlink_03.1 2011" xfId="27548"/>
    <cellStyle name="好_River EE BOM_Creak Pearl Reliability Fixture RFQ_2009 04 24_Xl0000002_Leopard_UniBOM_ME_0602-1_Bolt RFQ_Foxlink_03.1 2011 2" xfId="27549"/>
    <cellStyle name="好_River EE BOM_Creak Pearl Reliability Fixture RFQ_2009 04 24_Xl0000002_Leopard_UniBOM_ME_0602-1_Bolt RFQ_Foxlink_03.1 2011 2 2" xfId="27550"/>
    <cellStyle name="好_River EE BOM_Creak Pearl Reliability Fixture RFQ_2009 04 24_Xl0000002_Leopard_UniBOM_ME_0602-1_Bolt RFQ_Foxlink_03.1 2011 2 3" xfId="27551"/>
    <cellStyle name="好_River EE BOM_Creak Pearl Reliability Fixture RFQ_2009 04 24_Xl0000002_Leopard_UniBOM_ME_0602-1_Bolt RFQ_Foxlink_03.1 2011_nego meeting@MACH 2 2" xfId="27552"/>
    <cellStyle name="好_River EE BOM_Creak Pearl Reliability Fixture RFQ_2009 04 24_Xl0000002_Leopard_UniBOM_ME_0602-1_Bolt RFQ_Foxlink_03.1 2011_nego meeting@MACH 2 3" xfId="27553"/>
    <cellStyle name="好_River EE BOM_Creak Pearl Reliability Fixture RFQ_2009 04 24_Xl0000002_Leopard_UniBOM_ME_0602-1_Bolt RFQ_Foxlink_03.1 2011_nego meeting@MACH 3 2" xfId="27554"/>
    <cellStyle name="好_River EE BOM_Creak Pearl Reliability Fixture RFQ_2009 04 24_Xl0000002_Leopard_UniBOM_ME_0602-1_Bolt RFQ_Foxlink_03.1 2011_nego meeting@MACH 3 3" xfId="27555"/>
    <cellStyle name="好_River EE BOM_Xl0000002_Leopard_UniBOM_ME_0602-1_Bolt RFQ_Foxlink_03.1 2011 2 3" xfId="27556"/>
    <cellStyle name="好_River EE BOM_Creak Pearl Reliability Fixture RFQ_2009 04 24_Xl0000002_Leopard_UniBOM_ME_0602-1_Bolt RFQ_Foxlink_03.1 2011_nego meeting@MACH 4" xfId="27557"/>
    <cellStyle name="好_River EE BOM_Creak Pearl Reliability Fixture RFQ_2009 04 24_Xl0000002_Leopard_UniBOM_ME_0603-2" xfId="27558"/>
    <cellStyle name="好_River EE BOM_Creak Pearl Reliability Fixture RFQ_2009 04 24_Xl0000002_Leopard_UniBOM_ME_0603-2_Bolt RFQ Proposal_Foxlink_ (Pricing Summary) 2 25 2011" xfId="27559"/>
    <cellStyle name="好_River EE BOM_Creak Pearl Reliability Fixture RFQ_2009 04 24_Xl0000002_Leopard_UniBOM_ME_0603-2_Bolt RFQ Proposal_Foxlink_ (Pricing Summary) 2 25 2011 2" xfId="27560"/>
    <cellStyle name="好_River EE BOM_Creak Pearl Reliability Fixture RFQ_2009 04 24_Xl0000002_Leopard_UniBOM_ME_0603-2_Bolt RFQ Proposal_Foxlink_ (Pricing Summary) 2 25 2011 2 2" xfId="27561"/>
    <cellStyle name="好_River EE BOM_Creak Pearl Reliability Fixture RFQ_2009 04 24_Xl0000002_Leopard_UniBOM_ME_0603-2_Bolt RFQ Proposal_Foxlink_ (Pricing Summary) 2 25 2011 2 2 3" xfId="27562"/>
    <cellStyle name="好_River EE BOM_Creak Pearl Reliability Fixture RFQ_2009 04 24_Xl0000002_Leopard_UniBOM_ME_0603-2_Bolt RFQ Proposal_Foxlink_ (Pricing Summary) 2 25 2011 2 3" xfId="27563"/>
    <cellStyle name="好_River EE BOM_Creak Pearl Reliability Fixture RFQ_2009 04 24_Xl0000002_Leopard_UniBOM_ME_0603-2_Bolt RFQ Proposal_Foxlink_ (Pricing Summary) 2 25 2011 3" xfId="27564"/>
    <cellStyle name="差_F3   SMT設備明細_jupite r設備&amp;治工具LIST (總)_flow chart 2009.12.12_Flow chart and Fixture(Jackson)_A1_Jackson 效益分析 (2-1 B0 上系統)" xfId="27565"/>
    <cellStyle name="好_River EE BOM_Creak Pearl Reliability Fixture RFQ_2009 04 24_Xl0000002_Leopard_UniBOM_ME_0603-2_Bolt RFQ Proposal_Foxlink_ (Pricing Summary) 2 25 2011 3 2" xfId="27566"/>
    <cellStyle name="好_River EE BOM_Creak Pearl Reliability Fixture RFQ_2009 04 24_Xl0000002_Leopard_UniBOM_ME_0603-2_Bolt RFQ Proposal_Foxlink_ (Pricing Summary) 2 25 2011 4 3" xfId="27567"/>
    <cellStyle name="差_pq_Flow chart and Fixture(Jackson)_A1" xfId="27568"/>
    <cellStyle name="差_F3   SMT設備明細_效益分析_Dallas flow chart&amp;設備&amp;治工具清單(12-8 A0)_效益分析(總 12-28 Update)_~1159284" xfId="27569"/>
    <cellStyle name="好_River EE BOM_Creak Pearl Reliability Fixture RFQ_2009 04 24_Xl0000002_Leopard_UniBOM_ME_0603-2_Bolt RFQ Proposal_Foxlink_ (Pricing Summary) 2 25 2011 5" xfId="27570"/>
    <cellStyle name="好_River EE BOM_Creak Pearl Reliability Fixture RFQ_2009 04 24_Xl0000002_Leopard_UniBOM_ME_0603-2_Bolt RFQ Proposal_Foxlink_ (Pricing Summary) 2 25 2011 5 2" xfId="27571"/>
    <cellStyle name="好_River EE BOM_Creak Pearl Reliability Fixture RFQ_2009 04 24_Xl0000002_Leopard_UniBOM_ME_0603-2_Bolt RFQ Proposal_Foxlink_ (Pricing Summary) 2 25 2011 5 3" xfId="27572"/>
    <cellStyle name="好_River EE BOM_Creak Pearl Reliability Fixture RFQ_2009 04 24_Xl0000002_Leopard_UniBOM_ME_0603-2_Bolt RFQ_Foxlink_03.1 2011" xfId="27573"/>
    <cellStyle name="好_River EE BOM_Creak Pearl Reliability Fixture RFQ_2009 04 24_Xl0000002_Leopard_UniBOM_ME_0603-2_Bolt RFQ_Foxlink_03.1 2011 2 3" xfId="27574"/>
    <cellStyle name="好_River EE BOM_Creak Pearl Reliability Fixture RFQ_2009 04 24_Xl0000002_Leopard_UniBOM_ME_0603-2_Bolt RFQ_Foxlink_03.1 2011 3 2" xfId="27575"/>
    <cellStyle name="好_River EE BOM_Creak Pearl Reliability Fixture RFQ_2009 04 24_Xl0000002_Leopard_UniBOM_ME_0603-2_Bolt RFQ_Foxlink_03.1 2011 3 3" xfId="27576"/>
    <cellStyle name="好_River EE BOM_Creak Pearl Reliability Fixture RFQ_2009 04 24_Xl0000002_Leopard_UniBOM_ME_0603-2_Bolt RFQ_Foxlink_03.1 2011_nego meeting@MACH 3" xfId="27577"/>
    <cellStyle name="好_River EE BOM_Creak Pearl Reliability Fixture RFQ_2009 04 24_Xl0000002_Leopard_UniBOM_ME_0603-2_Bolt RFQ_Foxlink_03.1 2011_nego meeting@MACH 3 3" xfId="27578"/>
    <cellStyle name="好_River EE BOM_Creak Pearl Reliability Fixture RFQ_2009 04 24_Xl0000002_Leopard_UniBOM_ME_0603-2_Bolt RFQ_Foxlink_03.1 2011_nego meeting@MACH 4" xfId="27579"/>
    <cellStyle name="好_River EE BOM_Xl0000002_Foxlink_Shadow RFQ NREUni BOM_12032009_Bolt RFQ_Foxlink_03.1 2011_nego meeting@MACH 2 2" xfId="27580"/>
    <cellStyle name="好_River EE BOM_Creak Pearl Reliability Fixture RFQ_2009 04 24_Xl0000002_Leopard_UniBOM_ME_0603-2_Bolt RFQ_Foxlink_03.1 2011_nego meeting@MACH 5" xfId="27581"/>
    <cellStyle name="好_River EE BOM_Creak Pearl Reliability Fixture RFQ_2009 04 24_Xl0000002_Squirrel RFQ ME BOM Costs-0623 2 2 3" xfId="27582"/>
    <cellStyle name="好_River EE BOM_Creak Pearl Reliability Fixture RFQ_2009 04 24_Xl0000002_Squirrel RFQ ME BOM Costs-0623 2 3" xfId="27583"/>
    <cellStyle name="好_River EE BOM_Creak Pearl Reliability Fixture RFQ_2009 04 24_Xl0000002_Squirrel RFQ ME BOM Costs-0623 3" xfId="27584"/>
    <cellStyle name="好_River EE BOM_Creak Pearl Reliability Fixture RFQ_2009 04 24_Xl0000002_Squirrel RFQ ME BOM Costs-0623 3 2" xfId="27585"/>
    <cellStyle name="好_River EE BOM_Creak Pearl Reliability Fixture RFQ_2009 04 24_Xl0000002_Squirrel RFQ ME BOM Costs-0623_Bolt RFQ Proposal_Foxlink_ (Pricing Summary) 2 25 2011 2" xfId="27586"/>
    <cellStyle name="好_River EE BOM_Creak Pearl Reliability Fixture RFQ_2009 04 24_Xl0000002_Squirrel RFQ ME BOM Costs-0623_Bolt RFQ Proposal_Foxlink_ (Pricing Summary) 2 25 2011 2 2 3" xfId="27587"/>
    <cellStyle name="好_River EE BOM_Creak Pearl Reliability Fixture RFQ_2009 04 24_Xl0000002_Squirrel RFQ ME BOM Costs-0623_Bolt RFQ Proposal_Foxlink_ (Pricing Summary) 2 25 2011 2 3" xfId="27588"/>
    <cellStyle name="好_River EE BOM_Creak Pearl Reliability Fixture RFQ_2009 04 24_Xl0000002_Squirrel RFQ ME BOM Costs-0623_Bolt RFQ Proposal_Foxlink_ (Pricing Summary) 2 25 2011 3" xfId="27589"/>
    <cellStyle name="好_River EE BOM_Creak Pearl Reliability Fixture RFQ_2009 04 24_Xl0000002_Squirrel RFQ ME BOM Costs-0623_Bolt RFQ Proposal_Foxlink_ (Pricing Summary) 2 25 2011 4" xfId="27590"/>
    <cellStyle name="好_River EE BOM_Creak Pearl Reliability Fixture RFQ_2009 04 24_Xl0000002_Squirrel RFQ ME BOM Costs-0623_Bolt RFQ Proposal_Foxlink_ (Pricing Summary) 2 25 2011 4 2" xfId="27591"/>
    <cellStyle name="好_River EE BOM_Creak Pearl Reliability Fixture RFQ_2009 04 24_Xl0000002_Squirrel RFQ ME BOM Costs-0623_Bolt RFQ Proposal_Foxlink_ (Pricing Summary) 2 25 2011 4 3" xfId="27592"/>
    <cellStyle name="差_dallas產能評估_Flow Chart(shadow) A3 _Leopard Flowchart &amp; 產能評估" xfId="27593"/>
    <cellStyle name="好_River EE BOM_Creak Pearl Reliability Fixture RFQ_2009 04 24_Xl0000002_Squirrel RFQ ME BOM Costs-0623_Bolt RFQ Proposal_Foxlink_ (Pricing Summary) 2 25 2011 5" xfId="27594"/>
    <cellStyle name="好_River EE BOM_Creak Pearl Reliability Fixture RFQ_2009 04 24_Xl0000002_Squirrel RFQ ME BOM Costs-0623_Bolt RFQ Proposal_Foxlink_ (Pricing Summary) 2 25 2011 5 3" xfId="27595"/>
    <cellStyle name="好_River EE BOM_Creak Pearl Reliability Fixture RFQ_2009 04 24_Xl0000002_Squirrel RFQ ME BOM Costs-0623_Bolt RFQ Proposal_Foxlink_ (Pricing Summary) 2 25 2011 6" xfId="27596"/>
    <cellStyle name="差_Creak Pearl Reliability Fixture RFQ_2009 04 24_Leopard UniBom_Foxlink_12092010 RevD-jen" xfId="27597"/>
    <cellStyle name="好_River EE BOM_Creak Pearl Reliability Fixture RFQ_2009 04 24_Xl0000002_Squirrel RFQ ME BOM Costs-0623_Bolt RFQ Proposal_Foxlink_ (Pricing Summary) 2 25 2011 7" xfId="27598"/>
    <cellStyle name="差_HP Mouse 產能評估(上系統)_M1 Bolt wireless mouse FixtureEquipment Cost_A2_2010_12_07 3" xfId="27599"/>
    <cellStyle name="好_River EE BOM_Creak Pearl Reliability Fixture RFQ_2009 04 24_Xl0000002_Squirrel RFQ ME BOM Costs-0623_Bolt RFQ_Foxlink_03.1 2011 2" xfId="27600"/>
    <cellStyle name="差_HP Mouse 產能評估(上系統)_M1 Bolt wireless mouse FixtureEquipment Cost_A2_2010_12_07 3 3" xfId="27601"/>
    <cellStyle name="好_River EE BOM_Creak Pearl Reliability Fixture RFQ_2009 04 24_Xl0000002_Squirrel RFQ ME BOM Costs-0623_Bolt RFQ_Foxlink_03.1 2011 2 3" xfId="27602"/>
    <cellStyle name="差_HP Mouse 產能評估(上系統)_M1 Bolt wireless mouse FixtureEquipment Cost_A2_2010_12_07 4" xfId="27603"/>
    <cellStyle name="好_River EE BOM_Creak Pearl Reliability Fixture RFQ_2009 04 24_Xl0000002_Squirrel RFQ ME BOM Costs-0623_Bolt RFQ_Foxlink_03.1 2011 3" xfId="27604"/>
    <cellStyle name="好_River EE BOM_Creak Pearl Reliability Fixture RFQ_2009 04 24_Xl0000002_Squirrel RFQ ME BOM Costs-0623_Bolt RFQ_Foxlink_03.1 2011 3 2" xfId="27605"/>
    <cellStyle name="好_River EE BOM_Creak Pearl Reliability Fixture RFQ_2009 04 24_Xl0000002_Squirrel RFQ ME BOM Costs-0623_Bolt RFQ_Foxlink_03.1 2011 3 3" xfId="27606"/>
    <cellStyle name="好_River EE BOM_Creak Pearl Reliability Fixture RFQ_2009 04 24_Xl0000002_Squirrel RFQ ME BOM Costs-0623_Bolt RFQ_Foxlink_03.1 2011_nego meeting@MACH" xfId="27607"/>
    <cellStyle name="好_River EE BOM_Creak Pearl Reliability Fixture RFQ_2009 04 24_Xl0000002_Squirrel RFQ ME BOM Costs-0623_Bolt RFQ_Foxlink_03.1 2011_nego meeting@MACH 2" xfId="27608"/>
    <cellStyle name="好_River EE BOM_Creak Pearl Reliability Fixture RFQ_2009 04 24_Xl0000002_Squirrel RFQ ME BOM Costs-0623_Bolt RFQ_Foxlink_03.1 2011_nego meeting@MACH 3" xfId="27609"/>
    <cellStyle name="好_River EE BOM_Creak Pearl Reliability Fixture RFQ_2009 04 24_Xl0000002_Squirrel RFQ ME BOM Costs-0623_Bolt RFQ_Foxlink_03.1 2011_nego meeting@MACH 3 3" xfId="27610"/>
    <cellStyle name="差_治具工程課2009年KPI_HP 2 2 4" xfId="27611"/>
    <cellStyle name="警告文本 5 2" xfId="27612"/>
    <cellStyle name="好_River EE BOM_Creak Pearl Reliability Fixture RFQ_2009 04 24_Xl0000002_Squirrel RFQ ME BOM Costs-0623_Bolt RFQ_Foxlink_03.1 2011_nego meeting@MACH 5" xfId="27613"/>
    <cellStyle name="好_River EE BOM_Creak Pearl Reliability Fixture RFQ_2009 04 24_Xl0000002_Squirrel UniBom-06 23 2010_update_internal" xfId="27614"/>
    <cellStyle name="差_Creek RFQ feedback 04_28_2009_FD Update_Leopard_UniBOM_ME_0602_Bolt RFQ Proposal_Foxlink_ (Pricing Summary) 2 25 2011" xfId="27615"/>
    <cellStyle name="好_River EE BOM_Creak Pearl Reliability Fixture RFQ_2009 04 24_Xl0000002_Squirrel UniBom-06.23.2010_update_internal 2 2" xfId="27616"/>
    <cellStyle name="差_Creek RFQ feedback 04_28_2009_FD Update_Leopard_UniBOM_ME_0602_Bolt RFQ Proposal_Foxlink_ (Pricing Summary) 2 25 2011 2" xfId="27617"/>
    <cellStyle name="好_River EE BOM_Creak Pearl Reliability Fixture RFQ_2009 04 24_Xl0000002_Squirrel UniBom-06.23.2010_update_internal 2 2 2" xfId="27618"/>
    <cellStyle name="差_Creek RFQ feedback 04_28_2009_FD Update_Leopard_UniBOM_ME_0602_Bolt RFQ Proposal_Foxlink_ (Pricing Summary) 2 25 2011 3" xfId="27619"/>
    <cellStyle name="好_River EE BOM_Creak Pearl Reliability Fixture RFQ_2009 04 24_Xl0000002_Squirrel UniBom-06.23.2010_update_internal 2 2 3" xfId="27620"/>
    <cellStyle name="好_River EE BOM_Creak Pearl Reliability Fixture RFQ_2009 04 24_Xl0000002_Squirrel UniBom-06.23.2010_update_internal 2 3" xfId="27621"/>
    <cellStyle name="好_River EE BOM_Creak Pearl Reliability Fixture RFQ_2009 04 24_Xl0000002_Squirrel UniBom-06.23.2010_update_internal 4" xfId="27622"/>
    <cellStyle name="好_River EE BOM_Creak Pearl Reliability Fixture RFQ_2009 04 24_Xl0000002_Squirrel UniBom-06.23.2010_update_internal 5" xfId="27623"/>
    <cellStyle name="好_River EE BOM_Creak Pearl Reliability Fixture RFQ_2009 04 24_Xl0000002_Squirrel UniBom-06.23.2010_update_internal_Bolt RFQ Proposal_Foxlink_ (Pricing Summary) 2 25 2011" xfId="27624"/>
    <cellStyle name="差_Creak Pearl Reliability Fixture RFQ_2009 04 24_Creek  Pearl RFQ_May 12_Leopard_UniBOM_ME_0531_Bolt RFQ Proposal_Foxlink_ (Pricing Summary) 2 25 2011 4 3" xfId="27625"/>
    <cellStyle name="好_River EE BOM_Creak Pearl Reliability Fixture RFQ_2009 04 24_Xl0000002_Squirrel UniBom-06.23.2010_update_internal_Bolt RFQ Proposal_Foxlink_ (Pricing Summary) 2 25 2011 2" xfId="27626"/>
    <cellStyle name="好_River EE BOM_Creak Pearl Reliability Fixture RFQ_2009 04 24_Xl0000002_Squirrel UniBom-06.23.2010_update_internal_Bolt RFQ Proposal_Foxlink_ (Pricing Summary) 2 25 2011 2 2" xfId="27627"/>
    <cellStyle name="好_River EE BOM_Creak Pearl Reliability Fixture RFQ_2009 04 24_Xl0000002_Squirrel UniBom-06.23.2010_update_internal_Bolt RFQ Proposal_Foxlink_ (Pricing Summary) 2 25 2011 2 2 2" xfId="27628"/>
    <cellStyle name="好_River EE BOM_Creak Pearl Reliability Fixture RFQ_2009 04 24_Xl0000002_Squirrel UniBom-06.23.2010_update_internal_Bolt RFQ Proposal_Foxlink_ (Pricing Summary) 2 25 2011 2 2 3" xfId="27629"/>
    <cellStyle name="好_River EE BOM_Creak Pearl Reliability Fixture RFQ_2009 04 24_Xl0000002_Squirrel UniBom-06.23.2010_update_internal_Bolt RFQ Proposal_Foxlink_ (Pricing Summary) 2 25 2011 3" xfId="27630"/>
    <cellStyle name="好_River EE BOM_Creak Pearl Reliability Fixture RFQ_2009 04 24_Xl0000002_Squirrel UniBom-06.23.2010_update_internal_Bolt RFQ Proposal_Foxlink_ (Pricing Summary) 2 25 2011 3 2" xfId="27631"/>
    <cellStyle name="好_River EE BOM_Creak Pearl Reliability Fixture RFQ_2009 04 24_Xl0000002_Squirrel UniBom-06.23.2010_update_internal_Bolt RFQ Proposal_Foxlink_ (Pricing Summary) 2 25 2011 4" xfId="27632"/>
    <cellStyle name="好_River EE BOM_Creak Pearl Reliability Fixture RFQ_2009 04 24_Xl0000002_Squirrel UniBom-06.23.2010_update_internal_Bolt RFQ Proposal_Foxlink_ (Pricing Summary) 2 25 2011 4 2" xfId="27633"/>
    <cellStyle name="好_River EE BOM_Creak Pearl Reliability Fixture RFQ_2009 04 24_Xl0000002_Squirrel UniBom-06.23.2010_update_internal_Bolt RFQ Proposal_Foxlink_ (Pricing Summary) 2 25 2011 5" xfId="27634"/>
    <cellStyle name="好_River EE BOM_Creak Pearl Reliability Fixture RFQ_2009 04 24_Xl0000002_Squirrel UniBom-06.23.2010_update_internal_Bolt RFQ Proposal_Foxlink_ (Pricing Summary) 2 25 2011 5 2" xfId="27635"/>
    <cellStyle name="好_River EE BOM_Creak Pearl Reliability Fixture RFQ_2009 04 24_Xl0000002_Squirrel UniBom-06.23.2010_update_internal_Bolt RFQ Proposal_Foxlink_ (Pricing Summary) 2 25 2011 5 3" xfId="27636"/>
    <cellStyle name="好_River EE BOM_Creak Pearl Reliability Fixture RFQ_2009 04 24_Xl0000002_Squirrel UniBom-06.23.2010_update_internal_Bolt RFQ Proposal_Foxlink_ (Pricing Summary) 2 25 2011 6" xfId="27637"/>
    <cellStyle name="好_River EE BOM_Creak Pearl Reliability Fixture RFQ_2009 04 24_Xl0000002_Squirrel UniBom-06.23.2010_update_internal_Bolt RFQ_Foxlink_03.1 2011" xfId="27638"/>
    <cellStyle name="好_River EE BOM_Creak Pearl Reliability Fixture RFQ_2009 04 24_Xl0000002_Squirrel UniBom-06.23.2010_update_internal_Bolt RFQ_Foxlink_03.1 2011 2" xfId="27639"/>
    <cellStyle name="好_River EE BOM_Creak Pearl Reliability Fixture RFQ_2009 04 24_Xl0000002_Squirrel UniBom-06.23.2010_update_internal_Bolt RFQ_Foxlink_03.1 2011 2 2" xfId="27640"/>
    <cellStyle name="好_River EE BOM_Creak Pearl Reliability Fixture RFQ_2009 04 24_Xl0000002_Squirrel UniBom-06.23.2010_update_internal_Bolt RFQ_Foxlink_03.1 2011 2 3" xfId="27641"/>
    <cellStyle name="好_River EE BOM_Creak Pearl Reliability Fixture RFQ_2009 04 24_Xl0000002_Squirrel UniBom-06.23.2010_update_internal_Bolt RFQ_Foxlink_03.1 2011 4" xfId="27642"/>
    <cellStyle name="好_River EE BOM_Creak Pearl Reliability Fixture RFQ_2009 04 24_Xl0000002_Squirrel UniBom-06.23.2010_update_internal_Bolt RFQ_Foxlink_03.1 2011_nego meeting@MACH 2" xfId="27643"/>
    <cellStyle name="好_River EE BOM_Xl0000000_Foxlink_Shadow RFQ NREUni BOM_12032009 2 2" xfId="27644"/>
    <cellStyle name="好_River EE BOM_Creak Pearl Reliability Fixture RFQ_2009 04 24_Xl0000002_Squirrel UniBom-06.23.2010_update_internal_Bolt RFQ_Foxlink_03.1 2011_nego meeting@MACH 3" xfId="27645"/>
    <cellStyle name="好_River EE BOM_Xl0000000_Foxlink_Shadow RFQ NREUni BOM_12032009 2 2 2" xfId="27646"/>
    <cellStyle name="好_River EE BOM_Creak Pearl Reliability Fixture RFQ_2009 04 24_Xl0000002_Squirrel UniBom-06.23.2010_update_internal_Bolt RFQ_Foxlink_03.1 2011_nego meeting@MACH 3 2" xfId="27647"/>
    <cellStyle name="好_River EE BOM_Xl0000000_Foxlink_Shadow RFQ NREUni BOM_12032009 2 3" xfId="27648"/>
    <cellStyle name="好_River EE BOM_Creak Pearl Reliability Fixture RFQ_2009 04 24_Xl0000002_Squirrel UniBom-06.23.2010_update_internal_Bolt RFQ_Foxlink_03.1 2011_nego meeting@MACH 4" xfId="27649"/>
    <cellStyle name="好_River EE BOM_Xl0000000_Foxlink_Shadow RFQ NREUni BOM_12032009 2 4" xfId="27650"/>
    <cellStyle name="好_River EE BOM_Creak Pearl Reliability Fixture RFQ_2009 04 24_Xl0000002_Squirrel UniBom-06.23.2010_update_internal_Bolt RFQ_Foxlink_03.1 2011_nego meeting@MACH 5" xfId="27651"/>
    <cellStyle name="好_River EE BOM_Creek RFQ feedback 04_28_2009_FD Update" xfId="27652"/>
    <cellStyle name="好_River EE BOM_Creek RFQ feedback 04_28_2009_FD Update 2" xfId="27653"/>
    <cellStyle name="好_River EE BOM_Creek RFQ feedback 04_28_2009_FD Update 3" xfId="27654"/>
    <cellStyle name="好_River EE BOM_Creek RFQ feedback 04_28_2009_FD Update 3 2" xfId="27655"/>
    <cellStyle name="好_River EE BOM_Creek RFQ feedback 04_28_2009_FD Update 3 3" xfId="27656"/>
    <cellStyle name="好_River EE BOM_Creek RFQ feedback 04_28_2009_FD Update 4" xfId="27657"/>
    <cellStyle name="好_River EE BOM_Creek RFQ feedback 04_28_2009_FD Update 5" xfId="27658"/>
    <cellStyle name="好_River EE BOM_Creek RFQ feedback 04_28_2009_FD Update_Bolt RFQ Proposal_Foxlink_ (Pricing Summary) 2 25 2011" xfId="27659"/>
    <cellStyle name="差_MS Bolt wireless mouse FixtureEquipment Cost_A5_2010_02_21_Bolt RFQ_Foxlink_03.1 2011_nego meeting@MACH 5" xfId="27660"/>
    <cellStyle name="好_River EE BOM_Creek RFQ feedback 04_28_2009_FD Update_Bolt RFQ Proposal_Foxlink_ (Pricing Summary) 2 25 2011 2" xfId="27661"/>
    <cellStyle name="好_River EE BOM_Creek RFQ feedback 04_28_2009_FD Update_Bolt RFQ Proposal_Foxlink_ (Pricing Summary) 2 25 2011 2 2" xfId="27662"/>
    <cellStyle name="好_River EE BOM_Creek RFQ feedback 04_28_2009_FD Update_Bolt RFQ Proposal_Foxlink_ (Pricing Summary) 2 25 2011 2 4" xfId="27663"/>
    <cellStyle name="好_River EE BOM_Creek RFQ feedback 04_28_2009_FD Update_Bolt RFQ Proposal_Foxlink_ (Pricing Summary) 2 25 2011 3" xfId="27664"/>
    <cellStyle name="好_River EE BOM_Creek RFQ feedback 04_28_2009_FD Update_Bolt RFQ Proposal_Foxlink_ (Pricing Summary) 2 25 2011 4" xfId="27665"/>
    <cellStyle name="好_治具工程課2009年KPI_HP 2 3 3" xfId="27666"/>
    <cellStyle name="好_River EE BOM_Creek RFQ feedback 04_28_2009_FD Update_Bolt RFQ Proposal_Foxlink_ (Pricing Summary) 2 25 2011 4 2" xfId="27667"/>
    <cellStyle name="好_River EE BOM_Creek RFQ feedback 04_28_2009_FD Update_Bolt RFQ Proposal_Foxlink_ (Pricing Summary) 2 25 2011 5 2" xfId="27668"/>
    <cellStyle name="好_River EE BOM_Creek RFQ feedback 04_28_2009_FD Update_Bolt RFQ Proposal_Foxlink_ (Pricing Summary) 2 25 2011 5 3" xfId="27669"/>
    <cellStyle name="差_Creak Pearl Reliability Fixture RFQ_2009 04 24_Pearl RFQ(Submittal)ver2_05_12_2009 _Leopard UniBom_Foxlink_6 21 2010-ME_nego" xfId="27670"/>
    <cellStyle name="好_River EE BOM_Creek RFQ feedback 04_28_2009_FD Update_Bolt RFQ_Foxlink_03.1 2011" xfId="27671"/>
    <cellStyle name="好_River EE BOM_Creek RFQ feedback 04_28_2009_FD Update_Bolt RFQ_Foxlink_03.1 2011 2" xfId="27672"/>
    <cellStyle name="差_F3   SMT設備明細 2 4" xfId="27673"/>
    <cellStyle name="差_Creak Pearl Reliability Fixture RFQ_2009 04 24_Xl0000002_Leopard_UniBOM_ME_0602-1_Bolt RFQ Proposal_Foxlink_ (Pricing Summary) 2 25 2011 7" xfId="27674"/>
    <cellStyle name="差_Creak Pearl Reliability Fixture RFQ_2009 04 24_Pearl RFQ(Submittal)ver2_05_12_2009 _Leopard UniBom_Foxlink_6 21 2010-ME_nego 2" xfId="27675"/>
    <cellStyle name="差_Creak Pearl Reliability Fixture RFQ_2009 04 24_Pearl RFQ(Submittal)ver2_05_12_2009 _Leopard UniBom_Foxlink_6 21 2010-ME_nego 2 3" xfId="27676"/>
    <cellStyle name="好_River EE BOM_Creek RFQ feedback 04_28_2009_FD Update_Bolt RFQ_Foxlink_03.1 2011 2 3" xfId="27677"/>
    <cellStyle name="差_Creak Pearl Reliability Fixture RFQ_2009 04 24_Pearl RFQ(Submittal)ver2_05_12_2009 _Leopard UniBom_Foxlink_6 21 2010-ME_nego 3" xfId="27678"/>
    <cellStyle name="好_River EE BOM_Creek RFQ feedback 04_28_2009_FD Update_Bolt RFQ_Foxlink_03.1 2011 3" xfId="27679"/>
    <cellStyle name="差_Creak Pearl Reliability Fixture RFQ_2009 04 24_Pearl RFQ(Submittal)ver2_05_12_2009 _Leopard UniBom_Foxlink_6 21 2010-ME_nego 3 2" xfId="27680"/>
    <cellStyle name="好_River EE BOM_Creek RFQ feedback 04_28_2009_FD Update_Bolt RFQ_Foxlink_03.1 2011 3 2" xfId="27681"/>
    <cellStyle name="差_Creak Pearl Reliability Fixture RFQ_2009 04 24_Pearl RFQ(Submittal)ver2_05_12_2009 _Leopard UniBom_Foxlink_6 21 2010-ME_nego 3 3" xfId="27682"/>
    <cellStyle name="好_River EE BOM_Creek RFQ feedback 04_28_2009_FD Update_Bolt RFQ_Foxlink_03.1 2011 3 3" xfId="27683"/>
    <cellStyle name="差_Creak Pearl Reliability Fixture RFQ_2009 04 24_Creek  Pearl RFQ_May 12_Bolt RFQ_Foxlink_03.1 2011_nego meeting@MACH" xfId="27684"/>
    <cellStyle name="好_River EE BOM_Creek RFQ feedback 04_28_2009_FD Update_Bolt RFQ_Foxlink_03.1 2011_nego meeting@MACH 2" xfId="27685"/>
    <cellStyle name="差_Creak Pearl Reliability Fixture RFQ_2009 04 24_Creek  Pearl RFQ_May 12_Bolt RFQ_Foxlink_03.1 2011_nego meeting@MACH 3" xfId="27686"/>
    <cellStyle name="好_River EE BOM_Creek RFQ feedback 04_28_2009_FD Update_Bolt RFQ_Foxlink_03.1 2011_nego meeting@MACH 2 3" xfId="27687"/>
    <cellStyle name="差_F3   SMT設備明細_jupite r設備&amp;治工具LIST (總)_Dallas flow chart&amp;設備&amp;治工具清單(12-8 A0)_Flow chart and Fixture(Jackson)_A1_Jackson 效益分析 (2-1 B0 上系統)_squirrel效益分析08-17" xfId="27688"/>
    <cellStyle name="好_River EE BOM_Creek RFQ feedback 04_28_2009_FD Update_Bolt RFQ_Foxlink_03.1 2011_nego meeting@MACH 3" xfId="27689"/>
    <cellStyle name="好_River EE BOM_Creek RFQ feedback 04_28_2009_FD Update_Bolt RFQ_Foxlink_03.1 2011_nego meeting@MACH 3 2" xfId="27690"/>
    <cellStyle name="好_River EE BOM_Creek RFQ feedback 04_28_2009_FD Update_Foxlink_Shadow RFQ NREUni BOM_12032009" xfId="27691"/>
    <cellStyle name="好_River EE BOM_Creek RFQ feedback 04_28_2009_FD Update_Foxlink_Shadow RFQ NREUni BOM_12032009_Bolt RFQ Proposal_Foxlink_ (Pricing Summary) 2 25 2011 2 2" xfId="27692"/>
    <cellStyle name="好_River EE BOM_Creek RFQ feedback 04_28_2009_FD Update_Foxlink_Shadow RFQ NREUni BOM_12032009_Bolt RFQ Proposal_Foxlink_ (Pricing Summary) 2 25 2011 2 2 2" xfId="27693"/>
    <cellStyle name="好_River EE BOM_Creek RFQ feedback 04_28_2009_FD Update_Foxlink_Shadow RFQ NREUni BOM_12032009_Bolt RFQ Proposal_Foxlink_ (Pricing Summary) 2 25 2011 3" xfId="27694"/>
    <cellStyle name="好_River EE BOM_Creek RFQ feedback 04_28_2009_FD Update_Foxlink_Shadow RFQ NREUni BOM_12032009_Bolt RFQ Proposal_Foxlink_ (Pricing Summary) 2 25 2011 3 2" xfId="27695"/>
    <cellStyle name="好_River EE BOM_Creek RFQ feedback 04_28_2009_FD Update_Foxlink_Shadow RFQ NREUni BOM_12032009_Bolt RFQ Proposal_Foxlink_ (Pricing Summary) 2 25 2011 3 3" xfId="27696"/>
    <cellStyle name="好_River EE BOM_Creek RFQ feedback 04_28_2009_FD Update_Foxlink_Shadow RFQ NREUni BOM_12032009_Bolt RFQ Proposal_Foxlink_ (Pricing Summary) 2 25 2011 4" xfId="27697"/>
    <cellStyle name="好_River EE BOM_Creek RFQ feedback 04_28_2009_FD Update_Foxlink_Shadow RFQ NREUni BOM_12032009_Bolt RFQ Proposal_Foxlink_ (Pricing Summary) 2 25 2011 4 3" xfId="27698"/>
    <cellStyle name="差_Xl0000000_Leopard UniBom_Foxlink_6 21 2010-ME_nego_Bolt RFQ_Foxlink_03.1 2011_nego meeting@MACH 3 2" xfId="27699"/>
    <cellStyle name="好_River EE BOM_Creek RFQ feedback 04_28_2009_FD Update_Foxlink_Shadow RFQ NREUni BOM_12032009_Bolt RFQ Proposal_Foxlink_ (Pricing Summary) 2 25 2011 5" xfId="27700"/>
    <cellStyle name="好_River EE BOM_Creek RFQ feedback 04_28_2009_FD Update_Foxlink_Shadow RFQ NREUni BOM_12032009_Bolt RFQ Proposal_Foxlink_ (Pricing Summary) 2 25 2011 5 2" xfId="27701"/>
    <cellStyle name="好_River EE BOM_Creek RFQ feedback 04_28_2009_FD Update_Foxlink_Shadow RFQ NREUni BOM_12032009_Bolt RFQ Proposal_Foxlink_ (Pricing Summary) 2 25 2011 5 3" xfId="27702"/>
    <cellStyle name="好_River EE BOM_Creek RFQ feedback 04_28_2009_FD Update_Foxlink_Shadow RFQ NREUni BOM_12032009_Bolt RFQ Proposal_Foxlink_ (Pricing Summary) 2 25 2011 7" xfId="27703"/>
    <cellStyle name="好_River EE BOM_Creek RFQ feedback 04_28_2009_FD Update_Leopard Lemur Squirrel UniBom-06.22.2010_EE cost _update_internal_Bolt RFQ_Foxlink_03.1 2011_nego meeting@MACH 3" xfId="27704"/>
    <cellStyle name="好_River EE BOM_Creek RFQ feedback 04_28_2009_FD Update_Foxlink_Shadow RFQ NREUni BOM_12032009_Bolt RFQ_Foxlink_03.1 2011" xfId="27705"/>
    <cellStyle name="好_River EE BOM_Creek RFQ feedback 04_28_2009_FD Update_Leopard Lemur Squirrel UniBom-06.22.2010_EE cost _update_internal_Bolt RFQ_Foxlink_03.1 2011_nego meeting@MACH 3 2" xfId="27706"/>
    <cellStyle name="好_River EE BOM_Creek RFQ feedback 04_28_2009_FD Update_Foxlink_Shadow RFQ NREUni BOM_12032009_Bolt RFQ_Foxlink_03.1 2011 2" xfId="27707"/>
    <cellStyle name="好_River EE BOM_Creek RFQ feedback 04_28_2009_FD Update_Foxlink_Shadow RFQ NREUni BOM_12032009_Bolt RFQ_Foxlink_03.1 2011 2 2" xfId="27708"/>
    <cellStyle name="好_River EE BOM_Creek RFQ feedback 04_28_2009_FD Update_Foxlink_Shadow RFQ NREUni BOM_12032009_Bolt RFQ_Foxlink_03.1 2011 2 3" xfId="27709"/>
    <cellStyle name="好_River EE BOM_Creek RFQ feedback 04_28_2009_FD Update_Leopard Lemur Squirrel UniBom-06.22.2010_EE cost _update_internal_Bolt RFQ_Foxlink_03.1 2011_nego meeting@MACH 3 3" xfId="27710"/>
    <cellStyle name="好_River EE BOM_Creek RFQ feedback 04_28_2009_FD Update_Foxlink_Shadow RFQ NREUni BOM_12032009_Bolt RFQ_Foxlink_03.1 2011 3" xfId="27711"/>
    <cellStyle name="好_River EE BOM_Creek RFQ feedback 04_28_2009_FD Update_Foxlink_Shadow RFQ NREUni BOM_12032009_Bolt RFQ_Foxlink_03.1 2011 3 3" xfId="27712"/>
    <cellStyle name="好_River EE BOM_Creek RFQ feedback 04_28_2009_FD Update_Foxlink_Shadow RFQ NREUni BOM_12032009_Bolt RFQ_Foxlink_03.1 2011_nego meeting@MACH" xfId="27713"/>
    <cellStyle name="好_River EE BOM_Creek RFQ feedback 04_28_2009_FD Update_Foxlink_Shadow RFQ NREUni BOM_12032009_Bolt RFQ_Foxlink_03.1 2011_nego meeting@MACH 3 2" xfId="27714"/>
    <cellStyle name="好_River EE BOM_Creek RFQ feedback 04_28_2009_FD Update_Foxlink_Shadow RFQ NREUni BOM_12032009_Bolt RFQ_Foxlink_03.1 2011_nego meeting@MACH 3 3" xfId="27715"/>
    <cellStyle name="差_效益分析&amp;產能評估_Bolt RFQ Proposal_Foxlink_ (Pricing Summary) 2 25 2011 2 2 3" xfId="27716"/>
    <cellStyle name="好_River EE BOM_Creek RFQ feedback 04_28_2009_FD Update_Foxlink_Shadow RFQ NREUni BOM_12032009_Bolt RFQ_Foxlink_03.1 2011_nego meeting@MACH 5" xfId="27717"/>
    <cellStyle name="好_River EE BOM_Creek RFQ feedback 04_28_2009_FD Update_Jackson and Shadow BOM cost_mainfile_2010 0324 rev.1" xfId="27718"/>
    <cellStyle name="好_River EE BOM_Creek RFQ feedback 04_28_2009_FD Update_Jackson and Shadow BOM cost_mainfile_2010 0324 rev.1_Leopard UniBom_Foxlink_12272010 RevF_shirley" xfId="27719"/>
    <cellStyle name="差_HP  專案(設備&amp;治工具需夠買)update_M1 SuedeFixtureEquipment Cost_A0_2010_10_15_Bolt RFQ Proposal_Foxlink_ (Pricing Summary) 2 25 2011 7" xfId="27720"/>
    <cellStyle name="差_Creek RFQ feedback 04_28_2009_FD Update_Leopard_UniBOM_ME_0602-1_Bolt RFQ Proposal_Foxlink_ (Pricing Summary) 2 25 2011 5 2" xfId="27721"/>
    <cellStyle name="好_River EE BOM_Creek RFQ feedback 04_28_2009_FD Update_Jackson EE BOM " xfId="27722"/>
    <cellStyle name="好_River EE BOM_Creek RFQ feedback 04_28_2009_FD Update_Lemur RFQ ME BOM Costs-0623" xfId="27723"/>
    <cellStyle name="好_River EE BOM_Creek RFQ feedback 04_28_2009_FD Update_Leopard Lemur Squirrel UniBom-06.22.2010_EE cost _update_internal 2 2 2" xfId="27724"/>
    <cellStyle name="好_River EE BOM_Creek RFQ feedback 04_28_2009_FD Update_Leopard Lemur Squirrel UniBom-06.22.2010_EE cost _update_internal 2 2 3" xfId="27725"/>
    <cellStyle name="差_F3   SMT設備明細_效益分析_Dallas效益分析&amp;投資回收期 (12-2 A1)_Jackson 效益分析 testing update_16th Jan111_Jackson 效益分析 (2-1 B0 上系統)_squirrel效益分析08-17" xfId="27726"/>
    <cellStyle name="好_River EE BOM_Creek RFQ feedback 04_28_2009_FD Update_Leopard Lemur Squirrel UniBom-06.22.2010_EE cost _update_internal_Bolt RFQ Proposal_Foxlink_ (Pricing Summary) 2 25 2011" xfId="27727"/>
    <cellStyle name="好_River EE BOM_Creek RFQ feedback 04_28_2009_FD Update_Leopard Lemur Squirrel UniBom-06.22.2010_EE cost _update_internal_Bolt RFQ Proposal_Foxlink_ (Pricing Summary) 2 25 2011 2 2" xfId="27728"/>
    <cellStyle name="好_River EE BOM_Creek RFQ feedback 04_28_2009_FD Update_Leopard Lemur Squirrel UniBom-06.22.2010_EE cost _update_internal_Bolt RFQ Proposal_Foxlink_ (Pricing Summary) 2 25 2011 2 2 3" xfId="27729"/>
    <cellStyle name="好_River EE BOM_Creek RFQ feedback 04_28_2009_FD Update_Leopard Lemur Squirrel UniBom-06.22.2010_EE cost _update_internal_Bolt RFQ Proposal_Foxlink_ (Pricing Summary) 2 25 2011 2 3" xfId="27730"/>
    <cellStyle name="好_River EE BOM_Creek RFQ feedback 04_28_2009_FD Update_Leopard Lemur Squirrel UniBom-06.22.2010_EE cost _update_internal_Bolt RFQ Proposal_Foxlink_ (Pricing Summary) 2 25 2011 2 4" xfId="27731"/>
    <cellStyle name="差_dallas產能評估_Dallas效益分析&amp;投資回收期 (12-2 A1)_Jackson 效益分析 testing update_16th Jan111_Jackson 效益分析 (2-1 B0 上系統)" xfId="27732"/>
    <cellStyle name="好_River EE BOM_Creek RFQ feedback 04_28_2009_FD Update_Leopard Lemur Squirrel UniBom-06.22.2010_EE cost _update_internal_Bolt RFQ Proposal_Foxlink_ (Pricing Summary) 2 25 2011 3 3" xfId="27733"/>
    <cellStyle name="好_River EE BOM_Creek RFQ feedback 04_28_2009_FD Update_Leopard Lemur Squirrel UniBom-06.22.2010_EE cost _update_internal_Bolt RFQ Proposal_Foxlink_ (Pricing Summary) 2 25 2011 4" xfId="27734"/>
    <cellStyle name="壞_Creek Assembly Fixture  Test Equipment RFQ_20090427_Xl0000002_Leopard_UniBOM_ME_0602_Bolt RFQ Proposal_Foxlink_ (Pricing Summary) 2 25 2011 2 3 3" xfId="27735"/>
    <cellStyle name="好_River EE BOM_Creek RFQ feedback 04_28_2009_FD Update_Leopard Lemur Squirrel UniBom-06.22.2010_EE cost _update_internal_Bolt RFQ Proposal_Foxlink_ (Pricing Summary) 2 25 2011 4 2" xfId="27736"/>
    <cellStyle name="好_River EE BOM_Creek RFQ feedback 04_28_2009_FD Update_Leopard Lemur Squirrel UniBom-06.22.2010_EE cost _update_internal_Bolt RFQ Proposal_Foxlink_ (Pricing Summary) 2 25 2011 5" xfId="27737"/>
    <cellStyle name="好_River EE BOM_Creek RFQ feedback 04_28_2009_FD Update_Leopard Lemur Squirrel UniBom-06.22.2010_EE cost _update_internal_Bolt RFQ Proposal_Foxlink_ (Pricing Summary) 2 25 2011 6" xfId="27738"/>
    <cellStyle name="好_River EE BOM_Creek RFQ feedback 04_28_2009_FD Update_Leopard Lemur Squirrel UniBom-06.22.2010_EE cost _update_internal_Bolt RFQ Proposal_Foxlink_ (Pricing Summary) 2 25 2011 7" xfId="27739"/>
    <cellStyle name="好_River EE BOM_Creek RFQ feedback 04_28_2009_FD Update_Leopard Lemur Squirrel UniBom-06.22.2010_EE cost _update_internal_Bolt RFQ_Foxlink_03.1 2011" xfId="27740"/>
    <cellStyle name="好_River EE BOM_Creek RFQ feedback 04_28_2009_FD Update_Leopard Lemur Squirrel UniBom-06.22.2010_EE cost _update_internal_Bolt RFQ_Foxlink_03.1 2011 2" xfId="27741"/>
    <cellStyle name="好_River EE BOM_Creek RFQ feedback 04_28_2009_FD Update_Leopard Lemur Squirrel UniBom-06.22.2010_EE cost _update_internal_Bolt RFQ_Foxlink_03.1 2011 2 2" xfId="27742"/>
    <cellStyle name="好_River EE BOM_Creek RFQ feedback 04_28_2009_FD Update_Leopard_UniBOM_ME_0602-1_Bolt RFQ_Foxlink_03.1 2011_nego meeting@MACH 2 2" xfId="27743"/>
    <cellStyle name="好_River EE BOM_Creek RFQ feedback 04_28_2009_FD Update_Leopard Lemur Squirrel UniBom-06.22.2010_EE cost _update_internal_Bolt RFQ_Foxlink_03.1 2011 2 3" xfId="27744"/>
    <cellStyle name="差_效益分析&amp;產能評估_M1 SuedeFixtureEquipment Cost_A0_2010_10_15_Bolt RFQ Proposal_Foxlink_ (Pricing Summary) 2 25 2011" xfId="27745"/>
    <cellStyle name="好_River EE BOM_Creek RFQ feedback 04_28_2009_FD Update_Leopard Lemur Squirrel UniBom-06.22.2010_EE cost _update_internal_Bolt RFQ_Foxlink_03.1 2011 3" xfId="27746"/>
    <cellStyle name="好_River EE BOM_Creek RFQ feedback 04_28_2009_FD Update_Leopard_UniBOM_ME_0602-1_Bolt RFQ_Foxlink_03.1 2011_nego meeting@MACH 3 2" xfId="27747"/>
    <cellStyle name="差_效益分析&amp;產能評估_M1 SuedeFixtureEquipment Cost_A0_2010_10_15_Bolt RFQ Proposal_Foxlink_ (Pricing Summary) 2 25 2011 3" xfId="27748"/>
    <cellStyle name="好_River EE BOM_Creek RFQ feedback 04_28_2009_FD Update_Leopard Lemur Squirrel UniBom-06.22.2010_EE cost _update_internal_Bolt RFQ_Foxlink_03.1 2011 3 3" xfId="27749"/>
    <cellStyle name="差_HP Mouse 產能評估(上系統)_M1 Squirrel Capacity planFixtureEquipment Cost_A2_06192010" xfId="27750"/>
    <cellStyle name="好_River EE BOM_Xl0000000_Leopard RFQ ME BOM Costs-0618_Bolt RFQ Proposal_Foxlink_ (Pricing Summary) 2 25 2011 6" xfId="27751"/>
    <cellStyle name="好_River EE BOM_Creek RFQ feedback 04_28_2009_FD Update_Leopard Lemur Squirrel UniBom-06.22.2010_EE cost _update_internal_Bolt RFQ_Foxlink_03.1 2011_nego meeting@MACH" xfId="27752"/>
    <cellStyle name="差_Flow Chart&amp;PQ分析(12-1)_Flow Chart&amp;設備治工具清單 _Leopard效益分析08-17" xfId="27753"/>
    <cellStyle name="好_River EE BOM_Creek RFQ feedback 04_28_2009_FD Update_Leopard Lemur Squirrel UniBom-06.22.2010_EE cost _update_internal_Bolt RFQ_Foxlink_03.1 2011_nego meeting@MACH 2" xfId="27754"/>
    <cellStyle name="好_River EE BOM_Creek RFQ feedback 04_28_2009_FD Update_Leopard Lemur Squirrel UniBom-06.22.2010_EE cost _update_internal_Bolt RFQ_Foxlink_03.1 2011_nego meeting@MACH 2 3" xfId="27755"/>
    <cellStyle name="好_River EE BOM_Creek RFQ feedback 04_28_2009_FD Update_Leopard Lemur Squirrel UniBom-06.22.2010_EE cost _update_internal_Bolt RFQ_Foxlink_03.1 2011_nego meeting@MACH 4" xfId="27756"/>
    <cellStyle name="好_River EE BOM_Creek RFQ feedback 04_28_2009_FD Update_Leopard Lemur Squirrel UniBom-06.22.2010_EE cost _update_internal_Bolt RFQ_Foxlink_03.1 2011_nego meeting@MACH 5" xfId="27757"/>
    <cellStyle name="标题 8 2" xfId="27758"/>
    <cellStyle name="好_River EE BOM_Creek RFQ feedback 04_28_2009_FD Update_Leopard UniBom_Foxlink_6 21 2010-ME_nego_Bolt RFQ_Foxlink_03.1 2011_nego meeting@MACH 3 2" xfId="27759"/>
    <cellStyle name="好_River EE BOM_Creek RFQ feedback 04_28_2009_FD Update_Leopard RFQ ME BOM Costs-0618 2 2" xfId="27760"/>
    <cellStyle name="好_River EE BOM_Creek RFQ feedback 04_28_2009_FD Update_Leopard RFQ ME BOM Costs-0618 2 2 2" xfId="27761"/>
    <cellStyle name="好_River EE BOM_Creek RFQ feedback 04_28_2009_FD Update_Leopard RFQ ME BOM Costs-0618 2 2 3" xfId="27762"/>
    <cellStyle name="差_Creak Pearl Reliability Fixture RFQ_2009 04 24_Creek RFQ feedback 04_28_2009_FD Update_Leopard_UniBOM_ME_0602-1_Bolt RFQ_Foxlink_03.1 2011 2" xfId="27763"/>
    <cellStyle name="标题 8 3" xfId="27764"/>
    <cellStyle name="好_River EE BOM_Creek RFQ feedback 04_28_2009_FD Update_Leopard UniBom_Foxlink_6 21 2010-ME_nego_Bolt RFQ_Foxlink_03.1 2011_nego meeting@MACH 3 3" xfId="27765"/>
    <cellStyle name="好_River EE BOM_Creek RFQ feedback 04_28_2009_FD Update_Leopard RFQ ME BOM Costs-0618 2 3" xfId="27766"/>
    <cellStyle name="差_Creak Pearl Reliability Fixture RFQ_2009 04 24_Creek RFQ feedback 04_28_2009_FD Update_Leopard_UniBOM_ME_0602-1_Bolt RFQ_Foxlink_03.1 2011 3" xfId="27767"/>
    <cellStyle name="好_River EE BOM_Creek RFQ feedback 04_28_2009_FD Update_Leopard RFQ ME BOM Costs-0618 2 4" xfId="27768"/>
    <cellStyle name="好_River EE BOM_Creek RFQ feedback 04_28_2009_FD Update_Leopard RFQ ME BOM Costs-0618 3 3" xfId="27769"/>
    <cellStyle name="好_River EE BOM_Creek RFQ feedback 04_28_2009_FD Update_Leopard RFQ ME BOM Costs-0618_Bolt RFQ Proposal_Foxlink_ (Pricing Summary) 2 25 2011" xfId="27770"/>
    <cellStyle name="好_River EE BOM_Creek RFQ feedback 04_28_2009_FD Update_Leopard RFQ ME BOM Costs-0618_Bolt RFQ Proposal_Foxlink_ (Pricing Summary) 2 25 2011 2" xfId="27771"/>
    <cellStyle name="壞_Creek EE BOM cost_20090425_Leopard_UniBOM_ME_0602-1_Bolt RFQ_Foxlink_03.1 2011 5" xfId="27772"/>
    <cellStyle name="好_River EE BOM_Creek RFQ feedback 04_28_2009_FD Update_Leopard RFQ ME BOM Costs-0618_Bolt RFQ Proposal_Foxlink_ (Pricing Summary) 2 25 2011 2 2" xfId="27773"/>
    <cellStyle name="好_River EE BOM_Creek RFQ feedback 04_28_2009_FD Update_Leopard RFQ ME BOM Costs-0618_Bolt RFQ Proposal_Foxlink_ (Pricing Summary) 2 25 2011 2 2 2" xfId="27774"/>
    <cellStyle name="好_River EE BOM_Creek RFQ feedback 04_28_2009_FD Update_Leopard RFQ ME BOM Costs-0618_Bolt RFQ Proposal_Foxlink_ (Pricing Summary) 2 25 2011 4 2" xfId="27775"/>
    <cellStyle name="差_dallas產能評估_flow chart 2009.12.12_Jackson 效益分析 testing update_16th Jan1_Jackson 效益分析 (2-1 B0 上系統)" xfId="27776"/>
    <cellStyle name="好_River EE BOM_Creek RFQ feedback 04_28_2009_FD Update_Leopard RFQ ME BOM Costs-0618_Bolt RFQ Proposal_Foxlink_ (Pricing Summary) 2 25 2011 5 2" xfId="27777"/>
    <cellStyle name="好_River EE BOM_Creek RFQ feedback 04_28_2009_FD Update_Leopard RFQ ME BOM Costs-0618_Bolt RFQ Proposal_Foxlink_ (Pricing Summary) 2 25 2011 5 3" xfId="27778"/>
    <cellStyle name="差_Creak Pearl Reliability Fixture RFQ_2009 04 24_Xl0000002_Leopard_UniBOM_ME_0603-2_Bolt RFQ Proposal_Foxlink_ (Pricing Summary) 2 25 2011 3 3" xfId="27779"/>
    <cellStyle name="好_River EE BOM_Creek RFQ feedback 04_28_2009_FD Update_Leopard RFQ ME BOM Costs-0618_Bolt RFQ_Foxlink_03.1 2011" xfId="27780"/>
    <cellStyle name="好_River EE BOM_Creek RFQ feedback 04_28_2009_FD Update_Leopard RFQ ME BOM Costs-0618_Bolt RFQ_Foxlink_03.1 2011 2" xfId="27781"/>
    <cellStyle name="差_Erie mouse 效益分析( 11-19 A1)_Jackson 效益分析 testing update_16th Jan1_Jackson 效益分析 (2-1 B0 上系統)_Leopard Flowchart &amp; 產能評估" xfId="27782"/>
    <cellStyle name="好_River EE BOM_Creek RFQ feedback 04_28_2009_FD Update_Leopard RFQ ME BOM Costs-0618_Bolt RFQ_Foxlink_03.1 2011 3 3" xfId="27783"/>
    <cellStyle name="好_River EE BOM_Creek RFQ feedback 04_28_2009_FD Update_Leopard RFQ ME BOM Costs-0618_Bolt RFQ_Foxlink_03.1 2011 4" xfId="27784"/>
    <cellStyle name="好_River EE BOM_Creek RFQ feedback 04_28_2009_FD Update_Leopard RFQ ME BOM Costs-0618_Bolt RFQ_Foxlink_03.1 2011_nego meeting@MACH" xfId="27785"/>
    <cellStyle name="好_River EE BOM_Creek RFQ feedback 04_28_2009_FD Update_Leopard RFQ ME BOM Costs-0618_Bolt RFQ_Foxlink_03.1 2011_nego meeting@MACH 2" xfId="27786"/>
    <cellStyle name="好_River EE BOM_Creek RFQ feedback 04_28_2009_FD Update_Leopard RFQ ME BOM Costs-0618_Bolt RFQ_Foxlink_03.1 2011_nego meeting@MACH 3" xfId="27787"/>
    <cellStyle name="差_效益分析_Dallas效益分析&amp;投資回收期 (12-2 A1)_Jackson 效益分析 (2-1 B0 上系統)_Leopard效益分析08-17" xfId="27788"/>
    <cellStyle name="好_River EE BOM_Creek RFQ feedback 04_28_2009_FD Update_Leopard RFQ ME BOM Costs-0618_Bolt RFQ_Foxlink_03.1 2011_nego meeting@MACH 4" xfId="27789"/>
    <cellStyle name="好_River EE BOM_Creek RFQ feedback 04_28_2009_FD Update_Leopard RFQ ME BOM Costs-0618_Bolt RFQ_Foxlink_03.1 2011_nego meeting@MACH 5" xfId="27790"/>
    <cellStyle name="好_River EE BOM_Creek RFQ feedback 04_28_2009_FD Update_Leopard RFQ ME BOM Costs-0618-2" xfId="27791"/>
    <cellStyle name="好_River EE BOM_Xl0000000_Leopard_UniBOM_ME_0602-1_Bolt RFQ_Foxlink_03.1 2011 4" xfId="27792"/>
    <cellStyle name="好_River EE BOM_Creek RFQ feedback 04_28_2009_FD Update_Leopard RFQ ME BOM Costs-0618-2 2 2" xfId="27793"/>
    <cellStyle name="差_HP Mouse 產能評估(Forecast更改後)_Bolt RFQ_Foxlink_03.1 2011 2 3" xfId="27794"/>
    <cellStyle name="好_River EE BOM_Creek RFQ feedback 04_28_2009_FD Update_Leopard RFQ ME BOM Costs-0618-2 2 2 2" xfId="27795"/>
    <cellStyle name="好_River EE BOM_Creek RFQ feedback 04_28_2009_FD Update_Leopard RFQ ME BOM Costs-0618-2 2 2 3" xfId="27796"/>
    <cellStyle name="好_River EE BOM_Creek RFQ feedback 04_28_2009_FD Update_Leopard RFQ ME BOM Costs-0618-2 2 4" xfId="27797"/>
    <cellStyle name="好_River EE BOM_Creek RFQ feedback 04_28_2009_FD Update_Leopard RFQ ME BOM Costs-0618-2 3" xfId="27798"/>
    <cellStyle name="好_River EE BOM_Creek RFQ feedback 04_28_2009_FD Update_Leopard RFQ ME BOM Costs-0618-2 3 2" xfId="27799"/>
    <cellStyle name="差_HP Mouse 產能評估(Forecast更改後)_Bolt RFQ_Foxlink_03.1 2011 3 3" xfId="27800"/>
    <cellStyle name="好_River EE BOM_Creek RFQ feedback 04_28_2009_FD Update_Leopard RFQ ME BOM Costs-0618-2_Bolt RFQ Proposal_Foxlink_ (Pricing Summary) 2 25 2011 3" xfId="27801"/>
    <cellStyle name="好_River EE BOM_Creek RFQ feedback 04_28_2009_FD Update_Leopard RFQ ME BOM Costs-0618-2_Bolt RFQ Proposal_Foxlink_ (Pricing Summary) 2 25 2011 3 2" xfId="27802"/>
    <cellStyle name="差_Creak Pearl Reliability Fixture RFQ_2009 04 24_Leopard Lemur Squirrel UniBom-06.22.2010_EE cost _update_internal_Bolt RFQ Proposal_Foxlink_ (Pricing Summary) 2 25 2011 3 2" xfId="27803"/>
    <cellStyle name="好_River EE BOM_Creek RFQ feedback 04_28_2009_FD Update_Leopard RFQ ME BOM Costs-0618-2_Bolt RFQ Proposal_Foxlink_ (Pricing Summary) 2 25 2011 4" xfId="27804"/>
    <cellStyle name="差_Creek RFQ feedback 04_28_2009_FD Update_Squirrel RFQ ME BOM Costs-0624" xfId="27805"/>
    <cellStyle name="好_River EE BOM_Creek RFQ feedback 04_28_2009_FD Update_Leopard RFQ ME BOM Costs-0618-2_Bolt RFQ Proposal_Foxlink_ (Pricing Summary) 2 25 2011 4 2" xfId="27806"/>
    <cellStyle name="好_River EE BOM_Creek RFQ feedback 04_28_2009_FD Update_Leopard RFQ ME BOM Costs-0618-2_Bolt RFQ Proposal_Foxlink_ (Pricing Summary) 2 25 2011 5 2" xfId="27807"/>
    <cellStyle name="好_River EE BOM_Creek RFQ feedback 04_28_2009_FD Update_Leopard RFQ ME BOM Costs-0618-2_Bolt RFQ Proposal_Foxlink_ (Pricing Summary) 2 25 2011 5 3" xfId="27808"/>
    <cellStyle name="好_River EE BOM_Creek RFQ feedback 04_28_2009_FD Update_Leopard RFQ ME BOM Costs-0618-2_Bolt RFQ_Foxlink_03.1 2011 2 2" xfId="27809"/>
    <cellStyle name="好_River EE BOM_Creek RFQ feedback 04_28_2009_FD Update_Leopard RFQ ME BOM Costs-0618-2_Bolt RFQ_Foxlink_03.1 2011 2 3" xfId="27810"/>
    <cellStyle name="好_River EE BOM_Creek RFQ feedback 04_28_2009_FD Update_Leopard RFQ ME BOM Costs-0618-2_Bolt RFQ_Foxlink_03.1 2011 4" xfId="27811"/>
    <cellStyle name="好_River EE BOM_Xl0000000_Leopard RFQ ME BOM Costs-0618 2 2" xfId="27812"/>
    <cellStyle name="好_River EE BOM_Creek RFQ feedback 04_28_2009_FD Update_Leopard RFQ ME BOM Costs-0618-2_Bolt RFQ_Foxlink_03.1 2011_nego meeting@MACH" xfId="27813"/>
    <cellStyle name="好_River EE BOM_Xl0000000_Leopard RFQ ME BOM Costs-0618 2 2 2" xfId="27814"/>
    <cellStyle name="好_River EE BOM_Creek RFQ feedback 04_28_2009_FD Update_Leopard RFQ ME BOM Costs-0618-2_Bolt RFQ_Foxlink_03.1 2011_nego meeting@MACH 2" xfId="27815"/>
    <cellStyle name="差_Creek RFQ feedback 04_28_2009_FD Update_Leopard_UniBOM_ME_0602_Bolt RFQ Proposal_Foxlink_ (Pricing Summary) 2 25 2011 5" xfId="27816"/>
    <cellStyle name="好_River EE BOM_Creek RFQ feedback 04_28_2009_FD Update_Leopard RFQ ME BOM Costs-0618-2_Bolt RFQ_Foxlink_03.1 2011_nego meeting@MACH 2 2" xfId="27817"/>
    <cellStyle name="好_River EE BOM_Xl0000000_Leopard RFQ ME BOM Costs-0618 2 2 3" xfId="27818"/>
    <cellStyle name="好_River EE BOM_Creek RFQ feedback 04_28_2009_FD Update_Leopard RFQ ME BOM Costs-0618-2_Bolt RFQ_Foxlink_03.1 2011_nego meeting@MACH 3" xfId="27819"/>
    <cellStyle name="差_F3   SMT設備明細_jupite r設備&amp;治工具LIST (總)_flow chart 2009.12.12_Flow chart and Fixture(1-4)_Jackson 效益分析 (2-1 B0 上系統)_Leopard Flowchart &amp; 產能評估" xfId="27820"/>
    <cellStyle name="好_River EE BOM_Creek RFQ feedback 04_28_2009_FD Update_Leopard RFQ ME BOM Costs-0618-2_Bolt RFQ_Foxlink_03.1 2011_nego meeting@MACH 3 3" xfId="27821"/>
    <cellStyle name="好_River EE BOM_Creek RFQ feedback 04_28_2009_FD Update_Leopard RFQ ME BOM Costs-0618-2_Bolt RFQ_Foxlink_03.1 2011_nego meeting@MACH 4" xfId="27822"/>
    <cellStyle name="好_River EE BOM_Creek RFQ feedback 04_28_2009_FD Update_Leopard RFQ ME BOM Costs-0618-2_Bolt RFQ_Foxlink_03.1 2011_nego meeting@MACH 5" xfId="27823"/>
    <cellStyle name="壞_Creek Assembly Fixture  Test Equipment RFQ_20090427_Squirrel UniBom-06.23.2010_update_internal_Bolt RFQ Proposal_Foxlink_ (Pricing Summary) 2 25 2011 3" xfId="27824"/>
    <cellStyle name="好_River EE BOM_Creek RFQ feedback 04_28_2009_FD Update_Leopard UniBom_Foxlink_12272010 RevF_shirley" xfId="27825"/>
    <cellStyle name="好_River EE BOM_Creek RFQ feedback 04_28_2009_FD Update_Leopard UniBom_Foxlink_6 21 2010-ME_nego 2" xfId="27826"/>
    <cellStyle name="差_Creak Pearl Reliability Fixture RFQ_2009 04 24_Creek  Pearl RFQ_May 12_Leopard_UniBOM_ME_0602" xfId="27827"/>
    <cellStyle name="好_River EE BOM_Creek RFQ feedback 04_28_2009_FD Update_Leopard UniBom_Foxlink_6 21 2010-ME_nego 2 3" xfId="27828"/>
    <cellStyle name="好_River EE BOM_Creek RFQ feedback 04_28_2009_FD Update_Leopard UniBom_Foxlink_6 21 2010-ME_nego 2 4" xfId="27829"/>
    <cellStyle name="好_River EE BOM_Creek RFQ feedback 04_28_2009_FD Update_Leopard UniBom_Foxlink_6 21 2010-ME_nego_Bolt RFQ Proposal_Foxlink_ (Pricing Summary) 2 25 2011" xfId="27830"/>
    <cellStyle name="好_River EE BOM_Creek RFQ feedback 04_28_2009_FD Update_Leopard UniBom_Foxlink_6 21 2010-ME_nego_Bolt RFQ Proposal_Foxlink_ (Pricing Summary) 2 25 2011 2" xfId="27831"/>
    <cellStyle name="好_River EE BOM_Creek RFQ feedback 04_28_2009_FD Update_Leopard UniBom_Foxlink_6 21 2010-ME_nego_Bolt RFQ Proposal_Foxlink_ (Pricing Summary) 2 25 2011 2 2" xfId="27832"/>
    <cellStyle name="好_River EE BOM_Creek RFQ feedback 04_28_2009_FD Update_Leopard UniBom_Foxlink_6 21 2010-ME_nego_Bolt RFQ Proposal_Foxlink_ (Pricing Summary) 2 25 2011 2 2 3" xfId="27833"/>
    <cellStyle name="好_River EE BOM_Creek RFQ feedback 04_28_2009_FD Update_Leopard UniBom_Foxlink_6 21 2010-ME_nego_Bolt RFQ Proposal_Foxlink_ (Pricing Summary) 2 25 2011 3 2" xfId="27834"/>
    <cellStyle name="好_River EE BOM_Creek RFQ feedback 04_28_2009_FD Update_Leopard UniBom_Foxlink_6 21 2010-ME_nego_Bolt RFQ Proposal_Foxlink_ (Pricing Summary) 2 25 2011 4 2" xfId="27835"/>
    <cellStyle name="好_River EE BOM_Creek RFQ feedback 04_28_2009_FD Update_Leopard UniBom_Foxlink_6 21 2010-ME_nego_Bolt RFQ Proposal_Foxlink_ (Pricing Summary) 2 25 2011 5" xfId="27836"/>
    <cellStyle name="好_River EE BOM_Creek RFQ feedback 04_28_2009_FD Update_Leopard UniBom_Foxlink_6 21 2010-ME_nego_Bolt RFQ Proposal_Foxlink_ (Pricing Summary) 2 25 2011 5 2" xfId="27837"/>
    <cellStyle name="好_River EE BOM_Creek RFQ feedback 04_28_2009_FD Update_Leopard UniBom_Foxlink_6 21 2010-ME_nego_Bolt RFQ Proposal_Foxlink_ (Pricing Summary) 2 25 2011 6" xfId="27838"/>
    <cellStyle name="好_River EE BOM_Creek RFQ feedback 04_28_2009_FD Update_Leopard UniBom_Foxlink_6 21 2010-ME_nego_Bolt RFQ Proposal_Foxlink_ (Pricing Summary) 2 25 2011 7" xfId="27839"/>
    <cellStyle name="好_River EE BOM_Creek RFQ feedback 04_28_2009_FD Update_Leopard UniBom_Foxlink_6 21 2010-ME_nego_Bolt RFQ_Foxlink_03.1 2011" xfId="27840"/>
    <cellStyle name="好_River EE BOM_Creek RFQ feedback 04_28_2009_FD Update_Leopard UniBom_Foxlink_6 21 2010-ME_nego_Bolt RFQ_Foxlink_03.1 2011 2 2" xfId="27841"/>
    <cellStyle name="好_River EE BOM_Creek RFQ feedback 04_28_2009_FD Update_Leopard UniBom_Foxlink_6 21 2010-ME_nego_Bolt RFQ_Foxlink_03.1 2011 2 3" xfId="27842"/>
    <cellStyle name="好_River EE BOM_Creek RFQ feedback 04_28_2009_FD Update_Leopard UniBom_Foxlink_6 21 2010-ME_nego_Bolt RFQ_Foxlink_03.1 2011 3 3" xfId="27843"/>
    <cellStyle name="好_River EE BOM_Creek RFQ feedback 04_28_2009_FD Update_Leopard UniBom_Foxlink_6 21 2010-ME_nego_Bolt RFQ_Foxlink_03.1 2011 4" xfId="27844"/>
    <cellStyle name="差_HP Mouse 產能評估(上系統)_Erie 效益分析(8-27)_~1159284" xfId="27845"/>
    <cellStyle name="好_River EE BOM_Creek RFQ feedback 04_28_2009_FD Update_Leopard UniBom_Foxlink_6 21 2010-ME_nego_Bolt RFQ_Foxlink_03.1 2011 5" xfId="27846"/>
    <cellStyle name="好_River EE BOM_Creek RFQ feedback 04_28_2009_FD Update_Leopard UniBom_Foxlink_6 21 2010-ME_nego_Bolt RFQ_Foxlink_03.1 2011_nego meeting@MACH 2 2" xfId="27847"/>
    <cellStyle name="好_River EE BOM_Creek RFQ feedback 04_28_2009_FD Update_Leopard UniBom_Foxlink_6 21 2010-ME_nego_Bolt RFQ_Foxlink_03.1 2011_nego meeting@MACH 2 3" xfId="27848"/>
    <cellStyle name="好_River EE BOM_Creek RFQ feedback 04_28_2009_FD Update_Leopard UniBom_Foxlink_6 21 2010-nego" xfId="27849"/>
    <cellStyle name="好_River EE BOM_Creek RFQ feedback 04_28_2009_FD Update_Leopard_UniBOM_ME_0531 2" xfId="27850"/>
    <cellStyle name="好_River EE BOM_Creek RFQ feedback 04_28_2009_FD Update_Leopard_UniBOM_ME_0531 2 2 2" xfId="27851"/>
    <cellStyle name="好_River EE BOM_Creek RFQ feedback 04_28_2009_FD Update_Leopard_UniBOM_ME_0531 2 2 3" xfId="27852"/>
    <cellStyle name="好_River EE BOM_Creek RFQ feedback 04_28_2009_FD Update_Leopard_UniBOM_ME_0531 2 3" xfId="27853"/>
    <cellStyle name="好_River EE BOM_Creek RFQ feedback 04_28_2009_FD Update_Leopard_UniBOM_ME_0531 3" xfId="27854"/>
    <cellStyle name="好_River EE BOM_Creek RFQ feedback 04_28_2009_FD Update_Leopard_UniBOM_ME_0531 3 2" xfId="27855"/>
    <cellStyle name="好_River EE BOM_Creek RFQ feedback 04_28_2009_FD Update_Leopard_UniBOM_ME_0531 3 3" xfId="27856"/>
    <cellStyle name="好_River EE BOM_Creek RFQ feedback 04_28_2009_FD Update_Leopard_UniBOM_ME_0531_Bolt RFQ Proposal_Foxlink_ (Pricing Summary) 2 25 2011" xfId="27857"/>
    <cellStyle name="好_River EE BOM_Creek RFQ feedback 04_28_2009_FD Update_Leopard_UniBOM_ME_0531_Bolt RFQ Proposal_Foxlink_ (Pricing Summary) 2 25 2011 2" xfId="27858"/>
    <cellStyle name="好_River EE BOM_Creek RFQ feedback 04_28_2009_FD Update_Leopard_UniBOM_ME_0531_Bolt RFQ Proposal_Foxlink_ (Pricing Summary) 2 25 2011 2 2" xfId="27859"/>
    <cellStyle name="好_River EE BOM_Creek RFQ feedback 04_28_2009_FD Update_Leopard_UniBOM_ME_0531_Bolt RFQ Proposal_Foxlink_ (Pricing Summary) 2 25 2011 2 2 2" xfId="27860"/>
    <cellStyle name="好_River EE BOM_Creek RFQ feedback 04_28_2009_FD Update_Leopard_UniBOM_ME_0531_Bolt RFQ Proposal_Foxlink_ (Pricing Summary) 2 25 2011 2 2 3" xfId="27861"/>
    <cellStyle name="差_Creek RFQ feedback 04_28_2009_FD Update_Bolt RFQ_Foxlink_03.1 2011 2" xfId="27862"/>
    <cellStyle name="好_River EE BOM_Creek RFQ feedback 04_28_2009_FD Update_Leopard_UniBOM_ME_0531_Bolt RFQ Proposal_Foxlink_ (Pricing Summary) 2 25 2011 2 4" xfId="27863"/>
    <cellStyle name="好_River EE BOM_Creek RFQ feedback 04_28_2009_FD Update_Leopard_UniBOM_ME_0531_Bolt RFQ Proposal_Foxlink_ (Pricing Summary) 2 25 2011 3" xfId="27864"/>
    <cellStyle name="好_River EE BOM_Creek RFQ feedback 04_28_2009_FD Update_Leopard_UniBOM_ME_0531_Bolt RFQ Proposal_Foxlink_ (Pricing Summary) 2 25 2011 4" xfId="27865"/>
    <cellStyle name="好_River EE BOM_Creek RFQ feedback 04_28_2009_FD Update_Leopard_UniBOM_ME_0531_Bolt RFQ Proposal_Foxlink_ (Pricing Summary) 2 25 2011 5" xfId="27866"/>
    <cellStyle name="好_River EE BOM_Creek RFQ feedback 04_28_2009_FD Update_Leopard_UniBOM_ME_0531_Bolt RFQ Proposal_Foxlink_ (Pricing Summary) 2 25 2011 5 2" xfId="27867"/>
    <cellStyle name="好_River EE BOM_Creek RFQ feedback 04_28_2009_FD Update_Leopard_UniBOM_ME_0531_Bolt RFQ Proposal_Foxlink_ (Pricing Summary) 2 25 2011 5 3" xfId="27868"/>
    <cellStyle name="好_River EE BOM_Creek RFQ feedback 04_28_2009_FD Update_Leopard_UniBOM_ME_0531_Bolt RFQ Proposal_Foxlink_ (Pricing Summary) 2 25 2011 6" xfId="27869"/>
    <cellStyle name="好_River EE BOM_Creek RFQ feedback 04_28_2009_FD Update_Leopard_UniBOM_ME_0531_Bolt RFQ Proposal_Foxlink_ (Pricing Summary) 2 25 2011 7" xfId="27870"/>
    <cellStyle name="好_River EE BOM_Creek RFQ feedback 04_28_2009_FD Update_Leopard_UniBOM_ME_0531_Bolt RFQ_Foxlink_03.1 2011" xfId="27871"/>
    <cellStyle name="好_River EE BOM_Creek RFQ feedback 04_28_2009_FD Update_Leopard_UniBOM_ME_0531_Bolt RFQ_Foxlink_03.1 2011 2" xfId="27872"/>
    <cellStyle name="壞_Creek EE BOM cost_20090425_Leopard_UniBOM_ME_0602-1" xfId="27873"/>
    <cellStyle name="好_River EE BOM_Creek RFQ feedback 04_28_2009_FD Update_Leopard_UniBOM_ME_0531_Bolt RFQ_Foxlink_03.1 2011 2 2" xfId="27874"/>
    <cellStyle name="好_River EE BOM_Creek RFQ feedback 04_28_2009_FD Update_Leopard_UniBOM_ME_0531_Bolt RFQ_Foxlink_03.1 2011 2 3" xfId="27875"/>
    <cellStyle name="好_River EE BOM_Creek RFQ feedback 04_28_2009_FD Update_Leopard_UniBOM_ME_0531_Bolt RFQ_Foxlink_03.1 2011 4" xfId="27876"/>
    <cellStyle name="好_River EE BOM_Creek RFQ feedback 04_28_2009_FD Update_Leopard_UniBOM_ME_0531_Bolt RFQ_Foxlink_03.1 2011 5" xfId="27877"/>
    <cellStyle name="差_Creak Pearl Reliability Fixture RFQ_2009 04 24_Xl0000002_Leopard_UniBOM_ME_0602-1_Bolt RFQ Proposal_Foxlink_ (Pricing Summary) 2 25 2011 2 2 3" xfId="27878"/>
    <cellStyle name="好_River EE BOM_Creek RFQ feedback 04_28_2009_FD Update_Leopard_UniBOM_ME_0531_Bolt RFQ_Foxlink_03.1 2011_nego meeting@MACH 2 2" xfId="27879"/>
    <cellStyle name="好_River EE BOM_Creek RFQ feedback 04_28_2009_FD Update_Leopard_UniBOM_ME_0531_Bolt RFQ_Foxlink_03.1 2011_nego meeting@MACH 2 3" xfId="27880"/>
    <cellStyle name="好_River EE BOM_Creek RFQ feedback 04_28_2009_FD Update_Leopard_UniBOM_ME_0531_Bolt RFQ_Foxlink_03.1 2011_nego meeting@MACH 3" xfId="27881"/>
    <cellStyle name="好_River EE BOM_Creek RFQ feedback 04_28_2009_FD Update_Leopard_UniBOM_ME_0531_Bolt RFQ_Foxlink_03.1 2011_nego meeting@MACH 5" xfId="27882"/>
    <cellStyle name="好_River EE BOM_Xl0000002_Leopard_UniBOM_ME_0603-2_Bolt RFQ Proposal_Foxlink_ (Pricing Summary) 2 25 2011 5 2" xfId="27883"/>
    <cellStyle name="好_River EE BOM_Creek RFQ feedback 04_28_2009_FD Update_Leopard_UniBOM_ME_0602" xfId="27884"/>
    <cellStyle name="差_F3   SMT設備明細_效益分析_flow chart 2009.12.12_Flow Chart&amp;設備治工具清單 _~1159284" xfId="27885"/>
    <cellStyle name="好_River EE BOM_Creek RFQ feedback 04_28_2009_FD Update_Leopard_UniBOM_ME_0602 2" xfId="27886"/>
    <cellStyle name="好_River EE BOM_Creek RFQ feedback 04_28_2009_FD Update_Leopard_UniBOM_ME_0602 2 2" xfId="27887"/>
    <cellStyle name="好_River EE BOM_Creek RFQ feedback 04_28_2009_FD Update_Leopard_UniBOM_ME_0602 2 2 2" xfId="27888"/>
    <cellStyle name="好_River EE BOM_Creek RFQ feedback 04_28_2009_FD Update_Leopard_UniBOM_ME_0602 2 3" xfId="27889"/>
    <cellStyle name="好_River EE BOM_Creek RFQ feedback 04_28_2009_FD Update_Leopard_UniBOM_ME_0602 2 4" xfId="27890"/>
    <cellStyle name="好_River EE BOM_Creek RFQ feedback 04_28_2009_FD Update_Leopard_UniBOM_ME_0602 3" xfId="27891"/>
    <cellStyle name="差_HP Mouse 產能評估(上系統)_M1 SuedeFixtureEquipment Cost_A0_2010_10_15_Bolt RFQ_Foxlink_03.1 2011 3 2" xfId="27892"/>
    <cellStyle name="差_Xl0000000_Leopard RFQ ME BOM Costs-0618-2_Bolt RFQ Proposal_Foxlink_ (Pricing Summary) 2 25 2011 2 3" xfId="27893"/>
    <cellStyle name="好_River EE BOM_Creek RFQ feedback 04_28_2009_FD Update_Leopard_UniBOM_ME_0602 3 2" xfId="27894"/>
    <cellStyle name="差_Xl0000000_Leopard RFQ ME BOM Costs-0618-2_Bolt RFQ Proposal_Foxlink_ (Pricing Summary) 2 25 2011 2 4" xfId="27895"/>
    <cellStyle name="好_River EE BOM_Creek RFQ feedback 04_28_2009_FD Update_Leopard_UniBOM_ME_0602 3 3" xfId="27896"/>
    <cellStyle name="好_River EE BOM_Creek RFQ feedback 04_28_2009_FD Update_Leopard_UniBOM_ME_0602_Bolt RFQ Proposal_Foxlink_ (Pricing Summary) 2 25 2011" xfId="27897"/>
    <cellStyle name="好_River EE BOM_Creek RFQ feedback 04_28_2009_FD Update_Leopard_UniBOM_ME_0602_Bolt RFQ Proposal_Foxlink_ (Pricing Summary) 2 25 2011 2" xfId="27898"/>
    <cellStyle name="好_River EE BOM_Creek RFQ feedback 04_28_2009_FD Update_Leopard_UniBOM_ME_0602_Bolt RFQ Proposal_Foxlink_ (Pricing Summary) 2 25 2011 2 2 2" xfId="27899"/>
    <cellStyle name="好_River EE BOM_Creek RFQ feedback 04_28_2009_FD Update_Leopard_UniBOM_ME_0602_Bolt RFQ Proposal_Foxlink_ (Pricing Summary) 2 25 2011 2 4" xfId="27900"/>
    <cellStyle name="好_River EE BOM_Creek RFQ feedback 04_28_2009_FD Update_Leopard_UniBOM_ME_0602_Bolt RFQ Proposal_Foxlink_ (Pricing Summary) 2 25 2011 3" xfId="27901"/>
    <cellStyle name="好_River EE BOM_Creek RFQ feedback 04_28_2009_FD Update_Leopard_UniBOM_ME_0602_Bolt RFQ Proposal_Foxlink_ (Pricing Summary) 2 25 2011 3 2" xfId="27902"/>
    <cellStyle name="好_River EE BOM_Creek RFQ feedback 04_28_2009_FD Update_Leopard_UniBOM_ME_0602_Bolt RFQ Proposal_Foxlink_ (Pricing Summary) 2 25 2011 4" xfId="27903"/>
    <cellStyle name="好_River EE BOM_Creek RFQ feedback 04_28_2009_FD Update_Leopard_UniBOM_ME_0602_Bolt RFQ Proposal_Foxlink_ (Pricing Summary) 2 25 2011 4 2" xfId="27904"/>
    <cellStyle name="好_River EE BOM_Creek RFQ feedback 04_28_2009_FD Update_Leopard_UniBOM_ME_0602_Bolt RFQ Proposal_Foxlink_ (Pricing Summary) 2 25 2011 4 3" xfId="27905"/>
    <cellStyle name="好_River EE BOM_Creek RFQ feedback 04_28_2009_FD Update_Leopard_UniBOM_ME_0602_Bolt RFQ Proposal_Foxlink_ (Pricing Summary) 2 25 2011 5 2" xfId="27906"/>
    <cellStyle name="好_River EE BOM_Creek RFQ feedback 04_28_2009_FD Update_Leopard_UniBOM_ME_0602_Bolt RFQ Proposal_Foxlink_ (Pricing Summary) 2 25 2011 6" xfId="27907"/>
    <cellStyle name="好_River EE BOM_Creek RFQ feedback 04_28_2009_FD Update_Leopard_UniBOM_ME_0602_Bolt RFQ Proposal_Foxlink_ (Pricing Summary) 2 25 2011 7" xfId="27908"/>
    <cellStyle name="好_River EE BOM_Creek RFQ feedback 04_28_2009_FD Update_Leopard_UniBOM_ME_0602_Bolt RFQ_Foxlink_03.1 2011" xfId="27909"/>
    <cellStyle name="好_River EE BOM_Creek RFQ feedback 04_28_2009_FD Update_Leopard_UniBOM_ME_0602_Bolt RFQ_Foxlink_03.1 2011 2" xfId="27910"/>
    <cellStyle name="好_River EE BOM_Creek RFQ feedback 04_28_2009_FD Update_Leopard_UniBOM_ME_0602_Bolt RFQ_Foxlink_03.1 2011 2 2" xfId="27911"/>
    <cellStyle name="好_River EE BOM_Creek RFQ feedback 04_28_2009_FD Update_Leopard_UniBOM_ME_0602_Bolt RFQ_Foxlink_03.1 2011 2 3" xfId="27912"/>
    <cellStyle name="好_River EE BOM_Creek RFQ feedback 04_28_2009_FD Update_Leopard_UniBOM_ME_0602_Bolt RFQ_Foxlink_03.1 2011 3 2" xfId="27913"/>
    <cellStyle name="好_River EE BOM_Creek RFQ feedback 04_28_2009_FD Update_Leopard_UniBOM_ME_0602_Bolt RFQ_Foxlink_03.1 2011 4" xfId="27914"/>
    <cellStyle name="好_River EE BOM_Creek RFQ feedback 04_28_2009_FD Update_Leopard_UniBOM_ME_0602_Bolt RFQ_Foxlink_03.1 2011 5" xfId="27915"/>
    <cellStyle name="差_HP Mouse 產能評估(Forecast更改後)_Erie 效益分析(8-27)_Leopard效益分析08-17" xfId="27916"/>
    <cellStyle name="好_River EE BOM_Creek RFQ feedback 04_28_2009_FD Update_Leopard_UniBOM_ME_0602_Bolt RFQ_Foxlink_03.1 2011_nego meeting@MACH 2" xfId="27917"/>
    <cellStyle name="差_HP  專案(設備&amp;治工具需夠買)update_M1 Bolt wireless mouse FixtureEquipment Cost_A2_2010_12_07_Bolt RFQ Proposal_Foxlink_ (Pricing Summary) 2 25 2011 4 3" xfId="27918"/>
    <cellStyle name="好_River EE BOM_Xl0000002_Leopard_UniBOM_ME_0602-1_Bolt RFQ Proposal_Foxlink_ (Pricing Summary) 2 25 2011 4 3" xfId="27919"/>
    <cellStyle name="好_River EE BOM_Creek RFQ feedback 04_28_2009_FD Update_Leopard_UniBOM_ME_0602_Bolt RFQ_Foxlink_03.1 2011_nego meeting@MACH 2 2" xfId="27920"/>
    <cellStyle name="好_River EE BOM_Xl0000002_Leopard_UniBOM_ME_0602-1 2" xfId="27921"/>
    <cellStyle name="好_River EE BOM_Creek RFQ feedback 04_28_2009_FD Update_Leopard_UniBOM_ME_0602_Bolt RFQ_Foxlink_03.1 2011_nego meeting@MACH 2 3" xfId="27922"/>
    <cellStyle name="好_River EE BOM_Creek RFQ feedback 04_28_2009_FD Update_Leopard_UniBOM_ME_0602_Bolt RFQ_Foxlink_03.1 2011_nego meeting@MACH 3" xfId="27923"/>
    <cellStyle name="好_River EE BOM_Xl0000002_Leopard_UniBOM_ME_0602-1_Bolt RFQ Proposal_Foxlink_ (Pricing Summary) 2 25 2011 5 3" xfId="27924"/>
    <cellStyle name="好_River EE BOM_Creek RFQ feedback 04_28_2009_FD Update_Leopard_UniBOM_ME_0602_Bolt RFQ_Foxlink_03.1 2011_nego meeting@MACH 3 2" xfId="27925"/>
    <cellStyle name="好_River EE BOM_Creek RFQ feedback 04_28_2009_FD Update_Leopard_UniBOM_ME_0602_Bolt RFQ_Foxlink_03.1 2011_nego meeting@MACH 5" xfId="27926"/>
    <cellStyle name="好_River EE BOM_Creek RFQ feedback 04_28_2009_FD Update_Leopard_UniBOM_ME_0602-1" xfId="27927"/>
    <cellStyle name="好_River EE BOM_Creek RFQ feedback 04_28_2009_FD Update_Leopard_UniBOM_ME_0602-1 2 2" xfId="27928"/>
    <cellStyle name="好_River EE BOM_Creek RFQ feedback 04_28_2009_FD Update_Leopard_UniBOM_ME_0602-1 2 2 2" xfId="27929"/>
    <cellStyle name="差_Creak Pearl Reliability Fixture RFQ_2009 04 24_Xl0000002_Leopard_UniBOM_ME_0603-2_Bolt RFQ Proposal_Foxlink_ (Pricing Summary) 2 25 2011 2 4" xfId="27930"/>
    <cellStyle name="好_River EE BOM_Creek RFQ feedback 04_28_2009_FD Update_Leopard_UniBOM_ME_0602-1 2 2 3" xfId="27931"/>
    <cellStyle name="好_River EE BOM_Creek RFQ feedback 04_28_2009_FD Update_Leopard_UniBOM_ME_0602-1 3" xfId="27932"/>
    <cellStyle name="好_River EE BOM_Creek RFQ feedback 04_28_2009_FD Update_Leopard_UniBOM_ME_0602-1_Bolt RFQ Proposal_Foxlink_ (Pricing Summary) 2 25 2011 2 2 2" xfId="27933"/>
    <cellStyle name="好_River EE BOM_Creek RFQ feedback 04_28_2009_FD Update_Leopard_UniBOM_ME_0602-1_Bolt RFQ Proposal_Foxlink_ (Pricing Summary) 2 25 2011 2 2 3" xfId="27934"/>
    <cellStyle name="好_River EE BOM_Creek RFQ feedback 04_28_2009_FD Update_Leopard_UniBOM_ME_0602-1_Bolt RFQ Proposal_Foxlink_ (Pricing Summary) 2 25 2011 2 3" xfId="27935"/>
    <cellStyle name="差_F3   SMT設備明細_效益分析_Flow Chart&amp;設備治工具清單 _Leopard Flowchart &amp; 產能評估" xfId="27936"/>
    <cellStyle name="好_River EE BOM_Creek RFQ feedback 04_28_2009_FD Update_Leopard_UniBOM_ME_0602-1_Bolt RFQ Proposal_Foxlink_ (Pricing Summary) 2 25 2011 2 4" xfId="27937"/>
    <cellStyle name="好_River EE BOM_Creek RFQ feedback 04_28_2009_FD Update_Leopard_UniBOM_ME_0602-1_Bolt RFQ Proposal_Foxlink_ (Pricing Summary) 2 25 2011 3 2" xfId="27938"/>
    <cellStyle name="好_River EE BOM_Creek RFQ feedback 04_28_2009_FD Update_Leopard_UniBOM_ME_0602-1_Bolt RFQ Proposal_Foxlink_ (Pricing Summary) 2 25 2011 3 3" xfId="27939"/>
    <cellStyle name="好_River EE BOM_Creek RFQ feedback 04_28_2009_FD Update_Leopard_UniBOM_ME_0602-1_Bolt RFQ Proposal_Foxlink_ (Pricing Summary) 2 25 2011 4" xfId="27940"/>
    <cellStyle name="好_River EE BOM_Creek RFQ feedback 04_28_2009_FD Update_Leopard_UniBOM_ME_0602-1_Bolt RFQ Proposal_Foxlink_ (Pricing Summary) 2 25 2011 4 3" xfId="27941"/>
    <cellStyle name="好_River EE BOM_Creek RFQ feedback 04_28_2009_FD Update_Leopard_UniBOM_ME_0602-1_Bolt RFQ Proposal_Foxlink_ (Pricing Summary) 2 25 2011 5" xfId="27942"/>
    <cellStyle name="好_River EE BOM_Creek RFQ feedback 04_28_2009_FD Update_Leopard_UniBOM_ME_0602-1_Bolt RFQ Proposal_Foxlink_ (Pricing Summary) 2 25 2011 5 3" xfId="27943"/>
    <cellStyle name="好_River EE BOM_Creek RFQ feedback 04_28_2009_FD Update_Leopard_UniBOM_ME_0602-1_Bolt RFQ_Foxlink_03.1 2011 5" xfId="27944"/>
    <cellStyle name="好_River EE BOM_Creek RFQ feedback 04_28_2009_FD Update_Leopard_UniBOM_ME_0602-1_Bolt RFQ_Foxlink_03.1 2011_nego meeting@MACH 5" xfId="27945"/>
    <cellStyle name="好_River EE BOM_Creek RFQ feedback 04_28_2009_FD Update_Leopard_UniBOM_ME_0603-2" xfId="27946"/>
    <cellStyle name="好_River EE BOM_Creek RFQ feedback 04_28_2009_FD Update_Leopard_UniBOM_ME_0603-2 2" xfId="27947"/>
    <cellStyle name="好_River EE BOM_Creek RFQ feedback 04_28_2009_FD Update_Leopard_UniBOM_ME_0603-2 2 2" xfId="27948"/>
    <cellStyle name="差_Creak Pearl Reliability Fixture RFQ_2009 04 24_Xl0000002_Leopard_UniBOM_ME_0603-2 3 3" xfId="27949"/>
    <cellStyle name="好_River EE BOM_Creek RFQ feedback 04_28_2009_FD Update_Leopard_UniBOM_ME_0603-2 2 2 2" xfId="27950"/>
    <cellStyle name="差_Creak Pearl Reliability Fixture RFQ_2009 04 24_Creek RFQ feedback 04_28_2009_FD Update_Foxlink_Shadow RFQ NREUni BOM_12032009_Bolt RFQ_Foxlink_03.1 2011_nego meeting@MACH" xfId="27951"/>
    <cellStyle name="好_River EE BOM_Creek RFQ feedback 04_28_2009_FD Update_Leopard_UniBOM_ME_0603-2 2 2 3" xfId="27952"/>
    <cellStyle name="好_River EE BOM_Creek RFQ feedback 04_28_2009_FD Update_Leopard_UniBOM_ME_0603-2 2 4" xfId="27953"/>
    <cellStyle name="好_River EE BOM_Creek RFQ feedback 04_28_2009_FD Update_Leopard_UniBOM_ME_0603-2_Bolt RFQ Proposal_Foxlink_ (Pricing Summary) 2 25 2011" xfId="27954"/>
    <cellStyle name="好_River EE BOM_Creek RFQ feedback 04_28_2009_FD Update_Leopard_UniBOM_ME_0603-2_Bolt RFQ Proposal_Foxlink_ (Pricing Summary) 2 25 2011 2" xfId="27955"/>
    <cellStyle name="差_Creak Pearl Reliability Fixture RFQ_2009 04 24_Creek RFQ feedback 04_28_2009_FD Update_Squirrel RFQ ME BOM Costs-0623_Bolt RFQ_Foxlink_03.1 2011_nego meeting@MACH 3" xfId="27956"/>
    <cellStyle name="好_River EE BOM_Creek RFQ feedback 04_28_2009_FD Update_Leopard_UniBOM_ME_0603-2_Bolt RFQ Proposal_Foxlink_ (Pricing Summary) 2 25 2011 2 2" xfId="27957"/>
    <cellStyle name="差_Creak Pearl Reliability Fixture RFQ_2009 04 24_Creek RFQ feedback 04_28_2009_FD Update_Squirrel RFQ ME BOM Costs-0623_Bolt RFQ_Foxlink_03.1 2011_nego meeting@MACH 4" xfId="27958"/>
    <cellStyle name="好_River EE BOM_Creek RFQ feedback 04_28_2009_FD Update_Leopard_UniBOM_ME_0603-2_Bolt RFQ Proposal_Foxlink_ (Pricing Summary) 2 25 2011 2 3" xfId="27959"/>
    <cellStyle name="差_Creak Pearl Reliability Fixture RFQ_2009 04 24_Creek RFQ feedback 04_28_2009_FD Update_Squirrel RFQ ME BOM Costs-0623_Bolt RFQ_Foxlink_03.1 2011_nego meeting@MACH 5" xfId="27960"/>
    <cellStyle name="好_River EE BOM_Creek RFQ feedback 04_28_2009_FD Update_Leopard_UniBOM_ME_0603-2_Bolt RFQ Proposal_Foxlink_ (Pricing Summary) 2 25 2011 2 4" xfId="27961"/>
    <cellStyle name="好_River EE BOM_Creek RFQ feedback 04_28_2009_FD Update_Leopard_UniBOM_ME_0603-2_Bolt RFQ Proposal_Foxlink_ (Pricing Summary) 2 25 2011 3" xfId="27962"/>
    <cellStyle name="好_River EE BOM_Creek RFQ feedback 04_28_2009_FD Update_Leopard_UniBOM_ME_0603-2_Bolt RFQ Proposal_Foxlink_ (Pricing Summary) 2 25 2011 3 2" xfId="27963"/>
    <cellStyle name="好_River EE BOM_Creek RFQ feedback 04_28_2009_FD Update_Leopard_UniBOM_ME_0603-2_Bolt RFQ Proposal_Foxlink_ (Pricing Summary) 2 25 2011 3 3" xfId="27964"/>
    <cellStyle name="差_Creak Pearl Reliability Fixture RFQ_2009 04 24_Bolt RFQ Proposal_Foxlink_ (Pricing Summary) 2 25 2011 2 2 2" xfId="27965"/>
    <cellStyle name="好_River EE BOM_Creek RFQ feedback 04_28_2009_FD Update_Leopard_UniBOM_ME_0603-2_Bolt RFQ Proposal_Foxlink_ (Pricing Summary) 2 25 2011 4" xfId="27966"/>
    <cellStyle name="好_River EE BOM_Creek RFQ feedback 04_28_2009_FD Update_Leopard_UniBOM_ME_0603-2_Bolt RFQ Proposal_Foxlink_ (Pricing Summary) 2 25 2011 4 3" xfId="27967"/>
    <cellStyle name="好_River EE BOM_Creek RFQ feedback 04_28_2009_FD Update_Leopard_UniBOM_ME_0603-2_Bolt RFQ Proposal_Foxlink_ (Pricing Summary) 2 25 2011 5 2" xfId="27968"/>
    <cellStyle name="好_River EE BOM_Creek RFQ feedback 04_28_2009_FD Update_Leopard_UniBOM_ME_0603-2_Bolt RFQ Proposal_Foxlink_ (Pricing Summary) 2 25 2011 5 3" xfId="27969"/>
    <cellStyle name="好_River EE BOM_Creek RFQ feedback 04_28_2009_FD Update_Leopard_UniBOM_ME_0603-2_Bolt RFQ_Foxlink_03.1 2011 2" xfId="27970"/>
    <cellStyle name="差_Creak Pearl Reliability Fixture RFQ_2009 04 24_Creek RFQ feedback 04_28_2009_FD Update_Leopard_UniBOM_ME_0602_Bolt RFQ_Foxlink_03.1 2011_nego meeting@MACH 2" xfId="27971"/>
    <cellStyle name="壞_Creek EE BOM cost_20090425_Creek RFQ feedback 04_28_2009_FD Update_Leopard RFQ ME BOM Costs-0618 2 2" xfId="27972"/>
    <cellStyle name="好_River EE BOM_Creek RFQ feedback 04_28_2009_FD Update_Leopard_UniBOM_ME_0603-2_Bolt RFQ_Foxlink_03.1 2011 2 3" xfId="27973"/>
    <cellStyle name="好_River EE BOM_Creek RFQ feedback 04_28_2009_FD Update_Leopard_UniBOM_ME_0603-2_Bolt RFQ_Foxlink_03.1 2011 3" xfId="27974"/>
    <cellStyle name="好_River EE BOM_Creek RFQ feedback 04_28_2009_FD Update_Leopard_UniBOM_ME_0603-2_Bolt RFQ_Foxlink_03.1 2011 3 2" xfId="27975"/>
    <cellStyle name="壞_Creek EE BOM cost_20090425_Creek RFQ feedback 04_28_2009_FD Update_Leopard RFQ ME BOM Costs-0618 3 2" xfId="27976"/>
    <cellStyle name="好_River EE BOM_Creek RFQ feedback 04_28_2009_FD Update_Leopard_UniBOM_ME_0603-2_Bolt RFQ_Foxlink_03.1 2011 3 3" xfId="27977"/>
    <cellStyle name="好_River EE BOM_Creek RFQ feedback 04_28_2009_FD Update_Leopard_UniBOM_ME_0603-2_Bolt RFQ_Foxlink_03.1 2011 4" xfId="27978"/>
    <cellStyle name="好_River EE BOM_Creek RFQ feedback 04_28_2009_FD Update_Leopard_UniBOM_ME_0603-2_Bolt RFQ_Foxlink_03.1 2011 5" xfId="27979"/>
    <cellStyle name="好_River EE BOM_Creek RFQ feedback 04_28_2009_FD Update_Leopard_UniBOM_ME_0603-2_Bolt RFQ_Foxlink_03.1 2011_nego meeting@MACH" xfId="27980"/>
    <cellStyle name="差_Creak Pearl Reliability Fixture RFQ_2009 04 24_Xl0000002 3 2" xfId="27981"/>
    <cellStyle name="好_River EE BOM_Creek RFQ feedback 04_28_2009_FD Update_Leopard_UniBOM_ME_0603-2_Bolt RFQ_Foxlink_03.1 2011_nego meeting@MACH 2 2" xfId="27982"/>
    <cellStyle name="好_River EE BOM_Creek RFQ feedback 04_28_2009_FD Update_Leopard_UniBOM_ME_0603-2_Bolt RFQ_Foxlink_03.1 2011_nego meeting@MACH 3 2" xfId="27983"/>
    <cellStyle name="好_River EE BOM_Creek RFQ feedback 04_28_2009_FD Update_Leopard_UniBOM_ME_0603-2_Bolt RFQ_Foxlink_03.1 2011_nego meeting@MACH 3 3" xfId="27984"/>
    <cellStyle name="好_River EE BOM_Creek RFQ feedback 04_28_2009_FD Update_Squirrel RFQ ME BOM Costs-0623" xfId="27985"/>
    <cellStyle name="差_jupite r設備&amp;治工具LIST (總)_pq_效益分析(總 12-28 Update)_Jackson 效益分析 (2-1 B0 上系統)_squirrel效益分析08-17" xfId="27986"/>
    <cellStyle name="好_River EE BOM_Creek RFQ feedback 04_28_2009_FD Update_Squirrel RFQ ME BOM Costs-0623 2 2 2" xfId="27987"/>
    <cellStyle name="好_River EE BOM_Creek RFQ feedback 04_28_2009_FD Update_Squirrel RFQ ME BOM Costs-0623 2 2 3" xfId="27988"/>
    <cellStyle name="好_River EE BOM_Creek RFQ feedback 04_28_2009_FD Update_Squirrel RFQ ME BOM Costs-0623 2 4" xfId="27989"/>
    <cellStyle name="好_River EE BOM_Creek RFQ feedback 04_28_2009_FD Update_Squirrel RFQ ME BOM Costs-0623_Bolt RFQ Proposal_Foxlink_ (Pricing Summary) 2 25 2011 2" xfId="27990"/>
    <cellStyle name="好_River EE BOM_Creek RFQ feedback 04_28_2009_FD Update_Squirrel RFQ ME BOM Costs-0623_Bolt RFQ Proposal_Foxlink_ (Pricing Summary) 2 25 2011 2 2" xfId="27991"/>
    <cellStyle name="好_River EE BOM_Creek RFQ feedback 04_28_2009_FD Update_Squirrel RFQ ME BOM Costs-0623_Bolt RFQ Proposal_Foxlink_ (Pricing Summary) 2 25 2011 2 2 2" xfId="27992"/>
    <cellStyle name="好_River EE BOM_Creek RFQ feedback 04_28_2009_FD Update_Squirrel RFQ ME BOM Costs-0623_Bolt RFQ Proposal_Foxlink_ (Pricing Summary) 2 25 2011 2 2 3" xfId="27993"/>
    <cellStyle name="好_River EE BOM_Creek RFQ feedback 04_28_2009_FD Update_Squirrel RFQ ME BOM Costs-0623_Bolt RFQ Proposal_Foxlink_ (Pricing Summary) 2 25 2011 3" xfId="27994"/>
    <cellStyle name="差_Creak Pearl Reliability Fixture RFQ_2009 04 24_Creek RFQ feedback 04_28_2009_FD Update_Leopard UniBom-06 22 2010_update_internal" xfId="27995"/>
    <cellStyle name="好_River EE BOM_Creek RFQ feedback 04_28_2009_FD Update_Squirrel RFQ ME BOM Costs-0623_Bolt RFQ Proposal_Foxlink_ (Pricing Summary) 2 25 2011 4" xfId="27996"/>
    <cellStyle name="好_River EE BOM_Creek RFQ feedback 04_28_2009_FD Update_Squirrel RFQ ME BOM Costs-0623_Bolt RFQ Proposal_Foxlink_ (Pricing Summary) 2 25 2011 4 2" xfId="27997"/>
    <cellStyle name="好_River EE BOM_Creek RFQ feedback 04_28_2009_FD Update_Squirrel RFQ ME BOM Costs-0623_Bolt RFQ Proposal_Foxlink_ (Pricing Summary) 2 25 2011 4 3" xfId="27998"/>
    <cellStyle name="好_River EE BOM_Creek RFQ feedback 04_28_2009_FD Update_Squirrel RFQ ME BOM Costs-0623_Bolt RFQ Proposal_Foxlink_ (Pricing Summary) 2 25 2011 5" xfId="27999"/>
    <cellStyle name="好_River EE BOM_Creek RFQ feedback 04_28_2009_FD Update_Squirrel RFQ ME BOM Costs-0623_Bolt RFQ Proposal_Foxlink_ (Pricing Summary) 2 25 2011 5 2" xfId="28000"/>
    <cellStyle name="好_River EE BOM_Creek RFQ feedback 04_28_2009_FD Update_Squirrel RFQ ME BOM Costs-0623_Bolt RFQ Proposal_Foxlink_ (Pricing Summary) 2 25 2011 5 3" xfId="28001"/>
    <cellStyle name="好_River EE BOM_Creek RFQ feedback 04_28_2009_FD Update_Squirrel RFQ ME BOM Costs-0623_Bolt RFQ Proposal_Foxlink_ (Pricing Summary) 2 25 2011 6" xfId="28002"/>
    <cellStyle name="好_River EE BOM_Creek RFQ feedback 04_28_2009_FD Update_Squirrel RFQ ME BOM Costs-0623_Bolt RFQ_Foxlink_03.1 2011 2" xfId="28003"/>
    <cellStyle name="好_River EE BOM_Creek RFQ feedback 04_28_2009_FD Update_Squirrel RFQ ME BOM Costs-0623_Bolt RFQ_Foxlink_03.1 2011 2 2" xfId="28004"/>
    <cellStyle name="好_River EE BOM_Creek RFQ feedback 04_28_2009_FD Update_Squirrel RFQ ME BOM Costs-0623_Bolt RFQ_Foxlink_03.1 2011 4" xfId="28005"/>
    <cellStyle name="好_River EE BOM_Creek RFQ feedback 04_28_2009_FD Update_Squirrel RFQ ME BOM Costs-0623_Bolt RFQ_Foxlink_03.1 2011 5" xfId="28006"/>
    <cellStyle name="好_River EE BOM_Creek RFQ feedback 04_28_2009_FD Update_Squirrel RFQ ME BOM Costs-0623_Bolt RFQ_Foxlink_03.1 2011_nego meeting@MACH" xfId="28007"/>
    <cellStyle name="好_River EE BOM_Creek RFQ feedback 04_28_2009_FD Update_Squirrel RFQ ME BOM Costs-0623_Bolt RFQ_Foxlink_03.1 2011_nego meeting@MACH 2 3" xfId="28008"/>
    <cellStyle name="好_River EE BOM_Creek RFQ feedback 04_28_2009_FD Update_Squirrel RFQ ME BOM Costs-0623_Bolt RFQ_Foxlink_03.1 2011_nego meeting@MACH 3" xfId="28009"/>
    <cellStyle name="好_River EE BOM_Creek RFQ feedback 04_28_2009_FD Update_Squirrel RFQ ME BOM Costs-0623_Bolt RFQ_Foxlink_03.1 2011_nego meeting@MACH 3 3" xfId="28010"/>
    <cellStyle name="差_Creak Pearl Reliability Fixture RFQ_2009 04 24_Creek  Pearl RFQ_May 12_Squirrel UniBom-06.23.2010_update_internal 2 2 3" xfId="28011"/>
    <cellStyle name="好_River EE BOM_Creek RFQ feedback 04_28_2009_FD Update_Squirrel RFQ ME BOM Costs-0623_Bolt RFQ_Foxlink_03.1 2011_nego meeting@MACH 5" xfId="28012"/>
    <cellStyle name="差_HP Mouse 產能評估(Forecast更改後)_Bolt RFQ_Foxlink_03.1 2011 3" xfId="28013"/>
    <cellStyle name="好_River EE BOM_Creek RFQ feedback 04_28_2009_FD Update_Squirrel UniBom_Foxlink_6 28 2010" xfId="28014"/>
    <cellStyle name="好_River EE BOM_Creek RFQ feedback 04_28_2009_FD Update_Squirrel UniBom-06.23.2010_update_internal 2 2 3" xfId="28015"/>
    <cellStyle name="好_River EE BOM_Xl0000000_Leopard_UniBOM_ME_0602_Bolt RFQ_Foxlink_03.1 2011_nego meeting@MACH 3 2" xfId="28016"/>
    <cellStyle name="好_River EE BOM_Creek RFQ feedback 04_28_2009_FD Update_Squirrel UniBom-06.23.2010_update_internal 2 4" xfId="28017"/>
    <cellStyle name="好_River EE BOM_Creek RFQ feedback 04_28_2009_FD Update_Squirrel UniBom-06.23.2010_update_internal 3 2" xfId="28018"/>
    <cellStyle name="好_River EE BOM_Creek RFQ feedback 04_28_2009_FD Update_Squirrel UniBom-06.23.2010_update_internal 3 3" xfId="28019"/>
    <cellStyle name="好_River EE BOM_Xl0000002_Leopard RFQ ME BOM Costs-0618-2_Bolt RFQ_Foxlink_03.1 2011_nego meeting@MACH 2 2" xfId="28020"/>
    <cellStyle name="好_River EE BOM_Creek RFQ feedback 04_28_2009_FD Update_Squirrel UniBom-06.23.2010_update_internal 4" xfId="28021"/>
    <cellStyle name="好_River EE BOM_Creek RFQ feedback 04_28_2009_FD Update_Squirrel UniBom-06.23.2010_update_internal 5" xfId="28022"/>
    <cellStyle name="好_River EE BOM_Creek RFQ feedback 04_28_2009_FD Update_Squirrel UniBom-06.23.2010_update_internal_Bolt RFQ Proposal_Foxlink_ (Pricing Summary) 2 25 2011 5" xfId="28023"/>
    <cellStyle name="壞_Creek Assembly Fixture  Test Equipment RFQ_20090427_Leopard_UniBOM_ME_0531_Bolt RFQ_Foxlink_03.1 2011_nego meeting@MACH 4" xfId="28024"/>
    <cellStyle name="差_Creak Pearl Reliability Fixture RFQ_2009 04 24_Creek RFQ feedback 04_28_2009_FD Update_Bolt RFQ_Foxlink_03.1 2011_nego meeting@MACH 3" xfId="28025"/>
    <cellStyle name="好_River EE BOM_Creek RFQ feedback 04_28_2009_FD Update_Squirrel UniBom-06.23.2010_update_internal_Bolt RFQ Proposal_Foxlink_ (Pricing Summary) 2 25 2011 5 2" xfId="28026"/>
    <cellStyle name="差_F3   SMT設備明細_效益分析_flow chart 2009.12.12" xfId="28027"/>
    <cellStyle name="好_River EE BOM_Creek RFQ feedback 04_28_2009_FD Update_Squirrel UniBom-06.23.2010_update_internal_Bolt RFQ Proposal_Foxlink_ (Pricing Summary) 2 25 2011 6" xfId="28028"/>
    <cellStyle name="好_River EE BOM_Creek RFQ feedback 04_28_2009_FD Update_Squirrel UniBom-06.23.2010_update_internal_Bolt RFQ Proposal_Foxlink_ (Pricing Summary) 2 25 2011 7" xfId="28029"/>
    <cellStyle name="好_River EE BOM_Creek RFQ feedback 04_28_2009_FD Update_Squirrel UniBom-06.23.2010_update_internal_Bolt RFQ_Foxlink_03.1 2011 2 3" xfId="28030"/>
    <cellStyle name="差_HP Mouse 產能評估(Forecast更改後)_Erie 效益分析 (Update)_效益分析(總 12-28 Update)_Leopard效益分析08-17" xfId="28031"/>
    <cellStyle name="好_River EE BOM_Creek RFQ feedback 04_28_2009_FD Update_Squirrel UniBom-06.23.2010_update_internal_Bolt RFQ_Foxlink_03.1 2011 3 2" xfId="28032"/>
    <cellStyle name="好_River EE BOM_Creek RFQ feedback 04_28_2009_FD Update_Squirrel UniBom-06.23.2010_update_internal_Bolt RFQ_Foxlink_03.1 2011 3 3" xfId="28033"/>
    <cellStyle name="好_River EE BOM_Creek RFQ feedback 04_28_2009_FD Update_Squirrel UniBom-06.23.2010_update_internal_Bolt RFQ_Foxlink_03.1 2011 4" xfId="28034"/>
    <cellStyle name="好_River EE BOM_Creek RFQ feedback 04_28_2009_FD Update_Squirrel UniBom-06.23.2010_update_internal_Bolt RFQ_Foxlink_03.1 2011_nego meeting@MACH" xfId="28035"/>
    <cellStyle name="好_River EE BOM_Creek RFQ feedback 04_28_2009_FD Update_Squirrel UniBom-06.23.2010_update_internal_Bolt RFQ_Foxlink_03.1 2011_nego meeting@MACH 2" xfId="28036"/>
    <cellStyle name="好_River EE BOM_Creek RFQ feedback 04_28_2009_FD Update_Squirrel UniBom-06.23.2010_update_internal_Bolt RFQ_Foxlink_03.1 2011_nego meeting@MACH 3" xfId="28037"/>
    <cellStyle name="好_River EE BOM_Creek RFQ feedback 04_28_2009_FD Update_Squirrel UniBom-06.23.2010_update_internal_Bolt RFQ_Foxlink_03.1 2011_nego meeting@MACH 3 2" xfId="28038"/>
    <cellStyle name="好_River EE BOM_Foxlink_Shadow RFQ NREUni BOM_12032009" xfId="28039"/>
    <cellStyle name="好_River EE BOM_Foxlink_Shadow RFQ NREUni BOM_12032009 2 3" xfId="28040"/>
    <cellStyle name="差_F3   SMT設備明細_M1 SuedeFixtureEquipment Cost_A0_2010_10_15 4" xfId="28041"/>
    <cellStyle name="差_Creak Pearl Reliability Fixture RFQ_2009 04 24_Creek RFQ feedback 04_28_2009_FD Update_Leopard_UniBOM_ME_0602 3 3" xfId="28042"/>
    <cellStyle name="好_River EE BOM_Foxlink_Shadow RFQ NREUni BOM_12032009 2 4" xfId="28043"/>
    <cellStyle name="差_F3   SMT設備明細_M1 SuedeFixtureEquipment Cost_A0_2010_10_15 5" xfId="28044"/>
    <cellStyle name="好_River EE BOM_Foxlink_Shadow RFQ NREUni BOM_12032009 3 2" xfId="28045"/>
    <cellStyle name="好_River EE BOM_Foxlink_Shadow RFQ NREUni BOM_12032009 3 3" xfId="28046"/>
    <cellStyle name="好_River EE BOM_Foxlink_Shadow RFQ NREUni BOM_12032009_Bolt RFQ Proposal_Foxlink_ (Pricing Summary) 2 25 2011" xfId="28047"/>
    <cellStyle name="好_River EE BOM_Foxlink_Shadow RFQ NREUni BOM_12032009_Bolt RFQ Proposal_Foxlink_ (Pricing Summary) 2 25 2011 2 3" xfId="28048"/>
    <cellStyle name="好_River EE BOM_Foxlink_Shadow RFQ NREUni BOM_12032009_Bolt RFQ Proposal_Foxlink_ (Pricing Summary) 2 25 2011 2 4" xfId="28049"/>
    <cellStyle name="差_Creak Pearl Reliability Fixture RFQ_2009 04 24_Pearl RFQ(Submittal)ver2_05_12_2009 _Leopard Lemur Squirrel UniBom-06.22.2010_EE cost _update_internal 2 2 2" xfId="28050"/>
    <cellStyle name="壞_Creek EE BOM cost_20090425_Leopard_UniBOM_ME_0602-1_Bolt RFQ_Foxlink_03.1 2011_nego meeting@MACH 2" xfId="28051"/>
    <cellStyle name="好_River EE BOM_Foxlink_Shadow RFQ NREUni BOM_12032009_Bolt RFQ Proposal_Foxlink_ (Pricing Summary) 2 25 2011 5" xfId="28052"/>
    <cellStyle name="壞_Creek EE BOM cost_20090425_Leopard_UniBOM_ME_0602-1_Bolt RFQ_Foxlink_03.1 2011_nego meeting@MACH 2 2" xfId="28053"/>
    <cellStyle name="好_River EE BOM_Foxlink_Shadow RFQ NREUni BOM_12032009_Bolt RFQ Proposal_Foxlink_ (Pricing Summary) 2 25 2011 5 2" xfId="28054"/>
    <cellStyle name="差_Creak Pearl Reliability Fixture RFQ_2009 04 24_Pearl RFQ(Submittal)ver2_05_12_2009 _Leopard Lemur Squirrel UniBom-06.22.2010_EE cost _update_internal 2 2 3" xfId="28055"/>
    <cellStyle name="壞_Creek EE BOM cost_20090425_Leopard_UniBOM_ME_0602-1_Bolt RFQ_Foxlink_03.1 2011_nego meeting@MACH 3" xfId="28056"/>
    <cellStyle name="好_River EE BOM_Foxlink_Shadow RFQ NREUni BOM_12032009_Bolt RFQ Proposal_Foxlink_ (Pricing Summary) 2 25 2011 6" xfId="28057"/>
    <cellStyle name="壞_Creek EE BOM cost_20090425_Leopard_UniBOM_ME_0602-1_Bolt RFQ_Foxlink_03.1 2011_nego meeting@MACH 4" xfId="28058"/>
    <cellStyle name="好_River EE BOM_Foxlink_Shadow RFQ NREUni BOM_12032009_Bolt RFQ Proposal_Foxlink_ (Pricing Summary) 2 25 2011 7" xfId="28059"/>
    <cellStyle name="差_Creek RFQ feedback 04_28_2009_FD Update_Leopard UniBom_Foxlink_6 21 2010-ME_nego_Bolt RFQ_Foxlink_03.1 2011_nego meeting@MACH 3" xfId="28060"/>
    <cellStyle name="差_效益分析_flow chart 2009.12.12_Flow Chart&amp;設備治工具清單 _Leopard效益分析08-17" xfId="28061"/>
    <cellStyle name="好_River EE BOM_Foxlink_Shadow RFQ NREUni BOM_12032009_Bolt RFQ_Foxlink_03.1 2011 2" xfId="28062"/>
    <cellStyle name="差_Creek RFQ feedback 04_28_2009_FD Update_Leopard UniBom_Foxlink_6 21 2010-ME_nego_Bolt RFQ_Foxlink_03.1 2011_nego meeting@MACH 3 2" xfId="28063"/>
    <cellStyle name="好_River EE BOM_Foxlink_Shadow RFQ NREUni BOM_12032009_Bolt RFQ_Foxlink_03.1 2011 2 2" xfId="28064"/>
    <cellStyle name="差_Creek RFQ feedback 04_28_2009_FD Update_Leopard UniBom_Foxlink_6 21 2010-ME_nego_Bolt RFQ_Foxlink_03.1 2011_nego meeting@MACH 3 3" xfId="28065"/>
    <cellStyle name="好_River EE BOM_Foxlink_Shadow RFQ NREUni BOM_12032009_Bolt RFQ_Foxlink_03.1 2011 2 3" xfId="28066"/>
    <cellStyle name="好_River EE BOM_Foxlink_Shadow RFQ NREUni BOM_12032009_Bolt RFQ_Foxlink_03.1 2011 3 3" xfId="28067"/>
    <cellStyle name="好_River EE BOM_Foxlink_Shadow RFQ NREUni BOM_12032009_Bolt RFQ_Foxlink_03.1 2011_nego meeting@MACH 3" xfId="28068"/>
    <cellStyle name="好_River EE BOM_Foxlink_Shadow RFQ NREUni BOM_12032009_Bolt RFQ_Foxlink_03.1 2011_nego meeting@MACH 3 3" xfId="28069"/>
    <cellStyle name="好_River EE BOM_Foxlink_Shadow RFQ NREUni BOM_12032009_Bolt RFQ_Foxlink_03.1 2011_nego meeting@MACH 4" xfId="28070"/>
    <cellStyle name="好_River EE BOM_Foxlink_Shadow RFQ NREUni BOM_12032009_Bolt RFQ_Foxlink_03.1 2011_nego meeting@MACH 5" xfId="28071"/>
    <cellStyle name="好_River EE BOM_Foxlink_Shadow RFQ NREUni BOM_12032009_Bristol UniBom_Foxlink_02082011 RevA" xfId="28072"/>
    <cellStyle name="好_River EE BOM_Foxlink_Shadow RFQ NREUni BOM_12032009_Leopard UniBom_Foxlink_12092010 RevD-jen" xfId="28073"/>
    <cellStyle name="好_River EE BOM_Foxlink_Shadow RFQ NREUni BOM_12032009_Wedge_ME_BOM-v00-11v0630" xfId="28074"/>
    <cellStyle name="差_jupite r設備&amp;治工具LIST (總)_Dallas flow chart&amp;設備&amp;治工具清單(12-8 A0)_Jackson 效益分析 testing update_16th Jan111_Jackson 效益分析 (2-1 B0 上系統)_Leopard Flowchart &amp; 產能評估" xfId="28075"/>
    <cellStyle name="好_River EE BOM_Foxlink_Shadow RFQ NREUni BOM_12032009_Wedge_ME_BOM-v00-11v0630 2" xfId="28076"/>
    <cellStyle name="差_Creak Pearl Reliability Fixture RFQ_2009 04 24_Pearl RFQ(Submittal)ver2_05_12_2009 _Leopard RFQ ME BOM Costs-0618_Bolt RFQ_Foxlink_03.1 2011 3 2" xfId="28077"/>
    <cellStyle name="好_River EE BOM_Foxlink_Shadow RFQ NREUni BOM_12032009_Wedge_ME_BOM-v00-11v0630 2 3" xfId="28078"/>
    <cellStyle name="好_River EE BOM_Jackson and Shadow test cost update _7th Feb 2010 (2)_Bristol MP quote update_08182011_MS" xfId="28079"/>
    <cellStyle name="壞_Creek EE BOM cost_20090425_Creek RFQ feedback 04_28_2009_FD Update_Leopard RFQ ME BOM Costs-0618_Bolt RFQ Proposal_Foxlink_ (Pricing Summary) 2 25 2011 4 3" xfId="28080"/>
    <cellStyle name="好_River EE BOM_Jackson and Shadow test cost update _7th Feb 2010 (2)_Bristol TC Estimate Update 08012011" xfId="28081"/>
    <cellStyle name="好_River EE BOM_Jackson and Shadow test cost update _7th Feb 2010 (2)_Bristol TC Estimate Update 08112011_internal working file" xfId="28082"/>
    <cellStyle name="好_River EE BOM_Jackson NRE Uni BOM_update _05072010 rev K_Leopard UniBom_Foxlink_12272010 RevF_shirley" xfId="28083"/>
    <cellStyle name="好_River EE BOM_LLS Project Tracker 0920" xfId="28084"/>
    <cellStyle name="好_River EE BOM_LLS Project Tracker 0920 3" xfId="28085"/>
    <cellStyle name="好_River EE BOM_LLS Project Tracker internal 1108" xfId="28086"/>
    <cellStyle name="好_River EE BOM_Oslo Quark Certification 20100312" xfId="28087"/>
    <cellStyle name="好_River EE BOM_Oslo Quark Certification 20100312_Leopard UniBom_Foxlink_12092010 RevD-jen" xfId="28088"/>
    <cellStyle name="好_River EE BOM_Oslo Quark Certification 20100312_Leopard UniBom_Foxlink_12272010 RevF_shirley" xfId="28089"/>
    <cellStyle name="好_River EE BOM_Xl0000000_Bolt RFQ_Foxlink_03.1 2011" xfId="28090"/>
    <cellStyle name="好_River EE BOM_Squirrel UniBom-06.23.2010_update_internal 2" xfId="28091"/>
    <cellStyle name="好_River EE BOM_Xl0000000_Bolt RFQ_Foxlink_03.1 2011 2 2" xfId="28092"/>
    <cellStyle name="好_River EE BOM_Squirrel UniBom-06.23.2010_update_internal 2 2 2" xfId="28093"/>
    <cellStyle name="好_River EE BOM_Xl0000000_Bolt RFQ_Foxlink_03.1 2011 2 3" xfId="28094"/>
    <cellStyle name="好_River EE BOM_Squirrel UniBom-06.23.2010_update_internal 2 2 3" xfId="28095"/>
    <cellStyle name="好_River EE BOM_Xl0000000_Bolt RFQ_Foxlink_03.1 2011 3" xfId="28096"/>
    <cellStyle name="好_River EE BOM_Squirrel UniBom-06.23.2010_update_internal 2 3" xfId="28097"/>
    <cellStyle name="好_River EE BOM_Squirrel UniBom-06.23.2010_update_internal 3" xfId="28098"/>
    <cellStyle name="好_River EE BOM_Squirrel UniBom-06.23.2010_update_internal 3 2" xfId="28099"/>
    <cellStyle name="好_River EE BOM_Squirrel UniBom-06.23.2010_update_internal 3 3" xfId="28100"/>
    <cellStyle name="好_River EE BOM_Squirrel UniBom-06.23.2010_update_internal 4" xfId="28101"/>
    <cellStyle name="好_River EE BOM_Squirrel UniBom-06.23.2010_update_internal 5" xfId="28102"/>
    <cellStyle name="差_Squirrel UniBom-06.23.2010_update_internal_Bolt RFQ_Foxlink_03.1 2011 4" xfId="28103"/>
    <cellStyle name="好_River EE BOM_Squirrel UniBom-06.23.2010_update_internal_Bolt RFQ Proposal_Foxlink_ (Pricing Summary) 2 25 2011" xfId="28104"/>
    <cellStyle name="好_River EE BOM_Squirrel UniBom-06.23.2010_update_internal_Bolt RFQ Proposal_Foxlink_ (Pricing Summary) 2 25 2011 2" xfId="28105"/>
    <cellStyle name="好_River EE BOM_Squirrel UniBom-06.23.2010_update_internal_Bolt RFQ Proposal_Foxlink_ (Pricing Summary) 2 25 2011 2 2" xfId="28106"/>
    <cellStyle name="好_River EE BOM_Squirrel UniBom-06.23.2010_update_internal_Bolt RFQ Proposal_Foxlink_ (Pricing Summary) 2 25 2011 2 2 3" xfId="28107"/>
    <cellStyle name="差_dallas產能評估_flow chart 2009.12.12_Jackson 效益分析 (2-1 B0 上系統)_Leopard Flowchart &amp; 產能評估" xfId="28108"/>
    <cellStyle name="好_River EE BOM_Squirrel UniBom-06.23.2010_update_internal_Bolt RFQ Proposal_Foxlink_ (Pricing Summary) 2 25 2011 4" xfId="28109"/>
    <cellStyle name="好_River EE BOM_Squirrel UniBom-06.23.2010_update_internal_Bolt RFQ Proposal_Foxlink_ (Pricing Summary) 2 25 2011 4 2" xfId="28110"/>
    <cellStyle name="好_River EE BOM_Squirrel UniBom-06.23.2010_update_internal_Bolt RFQ Proposal_Foxlink_ (Pricing Summary) 2 25 2011 5" xfId="28111"/>
    <cellStyle name="好_River EE BOM_Squirrel UniBom-06.23.2010_update_internal_Bolt RFQ Proposal_Foxlink_ (Pricing Summary) 2 25 2011 6" xfId="28112"/>
    <cellStyle name="好_River EE BOM_Squirrel UniBom-06.23.2010_update_internal_Bolt RFQ Proposal_Foxlink_ (Pricing Summary) 2 25 2011 7" xfId="28113"/>
    <cellStyle name="差_治具工程課2009年KPI_KPI 1006 3 4" xfId="28114"/>
    <cellStyle name="好_River EE BOM_Squirrel UniBom-06.23.2010_update_internal_Bolt RFQ_Foxlink_03.1 2011" xfId="28115"/>
    <cellStyle name="好_River EE BOM_Squirrel UniBom-06.23.2010_update_internal_Bolt RFQ_Foxlink_03.1 2011 3" xfId="28116"/>
    <cellStyle name="好_River EE BOM_Squirrel UniBom-06.23.2010_update_internal_Bolt RFQ_Foxlink_03.1 2011_nego meeting@MACH 2" xfId="28117"/>
    <cellStyle name="好_River EE BOM_Squirrel UniBom-06.23.2010_update_internal_Bolt RFQ_Foxlink_03.1 2011_nego meeting@MACH 2 2" xfId="28118"/>
    <cellStyle name="好_River EE BOM_Squirrel UniBom-06.23.2010_update_internal_Bolt RFQ_Foxlink_03.1 2011_nego meeting@MACH 3" xfId="28119"/>
    <cellStyle name="好_River EE BOM_Squirrel UniBom-06.23.2010_update_internal_Bolt RFQ_Foxlink_03.1 2011_nego meeting@MACH 4" xfId="28120"/>
    <cellStyle name="好_River EE BOM_Squirrel UniBom-06.23.2010_update_internal_Bolt RFQ_Foxlink_03.1 2011_nego meeting@MACH 5" xfId="28121"/>
    <cellStyle name="好_River EE BOM_Stream Package Quotation_20090311 2" xfId="28122"/>
    <cellStyle name="差_Xl0000002_Leopard_UniBOM_ME_0602_Bolt RFQ Proposal_Foxlink_ (Pricing Summary) 2 25 2011 4 2" xfId="28123"/>
    <cellStyle name="差_Creak Pearl Reliability Fixture RFQ_2009 04 24_Creek RFQ feedback 04_28_2009_FD Update_Leopard UniBom_Foxlink_12092010 RevD-jen" xfId="28124"/>
    <cellStyle name="好_River EE BOM_Wedge_ME_BOM-v00-11v0630" xfId="28125"/>
    <cellStyle name="好_River EE BOM_Wedge_ME_BOM-v00-11v0630 2" xfId="28126"/>
    <cellStyle name="好_River EE BOM_Wedge_ME_BOM-v00-11v0630 2 3" xfId="28127"/>
    <cellStyle name="好_River EE BOM_Wedge_ME_BOM-v00-11v0715" xfId="28128"/>
    <cellStyle name="差_Creek RFQ feedback 04_28_2009_FD Update_Leopard UniBom_Foxlink_6 21 2010-ME_nego_Bolt RFQ Proposal_Foxlink_ (Pricing Summary) 2 25 2011 5 3" xfId="28129"/>
    <cellStyle name="好_River EE BOM_Xl0000000 3" xfId="28130"/>
    <cellStyle name="好_River EE BOM_Xl0000000 3 2" xfId="28131"/>
    <cellStyle name="差_Creak Pearl Reliability Fixture RFQ_2009 04 24_Leopard_UniBOM_ME_0602-1_Bolt RFQ Proposal_Foxlink_ (Pricing Summary) 2 25 2011 5 2" xfId="28132"/>
    <cellStyle name="好_River EE BOM_Xl0000000 4" xfId="28133"/>
    <cellStyle name="好_River EE BOM_Xl0000000_Bolt RFQ Proposal_Foxlink_ (Pricing Summary) 2 25 2011 2" xfId="28134"/>
    <cellStyle name="差_治具工程課2009年KPI 5 4" xfId="28135"/>
    <cellStyle name="好_River EE BOM_Xl0000000_Bolt RFQ Proposal_Foxlink_ (Pricing Summary) 2 25 2011 2 2" xfId="28136"/>
    <cellStyle name="好_River EE BOM_Xl0000000_Bolt RFQ Proposal_Foxlink_ (Pricing Summary) 2 25 2011 2 2 2" xfId="28137"/>
    <cellStyle name="好_River EE BOM_Xl0000000_Bolt RFQ Proposal_Foxlink_ (Pricing Summary) 2 25 2011 2 2 3" xfId="28138"/>
    <cellStyle name="好_River EE BOM_Xl0000000_Bolt RFQ Proposal_Foxlink_ (Pricing Summary) 2 25 2011 2 3" xfId="28139"/>
    <cellStyle name="好_River EE BOM_Xl0000000_Bolt RFQ Proposal_Foxlink_ (Pricing Summary) 2 25 2011 2 4" xfId="28140"/>
    <cellStyle name="好_River EE BOM_Xl0000000_Bolt RFQ_Foxlink_03.1 2011 3 2" xfId="28141"/>
    <cellStyle name="好_River EE BOM_Xl0000000_Bolt RFQ_Foxlink_03.1 2011 3 3" xfId="28142"/>
    <cellStyle name="好_River EE BOM_Xl0000000_Bolt RFQ_Foxlink_03.1 2011 5" xfId="28143"/>
    <cellStyle name="好_治具工程課2009年KPI 2" xfId="28144"/>
    <cellStyle name="好_River EE BOM_Xl0000000_Bolt RFQ_Foxlink_03.1 2011_nego meeting@MACH" xfId="28145"/>
    <cellStyle name="好_River EE BOM_Xl0000002_Leopard UniBom_Foxlink_6 21 2010-ME_nego_Bolt RFQ Proposal_Foxlink_ (Pricing Summary) 2 25 2011 2 2 2" xfId="28146"/>
    <cellStyle name="好_治具工程課2009年KPI 2 2" xfId="28147"/>
    <cellStyle name="好_River EE BOM_Xl0000000_Bolt RFQ_Foxlink_03.1 2011_nego meeting@MACH 2" xfId="28148"/>
    <cellStyle name="好_治具工程課2009年KPI 2 2 2" xfId="28149"/>
    <cellStyle name="好_River EE BOM_Xl0000000_Bolt RFQ_Foxlink_03.1 2011_nego meeting@MACH 2 2" xfId="28150"/>
    <cellStyle name="好_River EE BOM_Xl0000002_Leopard RFQ ME BOM Costs-0618_Bolt RFQ Proposal_Foxlink_ (Pricing Summary) 2 25 2011 6" xfId="28151"/>
    <cellStyle name="好_River EE BOM_Xl0000000_Bristol UniBom_Foxlink_02082011 RevA" xfId="28152"/>
    <cellStyle name="好_River EE BOM_Xl0000000_Foxlink_Shadow RFQ NREUni BOM_12032009_Bolt RFQ Proposal_Foxlink_ (Pricing Summary) 2 25 2011" xfId="28153"/>
    <cellStyle name="好_River EE BOM_Xl0000000_Foxlink_Shadow RFQ NREUni BOM_12032009_Bolt RFQ Proposal_Foxlink_ (Pricing Summary) 2 25 2011 2" xfId="28154"/>
    <cellStyle name="好_River EE BOM_Xl0000000_Foxlink_Shadow RFQ NREUni BOM_12032009_Bolt RFQ Proposal_Foxlink_ (Pricing Summary) 2 25 2011 2 2" xfId="28155"/>
    <cellStyle name="差_dallas產能評估_Dallas flow chart&amp;設備&amp;治工具清單(12-8 A0)_Jackson 效益分析 testing update_16th Jan111_Jackson 效益分析 (2-1 B0 上系統)" xfId="28156"/>
    <cellStyle name="好_River EE BOM_Xl0000000_Foxlink_Shadow RFQ NREUni BOM_12032009_Bolt RFQ Proposal_Foxlink_ (Pricing Summary) 2 25 2011 2 2 2" xfId="28157"/>
    <cellStyle name="好_River EE BOM_Xl0000000_Foxlink_Shadow RFQ NREUni BOM_12032009_Bolt RFQ Proposal_Foxlink_ (Pricing Summary) 2 25 2011 2 3" xfId="28158"/>
    <cellStyle name="好_River EE BOM_Xl0000000_Foxlink_Shadow RFQ NREUni BOM_12032009_Bolt RFQ Proposal_Foxlink_ (Pricing Summary) 2 25 2011 3 2" xfId="28159"/>
    <cellStyle name="好_River EE BOM_Xl0000000_Foxlink_Shadow RFQ NREUni BOM_12032009_Bolt RFQ Proposal_Foxlink_ (Pricing Summary) 2 25 2011 4" xfId="28160"/>
    <cellStyle name="好_River EE BOM_Xl0000000_Foxlink_Shadow RFQ NREUni BOM_12032009_Bolt RFQ Proposal_Foxlink_ (Pricing Summary) 2 25 2011 4 3" xfId="28161"/>
    <cellStyle name="差_Xl0000000_Leopard_UniBOM_ME_0602-1_Bolt RFQ Proposal_Foxlink_ (Pricing Summary) 2 25 2011 7" xfId="28162"/>
    <cellStyle name="好_River EE BOM_Xl0000000_Foxlink_Shadow RFQ NREUni BOM_12032009_Bolt RFQ_Foxlink_03.1 2011 3" xfId="28163"/>
    <cellStyle name="好_River EE BOM_Xl0000000_Foxlink_Shadow RFQ NREUni BOM_12032009_Bolt RFQ_Foxlink_03.1 2011 3 2" xfId="28164"/>
    <cellStyle name="好_River EE BOM_Xl0000000_Foxlink_Shadow RFQ NREUni BOM_12032009_Bolt RFQ_Foxlink_03.1 2011 3 3" xfId="28165"/>
    <cellStyle name="好_River EE BOM_Xl0000000_Foxlink_Shadow RFQ NREUni BOM_12032009_Bolt RFQ_Foxlink_03.1 2011 5" xfId="28166"/>
    <cellStyle name="好_River EE BOM_Xl0000000_Foxlink_Shadow RFQ NREUni BOM_12032009_Bolt RFQ_Foxlink_03.1 2011_nego meeting@MACH 2 2" xfId="28167"/>
    <cellStyle name="好_River EE BOM_Xl0000000_Foxlink_Shadow RFQ NREUni BOM_12032009_Bolt RFQ_Foxlink_03.1 2011_nego meeting@MACH 3 2" xfId="28168"/>
    <cellStyle name="好_River EE BOM_Xl0000000_Foxlink_Shadow RFQ NREUni BOM_12032009_Bolt RFQ_Foxlink_03.1 2011_nego meeting@MACH 4" xfId="28169"/>
    <cellStyle name="好_River EE BOM_Xl0000000_Jackson and Shadow BOM cost_mainfile_2010 0324 rev.1" xfId="28170"/>
    <cellStyle name="好_River EE BOM_Xl0000000_Jackson and Shadow BOM cost_mainfile_2010 0324 rev.1_Bristol UniBom_Foxlink_02082011 RevA" xfId="28171"/>
    <cellStyle name="好_River EE BOM_Xl0000000_Jackson and Shadow BOM cost_mainfile_2010 0324 rev.1_Leopard UniBom_Foxlink_12092010 RevD-jen" xfId="28172"/>
    <cellStyle name="好_River EE BOM_Xl0000000_Jackson NRE Uni BOM_update _05072010 rev K" xfId="28173"/>
    <cellStyle name="好_River EE BOM_Xl0000000_Lemur RFQ ME BOM Costs-0623" xfId="28174"/>
    <cellStyle name="差_Xl0000002_Leopard_UniBOM_ME_0603-2_Bolt RFQ_Foxlink_03.1 2011 2 3" xfId="28175"/>
    <cellStyle name="好_River EE BOM_Xl0000000_Leopard Lemur Squirrel UniBom-06.22.2010_EE cost _update_internal 2" xfId="28176"/>
    <cellStyle name="好_River EE BOM_Xl0000000_Leopard Lemur Squirrel UniBom-06.22.2010_EE cost _update_internal 2 2" xfId="28177"/>
    <cellStyle name="好_River EE BOM_Xl0000002 2" xfId="28178"/>
    <cellStyle name="好_River EE BOM_Xl0000000_Leopard Lemur Squirrel UniBom-06.22.2010_EE cost _update_internal 2 4" xfId="28179"/>
    <cellStyle name="好_River EE BOM_Xl0000000_Leopard Lemur Squirrel UniBom-06.22.2010_EE cost _update_internal 3" xfId="28180"/>
    <cellStyle name="好_River EE BOM_Xl0000000_Leopard Lemur Squirrel UniBom-06.22.2010_EE cost _update_internal 3 3" xfId="28181"/>
    <cellStyle name="好_River EE BOM_Xl0000000_Leopard Lemur Squirrel UniBom-06.22.2010_EE cost _update_internal_Bolt RFQ Proposal_Foxlink_ (Pricing Summary) 2 25 2011 2 4" xfId="28182"/>
    <cellStyle name="差_Creak Pearl Reliability Fixture RFQ_2009 04 24_Creek RFQ feedback 04_28_2009_FD Update_Foxlink_Shadow RFQ NREUni BOM_12032009_Bolt RFQ Proposal_Foxlink_ (Pricing Summary) 2 25 2011 3 2" xfId="28183"/>
    <cellStyle name="好_River EE BOM_Xl0000000_Leopard Lemur Squirrel UniBom-06.22.2010_EE cost _update_internal_Bolt RFQ Proposal_Foxlink_ (Pricing Summary) 2 25 2011 4 3" xfId="28184"/>
    <cellStyle name="好_River EE BOM_Xl0000000_Leopard Lemur Squirrel UniBom-06.22.2010_EE cost _update_internal_Bolt RFQ Proposal_Foxlink_ (Pricing Summary) 2 25 2011 5" xfId="28185"/>
    <cellStyle name="好_River EE BOM_Xl0000000_Leopard Lemur Squirrel UniBom-06.22.2010_EE cost _update_internal_Bolt RFQ Proposal_Foxlink_ (Pricing Summary) 2 25 2011 5 2" xfId="28186"/>
    <cellStyle name="好_River EE BOM_Xl0000000_Leopard Lemur Squirrel UniBom-06.22.2010_EE cost _update_internal_Bolt RFQ Proposal_Foxlink_ (Pricing Summary) 2 25 2011 6" xfId="28187"/>
    <cellStyle name="好_River EE BOM_Xl0000000_Leopard Lemur Squirrel UniBom-06.22.2010_EE cost _update_internal_Bolt RFQ Proposal_Foxlink_ (Pricing Summary) 2 25 2011 7" xfId="28188"/>
    <cellStyle name="好_River EE BOM_Xl0000000_Leopard Lemur Squirrel UniBom-06.22.2010_EE cost _update_internal_Bolt RFQ_Foxlink_03.1 2011 2" xfId="28189"/>
    <cellStyle name="好_River EE BOM_Xl0000000_Leopard Lemur Squirrel UniBom-06.22.2010_EE cost _update_internal_Bolt RFQ_Foxlink_03.1 2011 2 2" xfId="28190"/>
    <cellStyle name="差_Creak Pearl Reliability Fixture RFQ_2009 04 24_Creek RFQ feedback 04_28_2009_FD Update_Leopard_UniBOM_ME_0602_Bolt RFQ_Foxlink_03.1 2011 3" xfId="28191"/>
    <cellStyle name="好_River EE BOM_Xl0000000_Leopard Lemur Squirrel UniBom-06.22.2010_EE cost _update_internal_Bolt RFQ_Foxlink_03.1 2011 2 3" xfId="28192"/>
    <cellStyle name="差_Creak Pearl Reliability Fixture RFQ_2009 04 24_Creek RFQ feedback 04_28_2009_FD Update_Leopard_UniBOM_ME_0602_Bolt RFQ_Foxlink_03.1 2011 4" xfId="28193"/>
    <cellStyle name="好_River EE BOM_Xl0000000_Leopard Lemur Squirrel UniBom-06.22.2010_EE cost _update_internal_Bolt RFQ_Foxlink_03.1 2011_nego meeting@MACH" xfId="28194"/>
    <cellStyle name="好_River EE BOM_Xl0000000_Leopard Lemur Squirrel UniBom-06.22.2010_EE cost _update_internal_Bolt RFQ_Foxlink_03.1 2011_nego meeting@MACH 2" xfId="28195"/>
    <cellStyle name="好_River EE BOM_Xl0000000_Leopard Lemur Squirrel UniBom-06.22.2010_EE cost _update_internal_Bolt RFQ_Foxlink_03.1 2011_nego meeting@MACH 3 3" xfId="28196"/>
    <cellStyle name="好_River EE BOM_Xl0000000_Leopard Lemur Squirrel UniBom-06.22.2010_EE cost _update_internal_Bolt RFQ_Foxlink_03.1 2011_nego meeting@MACH 5" xfId="28197"/>
    <cellStyle name="好_River EE BOM_Xl0000000_Leopard RFQ ME BOM Costs-0618" xfId="28198"/>
    <cellStyle name="好_River EE BOM_Xl0000000_Leopard RFQ ME BOM Costs-0623" xfId="28199"/>
    <cellStyle name="差_Creak Pearl Reliability Fixture RFQ_2009 04 24_Creek RFQ feedback 04_28_2009_FD Update_Leopard RFQ ME BOM Costs-0618-2 2 2" xfId="28200"/>
    <cellStyle name="好_River EE BOM_Xl0000000_Leopard RFQ ME BOM Costs-0618 3" xfId="28201"/>
    <cellStyle name="差_Creak Pearl Reliability Fixture RFQ_2009 04 24_Creek RFQ feedback 04_28_2009_FD Update_Leopard RFQ ME BOM Costs-0618-2 2 2 2" xfId="28202"/>
    <cellStyle name="好_River EE BOM_Xl0000000_Leopard RFQ ME BOM Costs-0618 3 2" xfId="28203"/>
    <cellStyle name="好_River EE BOM_Xl0000000_Leopard RFQ ME BOM Costs-0618_Bolt RFQ Proposal_Foxlink_ (Pricing Summary) 2 25 2011" xfId="28204"/>
    <cellStyle name="好_River EE BOM_Xl0000000_Leopard RFQ ME BOM Costs-0618_Bolt RFQ Proposal_Foxlink_ (Pricing Summary) 2 25 2011 2" xfId="28205"/>
    <cellStyle name="好_River EE BOM_Xl0000000_Leopard RFQ ME BOM Costs-0618_Bolt RFQ Proposal_Foxlink_ (Pricing Summary) 2 25 2011 2 2" xfId="28206"/>
    <cellStyle name="好_River EE BOM_Xl0000000_Leopard RFQ ME BOM Costs-0618_Bolt RFQ Proposal_Foxlink_ (Pricing Summary) 2 25 2011 2 2 2" xfId="28207"/>
    <cellStyle name="差_Creak Pearl Reliability Fixture RFQ_2009 04 24_Creek RFQ feedback 04_28_2009_FD Update_Bolt RFQ_Foxlink_03.1 2011_nego meeting@MACH" xfId="28208"/>
    <cellStyle name="好_River EE BOM_Xl0000000_Leopard RFQ ME BOM Costs-0618_Bolt RFQ Proposal_Foxlink_ (Pricing Summary) 2 25 2011 2 3" xfId="28209"/>
    <cellStyle name="好_River EE BOM_Xl0000000_Leopard RFQ ME BOM Costs-0618_Bolt RFQ Proposal_Foxlink_ (Pricing Summary) 2 25 2011 3" xfId="28210"/>
    <cellStyle name="好_River EE BOM_Xl0000000_Leopard RFQ ME BOM Costs-0618_Bolt RFQ Proposal_Foxlink_ (Pricing Summary) 2 25 2011 3 2" xfId="28211"/>
    <cellStyle name="好_River EE BOM_Xl0000000_Leopard RFQ ME BOM Costs-0618_Bolt RFQ Proposal_Foxlink_ (Pricing Summary) 2 25 2011 4" xfId="28212"/>
    <cellStyle name="好_River EE BOM_Xl0000000_Leopard RFQ ME BOM Costs-0618_Bolt RFQ Proposal_Foxlink_ (Pricing Summary) 2 25 2011 4 2" xfId="28213"/>
    <cellStyle name="差_效益分析&amp;產能評估_M1 SuedeFixtureEquipment Cost_A0_2010_10_15_Bolt RFQ Proposal_Foxlink_ (Pricing Summary) 2 25 2011 2 2" xfId="28214"/>
    <cellStyle name="好_River EE BOM_Xl0000000_Leopard RFQ ME BOM Costs-0618_Bolt RFQ Proposal_Foxlink_ (Pricing Summary) 2 25 2011 5 2" xfId="28215"/>
    <cellStyle name="差_效益分析&amp;產能評估_M1 SuedeFixtureEquipment Cost_A0_2010_10_15_Bolt RFQ Proposal_Foxlink_ (Pricing Summary) 2 25 2011 2 3" xfId="28216"/>
    <cellStyle name="好_River EE BOM_Xl0000000_Leopard RFQ ME BOM Costs-0618_Bolt RFQ Proposal_Foxlink_ (Pricing Summary) 2 25 2011 5 3" xfId="28217"/>
    <cellStyle name="差_Creek RFQ feedback 04_28_2009_FD Update_Leopard_UniBOM_ME_0531_Bolt RFQ_Foxlink_03.1 2011 3" xfId="28218"/>
    <cellStyle name="好_River EE BOM_Xl0000000_Leopard RFQ ME BOM Costs-0618_Bolt RFQ_Foxlink_03.1 2011 2 3" xfId="28219"/>
    <cellStyle name="好_River EE BOM_Xl0000000_Leopard RFQ ME BOM Costs-0618_Bolt RFQ_Foxlink_03.1 2011 3 2" xfId="28220"/>
    <cellStyle name="好_River EE BOM_Xl0000000_Leopard RFQ ME BOM Costs-0618_Bolt RFQ_Foxlink_03.1 2011 3 3" xfId="28221"/>
    <cellStyle name="差_Erie mouse 效益分析( 11-19 A1)_效益分析(總 12-28 Update)_Jackson 效益分析 (2-1 B0 上系統)" xfId="28222"/>
    <cellStyle name="好_River EE BOM_Xl0000000_Leopard RFQ ME BOM Costs-0618_Bolt RFQ_Foxlink_03.1 2011 4" xfId="28223"/>
    <cellStyle name="好_River EE BOM_Xl0000000_Leopard RFQ ME BOM Costs-0618_Bolt RFQ_Foxlink_03.1 2011 5" xfId="28224"/>
    <cellStyle name="差_HP Mouse 產能評估(上系統)_MS Bolt wireless mouse FixtureEquipment Cost_A5_2010_02_21 2" xfId="28225"/>
    <cellStyle name="好_River EE BOM_Xl0000000_Leopard RFQ ME BOM Costs-0618_Bolt RFQ_Foxlink_03.1 2011_nego meeting@MACH 2 2" xfId="28226"/>
    <cellStyle name="好_River EE BOM_Xl0000000_Leopard RFQ ME BOM Costs-0618_Bolt RFQ_Foxlink_03.1 2011_nego meeting@MACH 3" xfId="28227"/>
    <cellStyle name="差_HP Mouse 產能評估(上系統)_Erie 效益分析 (Update)_Flow Chart&amp;設備治工具清單 _Leopard效益分析08-17" xfId="28228"/>
    <cellStyle name="好_River EE BOM_Xl0000000_Leopard RFQ ME BOM Costs-0618_Bolt RFQ_Foxlink_03.1 2011_nego meeting@MACH 3 3" xfId="28229"/>
    <cellStyle name="好_River EE BOM_Xl0000000_Leopard RFQ ME BOM Costs-0618_Bolt RFQ_Foxlink_03.1 2011_nego meeting@MACH 4" xfId="28230"/>
    <cellStyle name="好_治具工程課2009年KPI_KPI 1006 6 2" xfId="28231"/>
    <cellStyle name="好_River EE BOM_Xl0000000_Leopard RFQ ME BOM Costs-0618_Bolt RFQ_Foxlink_03.1 2011_nego meeting@MACH 5" xfId="28232"/>
    <cellStyle name="好_River EE BOM_Xl0000000_Leopard RFQ ME BOM Costs-0618-2 2 2 2" xfId="28233"/>
    <cellStyle name="好_River EE BOM_Xl0000000_Leopard RFQ ME BOM Costs-0618-2 2 3" xfId="28234"/>
    <cellStyle name="差_F3   SMT設備明細_費用統計_Jackson 效益分析 (2-1 B0 上系統)_Leopard效益分析08-17" xfId="28235"/>
    <cellStyle name="好_River EE BOM_Xl0000000_Leopard RFQ ME BOM Costs-0618-2_Bolt RFQ Proposal_Foxlink_ (Pricing Summary) 2 25 2011 2" xfId="28236"/>
    <cellStyle name="好_River EE BOM_Xl0000000_Leopard RFQ ME BOM Costs-0618-2_Bolt RFQ Proposal_Foxlink_ (Pricing Summary) 2 25 2011 2 3" xfId="28237"/>
    <cellStyle name="好_River EE BOM_Xl0000000_Leopard RFQ ME BOM Costs-0618-2_Bolt RFQ Proposal_Foxlink_ (Pricing Summary) 2 25 2011 3 2" xfId="28238"/>
    <cellStyle name="好_River EE BOM_Xl0000000_Leopard RFQ ME BOM Costs-0618-2_Bolt RFQ Proposal_Foxlink_ (Pricing Summary) 2 25 2011 4" xfId="28239"/>
    <cellStyle name="好_River EE BOM_Xl0000000_Leopard RFQ ME BOM Costs-0618-2_Bolt RFQ Proposal_Foxlink_ (Pricing Summary) 2 25 2011 4 2" xfId="28240"/>
    <cellStyle name="好_River EE BOM_Xl0000000_Leopard RFQ ME BOM Costs-0618-2_Bolt RFQ Proposal_Foxlink_ (Pricing Summary) 2 25 2011 4 3" xfId="28241"/>
    <cellStyle name="好_River EE BOM_Xl0000000_Leopard RFQ ME BOM Costs-0618-2_Bolt RFQ Proposal_Foxlink_ (Pricing Summary) 2 25 2011 5" xfId="28242"/>
    <cellStyle name="好_River EE BOM_Xl0000002_Leopard_UniBOM_ME_0603-2_Bolt RFQ_Foxlink_03.1 2011_nego meeting@MACH 2 3" xfId="28243"/>
    <cellStyle name="好_River EE BOM_Xl0000000_Leopard RFQ ME BOM Costs-0618-2_Bolt RFQ_Foxlink_03.1 2011 2" xfId="28244"/>
    <cellStyle name="好_River EE BOM_Xl0000000_Leopard RFQ ME BOM Costs-0618-2_Bolt RFQ_Foxlink_03.1 2011 2 2" xfId="28245"/>
    <cellStyle name="好_River EE BOM_Xl0000000_Leopard RFQ ME BOM Costs-0618-2_Bolt RFQ_Foxlink_03.1 2011 2 3" xfId="28246"/>
    <cellStyle name="好_River EE BOM_Xl0000000_Leopard RFQ ME BOM Costs-0618-2_Bolt RFQ_Foxlink_03.1 2011 3" xfId="28247"/>
    <cellStyle name="好_River EE BOM_Xl0000000_Leopard RFQ ME BOM Costs-0618-2_Bolt RFQ_Foxlink_03.1 2011 3 3" xfId="28248"/>
    <cellStyle name="好_River EE BOM_Xl0000000_Leopard RFQ ME BOM Costs-0618-2_Bolt RFQ_Foxlink_03.1 2011_nego meeting@MACH" xfId="28249"/>
    <cellStyle name="好_River EE BOM_Xl0000000_Leopard RFQ ME BOM Costs-0618-2_Bolt RFQ_Foxlink_03.1 2011_nego meeting@MACH 2" xfId="28250"/>
    <cellStyle name="好_River EE BOM_Xl0000000_Leopard RFQ ME BOM Costs-0618-2_Bolt RFQ_Foxlink_03.1 2011_nego meeting@MACH 3" xfId="28251"/>
    <cellStyle name="好_River EE BOM_Xl0000000_Leopard RFQ ME BOM Costs-0618-2_Bolt RFQ_Foxlink_03.1 2011_nego meeting@MACH 3 2" xfId="28252"/>
    <cellStyle name="差_Creak Pearl Reliability Fixture RFQ_2009 04 24_Creek RFQ feedback 04_28_2009_FD Update_Leopard Lemur Squirrel UniBom-06.22.2010_EE cost _update_internal_Bolt RFQ_Foxlink_03.1 2011_nego meeting@MACH 2 3" xfId="28253"/>
    <cellStyle name="好_River EE BOM_Xl0000000_Leopard RFQ ME BOM Costs-0618-2_Bolt RFQ_Foxlink_03.1 2011_nego meeting@MACH 3 3" xfId="28254"/>
    <cellStyle name="好_River EE BOM_Xl0000000_Leopard RFQ ME BOM Costs-0618-2_Bolt RFQ_Foxlink_03.1 2011_nego meeting@MACH 4" xfId="28255"/>
    <cellStyle name="好_River EE BOM_Xl0000000_Leopard RFQ ME BOM Costs-0618-2_Bolt RFQ_Foxlink_03.1 2011_nego meeting@MACH 5" xfId="28256"/>
    <cellStyle name="好_River EE BOM_Xl0000000_Leopard UniBom_Foxlink_6 21 2010-ME_nego 2 2" xfId="28257"/>
    <cellStyle name="好_River EE BOM_Xl0000000_Leopard UniBom_Foxlink_6 21 2010-ME_nego 2 2 2" xfId="28258"/>
    <cellStyle name="好_River EE BOM_Xl0000000_Leopard UniBom_Foxlink_6 21 2010-ME_nego 2 3" xfId="28259"/>
    <cellStyle name="差_Xl0000002_Bolt RFQ Proposal_Foxlink_ (Pricing Summary) 2 25 2011 2 2" xfId="28260"/>
    <cellStyle name="好_River EE BOM_Xl0000000_Leopard UniBom_Foxlink_6 21 2010-ME_nego_Bolt RFQ Proposal_Foxlink_ (Pricing Summary) 2 25 2011" xfId="28261"/>
    <cellStyle name="差_HP Mouse 產能評估(上系統) 3 3" xfId="28262"/>
    <cellStyle name="好_River EE BOM_Xl0000000_Leopard UniBom_Foxlink_6 21 2010-ME_nego_Bolt RFQ Proposal_Foxlink_ (Pricing Summary) 2 25 2011 2 4" xfId="28263"/>
    <cellStyle name="好_River EE BOM_Xl0000000_Leopard UniBom_Foxlink_6 21 2010-ME_nego_Bolt RFQ Proposal_Foxlink_ (Pricing Summary) 2 25 2011 7" xfId="28264"/>
    <cellStyle name="好_River EE BOM_Xl0000000_Leopard UniBom_Foxlink_6 21 2010-ME_nego_Bolt RFQ_Foxlink_03.1 2011 2 3" xfId="28265"/>
    <cellStyle name="好_River EE BOM_Xl0000000_Leopard UniBom_Foxlink_6 21 2010-ME_nego_Bolt RFQ_Foxlink_03.1 2011 3" xfId="28266"/>
    <cellStyle name="好_River EE BOM_Xl0000000_Leopard UniBom_Foxlink_6 21 2010-ME_nego_Bolt RFQ_Foxlink_03.1 2011 3 2" xfId="28267"/>
    <cellStyle name="好_River EE BOM_Xl0000000_Leopard UniBom_Foxlink_6 21 2010-ME_nego_Bolt RFQ_Foxlink_03.1 2011 4" xfId="28268"/>
    <cellStyle name="好_River EE BOM_Xl0000000_Leopard UniBom_Foxlink_6 21 2010-ME_nego_Bolt RFQ_Foxlink_03.1 2011 5" xfId="28269"/>
    <cellStyle name="好_River EE BOM_Xl0000000_Leopard UniBom_Foxlink_6 21 2010-ME_nego_Bolt RFQ_Foxlink_03.1 2011_nego meeting@MACH 3 2" xfId="28270"/>
    <cellStyle name="好_River EE BOM_Xl0000000_Leopard UniBom_true cost_6.23.2010" xfId="28271"/>
    <cellStyle name="好_River EE BOM_Xl0000000_Leopard_UniBOM_ME_0531 2" xfId="28272"/>
    <cellStyle name="好_River EE BOM_Xl0000000_Leopard_UniBOM_ME_0531 2 2" xfId="28273"/>
    <cellStyle name="好_River EE BOM_Xl0000000_Leopard_UniBOM_ME_0531 2 3" xfId="28274"/>
    <cellStyle name="好_River EE BOM_Xl0000000_Leopard_UniBOM_ME_0531 3" xfId="28275"/>
    <cellStyle name="好_River EE BOM_Xl0000000_Leopard_UniBOM_ME_0531 3 3" xfId="28276"/>
    <cellStyle name="好_River EE BOM_Xl0000000_Leopard_UniBOM_ME_0531_Bolt RFQ Proposal_Foxlink_ (Pricing Summary) 2 25 2011" xfId="28277"/>
    <cellStyle name="好_River EE BOM_Xl0000000_Leopard_UniBOM_ME_0531_Bolt RFQ Proposal_Foxlink_ (Pricing Summary) 2 25 2011 2" xfId="28278"/>
    <cellStyle name="好_River EE BOM_Xl0000000_Leopard_UniBOM_ME_0531_Bolt RFQ Proposal_Foxlink_ (Pricing Summary) 2 25 2011 2 3" xfId="28279"/>
    <cellStyle name="好_River EE BOM_Xl0000000_Leopard_UniBOM_ME_0531_Bolt RFQ Proposal_Foxlink_ (Pricing Summary) 2 25 2011 3" xfId="28280"/>
    <cellStyle name="差_Creak Pearl Reliability Fixture RFQ_2009 04 24_Pearl RFQ(Submittal)ver2_05_12_2009 _Leopard UniBom-06 22 2010_update_internal" xfId="28281"/>
    <cellStyle name="好_River EE BOM_Xl0000000_Leopard_UniBOM_ME_0531_Bolt RFQ Proposal_Foxlink_ (Pricing Summary) 2 25 2011 3 2" xfId="28282"/>
    <cellStyle name="好_River EE BOM_Xl0000000_Leopard_UniBOM_ME_0531_Bolt RFQ Proposal_Foxlink_ (Pricing Summary) 2 25 2011 3 3" xfId="28283"/>
    <cellStyle name="好_River EE BOM_Xl0000000_Leopard_UniBOM_ME_0531_Bolt RFQ Proposal_Foxlink_ (Pricing Summary) 2 25 2011 4" xfId="28284"/>
    <cellStyle name="好_River EE BOM_Xl0000000_Leopard_UniBOM_ME_0531_Bolt RFQ Proposal_Foxlink_ (Pricing Summary) 2 25 2011 4 2" xfId="28285"/>
    <cellStyle name="好_River EE BOM_Xl0000000_Leopard_UniBOM_ME_0531_Bolt RFQ Proposal_Foxlink_ (Pricing Summary) 2 25 2011 5" xfId="28286"/>
    <cellStyle name="好_River EE BOM_Xl0000000_Leopard_UniBOM_ME_0531_Bolt RFQ Proposal_Foxlink_ (Pricing Summary) 2 25 2011 6" xfId="28287"/>
    <cellStyle name="好_River EE BOM_Xl0000000_Leopard_UniBOM_ME_0531_Bolt RFQ Proposal_Foxlink_ (Pricing Summary) 2 25 2011 7" xfId="28288"/>
    <cellStyle name="好_River EE BOM_Xl0000000_Leopard_UniBOM_ME_0531_Bolt RFQ_Foxlink_03.1 2011 2" xfId="28289"/>
    <cellStyle name="好_River EE BOM_Xl0000000_Leopard_UniBOM_ME_0531_Bolt RFQ_Foxlink_03.1 2011 4" xfId="28290"/>
    <cellStyle name="好_River EE BOM_Xl0000000_Leopard_UniBOM_ME_0531_Bolt RFQ_Foxlink_03.1 2011 5" xfId="28291"/>
    <cellStyle name="好_River EE BOM_Xl0000000_Leopard_UniBOM_ME_0531_Bolt RFQ_Foxlink_03.1 2011_nego meeting@MACH 2" xfId="28292"/>
    <cellStyle name="好_River EE BOM_Xl0000000_Leopard_UniBOM_ME_0531_Bolt RFQ_Foxlink_03.1 2011_nego meeting@MACH 2 3" xfId="28293"/>
    <cellStyle name="好_River EE BOM_Xl0000000_Leopard_UniBOM_ME_0531_Bolt RFQ_Foxlink_03.1 2011_nego meeting@MACH 3" xfId="28294"/>
    <cellStyle name="好_River EE BOM_Xl0000000_Leopard_UniBOM_ME_0531_Bolt RFQ_Foxlink_03.1 2011_nego meeting@MACH 4" xfId="28295"/>
    <cellStyle name="好_River EE BOM_Xl0000000_Leopard_UniBOM_ME_0602 2" xfId="28296"/>
    <cellStyle name="好_River EE BOM_Xl0000000_Leopard_UniBOM_ME_0602 2 3" xfId="28297"/>
    <cellStyle name="好_River EE BOM_Xl0000000_Leopard_UniBOM_ME_0602 2 4" xfId="28298"/>
    <cellStyle name="差_Creak Pearl Reliability Fixture RFQ_2009 04 24_Xl0000002_Squirrel UniBom-06.23.2010_update_internal_Bolt RFQ Proposal_Foxlink_ (Pricing Summary) 2 25 2011" xfId="28299"/>
    <cellStyle name="好_River EE BOM_Xl0000000_Leopard_UniBOM_ME_0602 3" xfId="28300"/>
    <cellStyle name="好_River EE BOM_Xl0000000_Leopard_UniBOM_ME_0602_Bolt RFQ Proposal_Foxlink_ (Pricing Summary) 2 25 2011" xfId="28301"/>
    <cellStyle name="好_River EE BOM_Xl0000000_Leopard_UniBOM_ME_0602_Bolt RFQ Proposal_Foxlink_ (Pricing Summary) 2 25 2011 2 3" xfId="28302"/>
    <cellStyle name="好_River EE BOM_Xl0000000_Leopard_UniBOM_ME_0602_Bolt RFQ Proposal_Foxlink_ (Pricing Summary) 2 25 2011 3" xfId="28303"/>
    <cellStyle name="好_River EE BOM_Xl0000000_Leopard_UniBOM_ME_0602_Bolt RFQ Proposal_Foxlink_ (Pricing Summary) 2 25 2011 3 2" xfId="28304"/>
    <cellStyle name="好_River EE BOM_Xl0000000_Leopard_UniBOM_ME_0602_Bolt RFQ Proposal_Foxlink_ (Pricing Summary) 2 25 2011 3 3" xfId="28305"/>
    <cellStyle name="好_River EE BOM_Xl0000000_Leopard_UniBOM_ME_0602_Bolt RFQ Proposal_Foxlink_ (Pricing Summary) 2 25 2011 4 2" xfId="28306"/>
    <cellStyle name="好_River EE BOM_Xl0000000_Leopard_UniBOM_ME_0602_Bolt RFQ Proposal_Foxlink_ (Pricing Summary) 2 25 2011 4 3" xfId="28307"/>
    <cellStyle name="差_Xl0000000_Jackson EE BOM " xfId="28308"/>
    <cellStyle name="好_River EE BOM_Xl0000000_Leopard_UniBOM_ME_0602_Bolt RFQ Proposal_Foxlink_ (Pricing Summary) 2 25 2011 5" xfId="28309"/>
    <cellStyle name="好_River EE BOM_Xl0000000_Leopard_UniBOM_ME_0602_Bolt RFQ Proposal_Foxlink_ (Pricing Summary) 2 25 2011 5 2" xfId="28310"/>
    <cellStyle name="好_River EE BOM_Xl0000000_Leopard_UniBOM_ME_0602_Bolt RFQ Proposal_Foxlink_ (Pricing Summary) 2 25 2011 5 3" xfId="28311"/>
    <cellStyle name="好_River EE BOM_Xl0000000_Leopard_UniBOM_ME_0602_Bolt RFQ_Foxlink_03.1 2011 2 2" xfId="28312"/>
    <cellStyle name="好_River EE BOM_Xl0000000_Leopard_UniBOM_ME_0602_Bolt RFQ_Foxlink_03.1 2011 3" xfId="28313"/>
    <cellStyle name="差_dallas產能評估_~5631336_Jackson 效益分析 (2-1 B0 上系統)" xfId="28314"/>
    <cellStyle name="好_River EE BOM_Xl0000000_Leopard_UniBOM_ME_0602_Bolt RFQ_Foxlink_03.1 2011 3 2" xfId="28315"/>
    <cellStyle name="好_River EE BOM_Xl0000000_Leopard_UniBOM_ME_0602_Bolt RFQ_Foxlink_03.1 2011 3 3" xfId="28316"/>
    <cellStyle name="好_River EE BOM_Xl0000000_Leopard_UniBOM_ME_0602_Bolt RFQ_Foxlink_03.1 2011 4" xfId="28317"/>
    <cellStyle name="好_River EE BOM_Xl0000000_Leopard_UniBOM_ME_0602_Bolt RFQ_Foxlink_03.1 2011 5" xfId="28318"/>
    <cellStyle name="好_River EE BOM_Xl0000000_Leopard_UniBOM_ME_0602_Bolt RFQ_Foxlink_03.1 2011_nego meeting@MACH 2 2" xfId="28319"/>
    <cellStyle name="差_Creak Pearl Reliability Fixture RFQ_2009 04 24_Xl0000002_Squirrel UniBom-06.23.2010_update_internal_Bolt RFQ Proposal_Foxlink_ (Pricing Summary) 2 25 2011 2 3" xfId="28320"/>
    <cellStyle name="好_River EE BOM_Xl0000000_Leopard_UniBOM_ME_0602-1 2 2 2" xfId="28321"/>
    <cellStyle name="差_Creak Pearl Reliability Fixture RFQ_2009 04 24_Xl0000002_Squirrel UniBom-06.23.2010_update_internal_Bolt RFQ Proposal_Foxlink_ (Pricing Summary) 2 25 2011 2 4" xfId="28322"/>
    <cellStyle name="好_River EE BOM_Xl0000000_Leopard_UniBOM_ME_0602-1 2 2 3" xfId="28323"/>
    <cellStyle name="好_River EE BOM_Xl0000000_Leopard_UniBOM_ME_0602-1 2 3" xfId="28324"/>
    <cellStyle name="好_River EE BOM_Xl0000000_Leopard_UniBOM_ME_0602-1 3" xfId="28325"/>
    <cellStyle name="好_River EE BOM_Xl0000000_Leopard_UniBOM_ME_0602-1 3 2" xfId="28326"/>
    <cellStyle name="好_River EE BOM_Xl0000000_Leopard_UniBOM_ME_0602-1 3 3" xfId="28327"/>
    <cellStyle name="好_River EE BOM_Xl0000000_Leopard_UniBOM_ME_0602-1_Bolt RFQ Proposal_Foxlink_ (Pricing Summary) 2 25 2011" xfId="28328"/>
    <cellStyle name="好_River EE BOM_Xl0000000_Leopard_UniBOM_ME_0602-1_Bolt RFQ Proposal_Foxlink_ (Pricing Summary) 2 25 2011 2 2" xfId="28329"/>
    <cellStyle name="好_River EE BOM_Xl0000000_Leopard_UniBOM_ME_0602-1_Bolt RFQ Proposal_Foxlink_ (Pricing Summary) 2 25 2011 2 2 2" xfId="28330"/>
    <cellStyle name="好_River EE BOM_Xl0000000_Leopard_UniBOM_ME_0602-1_Bolt RFQ Proposal_Foxlink_ (Pricing Summary) 2 25 2011 2 2 3" xfId="28331"/>
    <cellStyle name="好_River EE BOM_Xl0000000_Leopard_UniBOM_ME_0602-1_Bolt RFQ Proposal_Foxlink_ (Pricing Summary) 2 25 2011 2 3" xfId="28332"/>
    <cellStyle name="好_River EE BOM_Xl0000000_Leopard_UniBOM_ME_0602-1_Bolt RFQ Proposal_Foxlink_ (Pricing Summary) 2 25 2011 2 4" xfId="28333"/>
    <cellStyle name="好_River EE BOM_Xl0000000_Leopard_UniBOM_ME_0602-1_Bolt RFQ Proposal_Foxlink_ (Pricing Summary) 2 25 2011 3 2" xfId="28334"/>
    <cellStyle name="好_River EE BOM_Xl0000000_Leopard_UniBOM_ME_0602-1_Bolt RFQ Proposal_Foxlink_ (Pricing Summary) 2 25 2011 3 3" xfId="28335"/>
    <cellStyle name="差_HP  專案(設備&amp;治工具需夠買)update_M1 Bolt wireless mouse FixtureEquipment Cost_A2_2010_12_07 3 3" xfId="28336"/>
    <cellStyle name="好_River EE BOM_Xl0000000_Leopard_UniBOM_ME_0602-1_Bolt RFQ Proposal_Foxlink_ (Pricing Summary) 2 25 2011 4" xfId="28337"/>
    <cellStyle name="差_Xl0000000_Leopard_UniBOM_ME_0603-2_Bolt RFQ_Foxlink_03.1 2011" xfId="28338"/>
    <cellStyle name="好_River EE BOM_Xl0000000_Leopard_UniBOM_ME_0602-1_Bolt RFQ Proposal_Foxlink_ (Pricing Summary) 2 25 2011 4 2" xfId="28339"/>
    <cellStyle name="好_River EE BOM_Xl0000000_Leopard_UniBOM_ME_0602-1_Bolt RFQ Proposal_Foxlink_ (Pricing Summary) 2 25 2011 4 3" xfId="28340"/>
    <cellStyle name="好_River EE BOM_Xl0000000_Leopard_UniBOM_ME_0602-1_Bolt RFQ Proposal_Foxlink_ (Pricing Summary) 2 25 2011 5" xfId="28341"/>
    <cellStyle name="好_River EE BOM_Xl0000000_Leopard_UniBOM_ME_0602-1_Bolt RFQ Proposal_Foxlink_ (Pricing Summary) 2 25 2011 5 2" xfId="28342"/>
    <cellStyle name="好_River EE BOM_Xl0000000_Leopard_UniBOM_ME_0602-1_Bolt RFQ_Foxlink_03.1 2011 3" xfId="28343"/>
    <cellStyle name="好_River EE BOM_Xl0000000_Leopard_UniBOM_ME_0602-1_Bolt RFQ_Foxlink_03.1 2011 3 2" xfId="28344"/>
    <cellStyle name="好_River EE BOM_Xl0000000_Leopard_UniBOM_ME_0602-1_Bolt RFQ_Foxlink_03.1 2011 5" xfId="28345"/>
    <cellStyle name="好_River EE BOM_Xl0000000_Leopard_UniBOM_ME_0602-1_Bolt RFQ_Foxlink_03.1 2011_nego meeting@MACH" xfId="28346"/>
    <cellStyle name="壞_Creek Assembly Fixture  Test Equipment RFQ_20090427_Xl0000002_Leopard RFQ ME BOM Costs-0618_Bolt RFQ Proposal_Foxlink_ (Pricing Summary) 2 25 2011 5 3" xfId="28347"/>
    <cellStyle name="好_River EE BOM_Xl0000000_Leopard_UniBOM_ME_0602-1_Bolt RFQ_Foxlink_03.1 2011_nego meeting@MACH 2" xfId="28348"/>
    <cellStyle name="好_River EE BOM_Xl0000000_Leopard_UniBOM_ME_0602-1_Bolt RFQ_Foxlink_03.1 2011_nego meeting@MACH 2 2" xfId="28349"/>
    <cellStyle name="好_River EE BOM_Xl0000000_Leopard_UniBOM_ME_0602-1_Bolt RFQ_Foxlink_03.1 2011_nego meeting@MACH 2 3" xfId="28350"/>
    <cellStyle name="好_River EE BOM_Xl0000000_Leopard_UniBOM_ME_0602-1_Bolt RFQ_Foxlink_03.1 2011_nego meeting@MACH 3 2" xfId="28351"/>
    <cellStyle name="好_River EE BOM_Xl0000000_Leopard_UniBOM_ME_0602-1_Bolt RFQ_Foxlink_03.1 2011_nego meeting@MACH 3 3" xfId="28352"/>
    <cellStyle name="好_River EE BOM_Xl0000000_Leopard_UniBOM_ME_0602-1_Bolt RFQ_Foxlink_03.1 2011_nego meeting@MACH 5" xfId="28353"/>
    <cellStyle name="差_Creak Pearl Reliability Fixture RFQ_2009 04 24_Foxlink_Shadow RFQ NREUni BOM_12032009_Bolt RFQ Proposal_Foxlink_ (Pricing Summary) 2 25 2011 6" xfId="28354"/>
    <cellStyle name="好_River EE BOM_Xl0000000_Leopard_UniBOM_ME_0603-2 2 2 2" xfId="28355"/>
    <cellStyle name="差_Creak Pearl Reliability Fixture RFQ_2009 04 24_Foxlink_Shadow RFQ NREUni BOM_12032009_Bolt RFQ Proposal_Foxlink_ (Pricing Summary) 2 25 2011 7" xfId="28356"/>
    <cellStyle name="差_Flow chart and Fixture(Jackson)_A1_Jackson 效益分析 (2-1 B0 上系統)" xfId="28357"/>
    <cellStyle name="好_River EE BOM_Xl0000000_Leopard_UniBOM_ME_0603-2 2 2 3" xfId="28358"/>
    <cellStyle name="好_River EE BOM_Xl0000000_Leopard_UniBOM_ME_0603-2 2 3" xfId="28359"/>
    <cellStyle name="好_River EE BOM_Xl0000000_Leopard_UniBOM_ME_0603-2 2 4" xfId="28360"/>
    <cellStyle name="好_River EE BOM_Xl0000000_Leopard_UniBOM_ME_0603-2 3" xfId="28361"/>
    <cellStyle name="好_River EE BOM_Xl0000000_Leopard_UniBOM_ME_0603-2 3 2" xfId="28362"/>
    <cellStyle name="好_River EE BOM_Xl0000000_Leopard_UniBOM_ME_0603-2 3 3" xfId="28363"/>
    <cellStyle name="好_效益分析&amp;產能評估_MS Bolt wireless mouse FixtureEquipment Cost_A5_2010_02_21_Bolt RFQ_Foxlink_03.1 2011_nego meeting@MACH 2 3" xfId="28364"/>
    <cellStyle name="好_River EE BOM_Xl0000000_Leopard_UniBOM_ME_0603-2_Bolt RFQ Proposal_Foxlink_ (Pricing Summary) 2 25 2011 2" xfId="28365"/>
    <cellStyle name="好_River EE BOM_Xl0000000_Leopard_UniBOM_ME_0603-2_Bolt RFQ Proposal_Foxlink_ (Pricing Summary) 2 25 2011 2 2 2" xfId="28366"/>
    <cellStyle name="好_River EE BOM_Xl0000000_Leopard_UniBOM_ME_0603-2_Bolt RFQ Proposal_Foxlink_ (Pricing Summary) 2 25 2011 2 3" xfId="28367"/>
    <cellStyle name="好_River EE BOM_Xl0000000_Leopard_UniBOM_ME_0603-2_Bolt RFQ Proposal_Foxlink_ (Pricing Summary) 2 25 2011 3 3" xfId="28368"/>
    <cellStyle name="差_Creak Pearl Reliability Fixture RFQ_2009 04 24_Creek  Pearl RFQ_May 12_Squirrel UniBom-06.23.2010_update_internal_Bolt RFQ Proposal_Foxlink_ (Pricing Summary) 2 25 2011 3 2" xfId="28369"/>
    <cellStyle name="好_River EE BOM_Xl0000000_Leopard_UniBOM_ME_0603-2_Bolt RFQ Proposal_Foxlink_ (Pricing Summary) 2 25 2011 4" xfId="28370"/>
    <cellStyle name="差_Creak Pearl Reliability Fixture RFQ_2009 04 24_Creek  Pearl RFQ_May 12_Squirrel UniBom-06.23.2010_update_internal_Bolt RFQ Proposal_Foxlink_ (Pricing Summary) 2 25 2011 3 3" xfId="28371"/>
    <cellStyle name="好_River EE BOM_Xl0000000_Leopard_UniBOM_ME_0603-2_Bolt RFQ Proposal_Foxlink_ (Pricing Summary) 2 25 2011 5" xfId="28372"/>
    <cellStyle name="差_Creak Pearl Reliability Fixture RFQ_2009 04 24_Creek  Pearl RFQ_May 12_Leopard_UniBOM_ME_0531 2 2 3" xfId="28373"/>
    <cellStyle name="壞_Creek Assembly Fixture  Test Equipment RFQ_20090427_Xl0000002_Leopard_UniBOM_ME_0602_Bolt RFQ_Foxlink_03.1 2011 5" xfId="28374"/>
    <cellStyle name="好_River EE BOM_Xl0000000_Leopard_UniBOM_ME_0603-2_Bolt RFQ Proposal_Foxlink_ (Pricing Summary) 2 25 2011 5 2" xfId="28375"/>
    <cellStyle name="好_River EE BOM_Xl0000000_Leopard_UniBOM_ME_0603-2_Bolt RFQ Proposal_Foxlink_ (Pricing Summary) 2 25 2011 5 3" xfId="28376"/>
    <cellStyle name="好_River EE BOM_Xl0000000_Leopard_UniBOM_ME_0603-2_Bolt RFQ Proposal_Foxlink_ (Pricing Summary) 2 25 2011 6" xfId="28377"/>
    <cellStyle name="好_River EE BOM_Xl0000000_Leopard_UniBOM_ME_0603-2_Bolt RFQ Proposal_Foxlink_ (Pricing Summary) 2 25 2011 7" xfId="28378"/>
    <cellStyle name="差_治具工程課2009年KPI_KPI 1006 4" xfId="28379"/>
    <cellStyle name="好_River EE BOM_Xl0000000_Leopard_UniBOM_ME_0603-2_Bolt RFQ_Foxlink_03.1 2011" xfId="28380"/>
    <cellStyle name="好_River EE BOM_Xl0000000_Leopard_UniBOM_ME_0603-2_Bolt RFQ_Foxlink_03.1 2011 2" xfId="28381"/>
    <cellStyle name="差_Xl0000000_Leopard_UniBOM_ME_0531 2 3" xfId="28382"/>
    <cellStyle name="好_River EE BOM_Xl0000000_Leopard_UniBOM_ME_0603-2_Bolt RFQ_Foxlink_03.1 2011 2 2" xfId="28383"/>
    <cellStyle name="好_River EE BOM_Xl0000000_Leopard_UniBOM_ME_0603-2_Bolt RFQ_Foxlink_03.1 2011 3" xfId="28384"/>
    <cellStyle name="差_Xl0000000_Leopard_UniBOM_ME_0531 3 3" xfId="28385"/>
    <cellStyle name="好_River EE BOM_Xl0000000_Leopard_UniBOM_ME_0603-2_Bolt RFQ_Foxlink_03.1 2011 3 2" xfId="28386"/>
    <cellStyle name="好_River EE BOM_Xl0000000_Leopard_UniBOM_ME_0603-2_Bolt RFQ_Foxlink_03.1 2011 3 3" xfId="28387"/>
    <cellStyle name="好_River EE BOM_Xl0000000_Leopard_UniBOM_ME_0603-2_Bolt RFQ_Foxlink_03.1 2011 4" xfId="28388"/>
    <cellStyle name="差_Creak Pearl Reliability Fixture RFQ_2009 04 24_Xl0000002_Foxlink_Shadow RFQ NREUni BOM_12032009_Bolt RFQ Proposal_Foxlink_ (Pricing Summary) 2 25 2011 2 2" xfId="28389"/>
    <cellStyle name="好_River EE BOM_Xl0000000_Leopard_UniBOM_ME_0603-2_Bolt RFQ_Foxlink_03.1 2011 5" xfId="28390"/>
    <cellStyle name="好_River EE BOM_Xl0000000_Leopard_UniBOM_ME_0603-2_Bolt RFQ_Foxlink_03.1 2011_nego meeting@MACH" xfId="28391"/>
    <cellStyle name="好_River EE BOM_Xl0000000_Leopard_UniBOM_ME_0603-2_Bolt RFQ_Foxlink_03.1 2011_nego meeting@MACH 2" xfId="28392"/>
    <cellStyle name="好_River EE BOM_Xl0000000_Leopard_UniBOM_ME_0603-2_Bolt RFQ_Foxlink_03.1 2011_nego meeting@MACH 3" xfId="28393"/>
    <cellStyle name="好_River EE BOM_Xl0000000_Leopard_UniBOM_ME_0603-2_Bolt RFQ_Foxlink_03.1 2011_nego meeting@MACH 3 2" xfId="28394"/>
    <cellStyle name="差_Creak Pearl Reliability Fixture RFQ_2009 04 24_Pearl RFQ(Submittal)ver2_05_12_2009 _Leopard Lemur Squirrel UniBom-06.22.2010_EE cost _update_internal_Bolt RFQ Proposal_Foxlink_ (Pricing Summary) 2 25 2011 2 2" xfId="28395"/>
    <cellStyle name="差_工作表 在 嫁動率7" xfId="28396"/>
    <cellStyle name="好_River EE BOM_Xl0000000_Squirrel RFQ ME BOM Costs-0623" xfId="28397"/>
    <cellStyle name="好_River EE BOM_Xl0000000_Squirrel RFQ ME BOM Costs-0623 2 2" xfId="28398"/>
    <cellStyle name="好_River EE BOM_Xl0000000_Squirrel RFQ ME BOM Costs-0623 3 2" xfId="28399"/>
    <cellStyle name="好_River EE BOM_Xl0000000_Squirrel RFQ ME BOM Costs-0623_Bolt RFQ Proposal_Foxlink_ (Pricing Summary) 2 25 2011" xfId="28400"/>
    <cellStyle name="好_River EE BOM_Xl0000000_Squirrel RFQ ME BOM Costs-0623_Bolt RFQ Proposal_Foxlink_ (Pricing Summary) 2 25 2011 2" xfId="28401"/>
    <cellStyle name="好_River EE BOM_Xl0000000_Squirrel RFQ ME BOM Costs-0623_Bolt RFQ Proposal_Foxlink_ (Pricing Summary) 2 25 2011 2 2" xfId="28402"/>
    <cellStyle name="好_River EE BOM_Xl0000000_Squirrel RFQ ME BOM Costs-0623_Bolt RFQ Proposal_Foxlink_ (Pricing Summary) 2 25 2011 2 2 2" xfId="28403"/>
    <cellStyle name="好_River EE BOM_Xl0000000_Squirrel RFQ ME BOM Costs-0623_Bolt RFQ Proposal_Foxlink_ (Pricing Summary) 2 25 2011 2 2 3" xfId="28404"/>
    <cellStyle name="好_River EE BOM_Xl0000000_Squirrel RFQ ME BOM Costs-0623_Bolt RFQ Proposal_Foxlink_ (Pricing Summary) 2 25 2011 2 3" xfId="28405"/>
    <cellStyle name="好_River EE BOM_Xl0000000_Squirrel RFQ ME BOM Costs-0623_Bolt RFQ Proposal_Foxlink_ (Pricing Summary) 2 25 2011 2 4" xfId="28406"/>
    <cellStyle name="好_River EE BOM_Xl0000000_Squirrel RFQ ME BOM Costs-0623_Bolt RFQ Proposal_Foxlink_ (Pricing Summary) 2 25 2011 3" xfId="28407"/>
    <cellStyle name="好_River EE BOM_Xl0000000_Squirrel RFQ ME BOM Costs-0623_Bolt RFQ Proposal_Foxlink_ (Pricing Summary) 2 25 2011 3 3" xfId="28408"/>
    <cellStyle name="好_River EE BOM_Xl0000000_Squirrel RFQ ME BOM Costs-0623_Bolt RFQ Proposal_Foxlink_ (Pricing Summary) 2 25 2011 4" xfId="28409"/>
    <cellStyle name="好_River EE BOM_Xl0000000_Squirrel RFQ ME BOM Costs-0623_Bolt RFQ Proposal_Foxlink_ (Pricing Summary) 2 25 2011 4 2" xfId="28410"/>
    <cellStyle name="好_River EE BOM_Xl0000000_Squirrel RFQ ME BOM Costs-0623_Bolt RFQ Proposal_Foxlink_ (Pricing Summary) 2 25 2011 4 3" xfId="28411"/>
    <cellStyle name="好_River EE BOM_Xl0000000_Squirrel RFQ ME BOM Costs-0623_Bolt RFQ Proposal_Foxlink_ (Pricing Summary) 2 25 2011 5" xfId="28412"/>
    <cellStyle name="好_River EE BOM_Xl0000000_Squirrel RFQ ME BOM Costs-0623_Bolt RFQ Proposal_Foxlink_ (Pricing Summary) 2 25 2011 5 2" xfId="28413"/>
    <cellStyle name="好_River EE BOM_Xl0000000_Squirrel RFQ ME BOM Costs-0623_Bolt RFQ Proposal_Foxlink_ (Pricing Summary) 2 25 2011 5 3" xfId="28414"/>
    <cellStyle name="好_River EE BOM_Xl0000000_Squirrel RFQ ME BOM Costs-0623_Bolt RFQ Proposal_Foxlink_ (Pricing Summary) 2 25 2011 6" xfId="28415"/>
    <cellStyle name="差_Creek RFQ feedback 04_28_2009_FD Update_Squirrel RFQ ME BOM Costs-0623_Bolt RFQ Proposal_Foxlink_ (Pricing Summary) 2 25 2011 2 2 2" xfId="28416"/>
    <cellStyle name="好_River EE BOM_Xl0000000_Squirrel RFQ ME BOM Costs-0623_Bolt RFQ Proposal_Foxlink_ (Pricing Summary) 2 25 2011 7" xfId="28417"/>
    <cellStyle name="好_River EE BOM_Xl0000000_Squirrel RFQ ME BOM Costs-0623_Bolt RFQ_Foxlink_03.1 2011" xfId="28418"/>
    <cellStyle name="差_Xl0000002_Squirrel UniBom-06.23.2010_update_internal 4" xfId="28419"/>
    <cellStyle name="好_River EE BOM_Xl0000000_Squirrel RFQ ME BOM Costs-0623_Bolt RFQ_Foxlink_03.1 2011 2" xfId="28420"/>
    <cellStyle name="差_Xl0000002_Squirrel UniBom-06.23.2010_update_internal 5" xfId="28421"/>
    <cellStyle name="好_River EE BOM_Xl0000000_Squirrel RFQ ME BOM Costs-0623_Bolt RFQ_Foxlink_03.1 2011 3" xfId="28422"/>
    <cellStyle name="好_River EE BOM_Xl0000000_Squirrel RFQ ME BOM Costs-0623_Bolt RFQ_Foxlink_03.1 2011 3 2" xfId="28423"/>
    <cellStyle name="好_River EE BOM_Xl0000000_Squirrel RFQ ME BOM Costs-0623_Bolt RFQ_Foxlink_03.1 2011 3 3" xfId="28424"/>
    <cellStyle name="好_River EE BOM_Xl0000002_Squirrel UniBom-06.23.2010_update_internal_Bolt RFQ_Foxlink_03.1 2011_nego meeting@MACH" xfId="28425"/>
    <cellStyle name="好_River EE BOM_Xl0000000_Squirrel RFQ ME BOM Costs-0623_Bolt RFQ_Foxlink_03.1 2011 4" xfId="28426"/>
    <cellStyle name="好_River EE BOM_Xl0000000_Squirrel RFQ ME BOM Costs-0623_Bolt RFQ_Foxlink_03.1 2011 5" xfId="28427"/>
    <cellStyle name="好_River EE BOM_Xl0000000_Squirrel RFQ ME BOM Costs-0623_Bolt RFQ_Foxlink_03.1 2011_nego meeting@MACH" xfId="28428"/>
    <cellStyle name="好_River EE BOM_Xl0000000_Squirrel RFQ ME BOM Costs-0623_Bolt RFQ_Foxlink_03.1 2011_nego meeting@MACH 2 3" xfId="28429"/>
    <cellStyle name="差_F3   SMT設備明細_MS Bolt wireless mouse FixtureEquipment Cost_A5_2010_02_21_Bolt RFQ Proposal_Foxlink_ (Pricing Summary) 2 25 2011 4" xfId="28430"/>
    <cellStyle name="好_River EE BOM_Xl0000000_Squirrel RFQ ME BOM Costs-0623_Bolt RFQ_Foxlink_03.1 2011_nego meeting@MACH 3 2" xfId="28431"/>
    <cellStyle name="差_Creak Pearl Reliability Fixture RFQ_2009 04 24_Pearl RFQ(Submittal)ver2_05_12_2009 _Leopard_UniBOM_ME_0531_Bolt RFQ Proposal_Foxlink_ (Pricing Summary) 2 25 2011 5" xfId="28432"/>
    <cellStyle name="差_Creak Pearl Reliability Fixture RFQ_2009 04 24_Squirrel UniBom-06.23.2010_update_internal 3" xfId="28433"/>
    <cellStyle name="差_F3   SMT設備明細_MS Bolt wireless mouse FixtureEquipment Cost_A5_2010_02_21_Bolt RFQ Proposal_Foxlink_ (Pricing Summary) 2 25 2011 5" xfId="28434"/>
    <cellStyle name="好_River EE BOM_Xl0000000_Squirrel RFQ ME BOM Costs-0623_Bolt RFQ_Foxlink_03.1 2011_nego meeting@MACH 3 3" xfId="28435"/>
    <cellStyle name="差_Creak Pearl Reliability Fixture RFQ_2009 04 24_Pearl RFQ(Submittal)ver2_05_12_2009 _Leopard_UniBOM_ME_0531_Bolt RFQ Proposal_Foxlink_ (Pricing Summary) 2 25 2011 6" xfId="28436"/>
    <cellStyle name="差_Creak Pearl Reliability Fixture RFQ_2009 04 24_Squirrel UniBom-06.23.2010_update_internal 4" xfId="28437"/>
    <cellStyle name="差_Xl0000000_Leopard UniBom_Foxlink_6 21 2010-ME_nego_Bolt RFQ_Foxlink_03.1 2011 2 2" xfId="28438"/>
    <cellStyle name="差_HP  專案(設備&amp;治工具需夠買)update_M1 Squirrel Capacity planFixtureEquipment Cost_A2_06192010_Bristol UniBom_Foxlink_02082011 RevA" xfId="28439"/>
    <cellStyle name="好_River EE BOM_Xl0000000_Squirrel RFQ ME BOM Costs-0623_Bolt RFQ_Foxlink_03.1 2011_nego meeting@MACH 5" xfId="28440"/>
    <cellStyle name="好_River EE BOM_Xl0000000_Squirrel UniBom_Foxlink_7.27.2010" xfId="28441"/>
    <cellStyle name="好_River EE BOM_Xl0000002_Squirrel UniBom-06.23.2010_update_internal_Bolt RFQ_Foxlink_03.1 2011 2" xfId="28442"/>
    <cellStyle name="好_River EE BOM_Xl0000000_Squirrel UniBom-06 23 2010_update_internal" xfId="28443"/>
    <cellStyle name="好_River EE BOM_Xl0000000_Squirrel UniBom-06.23.2010_update_internal" xfId="28444"/>
    <cellStyle name="好_River EE BOM_Xl0000000_Squirrel UniBom-06.23.2010_update_internal 2 2" xfId="28445"/>
    <cellStyle name="好_River EE BOM_Xl0000000_Squirrel UniBom-06.23.2010_update_internal 2 2 2" xfId="28446"/>
    <cellStyle name="壞_Creek Assembly Fixture  Test Equipment RFQ_20090427_Leopard_UniBOM_ME_0602-1_Bolt RFQ_Foxlink_03.1 2011 2 2" xfId="28447"/>
    <cellStyle name="好_River EE BOM_Xl0000000_Squirrel UniBom-06.23.2010_update_internal 2 2 3" xfId="28448"/>
    <cellStyle name="差_HP  專案(設備&amp;治工具需夠買)update_M1 Bolt wireless mouse FixtureEquipment Cost_A2_2010_12_07_Bolt RFQ Proposal_Foxlink_ (Pricing Summary) 2 25 2011 5 2" xfId="28449"/>
    <cellStyle name="好_River EE BOM_Xl0000000_Squirrel UniBom-06.23.2010_update_internal 2 3" xfId="28450"/>
    <cellStyle name="差_HP  專案(設備&amp;治工具需夠買)update_M1 Bolt wireless mouse FixtureEquipment Cost_A2_2010_12_07_Bolt RFQ Proposal_Foxlink_ (Pricing Summary) 2 25 2011 5 3" xfId="28451"/>
    <cellStyle name="好_River EE BOM_Xl0000000_Squirrel UniBom-06.23.2010_update_internal 2 4" xfId="28452"/>
    <cellStyle name="好_River EE BOM_Xl0000000_Squirrel UniBom-06.23.2010_update_internal 3 2" xfId="28453"/>
    <cellStyle name="好_River EE BOM_Xl0000000_Squirrel UniBom-06.23.2010_update_internal 3 3" xfId="28454"/>
    <cellStyle name="好_River EE BOM_Xl0000000_Squirrel UniBom-06.23.2010_update_internal 4" xfId="28455"/>
    <cellStyle name="好_River EE BOM_Xl0000000_Squirrel UniBom-06.23.2010_update_internal_Bolt RFQ Proposal_Foxlink_ (Pricing Summary) 2 25 2011 2 2" xfId="28456"/>
    <cellStyle name="好_River EE BOM_Xl0000000_Squirrel UniBom-06.23.2010_update_internal_Bolt RFQ Proposal_Foxlink_ (Pricing Summary) 2 25 2011 2 2 2" xfId="28457"/>
    <cellStyle name="好_River EE BOM_Xl0000000_Squirrel UniBom-06.23.2010_update_internal_Bolt RFQ Proposal_Foxlink_ (Pricing Summary) 2 25 2011 2 3" xfId="28458"/>
    <cellStyle name="好_River EE BOM_Xl0000000_Squirrel UniBom-06.23.2010_update_internal_Bolt RFQ Proposal_Foxlink_ (Pricing Summary) 2 25 2011 3 2" xfId="28459"/>
    <cellStyle name="好_River EE BOM_Xl0000000_Squirrel UniBom-06.23.2010_update_internal_Bolt RFQ Proposal_Foxlink_ (Pricing Summary) 2 25 2011 3 3" xfId="28460"/>
    <cellStyle name="好_River EE BOM_Xl0000000_Squirrel UniBom-06.23.2010_update_internal_Bolt RFQ Proposal_Foxlink_ (Pricing Summary) 2 25 2011 4 3" xfId="28461"/>
    <cellStyle name="好_River EE BOM_Xl0000000_Squirrel UniBom-06.23.2010_update_internal_Bolt RFQ Proposal_Foxlink_ (Pricing Summary) 2 25 2011 5" xfId="28462"/>
    <cellStyle name="好_River EE BOM_Xl0000000_Squirrel UniBom-06.23.2010_update_internal_Bolt RFQ Proposal_Foxlink_ (Pricing Summary) 2 25 2011 5 3" xfId="28463"/>
    <cellStyle name="好_River EE BOM_Xl0000000_Squirrel UniBom-06.23.2010_update_internal_Bolt RFQ Proposal_Foxlink_ (Pricing Summary) 2 25 2011 7" xfId="28464"/>
    <cellStyle name="差_效益分析&amp;產能評估_M1 SuedeFixtureEquipment Cost_A0_2010_10_15" xfId="28465"/>
    <cellStyle name="差_MB9月管審換線超時8d 2" xfId="28466"/>
    <cellStyle name="好_River EE BOM_Xl0000000_Squirrel UniBom-06.23.2010_update_internal_Bolt RFQ_Foxlink_03.1 2011 2" xfId="28467"/>
    <cellStyle name="好_River EE BOM_Xl0000000_Squirrel UniBom-06.23.2010_update_internal_Bolt RFQ_Foxlink_03.1 2011 2 3" xfId="28468"/>
    <cellStyle name="好_River EE BOM_Xl0000000_Squirrel UniBom-06.23.2010_update_internal_Bolt RFQ_Foxlink_03.1 2011 3" xfId="28469"/>
    <cellStyle name="好_River EE BOM_Xl0000000_Squirrel UniBom-06.23.2010_update_internal_Bolt RFQ_Foxlink_03.1 2011 3 2" xfId="28470"/>
    <cellStyle name="好_River EE BOM_Xl0000000_Squirrel UniBom-06.23.2010_update_internal_Bolt RFQ_Foxlink_03.1 2011 3 3" xfId="28471"/>
    <cellStyle name="好_River EE BOM_Xl0000000_Squirrel UniBom-06.23.2010_update_internal_Bolt RFQ_Foxlink_03.1 2011 5" xfId="28472"/>
    <cellStyle name="好_River EE BOM_Xl0000000_Squirrel UniBom-06.23.2010_update_internal_Bolt RFQ_Foxlink_03.1 2011_nego meeting@MACH 3 2" xfId="28473"/>
    <cellStyle name="差_pq_Flow Chart&amp;設備治工具清單 _Leopard Flowchart &amp; 產能評估" xfId="28474"/>
    <cellStyle name="好_River EE BOM_Xl0000000_Squirrel UniBom-06.23.2010_update_internal_Bolt RFQ_Foxlink_03.1 2011_nego meeting@MACH 5" xfId="28475"/>
    <cellStyle name="壞_Creek Assembly Fixture  Test Equipment RFQ_20090427_Xl0000002_Leopard RFQ ME BOM Costs-0618-2_Bolt RFQ Proposal_Foxlink_ (Pricing Summary) 2 25 2011 2" xfId="28476"/>
    <cellStyle name="差_Creek RFQ feedback 04_28_2009_FD Update_Leopard UniBom_Foxlink_6 21 2010-ME_nego_Bolt RFQ Proposal_Foxlink_ (Pricing Summary) 2 25 2011 7" xfId="28477"/>
    <cellStyle name="好_River EE BOM_Xl0000002" xfId="28478"/>
    <cellStyle name="差_Dolce build QA daily report_ 2011.2.21" xfId="28479"/>
    <cellStyle name="好_River EE BOM_Xl0000002 2 2" xfId="28480"/>
    <cellStyle name="好_River EE BOM_Xl0000002 3 2" xfId="28481"/>
    <cellStyle name="好_River EE BOM_Xl0000002 4" xfId="28482"/>
    <cellStyle name="好_River EE BOM_Xl0000002 5" xfId="28483"/>
    <cellStyle name="好_River EE BOM_Xl0000002_Bolt RFQ Proposal_Foxlink_ (Pricing Summary) 2 25 2011 2" xfId="28484"/>
    <cellStyle name="好_River EE BOM_Xl0000002_Bolt RFQ Proposal_Foxlink_ (Pricing Summary) 2 25 2011 2 2 2" xfId="28485"/>
    <cellStyle name="差_Foxlink_Shadow RFQ NREUni BOM_12032009_Leopard UniBom_Foxlink_12092010 RevD-jen" xfId="28486"/>
    <cellStyle name="好_River EE BOM_Xl0000002_Bolt RFQ Proposal_Foxlink_ (Pricing Summary) 2 25 2011 2 3" xfId="28487"/>
    <cellStyle name="好_River EE BOM_Xl0000002_Bolt RFQ Proposal_Foxlink_ (Pricing Summary) 2 25 2011 2 4" xfId="28488"/>
    <cellStyle name="差_HP Mouse 產能評估(上系統)_Erie 效益分析 (Update)_~1159284" xfId="28489"/>
    <cellStyle name="好_River EE BOM_Xl0000002_Bolt RFQ Proposal_Foxlink_ (Pricing Summary) 2 25 2011 3 2" xfId="28490"/>
    <cellStyle name="好_River EE BOM_Xl0000002_Bolt RFQ Proposal_Foxlink_ (Pricing Summary) 2 25 2011 4 3" xfId="28491"/>
    <cellStyle name="好_River EE BOM_Xl0000002_Bolt RFQ_Foxlink_03.1 2011 2" xfId="28492"/>
    <cellStyle name="好_River EE BOM_Xl0000002_Bolt RFQ_Foxlink_03.1 2011 2 2" xfId="28493"/>
    <cellStyle name="好_River EE BOM_Xl0000002_Bolt RFQ_Foxlink_03.1 2011 2 3" xfId="28494"/>
    <cellStyle name="好_River EE BOM_Xl0000002_Bolt RFQ_Foxlink_03.1 2011 3" xfId="28495"/>
    <cellStyle name="好_River EE BOM_Xl0000002_Bolt RFQ_Foxlink_03.1 2011 3 2" xfId="28496"/>
    <cellStyle name="差_HP  專案(設備&amp;治工具需夠買)update_Jackson 效益分析 (2-1 B0 上系統)_squirrel效益分析08-17" xfId="28497"/>
    <cellStyle name="好_River EE BOM_Xl0000002_Bolt RFQ_Foxlink_03.1 2011 3 3" xfId="28498"/>
    <cellStyle name="好_River EE BOM_Xl0000002_Bolt RFQ_Foxlink_03.1 2011 4" xfId="28499"/>
    <cellStyle name="好_River EE BOM_Xl0000002_Bolt RFQ_Foxlink_03.1 2011 5" xfId="28500"/>
    <cellStyle name="好_River EE BOM_Xl0000002_Bolt RFQ_Foxlink_03.1 2011_nego meeting@MACH 3 3" xfId="28501"/>
    <cellStyle name="好_River EE BOM_Xl0000002_Bolt RFQ_Foxlink_03.1 2011_nego meeting@MACH 5" xfId="28502"/>
    <cellStyle name="好_River EE BOM_Xl0000002_Bristol UniBom_Foxlink_02082011 RevA" xfId="28503"/>
    <cellStyle name="好_River EE BOM_Xl0000002_Foxlink_Shadow RFQ NREUni BOM_12032009 2" xfId="28504"/>
    <cellStyle name="好_River EE BOM_Xl0000002_Foxlink_Shadow RFQ NREUni BOM_12032009 2 2" xfId="28505"/>
    <cellStyle name="好_River EE BOM_Xl0000002_Foxlink_Shadow RFQ NREUni BOM_12032009 2 2 3" xfId="28506"/>
    <cellStyle name="好_River EE BOM_Xl0000002_Foxlink_Shadow RFQ NREUni BOM_12032009 2 3" xfId="28507"/>
    <cellStyle name="好_River EE BOM_Xl0000002_Foxlink_Shadow RFQ NREUni BOM_12032009 3 2" xfId="28508"/>
    <cellStyle name="差_Creak Pearl Reliability Fixture RFQ_2009 04 24_Creek RFQ feedback 04_28_2009_FD Update_Squirrel UniBom-06.23.2010_update_internal_Bolt RFQ Proposal_Foxlink_ (Pricing Summary) 2 25 2011 4 2" xfId="28509"/>
    <cellStyle name="好_River EE BOM_Xl0000002_Foxlink_Shadow RFQ NREUni BOM_12032009_Bolt RFQ Proposal_Foxlink_ (Pricing Summary) 2 25 2011 2 2 2" xfId="28510"/>
    <cellStyle name="差_Creak Pearl Reliability Fixture RFQ_2009 04 24_Creek RFQ feedback 04_28_2009_FD Update_Squirrel UniBom-06.23.2010_update_internal_Bolt RFQ Proposal_Foxlink_ (Pricing Summary) 2 25 2011 4 3" xfId="28511"/>
    <cellStyle name="好_River EE BOM_Xl0000002_Foxlink_Shadow RFQ NREUni BOM_12032009_Bolt RFQ Proposal_Foxlink_ (Pricing Summary) 2 25 2011 2 2 3" xfId="28512"/>
    <cellStyle name="差_Xl0000000_Leopard_UniBOM_ME_0531_Bolt RFQ_Foxlink_03.1 2011_nego meeting@MACH 3 2" xfId="28513"/>
    <cellStyle name="差_Creak Pearl Reliability Fixture RFQ_2009 04 24_Creek RFQ feedback 04_28_2009_FD Update_Squirrel UniBom-06.23.2010_update_internal_Bolt RFQ Proposal_Foxlink_ (Pricing Summary) 2 25 2011 6" xfId="28514"/>
    <cellStyle name="好_River EE BOM_Xl0000002_Foxlink_Shadow RFQ NREUni BOM_12032009_Bolt RFQ Proposal_Foxlink_ (Pricing Summary) 2 25 2011 2 4" xfId="28515"/>
    <cellStyle name="好_River EE BOM_Xl0000002_Foxlink_Shadow RFQ NREUni BOM_12032009_Bolt RFQ Proposal_Foxlink_ (Pricing Summary) 2 25 2011 3 2" xfId="28516"/>
    <cellStyle name="差_F3   SMT設備明細_jupite r設備&amp;治工具LIST (總)_Dallas flow chart&amp;設備&amp;治工具清單(12-8 A0)_Flow Chart&amp;設備治工具清單 _Jackson 效益分析 (2-1 B0 上系統)_squirrel效益分析08-17" xfId="28517"/>
    <cellStyle name="好_River EE BOM_Xl0000002_Foxlink_Shadow RFQ NREUni BOM_12032009_Bolt RFQ Proposal_Foxlink_ (Pricing Summary) 2 25 2011 3 3" xfId="28518"/>
    <cellStyle name="好_River EE BOM_Xl0000002_Foxlink_Shadow RFQ NREUni BOM_12032009_Bolt RFQ Proposal_Foxlink_ (Pricing Summary) 2 25 2011 4" xfId="28519"/>
    <cellStyle name="好_River EE BOM_Xl0000002_Foxlink_Shadow RFQ NREUni BOM_12032009_Bolt RFQ Proposal_Foxlink_ (Pricing Summary) 2 25 2011 4 2" xfId="28520"/>
    <cellStyle name="好_River EE BOM_Xl0000002_Foxlink_Shadow RFQ NREUni BOM_12032009_Bolt RFQ Proposal_Foxlink_ (Pricing Summary) 2 25 2011 4 3" xfId="28521"/>
    <cellStyle name="好_River EE BOM_Xl0000002_Foxlink_Shadow RFQ NREUni BOM_12032009_Bolt RFQ Proposal_Foxlink_ (Pricing Summary) 2 25 2011 5 2" xfId="28522"/>
    <cellStyle name="好_River EE BOM_Xl0000002_Foxlink_Shadow RFQ NREUni BOM_12032009_Bolt RFQ Proposal_Foxlink_ (Pricing Summary) 2 25 2011 5 3" xfId="28523"/>
    <cellStyle name="好_River EE BOM_Xl0000002_Foxlink_Shadow RFQ NREUni BOM_12032009_Bolt RFQ Proposal_Foxlink_ (Pricing Summary) 2 25 2011 6" xfId="28524"/>
    <cellStyle name="差_F3   SMT設備明細_效益分析_Dallas flow chart&amp;設備&amp;治工具清單(12-8 A0)_Jackson 效益分析 (2-1 B0 上系統)_Leopard Flowchart &amp; 產能評估" xfId="28525"/>
    <cellStyle name="好_River EE BOM_Xl0000002_Foxlink_Shadow RFQ NREUni BOM_12032009_Bolt RFQ_Foxlink_03.1 2011 2 2" xfId="28526"/>
    <cellStyle name="好_River EE BOM_Xl0000002_Foxlink_Shadow RFQ NREUni BOM_12032009_Bolt RFQ_Foxlink_03.1 2011 2 3" xfId="28527"/>
    <cellStyle name="好_River EE BOM_Xl0000002_Foxlink_Shadow RFQ NREUni BOM_12032009_Bolt RFQ_Foxlink_03.1 2011 3" xfId="28528"/>
    <cellStyle name="好_River EE BOM_Xl0000002_Foxlink_Shadow RFQ NREUni BOM_12032009_Bolt RFQ_Foxlink_03.1 2011 3 3" xfId="28529"/>
    <cellStyle name="好_River EE BOM_Xl0000002_Foxlink_Shadow RFQ NREUni BOM_12032009_Bolt RFQ_Foxlink_03.1 2011_nego meeting@MACH" xfId="28530"/>
    <cellStyle name="好_River EE BOM_Xl0000002_Foxlink_Shadow RFQ NREUni BOM_12032009_Bolt RFQ_Foxlink_03.1 2011_nego meeting@MACH 2" xfId="28531"/>
    <cellStyle name="好_River EE BOM_Xl0000002_Foxlink_Shadow RFQ NREUni BOM_12032009_Bolt RFQ_Foxlink_03.1 2011_nego meeting@MACH 5" xfId="28532"/>
    <cellStyle name="差_Creak Pearl Reliability Fixture RFQ_2009 04 24_Creek  Pearl RFQ_May 12_Squirrel UniBom-06.23.2010_update_internal_Bolt RFQ_Foxlink_03.1 2011_nego meeting@MACH" xfId="28533"/>
    <cellStyle name="好_River EE BOM_Xl0000002_Jackson and Shadow BOM cost_mainfile_2010 0324 rev.1_Leopard UniBom_Foxlink_12092010 RevD-jen" xfId="28534"/>
    <cellStyle name="差_Creak Pearl Reliability Fixture RFQ_2009 04 24_Pearl RFQ(Submittal)ver2_05_12_2009 _Foxlink_Shadow RFQ NREUni BOM_12032009_Bolt RFQ Proposal_Foxlink_ (Pricing Summary) 2 25 2011 4 2" xfId="28535"/>
    <cellStyle name="好_River EE BOM_Xl0000002_Jackson EE BOM " xfId="28536"/>
    <cellStyle name="好_River EE BOM_Xl0000002_Leopard Lemur Squirrel UniBom-06.22.2010_EE cost _update_internal" xfId="28537"/>
    <cellStyle name="好_River EE BOM_Xl0000002_Leopard Lemur Squirrel UniBom-06.22.2010_EE cost _update_internal 2" xfId="28538"/>
    <cellStyle name="好_River EE BOM_Xl0000002_Leopard Lemur Squirrel UniBom-06.22.2010_EE cost _update_internal 2 3" xfId="28539"/>
    <cellStyle name="好_River EE BOM_Xl0000002_Leopard Lemur Squirrel UniBom-06.22.2010_EE cost _update_internal 2 4" xfId="28540"/>
    <cellStyle name="差_Creak Pearl Reliability Fixture RFQ_2009 04 24_Creek RFQ feedback 04_28_2009_FD Update_Leopard RFQ ME BOM Costs-0618_Bolt RFQ Proposal_Foxlink_ (Pricing Summary) 2 25 2011 5" xfId="28541"/>
    <cellStyle name="好_River EE BOM_Xl0000002_Leopard Lemur Squirrel UniBom-06.22.2010_EE cost _update_internal_Bolt RFQ Proposal_Foxlink_ (Pricing Summary) 2 25 2011 2 2" xfId="28542"/>
    <cellStyle name="差_Creak Pearl Reliability Fixture RFQ_2009 04 24_Xl0000002_Lemur RFQ ME BOM Costs-0623" xfId="28543"/>
    <cellStyle name="差_Creak Pearl Reliability Fixture RFQ_2009 04 24_Creek RFQ feedback 04_28_2009_FD Update_Leopard RFQ ME BOM Costs-0618_Bolt RFQ Proposal_Foxlink_ (Pricing Summary) 2 25 2011 5 2" xfId="28544"/>
    <cellStyle name="好_River EE BOM_Xl0000002_Leopard Lemur Squirrel UniBom-06.22.2010_EE cost _update_internal_Bolt RFQ Proposal_Foxlink_ (Pricing Summary) 2 25 2011 2 2 2" xfId="28545"/>
    <cellStyle name="好_River EE BOM_Xl0000002_Leopard Lemur Squirrel UniBom-06.22.2010_EE cost _update_internal_Bolt RFQ_Foxlink_03.1 2011" xfId="28546"/>
    <cellStyle name="差_MS Bolt wireless mouse FixtureEquipment Cost_A5_2010_02_21 4" xfId="28547"/>
    <cellStyle name="好_River EE BOM_Xl0000002_Leopard Lemur Squirrel UniBom-06.22.2010_EE cost _update_internal_Bolt RFQ_Foxlink_03.1 2011 2 2" xfId="28548"/>
    <cellStyle name="差_Creak Pearl Reliability Fixture RFQ_2009 04 24_Creek  Pearl RFQ_May 12_Leopard Lemur Squirrel UniBom-06.22.2010_EE cost _update_internal_Bolt RFQ_Foxlink_03.1 2011 3 2" xfId="28549"/>
    <cellStyle name="好_River EE BOM_Xl0000002_Leopard Lemur Squirrel UniBom-06.22.2010_EE cost _update_internal_Bolt RFQ_Foxlink_03.1 2011 2 3" xfId="28550"/>
    <cellStyle name="差_Creak Pearl Reliability Fixture RFQ_2009 04 24_Creek  Pearl RFQ_May 12_Leopard Lemur Squirrel UniBom-06.22.2010_EE cost _update_internal_Bolt RFQ_Foxlink_03.1 2011 3 3" xfId="28551"/>
    <cellStyle name="差_HP Mouse 產能評估(Forecast更改後)_Erie 效益分析 (Update)_Jackson 效益分析 testing update_16th Jan111_Jackson 效益分析 (2-1 B0 上系統)_Leopard效益分析08-17" xfId="28552"/>
    <cellStyle name="好_River EE BOM_Xl0000002_Leopard Lemur Squirrel UniBom-06.22.2010_EE cost _update_internal_Bolt RFQ_Foxlink_03.1 2011_nego meeting@MACH 2 3" xfId="28553"/>
    <cellStyle name="好_River EE BOM_Xl0000002_Leopard Lemur Squirrel UniBom-06.22.2010_EE cost _update_internal_Bolt RFQ_Foxlink_03.1 2011_nego meeting@MACH 3 3" xfId="28554"/>
    <cellStyle name="好_River EE BOM_Xl0000002_Leopard RFQ ME BOM Costs-0618" xfId="28555"/>
    <cellStyle name="好_River EE BOM_Xl0000002_Leopard RFQ ME BOM Costs-0623" xfId="28556"/>
    <cellStyle name="好_River EE BOM_Xl0000002_Leopard RFQ ME BOM Costs-0618 2 2 3" xfId="28557"/>
    <cellStyle name="好_River EE BOM_Xl0000002_Leopard RFQ ME BOM Costs-0618_Bolt RFQ Proposal_Foxlink_ (Pricing Summary) 2 25 2011" xfId="28558"/>
    <cellStyle name="好_River EE BOM_Xl0000002_Leopard RFQ ME BOM Costs-0618_Bolt RFQ Proposal_Foxlink_ (Pricing Summary) 2 25 2011 2" xfId="28559"/>
    <cellStyle name="好_River EE BOM_Xl0000002_Leopard RFQ ME BOM Costs-0618_Bolt RFQ Proposal_Foxlink_ (Pricing Summary) 2 25 2011 2 2" xfId="28560"/>
    <cellStyle name="好_River EE BOM_Xl0000002_Leopard RFQ ME BOM Costs-0618_Bolt RFQ Proposal_Foxlink_ (Pricing Summary) 2 25 2011 2 2 2" xfId="28561"/>
    <cellStyle name="好_River EE BOM_Xl0000002_Leopard RFQ ME BOM Costs-0618_Bolt RFQ Proposal_Foxlink_ (Pricing Summary) 2 25 2011 2 3" xfId="28562"/>
    <cellStyle name="好_River EE BOM_Xl0000002_Leopard RFQ ME BOM Costs-0618_Bolt RFQ Proposal_Foxlink_ (Pricing Summary) 2 25 2011 2 4" xfId="28563"/>
    <cellStyle name="好_River EE BOM_Xl0000002_Leopard RFQ ME BOM Costs-0618_Bolt RFQ Proposal_Foxlink_ (Pricing Summary) 2 25 2011 3" xfId="28564"/>
    <cellStyle name="差_F3   SMT設備明細_Erie 效益分析 (Update)_Jackson 效益分析 testing update_16th Jan1" xfId="28565"/>
    <cellStyle name="好_River EE BOM_Xl0000002_Leopard RFQ ME BOM Costs-0618_Bolt RFQ Proposal_Foxlink_ (Pricing Summary) 2 25 2011 3 2" xfId="28566"/>
    <cellStyle name="好_River EE BOM_Xl0000002_Leopard RFQ ME BOM Costs-0618_Bolt RFQ Proposal_Foxlink_ (Pricing Summary) 2 25 2011 4" xfId="28567"/>
    <cellStyle name="差_Creak Pearl Reliability Fixture RFQ_2009 04 24_Creek  Pearl RFQ_May 12_Squirrel RFQ ME BOM Costs-0623_Bolt RFQ_Foxlink_03.1 2011 2 3" xfId="28568"/>
    <cellStyle name="好_River EE BOM_Xl0000002_Leopard RFQ ME BOM Costs-0618_Bolt RFQ Proposal_Foxlink_ (Pricing Summary) 2 25 2011 4 2" xfId="28569"/>
    <cellStyle name="好_River EE BOM_Xl0000002_Leopard RFQ ME BOM Costs-0618_Bolt RFQ Proposal_Foxlink_ (Pricing Summary) 2 25 2011 4 3" xfId="28570"/>
    <cellStyle name="差_Creak Pearl Reliability Fixture RFQ_2009 04 24_Creek  Pearl RFQ_May 12_Squirrel RFQ ME BOM Costs-0623_Bolt RFQ_Foxlink_03.1 2011 3 3" xfId="28571"/>
    <cellStyle name="好_River EE BOM_Xl0000002_Leopard RFQ ME BOM Costs-0618_Bolt RFQ Proposal_Foxlink_ (Pricing Summary) 2 25 2011 5 2" xfId="28572"/>
    <cellStyle name="好_River EE BOM_Xl0000002_Leopard RFQ ME BOM Costs-0618_Bolt RFQ Proposal_Foxlink_ (Pricing Summary) 2 25 2011 7" xfId="28573"/>
    <cellStyle name="差_Xl0000002_Leopard RFQ ME BOM Costs-0618_Bolt RFQ Proposal_Foxlink_ (Pricing Summary) 2 25 2011" xfId="28574"/>
    <cellStyle name="好_River EE BOM_Xl0000002_Leopard RFQ ME BOM Costs-0618_Bolt RFQ_Foxlink_03.1 2011" xfId="28575"/>
    <cellStyle name="差_Xl0000002_Leopard RFQ ME BOM Costs-0618_Bolt RFQ Proposal_Foxlink_ (Pricing Summary) 2 25 2011 2" xfId="28576"/>
    <cellStyle name="好_River EE BOM_Xl0000002_Leopard RFQ ME BOM Costs-0618_Bolt RFQ_Foxlink_03.1 2011 2" xfId="28577"/>
    <cellStyle name="差_Xl0000002_Leopard RFQ ME BOM Costs-0618_Bolt RFQ Proposal_Foxlink_ (Pricing Summary) 2 25 2011 2 2" xfId="28578"/>
    <cellStyle name="好_River EE BOM_Xl0000002_Leopard RFQ ME BOM Costs-0618_Bolt RFQ_Foxlink_03.1 2011 2 2" xfId="28579"/>
    <cellStyle name="差_Xl0000002_Leopard RFQ ME BOM Costs-0618_Bolt RFQ Proposal_Foxlink_ (Pricing Summary) 2 25 2011 2 3" xfId="28580"/>
    <cellStyle name="好_River EE BOM_Xl0000002_Leopard RFQ ME BOM Costs-0618_Bolt RFQ_Foxlink_03.1 2011 2 3" xfId="28581"/>
    <cellStyle name="标题 5 3 2" xfId="28582"/>
    <cellStyle name="好_River EE BOM_Xl0000002_Leopard RFQ ME BOM Costs-0618-2 2" xfId="28583"/>
    <cellStyle name="好_River EE BOM_Xl0000002_Leopard RFQ ME BOM Costs-0618-2 2 2" xfId="28584"/>
    <cellStyle name="好_River EE BOM_Xl0000002_Leopard RFQ ME BOM Costs-0618-2 2 2 2" xfId="28585"/>
    <cellStyle name="好_River EE BOM_Xl0000002_Leopard RFQ ME BOM Costs-0618-2 2 2 3" xfId="28586"/>
    <cellStyle name="好_River EE BOM_Xl0000002_Leopard RFQ ME BOM Costs-0618-2 2 3" xfId="28587"/>
    <cellStyle name="标题 5 3 3" xfId="28588"/>
    <cellStyle name="好_River EE BOM_Xl0000002_Leopard RFQ ME BOM Costs-0618-2 3" xfId="28589"/>
    <cellStyle name="好_River EE BOM_Xl0000002_Leopard RFQ ME BOM Costs-0618-2 3 3" xfId="28590"/>
    <cellStyle name="好_River EE BOM_Xl0000002_Leopard RFQ ME BOM Costs-0618-2_Bolt RFQ Proposal_Foxlink_ (Pricing Summary) 2 25 2011" xfId="28591"/>
    <cellStyle name="好_River EE BOM_Xl0000002_Leopard RFQ ME BOM Costs-0618-2_Bolt RFQ Proposal_Foxlink_ (Pricing Summary) 2 25 2011 2 2 2" xfId="28592"/>
    <cellStyle name="好_River EE BOM_Xl0000002_Leopard RFQ ME BOM Costs-0618-2_Bolt RFQ Proposal_Foxlink_ (Pricing Summary) 2 25 2011 2 2 3" xfId="28593"/>
    <cellStyle name="好_River EE BOM_Xl0000002_Leopard RFQ ME BOM Costs-0618-2_Bolt RFQ Proposal_Foxlink_ (Pricing Summary) 2 25 2011 2 3" xfId="28594"/>
    <cellStyle name="好_River EE BOM_Xl0000002_Leopard RFQ ME BOM Costs-0618-2_Bolt RFQ Proposal_Foxlink_ (Pricing Summary) 2 25 2011 2 4" xfId="28595"/>
    <cellStyle name="好_River EE BOM_Xl0000002_Leopard RFQ ME BOM Costs-0618-2_Bolt RFQ Proposal_Foxlink_ (Pricing Summary) 2 25 2011 3" xfId="28596"/>
    <cellStyle name="差_Creak Pearl Reliability Fixture RFQ_2009 04 24_Leopard RFQ ME BOM Costs-0618_Bolt RFQ_Foxlink_03.1 2011_nego meeting@MACH" xfId="28597"/>
    <cellStyle name="好_River EE BOM_Xl0000002_Leopard RFQ ME BOM Costs-0618-2_Bolt RFQ Proposal_Foxlink_ (Pricing Summary) 2 25 2011 3 2" xfId="28598"/>
    <cellStyle name="好_River EE BOM_Xl0000002_Leopard RFQ ME BOM Costs-0618-2_Bolt RFQ_Foxlink_03.1 2011" xfId="28599"/>
    <cellStyle name="好_River EE BOM_Xl0000002_Leopard RFQ ME BOM Costs-0618-2_Bolt RFQ_Foxlink_03.1 2011 2" xfId="28600"/>
    <cellStyle name="差_Xl0000000_Bolt RFQ Proposal_Foxlink_ (Pricing Summary) 2 25 2011" xfId="28601"/>
    <cellStyle name="好_River EE BOM_Xl0000002_Leopard RFQ ME BOM Costs-0618-2_Bolt RFQ_Foxlink_03.1 2011 2 2" xfId="28602"/>
    <cellStyle name="好_River EE BOM_Xl0000002_Leopard RFQ ME BOM Costs-0618-2_Bolt RFQ_Foxlink_03.1 2011 3 2" xfId="28603"/>
    <cellStyle name="好_River EE BOM_Xl0000002_Leopard RFQ ME BOM Costs-0618-2_Bolt RFQ_Foxlink_03.1 2011 3 3" xfId="28604"/>
    <cellStyle name="差_MB9月管審誤判超標 8D_2009MB KPI_MBO3F製造部hp0209-01 2 3 2" xfId="28605"/>
    <cellStyle name="好_River EE BOM_Xl0000002_Leopard RFQ ME BOM Costs-0618-2_Bolt RFQ_Foxlink_03.1 2011_nego meeting@MACH" xfId="28606"/>
    <cellStyle name="好_River EE BOM_Xl0000002_Leopard RFQ ME BOM Costs-0618-2_Bolt RFQ_Foxlink_03.1 2011_nego meeting@MACH 2" xfId="28607"/>
    <cellStyle name="好_River EE BOM_Xl0000002_Leopard RFQ ME BOM Costs-0618-2_Bolt RFQ_Foxlink_03.1 2011_nego meeting@MACH 2 3" xfId="28608"/>
    <cellStyle name="好_River EE BOM_Xl0000002_Leopard RFQ ME BOM Costs-0618-2_Bolt RFQ_Foxlink_03.1 2011_nego meeting@MACH 3" xfId="28609"/>
    <cellStyle name="差_Creak Pearl Reliability Fixture RFQ_2009 04 24_Creek RFQ feedback 04_28_2009_FD Update_Squirrel RFQ ME BOM Costs-0623_Bolt RFQ Proposal_Foxlink_ (Pricing Summary) 2 25 2011 5 2" xfId="28610"/>
    <cellStyle name="好_River EE BOM_Xl0000002_Leopard UniBom_Foxlink_6 21 2010-ME_nego 2 2 2" xfId="28611"/>
    <cellStyle name="差_Creak Pearl Reliability Fixture RFQ_2009 04 24_Creek RFQ feedback 04_28_2009_FD Update_Squirrel RFQ ME BOM Costs-0623_Bolt RFQ Proposal_Foxlink_ (Pricing Summary) 2 25 2011 5 3" xfId="28612"/>
    <cellStyle name="好_River EE BOM_Xl0000002_Leopard UniBom_Foxlink_6 21 2010-ME_nego 2 2 3" xfId="28613"/>
    <cellStyle name="好_River EE BOM_Xl0000002_Leopard UniBom_Foxlink_6 21 2010-ME_nego_Bolt RFQ Proposal_Foxlink_ (Pricing Summary) 2 25 2011" xfId="28614"/>
    <cellStyle name="好_治具工程課2009年KPI" xfId="28615"/>
    <cellStyle name="好_River EE BOM_Xl0000002_Leopard UniBom_Foxlink_6 21 2010-ME_nego_Bolt RFQ Proposal_Foxlink_ (Pricing Summary) 2 25 2011 2 2" xfId="28616"/>
    <cellStyle name="好_River EE BOM_Xl0000002_Leopard UniBom_Foxlink_6 21 2010-ME_nego_Bolt RFQ Proposal_Foxlink_ (Pricing Summary) 2 25 2011 5" xfId="28617"/>
    <cellStyle name="好_River EE BOM_Xl0000002_Leopard UniBom_Foxlink_6 21 2010-ME_nego_Bolt RFQ Proposal_Foxlink_ (Pricing Summary) 2 25 2011 7" xfId="28618"/>
    <cellStyle name="好_River EE BOM_Xl0000002_Leopard UniBom_Foxlink_6 21 2010-ME_nego_Bolt RFQ_Foxlink_03.1 2011" xfId="28619"/>
    <cellStyle name="好_River EE BOM_Xl0000002_Leopard UniBom_Foxlink_6 21 2010-ME_nego_Bolt RFQ_Foxlink_03.1 2011 2" xfId="28620"/>
    <cellStyle name="好_River EE BOM_Xl0000002_Leopard UniBom_Foxlink_6 21 2010-ME_nego_Bolt RFQ_Foxlink_03.1 2011 2 2" xfId="28621"/>
    <cellStyle name="好_River EE BOM_Xl0000002_Leopard UniBom_Foxlink_6 21 2010-ME_nego_Bolt RFQ_Foxlink_03.1 2011 3" xfId="28622"/>
    <cellStyle name="好_River EE BOM_Xl0000002_Leopard UniBom_Foxlink_6 21 2010-ME_nego_Bolt RFQ_Foxlink_03.1 2011 3 2" xfId="28623"/>
    <cellStyle name="好_River EE BOM_Xl0000002_Leopard UniBom_Foxlink_6 21 2010-ME_nego_Bolt RFQ_Foxlink_03.1 2011 4" xfId="28624"/>
    <cellStyle name="好_River EE BOM_Xl0000002_Leopard UniBom_Foxlink_6 21 2010-ME_nego_Bolt RFQ_Foxlink_03.1 2011 5" xfId="28625"/>
    <cellStyle name="好_River EE BOM_Xl0000002_Leopard UniBom_Foxlink_6 21 2010-ME_nego_Bolt RFQ_Foxlink_03.1 2011_nego meeting@MACH" xfId="28626"/>
    <cellStyle name="差_Creak Pearl Reliability Fixture RFQ_2009 04 24_Leopard_UniBOM_ME_0602-1_Bolt RFQ Proposal_Foxlink_ (Pricing Summary) 2 25 2011 7" xfId="28627"/>
    <cellStyle name="好_River EE BOM_Xl0000002_Leopard UniBom_Foxlink_6 21 2010-ME_nego_Bolt RFQ_Foxlink_03.1 2011_nego meeting@MACH 2 2" xfId="28628"/>
    <cellStyle name="好_River EE BOM_Xl0000002_Leopard UniBom_Foxlink_6 21 2010-ME_nego_Bolt RFQ_Foxlink_03.1 2011_nego meeting@MACH 2 3" xfId="28629"/>
    <cellStyle name="好_River EE BOM_Xl0000002_Leopard UniBom_Foxlink_6 21 2010-ME_nego_Bolt RFQ_Foxlink_03.1 2011_nego meeting@MACH 3" xfId="28630"/>
    <cellStyle name="好_River EE BOM_Xl0000002_Leopard UniBom_Foxlink_6 21 2010-ME_nego_Bolt RFQ_Foxlink_03.1 2011_nego meeting@MACH 3 2" xfId="28631"/>
    <cellStyle name="好_River EE BOM_Xl0000002_Leopard UniBom_Foxlink_6 21 2010-ME_nego_Bolt RFQ_Foxlink_03.1 2011_nego meeting@MACH 3 3" xfId="28632"/>
    <cellStyle name="好_River EE BOM_Xl0000002_Leopard UniBom_Foxlink_6 21 2010-ME_nego_Bolt RFQ_Foxlink_03.1 2011_nego meeting@MACH 4" xfId="28633"/>
    <cellStyle name="好_River EE BOM_Xl0000002_Leopard UniBom_Foxlink_6 21 2010-ME_nego_Bolt RFQ_Foxlink_03.1 2011_nego meeting@MACH 5" xfId="28634"/>
    <cellStyle name="差_Creak Pearl Reliability Fixture RFQ_2009 04 24_Xl0000002_Leopard Lemur Squirrel UniBom-06.22.2010_EE cost _update_internal_Bolt RFQ_Foxlink_03.1 2011_nego meeting@MACH 3" xfId="28635"/>
    <cellStyle name="好_River EE BOM_Xl0000002_Leopard_UniBOM_ME_0531 2 2" xfId="28636"/>
    <cellStyle name="差_Creek RFQ feedback 04_28_2009_FD Update_Bolt RFQ_Foxlink_03.1 2011 3" xfId="28637"/>
    <cellStyle name="壞_Creek Assembly Fixture  Test Equipment RFQ_20090427_Xl0000002_Leopard RFQ ME BOM Costs-0618-2_Bolt RFQ_Foxlink_03.1 2011 3 3" xfId="28638"/>
    <cellStyle name="差_Creak Pearl Reliability Fixture RFQ_2009 04 24_Xl0000002_Leopard Lemur Squirrel UniBom-06.22.2010_EE cost _update_internal_Bolt RFQ_Foxlink_03.1 2011_nego meeting@MACH 3 2" xfId="28639"/>
    <cellStyle name="好_River EE BOM_Xl0000002_Leopard_UniBOM_ME_0531 2 2 2" xfId="28640"/>
    <cellStyle name="差_Creek RFQ feedback 04_28_2009_FD Update_Bolt RFQ_Foxlink_03.1 2011 4" xfId="28641"/>
    <cellStyle name="差_Creak Pearl Reliability Fixture RFQ_2009 04 24_Xl0000002_Leopard Lemur Squirrel UniBom-06.22.2010_EE cost _update_internal_Bolt RFQ_Foxlink_03.1 2011_nego meeting@MACH 3 3" xfId="28642"/>
    <cellStyle name="好_River EE BOM_Xl0000002_Leopard_UniBOM_ME_0531 2 2 3" xfId="28643"/>
    <cellStyle name="差_Creak Pearl Reliability Fixture RFQ_2009 04 24_Xl0000002_Leopard Lemur Squirrel UniBom-06.22.2010_EE cost _update_internal_Bolt RFQ_Foxlink_03.1 2011_nego meeting@MACH 4" xfId="28644"/>
    <cellStyle name="好_River EE BOM_Xl0000002_Leopard_UniBOM_ME_0531 2 3" xfId="28645"/>
    <cellStyle name="差_Creak Pearl Reliability Fixture RFQ_2009 04 24_Xl0000002_Leopard Lemur Squirrel UniBom-06.22.2010_EE cost _update_internal_Bolt RFQ_Foxlink_03.1 2011_nego meeting@MACH 5" xfId="28646"/>
    <cellStyle name="好_River EE BOM_Xl0000002_Leopard_UniBOM_ME_0531 2 4" xfId="28647"/>
    <cellStyle name="好_River EE BOM_Xl0000002_Leopard_UniBOM_ME_0531_Bolt RFQ Proposal_Foxlink_ (Pricing Summary) 2 25 2011 2 2 2" xfId="28648"/>
    <cellStyle name="好_River EE BOM_Xl0000002_Leopard_UniBOM_ME_0531_Bolt RFQ Proposal_Foxlink_ (Pricing Summary) 2 25 2011 4 3" xfId="28649"/>
    <cellStyle name="好_River EE BOM_Xl0000002_Leopard_UniBOM_ME_0531_Bolt RFQ Proposal_Foxlink_ (Pricing Summary) 2 25 2011 5 2" xfId="28650"/>
    <cellStyle name="好_River EE BOM_Xl0000002_Leopard_UniBOM_ME_0531_Bolt RFQ Proposal_Foxlink_ (Pricing Summary) 2 25 2011 5 3" xfId="28651"/>
    <cellStyle name="好_River EE BOM_Xl0000002_Leopard_UniBOM_ME_0531_Bolt RFQ Proposal_Foxlink_ (Pricing Summary) 2 25 2011 6" xfId="28652"/>
    <cellStyle name="好_River EE BOM_Xl0000002_Leopard_UniBOM_ME_0531_Bolt RFQ Proposal_Foxlink_ (Pricing Summary) 2 25 2011 7" xfId="28653"/>
    <cellStyle name="好_River EE BOM_Xl0000002_Leopard_UniBOM_ME_0531_Bolt RFQ_Foxlink_03.1 2011" xfId="28654"/>
    <cellStyle name="差 2 2 4" xfId="28655"/>
    <cellStyle name="好_River EE BOM_Xl0000002_Leopard_UniBOM_ME_0531_Bolt RFQ_Foxlink_03.1 2011 2 3" xfId="28656"/>
    <cellStyle name="好_River EE BOM_Xl0000002_Leopard_UniBOM_ME_0531_Bolt RFQ_Foxlink_03.1 2011 4" xfId="28657"/>
    <cellStyle name="差_治具工程課2009年KPI_KPI 1006 2 2 3" xfId="28658"/>
    <cellStyle name="差_Creak Pearl Reliability Fixture RFQ_2009 04 24_Leopard RFQ ME BOM Costs-0618_Bolt RFQ_Foxlink_03.1 2011 2 3" xfId="28659"/>
    <cellStyle name="好_River EE BOM_Xl0000002_Leopard_UniBOM_ME_0531_Bolt RFQ_Foxlink_03.1 2011_nego meeting@MACH 2 2" xfId="28660"/>
    <cellStyle name="好_River EE BOM_Xl0000002_Leopard_UniBOM_ME_0531_Bolt RFQ_Foxlink_03.1 2011_nego meeting@MACH 2 3" xfId="28661"/>
    <cellStyle name="好_River EE BOM_Xl0000002_Leopard_UniBOM_ME_0531_Bolt RFQ_Foxlink_03.1 2011_nego meeting@MACH 3" xfId="28662"/>
    <cellStyle name="好_River EE BOM_Xl0000002_Leopard_UniBOM_ME_0531_Bolt RFQ_Foxlink_03.1 2011_nego meeting@MACH 3 2" xfId="28663"/>
    <cellStyle name="好_River EE BOM_Xl0000002_Leopard_UniBOM_ME_0602 2 2" xfId="28664"/>
    <cellStyle name="好_River EE BOM_Xl0000002_Leopard_UniBOM_ME_0602 2 2 2" xfId="28665"/>
    <cellStyle name="好_River EE BOM_Xl0000002_Leopard_UniBOM_ME_0602 2 2 3" xfId="28666"/>
    <cellStyle name="好_River EE BOM_Xl0000002_Leopard_UniBOM_ME_0602 2 3" xfId="28667"/>
    <cellStyle name="好_River EE BOM_Xl0000002_Leopard_UniBOM_ME_0602 2 4" xfId="28668"/>
    <cellStyle name="好_River EE BOM_Xl0000002_Leopard_UniBOM_ME_0602_Bolt RFQ Proposal_Foxlink_ (Pricing Summary) 2 25 2011" xfId="28669"/>
    <cellStyle name="好_River EE BOM_Xl0000002_Leopard_UniBOM_ME_0602_Bolt RFQ Proposal_Foxlink_ (Pricing Summary) 2 25 2011 2 2" xfId="28670"/>
    <cellStyle name="好_River EE BOM_Xl0000002_Leopard_UniBOM_ME_0602_Bolt RFQ Proposal_Foxlink_ (Pricing Summary) 2 25 2011 2 2 2" xfId="28671"/>
    <cellStyle name="好_River EE BOM_Xl0000002_Leopard_UniBOM_ME_0602_Bolt RFQ Proposal_Foxlink_ (Pricing Summary) 2 25 2011 2 2 3" xfId="28672"/>
    <cellStyle name="好_River EE BOM_Xl0000002_Leopard_UniBOM_ME_0602_Bolt RFQ Proposal_Foxlink_ (Pricing Summary) 2 25 2011 3" xfId="28673"/>
    <cellStyle name="好_River EE BOM_Xl0000002_Leopard_UniBOM_ME_0602_Bolt RFQ Proposal_Foxlink_ (Pricing Summary) 2 25 2011 3 2" xfId="28674"/>
    <cellStyle name="好_River EE BOM_Xl0000002_Leopard_UniBOM_ME_0602_Bolt RFQ Proposal_Foxlink_ (Pricing Summary) 2 25 2011 4 2" xfId="28675"/>
    <cellStyle name="好_River EE BOM_Xl0000002_Leopard_UniBOM_ME_0602_Bolt RFQ Proposal_Foxlink_ (Pricing Summary) 2 25 2011 4 3" xfId="28676"/>
    <cellStyle name="好_River EE BOM_Xl0000002_Leopard_UniBOM_ME_0602_Bolt RFQ Proposal_Foxlink_ (Pricing Summary) 2 25 2011 5" xfId="28677"/>
    <cellStyle name="好_River EE BOM_Xl0000002_Leopard_UniBOM_ME_0602_Bolt RFQ Proposal_Foxlink_ (Pricing Summary) 2 25 2011 5 2" xfId="28678"/>
    <cellStyle name="好_River EE BOM_Xl0000002_Leopard_UniBOM_ME_0602_Bolt RFQ Proposal_Foxlink_ (Pricing Summary) 2 25 2011 5 3" xfId="28679"/>
    <cellStyle name="好_River EE BOM_Xl0000002_Leopard_UniBOM_ME_0602_Bolt RFQ Proposal_Foxlink_ (Pricing Summary) 2 25 2011 7" xfId="28680"/>
    <cellStyle name="好_River EE BOM_Xl0000002_Leopard_UniBOM_ME_0602_Bolt RFQ_Foxlink_03.1 2011_nego meeting@MACH" xfId="28681"/>
    <cellStyle name="好_River EE BOM_Xl0000002_Leopard_UniBOM_ME_0602_Bolt RFQ_Foxlink_03.1 2011_nego meeting@MACH 2 2" xfId="28682"/>
    <cellStyle name="好_River EE BOM_Xl0000002_Leopard_UniBOM_ME_0602_Bolt RFQ_Foxlink_03.1 2011_nego meeting@MACH 2 3" xfId="28683"/>
    <cellStyle name="好_River EE BOM_Xl0000002_Leopard_UniBOM_ME_0602_Bolt RFQ_Foxlink_03.1 2011_nego meeting@MACH 3" xfId="28684"/>
    <cellStyle name="好_River EE BOM_Xl0000002_Leopard_UniBOM_ME_0602_Bolt RFQ_Foxlink_03.1 2011_nego meeting@MACH 4" xfId="28685"/>
    <cellStyle name="好_River EE BOM_Xl0000002_Leopard_UniBOM_ME_0602-1 2 2 2" xfId="28686"/>
    <cellStyle name="好_River EE BOM_Xl0000002_Leopard_UniBOM_ME_0602-1 2 2 3" xfId="28687"/>
    <cellStyle name="差_Creak Pearl Reliability Fixture RFQ_2009 04 24_Leopard RFQ ME BOM Costs-0618_Bolt RFQ Proposal_Foxlink_ (Pricing Summary) 2 25 2011 4 2" xfId="28688"/>
    <cellStyle name="好_River EE BOM_Xl0000002_Leopard_UniBOM_ME_0602-1 3 3" xfId="28689"/>
    <cellStyle name="好_River EE BOM_Xl0000002_Leopard_UniBOM_ME_0602-1_Bolt RFQ Proposal_Foxlink_ (Pricing Summary) 2 25 2011" xfId="28690"/>
    <cellStyle name="好_River EE BOM_Xl0000002_Leopard_UniBOM_ME_0602-1_Bolt RFQ Proposal_Foxlink_ (Pricing Summary) 2 25 2011 2 2" xfId="28691"/>
    <cellStyle name="好_River EE BOM_Xl0000002_Leopard_UniBOM_ME_0602-1_Bolt RFQ Proposal_Foxlink_ (Pricing Summary) 2 25 2011 2 2 2" xfId="28692"/>
    <cellStyle name="好_River EE BOM_Xl0000002_Leopard_UniBOM_ME_0602-1_Bolt RFQ Proposal_Foxlink_ (Pricing Summary) 2 25 2011 2 2 3" xfId="28693"/>
    <cellStyle name="好_River EE BOM_Xl0000002_Leopard_UniBOM_ME_0602-1_Bolt RFQ Proposal_Foxlink_ (Pricing Summary) 2 25 2011 2 3" xfId="28694"/>
    <cellStyle name="好_River EE BOM_Xl0000002_Leopard_UniBOM_ME_0602-1_Bolt RFQ Proposal_Foxlink_ (Pricing Summary) 2 25 2011 3" xfId="28695"/>
    <cellStyle name="好_River EE BOM_Xl0000002_Leopard_UniBOM_ME_0602-1_Bolt RFQ Proposal_Foxlink_ (Pricing Summary) 2 25 2011 3 2" xfId="28696"/>
    <cellStyle name="好_River EE BOM_Xl0000002_Leopard_UniBOM_ME_0602-1_Bolt RFQ_Foxlink_03.1 2011 3" xfId="28697"/>
    <cellStyle name="好_River EE BOM_Xl0000002_Leopard_UniBOM_ME_0602-1_Bolt RFQ_Foxlink_03.1 2011 3 2" xfId="28698"/>
    <cellStyle name="差_F3   SMT設備明細_M1 SuedeFixtureEquipment Cost_A0_2010_10_15_Bolt RFQ_Foxlink_03.1 2011 2" xfId="28699"/>
    <cellStyle name="差_Flow Chart&amp;PQ分析(12-1)_Jackson 效益分析 testing update_16th Jan1_Jackson 效益分析 (2-1 B0 上系統)_Leopard Flowchart &amp; 產能評估" xfId="28700"/>
    <cellStyle name="好_River EE BOM_Xl0000002_Leopard_UniBOM_ME_0602-1_Bolt RFQ_Foxlink_03.1 2011 4" xfId="28701"/>
    <cellStyle name="差_F3   SMT設備明細_M1 SuedeFixtureEquipment Cost_A0_2010_10_15_Bolt RFQ_Foxlink_03.1 2011 3" xfId="28702"/>
    <cellStyle name="好_River EE BOM_Xl0000002_Leopard_UniBOM_ME_0602-1_Bolt RFQ_Foxlink_03.1 2011 5" xfId="28703"/>
    <cellStyle name="差_治具工程課2009年KPI 3 2 3" xfId="28704"/>
    <cellStyle name="差_F3   SMT設備明細_jupite r設備&amp;治工具LIST (總)_Dallas效益分析&amp;投資回收期 (12-2 A1)_效益分析(總 12-28 Update)_Jackson 效益分析 (2-1 B0 上系統)_Leopard Flowchart &amp; 產能評估" xfId="28705"/>
    <cellStyle name="好_River EE BOM_Xl0000002_Leopard_UniBOM_ME_0602-1_Bolt RFQ_Foxlink_03.1 2011_nego meeting@MACH" xfId="28706"/>
    <cellStyle name="好_River EE BOM_Xl0000002_Leopard_UniBOM_ME_0602-1_Bolt RFQ_Foxlink_03.1 2011_nego meeting@MACH 2" xfId="28707"/>
    <cellStyle name="好_River EE BOM_Xl0000002_Leopard_UniBOM_ME_0602-1_Bolt RFQ_Foxlink_03.1 2011_nego meeting@MACH 2 2" xfId="28708"/>
    <cellStyle name="差_jupite r設備&amp;治工具LIST (總)_flow chart 2009.12.12_~5631336_Jackson 效益分析 (2-1 B0 上系統)" xfId="28709"/>
    <cellStyle name="好_River EE BOM_Xl0000002_Leopard_UniBOM_ME_0602-1_Bolt RFQ_Foxlink_03.1 2011_nego meeting@MACH 2 3" xfId="28710"/>
    <cellStyle name="好_River EE BOM_Xl0000002_Leopard_UniBOM_ME_0602-1_Bolt RFQ_Foxlink_03.1 2011_nego meeting@MACH 3 3" xfId="28711"/>
    <cellStyle name="好_River EE BOM_Xl0000002_Leopard_UniBOM_ME_0602-1_Bolt RFQ_Foxlink_03.1 2011_nego meeting@MACH 5" xfId="28712"/>
    <cellStyle name="好_River EE BOM_Xl0000002_Leopard_UniBOM_ME_0603-2 2 2" xfId="28713"/>
    <cellStyle name="差_F3   SMT設備明細_jupite r設備&amp;治工具LIST (總)_Flow Chart&amp;設備治工具清單 _~1159284" xfId="28714"/>
    <cellStyle name="好_River EE BOM_Xl0000002_Leopard_UniBOM_ME_0603-2 2 2 3" xfId="28715"/>
    <cellStyle name="好_River EE BOM_Xl0000002_Leopard_UniBOM_ME_0603-2 2 4" xfId="28716"/>
    <cellStyle name="好_River EE BOM_Xl0000002_Leopard_UniBOM_ME_0603-2 3 2" xfId="28717"/>
    <cellStyle name="差_Creak Pearl Reliability Fixture RFQ_2009 04 24_Creek RFQ feedback 04_28_2009_FD Update_Leopard RFQ ME BOM Costs-0618-2_Bolt RFQ Proposal_Foxlink_ (Pricing Summary) 2 25 2011 2 2 2" xfId="28718"/>
    <cellStyle name="差_Creak Pearl Reliability Fixture RFQ_2009 04 24_Xl0000002_Squirrel UniBom-06.23.2010_update_internal_Bolt RFQ Proposal_Foxlink_ (Pricing Summary) 2 25 2011 4 3" xfId="28719"/>
    <cellStyle name="好_River EE BOM_Xl0000002_Leopard_UniBOM_ME_0603-2_Bolt RFQ Proposal_Foxlink_ (Pricing Summary) 2 25 2011 2" xfId="28720"/>
    <cellStyle name="差_HP Mouse 產能評估(Forecast更改後)_M1 Squirrel Capacity planFixtureEquipment Cost_A2_06192010" xfId="28721"/>
    <cellStyle name="好_River EE BOM_Xl0000002_Leopard_UniBOM_ME_0603-2_Bolt RFQ Proposal_Foxlink_ (Pricing Summary) 2 25 2011 2 2 2" xfId="28722"/>
    <cellStyle name="好_River EE BOM_Xl0000002_Leopard_UniBOM_ME_0603-2_Bolt RFQ Proposal_Foxlink_ (Pricing Summary) 2 25 2011 2 2 3" xfId="28723"/>
    <cellStyle name="好_River EE BOM_Xl0000002_Leopard_UniBOM_ME_0603-2_Bolt RFQ Proposal_Foxlink_ (Pricing Summary) 2 25 2011 2 4" xfId="28724"/>
    <cellStyle name="好_River EE BOM_Xl0000002_Leopard_UniBOM_ME_0603-2_Bolt RFQ Proposal_Foxlink_ (Pricing Summary) 2 25 2011 3" xfId="28725"/>
    <cellStyle name="好_River EE BOM_Xl0000002_Leopard_UniBOM_ME_0603-2_Bolt RFQ Proposal_Foxlink_ (Pricing Summary) 2 25 2011 3 2" xfId="28726"/>
    <cellStyle name="好_River EE BOM_Xl0000002_Leopard_UniBOM_ME_0603-2_Bolt RFQ Proposal_Foxlink_ (Pricing Summary) 2 25 2011 3 3" xfId="28727"/>
    <cellStyle name="好_River EE BOM_Xl0000002_Leopard_UniBOM_ME_0603-2_Bolt RFQ Proposal_Foxlink_ (Pricing Summary) 2 25 2011 4" xfId="28728"/>
    <cellStyle name="好_River EE BOM_Xl0000002_Leopard_UniBOM_ME_0603-2_Bolt RFQ Proposal_Foxlink_ (Pricing Summary) 2 25 2011 4 2" xfId="28729"/>
    <cellStyle name="好_River EE BOM_Xl0000002_Leopard_UniBOM_ME_0603-2_Bolt RFQ Proposal_Foxlink_ (Pricing Summary) 2 25 2011 4 3" xfId="28730"/>
    <cellStyle name="好_River EE BOM_Xl0000002_Leopard_UniBOM_ME_0603-2_Bolt RFQ Proposal_Foxlink_ (Pricing Summary) 2 25 2011 5" xfId="28731"/>
    <cellStyle name="好_River EE BOM_Xl0000002_Leopard_UniBOM_ME_0603-2_Bolt RFQ Proposal_Foxlink_ (Pricing Summary) 2 25 2011 7" xfId="28732"/>
    <cellStyle name="好_River EE BOM_Xl0000002_Leopard_UniBOM_ME_0603-2_Bolt RFQ_Foxlink_03.1 2011 2 2" xfId="28733"/>
    <cellStyle name="差_HP  專案(設備&amp;治工具需夠買)update_Erie 效益分析(8-27)_Leopard效益分析08-17" xfId="28734"/>
    <cellStyle name="好_River EE BOM_Xl0000002_Leopard_UniBOM_ME_0603-2_Bolt RFQ_Foxlink_03.1 2011 2 3" xfId="28735"/>
    <cellStyle name="好_River EE BOM_Xl0000002_Leopard_UniBOM_ME_0603-2_Bolt RFQ_Foxlink_03.1 2011 3" xfId="28736"/>
    <cellStyle name="好_River EE BOM_Xl0000002_Leopard_UniBOM_ME_0603-2_Bolt RFQ_Foxlink_03.1 2011 3 2" xfId="28737"/>
    <cellStyle name="好_River EE BOM_Xl0000002_Leopard_UniBOM_ME_0603-2_Bolt RFQ_Foxlink_03.1 2011 3 3" xfId="28738"/>
    <cellStyle name="差_jupite r設備&amp;治工具LIST (總)_Jackson 效益分析 testing update_16th Jan111_Jackson 效益分析 (2-1 B0 上系統)_squirrel效益分析08-17" xfId="28739"/>
    <cellStyle name="好_River EE BOM_Xl0000002_Leopard_UniBOM_ME_0603-2_Bolt RFQ_Foxlink_03.1 2011 4" xfId="28740"/>
    <cellStyle name="好_River EE BOM_Xl0000002_Leopard_UniBOM_ME_0603-2_Bolt RFQ_Foxlink_03.1 2011 5" xfId="28741"/>
    <cellStyle name="好_River EE BOM_Xl0000002_Leopard_UniBOM_ME_0603-2_Bolt RFQ_Foxlink_03.1 2011_nego meeting@MACH 4" xfId="28742"/>
    <cellStyle name="好_River EE BOM_Xl0000002_Squirrel RFQ ME BOM Costs-0623 2 2 2" xfId="28743"/>
    <cellStyle name="好_River EE BOM_Xl0000002_Squirrel RFQ ME BOM Costs-0623 2 4" xfId="28744"/>
    <cellStyle name="好_River EE BOM_Xl0000002_Squirrel UniBom-06.23.2010_update_internal 2 2 2" xfId="28745"/>
    <cellStyle name="好_River EE BOM_Xl0000002_Squirrel RFQ ME BOM Costs-0623_Bolt RFQ Proposal_Foxlink_ (Pricing Summary) 2 25 2011 2" xfId="28746"/>
    <cellStyle name="好_River EE BOM_Xl0000002_Squirrel RFQ ME BOM Costs-0623_Bolt RFQ Proposal_Foxlink_ (Pricing Summary) 2 25 2011 2 2" xfId="28747"/>
    <cellStyle name="好_River EE BOM_Xl0000002_Squirrel RFQ ME BOM Costs-0623_Bolt RFQ Proposal_Foxlink_ (Pricing Summary) 2 25 2011 2 2 3" xfId="28748"/>
    <cellStyle name="好_River EE BOM_Xl0000002_Squirrel RFQ ME BOM Costs-0623_Bolt RFQ Proposal_Foxlink_ (Pricing Summary) 2 25 2011 4 3" xfId="28749"/>
    <cellStyle name="好_River EE BOM_Xl0000002_Squirrel RFQ ME BOM Costs-0623_Bolt RFQ Proposal_Foxlink_ (Pricing Summary) 2 25 2011 5 2" xfId="28750"/>
    <cellStyle name="好_River EE BOM_Xl0000002_Squirrel RFQ ME BOM Costs-0623_Bolt RFQ Proposal_Foxlink_ (Pricing Summary) 2 25 2011 5 3" xfId="28751"/>
    <cellStyle name="好_River EE BOM_Xl0000002_Squirrel RFQ ME BOM Costs-0623_Bolt RFQ Proposal_Foxlink_ (Pricing Summary) 2 25 2011 7" xfId="28752"/>
    <cellStyle name="好_River EE BOM_Xl0000002_Squirrel RFQ ME BOM Costs-0623_Bolt RFQ_Foxlink_03.1 2011 2" xfId="28753"/>
    <cellStyle name="好_River EE BOM_Xl0000002_Squirrel RFQ ME BOM Costs-0623_Bolt RFQ_Foxlink_03.1 2011 2 2" xfId="28754"/>
    <cellStyle name="好_River EE BOM_Xl0000002_Squirrel RFQ ME BOM Costs-0623_Bolt RFQ_Foxlink_03.1 2011 3" xfId="28755"/>
    <cellStyle name="好_River EE BOM_Xl0000002_Squirrel RFQ ME BOM Costs-0623_Bolt RFQ_Foxlink_03.1 2011 3 2" xfId="28756"/>
    <cellStyle name="好_River EE BOM_Xl0000002_Squirrel RFQ ME BOM Costs-0623_Bolt RFQ_Foxlink_03.1 2011 3 3" xfId="28757"/>
    <cellStyle name="差_Xl0000000_Leopard_UniBOM_ME_0602_Bolt RFQ_Foxlink_03.1 2011 2" xfId="28758"/>
    <cellStyle name="好_River EE BOM_Xl0000002_Squirrel RFQ ME BOM Costs-0623_Bolt RFQ_Foxlink_03.1 2011_nego meeting@MACH" xfId="28759"/>
    <cellStyle name="差_Xl0000000_Leopard_UniBOM_ME_0602_Bolt RFQ_Foxlink_03.1 2011 2 2" xfId="28760"/>
    <cellStyle name="好_River EE BOM_Xl0000002_Squirrel RFQ ME BOM Costs-0623_Bolt RFQ_Foxlink_03.1 2011_nego meeting@MACH 2" xfId="28761"/>
    <cellStyle name="差_F3   SMT設備明細_jupite r設備&amp;治工具LIST (總)_Dallas flow chart&amp;設備&amp;治工具清單(12-8 A0)_Flow chart and Fixture(1-4)_Jackson 效益分析 (2-1 B0 上系統)" xfId="28762"/>
    <cellStyle name="差_Xl0000000_Leopard_UniBOM_ME_0602_Bolt RFQ_Foxlink_03.1 2011 2 3" xfId="28763"/>
    <cellStyle name="好_River EE BOM_Xl0000002_Squirrel RFQ ME BOM Costs-0623_Bolt RFQ_Foxlink_03.1 2011_nego meeting@MACH 3" xfId="28764"/>
    <cellStyle name="好_River EE BOM_Xl0000002_Squirrel RFQ ME BOM Costs-0623_Bolt RFQ_Foxlink_03.1 2011_nego meeting@MACH 3 2" xfId="28765"/>
    <cellStyle name="好_River EE BOM_Xl0000002_Squirrel RFQ ME BOM Costs-0623_Bolt RFQ_Foxlink_03.1 2011_nego meeting@MACH 3 3" xfId="28766"/>
    <cellStyle name="好_River EE BOM_Xl0000002_Squirrel RFQ ME BOM Costs-0623_Bolt RFQ_Foxlink_03.1 2011_nego meeting@MACH 4" xfId="28767"/>
    <cellStyle name="好_River EE BOM_Xl0000002_Squirrel UniBom_Foxlink_7.27.2010" xfId="28768"/>
    <cellStyle name="差_Creak Pearl Reliability Fixture RFQ_2009 04 24_Xl0000002_Leopard_UniBOM_ME_0531_Bolt RFQ Proposal_Foxlink_ (Pricing Summary) 2 25 2011 5 2" xfId="28769"/>
    <cellStyle name="差_HP Mouse 產能評估(上系統)_Erie 效益分析 (Update)_Leopard Flowchart &amp; 產能評估" xfId="28770"/>
    <cellStyle name="好_River EE BOM_Xl0000002_Squirrel UniBom-06.23.2010_update_internal 2 3" xfId="28771"/>
    <cellStyle name="差_Creak Pearl Reliability Fixture RFQ_2009 04 24_Xl0000002_Leopard_UniBOM_ME_0531_Bolt RFQ Proposal_Foxlink_ (Pricing Summary) 2 25 2011 5 3" xfId="28772"/>
    <cellStyle name="好_River EE BOM_Xl0000002_Squirrel UniBom-06.23.2010_update_internal 2 4" xfId="28773"/>
    <cellStyle name="好_River EE BOM_Xl0000002_Squirrel UniBom-06.23.2010_update_internal 4" xfId="28774"/>
    <cellStyle name="好_River EE BOM_Xl0000002_Squirrel UniBom-06.23.2010_update_internal_Bolt RFQ Proposal_Foxlink_ (Pricing Summary) 2 25 2011" xfId="28775"/>
    <cellStyle name="好_River EE BOM_Xl0000002_Squirrel UniBom-06.23.2010_update_internal_Bolt RFQ Proposal_Foxlink_ (Pricing Summary) 2 25 2011 2" xfId="28776"/>
    <cellStyle name="输出 2 3 3 3" xfId="28777"/>
    <cellStyle name="好_River EE BOM_Xl0000002_Squirrel UniBom-06.23.2010_update_internal_Bolt RFQ Proposal_Foxlink_ (Pricing Summary) 2 25 2011 2 2" xfId="28778"/>
    <cellStyle name="好_River EE BOM_Xl0000002_Squirrel UniBom-06.23.2010_update_internal_Bolt RFQ Proposal_Foxlink_ (Pricing Summary) 2 25 2011 2 2 3" xfId="28779"/>
    <cellStyle name="差_Creek RFQ feedback 04_28_2009_FD Update_Foxlink_Shadow RFQ NREUni BOM_12032009_Bolt RFQ Proposal_Foxlink_ (Pricing Summary) 2 25 2011 2 2" xfId="28780"/>
    <cellStyle name="好_River EE BOM_Xl0000002_Squirrel UniBom-06.23.2010_update_internal_Bolt RFQ Proposal_Foxlink_ (Pricing Summary) 2 25 2011 2 3" xfId="28781"/>
    <cellStyle name="差_Creek RFQ feedback 04_28_2009_FD Update_Foxlink_Shadow RFQ NREUni BOM_12032009_Bolt RFQ Proposal_Foxlink_ (Pricing Summary) 2 25 2011 2 3" xfId="28782"/>
    <cellStyle name="好_River EE BOM_Xl0000002_Squirrel UniBom-06.23.2010_update_internal_Bolt RFQ Proposal_Foxlink_ (Pricing Summary) 2 25 2011 2 4" xfId="28783"/>
    <cellStyle name="好_River EE BOM_Xl0000002_Squirrel UniBom-06.23.2010_update_internal_Bolt RFQ Proposal_Foxlink_ (Pricing Summary) 2 25 2011 3" xfId="28784"/>
    <cellStyle name="好_River EE BOM_Xl0000002_Squirrel UniBom-06.23.2010_update_internal_Bolt RFQ Proposal_Foxlink_ (Pricing Summary) 2 25 2011 3 2" xfId="28785"/>
    <cellStyle name="差_Creek RFQ feedback 04_28_2009_FD Update_Leopard_UniBOM_ME_0531_Bolt RFQ Proposal_Foxlink_ (Pricing Summary) 2 25 2011 2 2" xfId="28786"/>
    <cellStyle name="差_Creek RFQ feedback 04_28_2009_FD Update_Foxlink_Shadow RFQ NREUni BOM_12032009_Bolt RFQ Proposal_Foxlink_ (Pricing Summary) 2 25 2011 3 2" xfId="28787"/>
    <cellStyle name="好_River EE BOM_Xl0000002_Squirrel UniBom-06.23.2010_update_internal_Bolt RFQ Proposal_Foxlink_ (Pricing Summary) 2 25 2011 3 3" xfId="28788"/>
    <cellStyle name="好_River EE BOM_Xl0000002_Squirrel UniBom-06.23.2010_update_internal_Bolt RFQ Proposal_Foxlink_ (Pricing Summary) 2 25 2011 4" xfId="28789"/>
    <cellStyle name="好_River EE BOM_Xl0000002_Squirrel UniBom-06.23.2010_update_internal_Bolt RFQ Proposal_Foxlink_ (Pricing Summary) 2 25 2011 4 2" xfId="28790"/>
    <cellStyle name="差_Creek RFQ feedback 04_28_2009_FD Update_Leopard_UniBOM_ME_0531_Bolt RFQ Proposal_Foxlink_ (Pricing Summary) 2 25 2011 3 2" xfId="28791"/>
    <cellStyle name="差_Creek RFQ feedback 04_28_2009_FD Update_Foxlink_Shadow RFQ NREUni BOM_12032009_Bolt RFQ Proposal_Foxlink_ (Pricing Summary) 2 25 2011 4 2" xfId="28792"/>
    <cellStyle name="好_River EE BOM_Xl0000002_Squirrel UniBom-06.23.2010_update_internal_Bolt RFQ Proposal_Foxlink_ (Pricing Summary) 2 25 2011 4 3" xfId="28793"/>
    <cellStyle name="好_River EE BOM_Xl0000002_Squirrel UniBom-06.23.2010_update_internal_Bolt RFQ Proposal_Foxlink_ (Pricing Summary) 2 25 2011 5" xfId="28794"/>
    <cellStyle name="好_River EE BOM_Xl0000002_Squirrel UniBom-06.23.2010_update_internal_Bolt RFQ Proposal_Foxlink_ (Pricing Summary) 2 25 2011 5 2" xfId="28795"/>
    <cellStyle name="差_Creek RFQ feedback 04_28_2009_FD Update_Leopard_UniBOM_ME_0531_Bolt RFQ Proposal_Foxlink_ (Pricing Summary) 2 25 2011 4 2" xfId="28796"/>
    <cellStyle name="差_Creek RFQ feedback 04_28_2009_FD Update_Foxlink_Shadow RFQ NREUni BOM_12032009_Bolt RFQ Proposal_Foxlink_ (Pricing Summary) 2 25 2011 5 2" xfId="28797"/>
    <cellStyle name="好_River EE BOM_Xl0000002_Squirrel UniBom-06.23.2010_update_internal_Bolt RFQ Proposal_Foxlink_ (Pricing Summary) 2 25 2011 5 3" xfId="28798"/>
    <cellStyle name="好_River EE BOM_Xl0000002_Squirrel UniBom-06.23.2010_update_internal_Bolt RFQ_Foxlink_03.1 2011" xfId="28799"/>
    <cellStyle name="差_HP Mouse 產能評估(Forecast更改後)_M1 Lemur Capacity planFixtureEquipment Cost_A2_06192010_Squirrel UniBom_Foxlink_6 28 2010" xfId="28800"/>
    <cellStyle name="好_成本明細" xfId="28801"/>
    <cellStyle name="好_River EE BOM_Xl0000002_Squirrel UniBom-06.23.2010_update_internal_Bolt RFQ_Foxlink_03.1 2011 2 2" xfId="28802"/>
    <cellStyle name="好_River EE BOM_Xl0000002_Squirrel UniBom-06.23.2010_update_internal_Bolt RFQ_Foxlink_03.1 2011 5" xfId="28803"/>
    <cellStyle name="好_River EE BOM_Xl0000002_Squirrel UniBom-06.23.2010_update_internal_Bolt RFQ_Foxlink_03.1 2011_nego meeting@MACH 2" xfId="28804"/>
    <cellStyle name="好_River EE BOM_Xl0000002_Squirrel UniBom-06.23.2010_update_internal_Bolt RFQ_Foxlink_03.1 2011_nego meeting@MACH 2 2" xfId="28805"/>
    <cellStyle name="好_River EE BOM_Xl0000002_Squirrel UniBom-06.23.2010_update_internal_Bolt RFQ_Foxlink_03.1 2011_nego meeting@MACH 3" xfId="28806"/>
    <cellStyle name="好_River EE BOM_Xl0000002_Squirrel UniBom-06.23.2010_update_internal_Bolt RFQ_Foxlink_03.1 2011_nego meeting@MACH 4" xfId="28807"/>
    <cellStyle name="好_River EE BOM_Xl0000002_Squirrel UniBom-06.23.2010_update_internal_Bolt RFQ_Foxlink_03.1 2011_nego meeting@MACH 5" xfId="28808"/>
    <cellStyle name="好_River QA Report- 8.23_Dolce   QA Report 2010_0902 (A3)" xfId="28809"/>
    <cellStyle name="好_River QA Report- 8.23_Suede QA report for EV2.1 _20110301_Update" xfId="28810"/>
    <cellStyle name="好_River QA Report- 8.23_Xl0000010" xfId="28811"/>
    <cellStyle name="好_Suede PCBA Smurf data_EV3_20110411" xfId="28812"/>
    <cellStyle name="差_Creak Pearl Reliability Fixture RFQ_2009 04 24_Squirrel RFQ ME BOM Costs-0623_Bolt RFQ_Foxlink_03.1 2011_nego meeting@MACH 4" xfId="28813"/>
    <cellStyle name="好_Suede QA report for EV2 _20110223" xfId="28814"/>
    <cellStyle name="差_Creak Pearl Reliability Fixture RFQ_2009 04 24_Leopard_UniBOM_ME_0603-2_Bolt RFQ_Foxlink_03.1 2011_nego meeting@MACH" xfId="28815"/>
    <cellStyle name="好_Suede QA report for EV2 _20110223_Suede QA report for EV2.1 _20110301_Update" xfId="28816"/>
    <cellStyle name="好_Suede QA report for EV2.1 _20110301_Update" xfId="28817"/>
    <cellStyle name="差_Creak Pearl Reliability Fixture RFQ_2009 04 24_Creek  Pearl RFQ_May 12_Leopard_UniBOM_ME_0602-1_Bolt RFQ Proposal_Foxlink_ (Pricing Summary) 2 25 2011 3" xfId="28818"/>
    <cellStyle name="差_HP Mouse 產能評估(Forecast更改後)_M1 Bolt wireless mouse FixtureEquipment Cost_A2_2010_12_07_Bolt RFQ Proposal_Foxlink_ (Pricing Summary) 2 25 2011 5 3" xfId="28819"/>
    <cellStyle name="好_Suede QA report for EV2.1_20110301" xfId="28820"/>
    <cellStyle name="差_~5631336_Jackson 效益分析 (2-1 B0 上系統)_Leopard效益分析08-17" xfId="28821"/>
    <cellStyle name="好_Total Equipment Cost_0429" xfId="28822"/>
    <cellStyle name="好_Total Equipment Cost_0430" xfId="28823"/>
    <cellStyle name="差_HP Mouse 產能評估(上系統)_Bolt RFQ_Foxlink_03.1 2011 2 2" xfId="28824"/>
    <cellStyle name="好_Xl0000010" xfId="28825"/>
    <cellStyle name="好_成本明細-Erie_20090819" xfId="28826"/>
    <cellStyle name="好_治具工程課2009年KPI 2 2 2 2" xfId="28827"/>
    <cellStyle name="好_治具工程課2009年KPI 3 3" xfId="28828"/>
    <cellStyle name="好_治具工程課2009年KPI 3 4" xfId="28829"/>
    <cellStyle name="好_治具工程課2009年KPI 4" xfId="28830"/>
    <cellStyle name="好_治具工程課2009年KPI 5" xfId="28831"/>
    <cellStyle name="好_治具工程課2009年KPI 5 2 2" xfId="28832"/>
    <cellStyle name="好_治具工程課2009年KPI 5 3" xfId="28833"/>
    <cellStyle name="好_治具工程課2009年KPI 6" xfId="28834"/>
    <cellStyle name="好_治具工程課2009年KPI 6 3" xfId="28835"/>
    <cellStyle name="好_治具工程課2009年KPI_2009MB KPI-0205 2" xfId="28836"/>
    <cellStyle name="好_治具工程課2009年KPI_2009MB KPI-0205 2 2" xfId="28837"/>
    <cellStyle name="好_治具工程課2009年KPI_2009MB KPI-0205 2 2 2 2" xfId="28838"/>
    <cellStyle name="好_治具工程課2009年KPI_2009MB KPI-0205 2 2 2 3" xfId="28839"/>
    <cellStyle name="好_治具工程課2009年KPI_2009MB KPI-0205 2 2 3" xfId="28840"/>
    <cellStyle name="好_治具工程課2009年KPI_2009MB KPI-0205 2 2 4" xfId="28841"/>
    <cellStyle name="好_治具工程課2009年KPI_2009MB KPI-0205 2 3" xfId="28842"/>
    <cellStyle name="差_F3   SMT設備明細_jupite r設備&amp;治工具LIST (總)_pq_Flow chart and Fixture(1-4)_Jackson 效益分析 (2-1 B0 上系統)" xfId="28843"/>
    <cellStyle name="标题 1 2 2" xfId="28844"/>
    <cellStyle name="好_治具工程課2009年KPI_2009MB KPI-0205 2 3 3" xfId="28845"/>
    <cellStyle name="好_治具工程課2009年KPI_2009MB KPI-0205 2 5" xfId="28846"/>
    <cellStyle name="差_dallas產能評估_Dallas效益分析&amp;投資回收期 (12-2 A1)_Jackson 效益分析 testing update_16th Jan111_Jackson 效益分析 (2-1 B0 上系統)_Leopard效益分析08-17" xfId="28847"/>
    <cellStyle name="好_治具工程課2009年KPI_2009MB KPI-0205 3" xfId="28848"/>
    <cellStyle name="差_Creak Pearl Reliability Fixture RFQ_2009 04 24_Creek  Pearl RFQ_May 12_Leopard_UniBOM_ME_0603-2_Bolt RFQ Proposal_Foxlink_ (Pricing Summary) 2 25 2011 3 3" xfId="28849"/>
    <cellStyle name="好_治具工程課2009年KPI_2009MB KPI-0205 3 2 2" xfId="28850"/>
    <cellStyle name="好_治具工程課2009年KPI_2009MB KPI-0205 3 2 3" xfId="28851"/>
    <cellStyle name="好_治具工程課2009年KPI_2009MB KPI-0205 3 4" xfId="28852"/>
    <cellStyle name="好_治具工程課2009年KPI_2009MB KPI-0205 5 2" xfId="28853"/>
    <cellStyle name="好_治具工程課2009年KPI_2009MB KPI-0205 5 3" xfId="28854"/>
    <cellStyle name="好_治具工程課2009年KPI_2009MB KPI-0205 5 4" xfId="28855"/>
    <cellStyle name="好_治具工程課2009年KPI_2009MB KPI-0205 6 3" xfId="28856"/>
    <cellStyle name="差_Erie mouse 效益分析( 11-19 A1)_~5631336_Jackson 效益分析 (2-1 B0 上系統)_Leopard效益分析08-17" xfId="28857"/>
    <cellStyle name="好_治具工程課2009年KPI_HP 2 3" xfId="28858"/>
    <cellStyle name="好_治具工程課2009年KPI_HP 2 3 2" xfId="28859"/>
    <cellStyle name="好_治具工程課2009年KPI_HP 2 5" xfId="28860"/>
    <cellStyle name="差_MB9月管審誤判超標 8D_2009MB KPI_MBO3F製造部hp0209-01 3" xfId="28861"/>
    <cellStyle name="好_治具工程課2009年KPI_HP 3 2 2" xfId="28862"/>
    <cellStyle name="差_MB9月管審誤判超標 8D_2009MB KPI_MBO3F製造部hp0209-01 4" xfId="28863"/>
    <cellStyle name="好_治具工程課2009年KPI_HP 3 2 3" xfId="28864"/>
    <cellStyle name="好_治具工程課2009年KPI_HP 3 3" xfId="28865"/>
    <cellStyle name="好_治具工程課2009年KPI_HP 3 4" xfId="28866"/>
    <cellStyle name="好_治具工程課2009年KPI_HP 5" xfId="28867"/>
    <cellStyle name="好_治具工程課2009年KPI_HP 5 2" xfId="28868"/>
    <cellStyle name="好_治具工程課2009年KPI_HP 5 3" xfId="28869"/>
    <cellStyle name="好_治具工程課2009年KPI_HP 5 4" xfId="28870"/>
    <cellStyle name="好_治具工程課2009年KPI_HP 6" xfId="28871"/>
    <cellStyle name="好_治具工程課2009年KPI_HP 6 3" xfId="28872"/>
    <cellStyle name="好_治具工程課2009年KPI_KPI 1006" xfId="28873"/>
    <cellStyle name="好_治具工程課2009年KPI_KPI 1006 2" xfId="28874"/>
    <cellStyle name="好_治具工程課2009年KPI_KPI 1006 2 2" xfId="28875"/>
    <cellStyle name="好_治具工程課2009年KPI_KPI 1006 2 2 2" xfId="28876"/>
    <cellStyle name="差_Creek RFQ feedback 04_28_2009_FD Update_Leopard_UniBOM_ME_0602_Bolt RFQ_Foxlink_03.1 2011_nego meeting@MACH 3 2" xfId="28877"/>
    <cellStyle name="差_Creak Pearl Reliability Fixture RFQ_2009 04 24_Creek  Pearl RFQ_May 12_Jackson and Shadow BOM cost_mainfile_2010 0324 rev.1_Leopard UniBom_Foxlink_12092010 RevD-jen" xfId="28878"/>
    <cellStyle name="好_治具工程課2009年KPI_KPI 1006 2 2 2 3" xfId="28879"/>
    <cellStyle name="好_治具工程課2009年KPI_KPI 1006 2 2 4" xfId="28880"/>
    <cellStyle name="好_治具工程課2009年KPI_KPI 1006 2 3" xfId="28881"/>
    <cellStyle name="好_治具工程課2009年KPI_KPI 1006 2 3 2" xfId="28882"/>
    <cellStyle name="好_治具工程課2009年KPI_KPI 1006 2 3 3" xfId="28883"/>
    <cellStyle name="好_治具工程課2009年KPI_KPI 1006 2 4" xfId="28884"/>
    <cellStyle name="差_Creak Pearl Reliability Fixture RFQ_2009 04 24_Leopard UniBom_Foxlink_6 21 2010-ME_nego_Bolt RFQ Proposal_Foxlink_ (Pricing Summary) 2 25 2011 3 2" xfId="28885"/>
    <cellStyle name="好_治具工程課2009年KPI_KPI 1006 2 5" xfId="28886"/>
    <cellStyle name="好_治具工程課2009年KPI_KPI 1006 3 2" xfId="28887"/>
    <cellStyle name="好_治具工程課2009年KPI_KPI 1006 3 2 2" xfId="28888"/>
    <cellStyle name="好_治具工程課2009年KPI_KPI 1006 3 2 3" xfId="28889"/>
    <cellStyle name="好_治具工程課2009年KPI_KPI 1006 3 3" xfId="28890"/>
    <cellStyle name="好_治具工程課2009年KPI_KPI 1006 6" xfId="28891"/>
    <cellStyle name="差_jupite r設備&amp;治工具LIST (總)_Flow Chart&amp;PQ分析(12-1)_Flow chart and Fixture(Jackson)_A1_Jackson 效益分析 (2-1 B0 上系統)_squirrel效益分析08-17" xfId="28892"/>
    <cellStyle name="好_治具工程課2009年KPI_產線生產規劃KPI 2" xfId="28893"/>
    <cellStyle name="好_治具工程課2009年KPI_產線生產規劃KPI 2 2" xfId="28894"/>
    <cellStyle name="好_治具工程課2009年KPI_產線生產規劃KPI 2 2 2 2" xfId="28895"/>
    <cellStyle name="好_治具工程課2009年KPI_產線生產規劃KPI 2 2 4" xfId="28896"/>
    <cellStyle name="好_治具工程課2009年KPI_產線生產規劃KPI 2 3" xfId="28897"/>
    <cellStyle name="好_治具工程課2009年KPI_產線生產規劃KPI 2 3 2" xfId="28898"/>
    <cellStyle name="好_治具工程課2009年KPI_產線生產規劃KPI 2 5" xfId="28899"/>
    <cellStyle name="好_治具工程課2009年KPI_產線生產規劃KPI 3" xfId="28900"/>
    <cellStyle name="好_治具工程課2009年KPI_產線生產規劃KPI 3 2" xfId="28901"/>
    <cellStyle name="好_治具工程課2009年KPI_產線生產規劃KPI 3 2 2" xfId="28902"/>
    <cellStyle name="好_治具工程課2009年KPI_產線生產規劃KPI 3 2 3" xfId="28903"/>
    <cellStyle name="好_治具工程課2009年KPI_產線生產規劃KPI 3 4" xfId="28904"/>
    <cellStyle name="好_治具工程課2009年KPI_產線生產規劃KPI 4" xfId="28905"/>
    <cellStyle name="好_治具工程課2009年KPI_產線生產規劃KPI 5" xfId="28906"/>
    <cellStyle name="好_治具工程課2009年KPI_產線生產規劃KPI 5 2 2" xfId="28907"/>
    <cellStyle name="差_Creak Pearl Reliability Fixture RFQ_2009 04 24_Creek RFQ feedback 04_28_2009_FD Update_Leopard Lemur Squirrel UniBom-06.22.2010_EE cost _update_internal" xfId="28908"/>
    <cellStyle name="好_治具工程課2009年KPI_產線生產規劃KPI 6 2" xfId="28909"/>
    <cellStyle name="好_治具工程課2009年KPI_產線生產規劃KPI 6 3" xfId="28910"/>
    <cellStyle name="差_F3   SMT設備明細_jupite r設備&amp;治工具LIST (總)_Flow Chart&amp;PQ分析(12-1)_效益分析(總 12-28 Update)_Leopard效益分析08-17" xfId="28911"/>
    <cellStyle name="好_效益分析&amp;產能評估 2" xfId="28912"/>
    <cellStyle name="好_效益分析&amp;產能評估 2 2" xfId="28913"/>
    <cellStyle name="好_效益分析&amp;產能評估 2 2 2" xfId="28914"/>
    <cellStyle name="好_效益分析&amp;產能評估 2 2 3" xfId="28915"/>
    <cellStyle name="差_Xl0000002_Squirrel UniBom-06.23.2010_update_internal_Bolt RFQ Proposal_Foxlink_ (Pricing Summary) 2 25 2011 5 2" xfId="28916"/>
    <cellStyle name="好_效益分析&amp;產能評估 3 3" xfId="28917"/>
    <cellStyle name="好_效益分析&amp;產能評估_Bolt RFQ Proposal_Foxlink_ (Pricing Summary) 2 25 2011 2" xfId="28918"/>
    <cellStyle name="好_效益分析&amp;產能評估_Bolt RFQ Proposal_Foxlink_ (Pricing Summary) 2 25 2011 2 2 2" xfId="28919"/>
    <cellStyle name="好_效益分析&amp;產能評估_Bolt RFQ Proposal_Foxlink_ (Pricing Summary) 2 25 2011 3" xfId="28920"/>
    <cellStyle name="好_效益分析&amp;產能評估_Bolt RFQ Proposal_Foxlink_ (Pricing Summary) 2 25 2011 4 2" xfId="28921"/>
    <cellStyle name="好_效益分析&amp;產能評估_Bolt RFQ Proposal_Foxlink_ (Pricing Summary) 2 25 2011 6" xfId="28922"/>
    <cellStyle name="好_效益分析&amp;產能評估_Bolt RFQ Proposal_Foxlink_ (Pricing Summary) 2 25 2011 7" xfId="28923"/>
    <cellStyle name="差_HP  專案(設備&amp;治工具需夠買)update_Jackson 效益分析 (2-1 B0 上系統)" xfId="28924"/>
    <cellStyle name="好_效益分析&amp;產能評估_Bolt RFQ_Foxlink_03.1 2011 2" xfId="28925"/>
    <cellStyle name="好_效益分析&amp;產能評估_Bolt RFQ_Foxlink_03.1 2011 3" xfId="28926"/>
    <cellStyle name="好_效益分析&amp;產能評估_Bolt RFQ_Foxlink_03.1 2011_nego meeting@MACH 2 3" xfId="28927"/>
    <cellStyle name="好_效益分析&amp;產能評估_M1 Bolt wireless mouse FixtureEquipment Cost_A2_2010_12_07 2 2" xfId="28928"/>
    <cellStyle name="好_效益分析&amp;產能評估_M1 Bolt wireless mouse FixtureEquipment Cost_A2_2010_12_07 3 2" xfId="28929"/>
    <cellStyle name="好_效益分析&amp;產能評估_M1 Bolt wireless mouse FixtureEquipment Cost_A2_2010_12_07 3 3" xfId="28930"/>
    <cellStyle name="好_效益分析&amp;產能評估_M1 Bolt wireless mouse FixtureEquipment Cost_A2_2010_12_07_Bolt RFQ Proposal_Foxlink_ (Pricing Summary) 2 25 2011" xfId="28931"/>
    <cellStyle name="好_效益分析&amp;產能評估_M1 Bolt wireless mouse FixtureEquipment Cost_A2_2010_12_07_Bolt RFQ Proposal_Foxlink_ (Pricing Summary) 2 25 2011 2" xfId="28932"/>
    <cellStyle name="好_效益分析&amp;產能評估_M1 Bolt wireless mouse FixtureEquipment Cost_A2_2010_12_07_Bolt RFQ Proposal_Foxlink_ (Pricing Summary) 2 25 2011 2 2 2" xfId="28933"/>
    <cellStyle name="好_效益分析&amp;產能評估_M1 Bolt wireless mouse FixtureEquipment Cost_A2_2010_12_07_Bolt RFQ Proposal_Foxlink_ (Pricing Summary) 2 25 2011 2 2 3" xfId="28934"/>
    <cellStyle name="好_效益分析&amp;產能評估_M1 Bolt wireless mouse FixtureEquipment Cost_A2_2010_12_07_Bolt RFQ Proposal_Foxlink_ (Pricing Summary) 2 25 2011 2 4" xfId="28935"/>
    <cellStyle name="好_效益分析&amp;產能評估_M1 Bolt wireless mouse FixtureEquipment Cost_A2_2010_12_07_Bolt RFQ Proposal_Foxlink_ (Pricing Summary) 2 25 2011 3" xfId="28936"/>
    <cellStyle name="好_效益分析&amp;產能評估_M1 Bolt wireless mouse FixtureEquipment Cost_A2_2010_12_07_Bolt RFQ Proposal_Foxlink_ (Pricing Summary) 2 25 2011 3 2" xfId="28937"/>
    <cellStyle name="好_效益分析&amp;產能評估_M1 Bolt wireless mouse FixtureEquipment Cost_A2_2010_12_07_Bolt RFQ Proposal_Foxlink_ (Pricing Summary) 2 25 2011 3 3" xfId="28938"/>
    <cellStyle name="好_效益分析&amp;產能評估_M1 Bolt wireless mouse FixtureEquipment Cost_A2_2010_12_07_Bolt RFQ Proposal_Foxlink_ (Pricing Summary) 2 25 2011 4 3" xfId="28939"/>
    <cellStyle name="好_效益分析&amp;產能評估_M1 Bolt wireless mouse FixtureEquipment Cost_A2_2010_12_07_Bolt RFQ Proposal_Foxlink_ (Pricing Summary) 2 25 2011 5 2" xfId="28940"/>
    <cellStyle name="好_效益分析&amp;產能評估_M1 Bolt wireless mouse FixtureEquipment Cost_A2_2010_12_07_Bolt RFQ Proposal_Foxlink_ (Pricing Summary) 2 25 2011 5 3" xfId="28941"/>
    <cellStyle name="好_效益分析&amp;產能評估_M1 Lemur Capacity planFixtureEquipment Cost_A2_06192010" xfId="28942"/>
    <cellStyle name="好_效益分析&amp;產能評估_M1 Lemur Capacity planFixtureEquipment Cost_A2_06192010_Bristol UniBom_Foxlink_02082011 RevA" xfId="28943"/>
    <cellStyle name="好_效益分析&amp;產能評估_M1 Lemur Capacity planFixtureEquipment Cost_A2_06192010_Leopard UniBom_Foxlink_12272010 RevF_shirley" xfId="28944"/>
    <cellStyle name="好_效益分析&amp;產能評估_M1 Lemur Capacity planFixtureEquipment Cost_A2_06192010_Squirrel UniBom_Foxlink_6 28 2010" xfId="28945"/>
    <cellStyle name="差_Xl0000000_Squirrel RFQ ME BOM Costs-0623_Bolt RFQ Proposal_Foxlink_ (Pricing Summary) 2 25 2011 2" xfId="28946"/>
    <cellStyle name="好_效益分析&amp;產能評估_M1 Squirrel Capacity planFixtureEquipment Cost_A2_06192010_Bristol UniBom_Foxlink_02082011 RevA" xfId="28947"/>
    <cellStyle name="好_效益分析&amp;產能評估_M1 Squirrel Capacity planFixtureEquipment Cost_A2_06192010_Squirrel UniBom_Foxlink_6 28 2010" xfId="28948"/>
    <cellStyle name="好_效益分析&amp;產能評估_M1 SuedeFixtureEquipment Cost_A0_2010_10_15 2" xfId="28949"/>
    <cellStyle name="好_效益分析&amp;產能評估_M1 SuedeFixtureEquipment Cost_A0_2010_10_15 2 2 3" xfId="28950"/>
    <cellStyle name="好_效益分析&amp;產能評估_M1 SuedeFixtureEquipment Cost_A0_2010_10_15 2 3" xfId="28951"/>
    <cellStyle name="好_效益分析&amp;產能評估_M1 SuedeFixtureEquipment Cost_A0_2010_10_15 2 4" xfId="28952"/>
    <cellStyle name="好_效益分析&amp;產能評估_M1 SuedeFixtureEquipment Cost_A0_2010_10_15 4" xfId="28953"/>
    <cellStyle name="好_效益分析&amp;產能評估_M1 SuedeFixtureEquipment Cost_A0_2010_10_15_Bolt RFQ Proposal_Foxlink_ (Pricing Summary) 2 25 2011 2 2" xfId="28954"/>
    <cellStyle name="好_效益分析&amp;產能評估_M1 SuedeFixtureEquipment Cost_A0_2010_10_15_Bolt RFQ Proposal_Foxlink_ (Pricing Summary) 2 25 2011 2 3" xfId="28955"/>
    <cellStyle name="好_效益分析&amp;產能評估_M1 SuedeFixtureEquipment Cost_A0_2010_10_15_Bolt RFQ Proposal_Foxlink_ (Pricing Summary) 2 25 2011 2 4" xfId="28956"/>
    <cellStyle name="好_效益分析&amp;產能評估_M1 SuedeFixtureEquipment Cost_A0_2010_10_15_Bolt RFQ Proposal_Foxlink_ (Pricing Summary) 2 25 2011 3" xfId="28957"/>
    <cellStyle name="好_效益分析&amp;產能評估_M1 SuedeFixtureEquipment Cost_A0_2010_10_15_Bolt RFQ Proposal_Foxlink_ (Pricing Summary) 2 25 2011 3 2" xfId="28958"/>
    <cellStyle name="好_效益分析&amp;產能評估_M1 SuedeFixtureEquipment Cost_A0_2010_10_15_Bolt RFQ Proposal_Foxlink_ (Pricing Summary) 2 25 2011 5" xfId="28959"/>
    <cellStyle name="好_效益分析&amp;產能評估_M1 SuedeFixtureEquipment Cost_A0_2010_10_15_Bolt RFQ Proposal_Foxlink_ (Pricing Summary) 2 25 2011 6" xfId="28960"/>
    <cellStyle name="好_效益分析&amp;產能評估_M1 SuedeFixtureEquipment Cost_A0_2010_10_15_Bolt RFQ Proposal_Foxlink_ (Pricing Summary) 2 25 2011 7" xfId="28961"/>
    <cellStyle name="好_效益分析&amp;產能評估_M1 SuedeFixtureEquipment Cost_A0_2010_10_15_Bolt RFQ_Foxlink_03.1 2011 2" xfId="28962"/>
    <cellStyle name="好_效益分析&amp;產能評估_M1 SuedeFixtureEquipment Cost_A0_2010_10_15_Bolt RFQ_Foxlink_03.1 2011 3" xfId="28963"/>
    <cellStyle name="好_效益分析&amp;產能評估_M1 SuedeFixtureEquipment Cost_A0_2010_10_15_Bolt RFQ_Foxlink_03.1 2011 5" xfId="28964"/>
    <cellStyle name="好_效益分析&amp;產能評估_M1 SuedeFixtureEquipment Cost_A0_2010_10_15_Bolt RFQ_Foxlink_03.1 2011_nego meeting@MACH" xfId="28965"/>
    <cellStyle name="标题 1 2 3 3" xfId="28966"/>
    <cellStyle name="好_效益分析&amp;產能評估_M1 SuedeFixtureEquipment Cost_A0_2010_10_15_Bolt RFQ_Foxlink_03.1 2011_nego meeting@MACH 2" xfId="28967"/>
    <cellStyle name="好_效益分析&amp;產能評估_M1 SuedeFixtureEquipment Cost_A0_2010_10_15_Bolt RFQ_Foxlink_03.1 2011_nego meeting@MACH 2 2" xfId="28968"/>
    <cellStyle name="好_效益分析&amp;產能評估_M1 SuedeFixtureEquipment Cost_A0_2010_10_15_Bolt RFQ_Foxlink_03.1 2011_nego meeting@MACH 3" xfId="28969"/>
    <cellStyle name="好_效益分析&amp;產能評估_M1 SuedeFixtureEquipment Cost_A0_2010_10_15_Bolt RFQ_Foxlink_03.1 2011_nego meeting@MACH 3 3" xfId="28970"/>
    <cellStyle name="好_效益分析&amp;產能評估_M1 SuedeFixtureEquipment Cost_A0_2010_10_15_Bolt RFQ_Foxlink_03.1 2011_nego meeting@MACH 4" xfId="28971"/>
    <cellStyle name="好_效益分析&amp;產能評估_M1 SuedeFixtureEquipment Cost_A0_2010_10_15_Wedge_ME_BOM-v00-11v0630" xfId="28972"/>
    <cellStyle name="差_Xl0000002_Leopard_UniBOM_ME_0602-1_Bolt RFQ Proposal_Foxlink_ (Pricing Summary) 2 25 2011 4" xfId="28973"/>
    <cellStyle name="好_效益分析&amp;產能評估_M1 SuedeFixtureEquipment Cost_A0_2010_10_15_Wedge_ME_BOM-v00-11v0630 2 2" xfId="28974"/>
    <cellStyle name="差_Xl0000002_Leopard_UniBOM_ME_0602-1_Bolt RFQ Proposal_Foxlink_ (Pricing Summary) 2 25 2011 5" xfId="28975"/>
    <cellStyle name="好_效益分析&amp;產能評估_M1 SuedeFixtureEquipment Cost_A0_2010_10_15_Wedge_ME_BOM-v00-11v0630 2 3" xfId="28976"/>
    <cellStyle name="好_效益分析&amp;產能評估_M1 SuedeFixtureEquipment Cost_A0_2010_10_15_Wedge_ME_BOM-v00-11v0715" xfId="28977"/>
    <cellStyle name="好_效益分析&amp;產能評估_M1 SuedeFixtureEquipment Cost_A0_2010_10_15_Wedge_ME_BOM-v00-11v0715 2" xfId="28978"/>
    <cellStyle name="好_效益分析&amp;產能評估_M1 SuedeFixtureEquipment Cost_A0_2010_10_15_Wedge_ME_BOM-v00-11v0715 3" xfId="28979"/>
    <cellStyle name="好_效益分析&amp;產能評估_MS Bolt wireless mouse FixtureEquipment Cost_A5_2010_02_21" xfId="28980"/>
    <cellStyle name="好_效益分析&amp;產能評估_MS Bolt wireless mouse FixtureEquipment Cost_A5_2010_02_21 2 2 2" xfId="28981"/>
    <cellStyle name="差_Creek RFQ feedback 04_28_2009_FD Update_Leopard RFQ ME BOM Costs-0618_Bolt RFQ Proposal_Foxlink_ (Pricing Summary) 2 25 2011 4 3" xfId="28982"/>
    <cellStyle name="好_效益分析&amp;產能評估_MS Bolt wireless mouse FixtureEquipment Cost_A5_2010_02_21 2 3" xfId="28983"/>
    <cellStyle name="好_效益分析&amp;產能評估_MS Bolt wireless mouse FixtureEquipment Cost_A5_2010_02_21 2 4" xfId="28984"/>
    <cellStyle name="差_Creek RFQ feedback 04_28_2009_FD Update_Leopard RFQ ME BOM Costs-0618_Bolt RFQ Proposal_Foxlink_ (Pricing Summary) 2 25 2011 5" xfId="28985"/>
    <cellStyle name="好_效益分析&amp;產能評估_MS Bolt wireless mouse FixtureEquipment Cost_A5_2010_02_21 3" xfId="28986"/>
    <cellStyle name="差_Creek RFQ feedback 04_28_2009_FD Update_Leopard RFQ ME BOM Costs-0618_Bolt RFQ Proposal_Foxlink_ (Pricing Summary) 2 25 2011 5 2" xfId="28987"/>
    <cellStyle name="好_效益分析&amp;產能評估_MS Bolt wireless mouse FixtureEquipment Cost_A5_2010_02_21 3 2" xfId="28988"/>
    <cellStyle name="差_Creek RFQ feedback 04_28_2009_FD Update_Leopard RFQ ME BOM Costs-0618_Bolt RFQ Proposal_Foxlink_ (Pricing Summary) 2 25 2011 6" xfId="28989"/>
    <cellStyle name="好_效益分析&amp;產能評估_MS Bolt wireless mouse FixtureEquipment Cost_A5_2010_02_21 4" xfId="28990"/>
    <cellStyle name="差_Creek RFQ feedback 04_28_2009_FD Update_Leopard UniBom-06 22 2010_update_internal" xfId="28991"/>
    <cellStyle name="差_Creek RFQ feedback 04_28_2009_FD Update_Leopard RFQ ME BOM Costs-0618_Bolt RFQ Proposal_Foxlink_ (Pricing Summary) 2 25 2011 7" xfId="28992"/>
    <cellStyle name="好_效益分析&amp;產能評估_MS Bolt wireless mouse FixtureEquipment Cost_A5_2010_02_21 5" xfId="28993"/>
    <cellStyle name="差_Creak Pearl Reliability Fixture RFQ_2009 04 24_Xl0000002_Foxlink_Shadow RFQ NREUni BOM_12032009_Bolt RFQ_Foxlink_03.1 2011_nego meeting@MACH 3 3" xfId="28994"/>
    <cellStyle name="好_效益分析&amp;產能評估_MS Bolt wireless mouse FixtureEquipment Cost_A5_2010_02_21_Bolt RFQ Proposal_Foxlink_ (Pricing Summary) 2 25 2011" xfId="28995"/>
    <cellStyle name="差_Creak Pearl Reliability Fixture RFQ_2009 04 24_Creek  Pearl RFQ_May 12_Foxlink_Shadow RFQ NREUni BOM_12032009_Bolt RFQ Proposal_Foxlink_ (Pricing Summary) 2 25 2011 4 2" xfId="28996"/>
    <cellStyle name="差_0842周 顯卡報廢超標8D_HP 2 3 3" xfId="28997"/>
    <cellStyle name="好_效益分析&amp;產能評估_MS Bolt wireless mouse FixtureEquipment Cost_A5_2010_02_21_Bolt RFQ Proposal_Foxlink_ (Pricing Summary) 2 25 2011 2 2 2" xfId="28998"/>
    <cellStyle name="差_Creak Pearl Reliability Fixture RFQ_2009 04 24_Creek  Pearl RFQ_May 12_Foxlink_Shadow RFQ NREUni BOM_12032009_Bolt RFQ Proposal_Foxlink_ (Pricing Summary) 2 25 2011 4 3" xfId="28999"/>
    <cellStyle name="好_效益分析&amp;產能評估_MS Bolt wireless mouse FixtureEquipment Cost_A5_2010_02_21_Bolt RFQ Proposal_Foxlink_ (Pricing Summary) 2 25 2011 2 2 3" xfId="29000"/>
    <cellStyle name="好_效益分析&amp;產能評估_MS Bolt wireless mouse FixtureEquipment Cost_A5_2010_02_21_Bolt RFQ Proposal_Foxlink_ (Pricing Summary) 2 25 2011 3" xfId="29001"/>
    <cellStyle name="好_效益分析&amp;產能評估_MS Bolt wireless mouse FixtureEquipment Cost_A5_2010_02_21_Bolt RFQ Proposal_Foxlink_ (Pricing Summary) 2 25 2011 3 3" xfId="29002"/>
    <cellStyle name="好_效益分析&amp;產能評估_MS Bolt wireless mouse FixtureEquipment Cost_A5_2010_02_21_Bolt RFQ_Foxlink_03.1 2011 2" xfId="29003"/>
    <cellStyle name="好_效益分析&amp;產能評估_MS Bolt wireless mouse FixtureEquipment Cost_A5_2010_02_21_Bolt RFQ_Foxlink_03.1 2011 2 2" xfId="29004"/>
    <cellStyle name="好_效益分析&amp;產能評估_MS Bolt wireless mouse FixtureEquipment Cost_A5_2010_02_21_Bolt RFQ_Foxlink_03.1 2011 2 3" xfId="29005"/>
    <cellStyle name="差_HP  專案(設備&amp;治工具需夠買)update_Bolt RFQ Proposal_Foxlink_ (Pricing Summary) 2 25 2011 4 2" xfId="29006"/>
    <cellStyle name="好_效益分析&amp;產能評估_MS Bolt wireless mouse FixtureEquipment Cost_A5_2010_02_21_Bolt RFQ_Foxlink_03.1 2011_nego meeting@MACH 2" xfId="29007"/>
    <cellStyle name="好_效益分析&amp;產能評估_MS Bolt wireless mouse FixtureEquipment Cost_A5_2010_02_21_Bolt RFQ_Foxlink_03.1 2011_nego meeting@MACH 3 2" xfId="29008"/>
    <cellStyle name="好_效益分析&amp;產能評估_MS Bolt wireless mouse FixtureEquipment Cost_A5_2010_02_21_Bolt RFQ_Foxlink_03.1 2011_nego meeting@MACH 5" xfId="29009"/>
    <cellStyle name="差_Xl0000002_Bolt RFQ_Foxlink_03.1 2011_nego meeting@MACH 2 2" xfId="29010"/>
    <cellStyle name="好_產能評估  (12-4)" xfId="29011"/>
    <cellStyle name="好_產能評估 (1-4 Update)" xfId="29012"/>
    <cellStyle name="好_產能評估表(IE)" xfId="29013"/>
    <cellStyle name="好_費用統計" xfId="29014"/>
    <cellStyle name="好_費用統計_~1159284" xfId="29015"/>
    <cellStyle name="差_Xl0000000_Leopard Lemur Squirrel UniBom-06.22.2010_EE cost _update_internal_Bolt RFQ_Foxlink_03.1 2011_nego meeting@MACH" xfId="29016"/>
    <cellStyle name="好_費用統計_Jackson 效益分析 (2-1 B0 上系統)" xfId="29017"/>
    <cellStyle name="好_費用統計_Jackson 效益分析 (2-1 B0 上系統)_Leopard效益分析08-17" xfId="29018"/>
    <cellStyle name="差_Creak Pearl Reliability Fixture RFQ_2009 04 24_Creek  Pearl RFQ_May 12_Leopard UniBom_Foxlink_6 21 2010-ME_nego_Bolt RFQ Proposal_Foxlink_ (Pricing Summary) 2 25 2011 5 3" xfId="29019"/>
    <cellStyle name="好_費用統計_Leopard Flowchart &amp; 產能評估" xfId="29020"/>
    <cellStyle name="好_費用統計_squirrel效益分析08-17" xfId="29021"/>
    <cellStyle name="好_複本 Erie_EE and ME BOM_Quotation update by factory_20090716" xfId="29022"/>
    <cellStyle name="好_複製 -Dallas WL keyboard Flow Chart20091127 A0" xfId="29023"/>
    <cellStyle name="百分比 2 4" xfId="29024"/>
    <cellStyle name="差_Creak Pearl Reliability Fixture RFQ_2009 04 24_Xl0000002_Foxlink_Shadow RFQ NREUni BOM_12032009_Bolt RFQ_Foxlink_03.1 2011_nego meeting@MACH 3 2" xfId="29025"/>
    <cellStyle name="見出し" xfId="29026"/>
    <cellStyle name="見出し 1" xfId="29027"/>
    <cellStyle name="見出し 2" xfId="29028"/>
    <cellStyle name="注释 2 2" xfId="29029"/>
    <cellStyle name="注释 2 2 2" xfId="29030"/>
    <cellStyle name="差_HP  專案(設備&amp;治工具需夠買)update 2" xfId="29031"/>
    <cellStyle name="差_Creak Pearl Reliability Fixture RFQ_2009 04 24_Creek RFQ feedback 04_28_2009_FD Update_Leopard_UniBOM_ME_0602-1 3 2" xfId="29032"/>
    <cellStyle name="注释 2 2 3" xfId="29033"/>
    <cellStyle name="差_HP  專案(設備&amp;治工具需夠買)update 3" xfId="29034"/>
    <cellStyle name="差_Creak Pearl Reliability Fixture RFQ_2009 04 24_Creek RFQ feedback 04_28_2009_FD Update_Leopard_UniBOM_ME_0602-1 3 3" xfId="29035"/>
    <cellStyle name="注释 2 2 4" xfId="29036"/>
    <cellStyle name="注释 2 2 5" xfId="29037"/>
    <cellStyle name="注释 2 4" xfId="29038"/>
    <cellStyle name="注释 3" xfId="29039"/>
    <cellStyle name="货币 2" xfId="29040"/>
    <cellStyle name="货币 2 2" xfId="29041"/>
    <cellStyle name="货币 3" xfId="29042"/>
    <cellStyle name="标题 1 2 2 2" xfId="29043"/>
    <cellStyle name="标题 1 2 2 2 2" xfId="29044"/>
    <cellStyle name="标题 1 2 2 2 3" xfId="29045"/>
    <cellStyle name="标题 1 2 2 3" xfId="29046"/>
    <cellStyle name="标题 1 2 3 2" xfId="29047"/>
    <cellStyle name="标题 1 2 4" xfId="29048"/>
    <cellStyle name="标题 1 3 2 3" xfId="29049"/>
    <cellStyle name="标题 1 3 3" xfId="29050"/>
    <cellStyle name="差_Creak Pearl Reliability Fixture RFQ_2009 04 24_Xl0000002_Leopard_UniBOM_ME_0602-1 2 2" xfId="29051"/>
    <cellStyle name="标题 1 3 4" xfId="29052"/>
    <cellStyle name="标题 1 5" xfId="29053"/>
    <cellStyle name="标题 1 5 3" xfId="29054"/>
    <cellStyle name="标题 2 2" xfId="29055"/>
    <cellStyle name="标题 2 2 2" xfId="29056"/>
    <cellStyle name="标题 2 2 2 2" xfId="29057"/>
    <cellStyle name="标题 2 2 2 2 2" xfId="29058"/>
    <cellStyle name="差_F3   SMT設備明細_效益分析_Flow Chart(shadow)-b (1-4 Update)" xfId="29059"/>
    <cellStyle name="标题 2 2 2 2 3" xfId="29060"/>
    <cellStyle name="差_Xl0000002_Leopard_UniBOM_ME_0603-2_Bolt RFQ Proposal_Foxlink_ (Pricing Summary) 2 25 2011" xfId="29061"/>
    <cellStyle name="标题 2 2 2 3" xfId="29062"/>
    <cellStyle name="标题 2 2 2 4" xfId="29063"/>
    <cellStyle name="标题 2 2 3" xfId="29064"/>
    <cellStyle name="标题 2 2 3 3" xfId="29065"/>
    <cellStyle name="标题 2 2 5" xfId="29066"/>
    <cellStyle name="标题 2 3" xfId="29067"/>
    <cellStyle name="标题 2 3 3" xfId="29068"/>
    <cellStyle name="标题 2 3 4" xfId="29069"/>
    <cellStyle name="标题 2 4" xfId="29070"/>
    <cellStyle name="标题 2 5" xfId="29071"/>
    <cellStyle name="标题 3 2 2" xfId="29072"/>
    <cellStyle name="差_Creak Pearl Reliability Fixture RFQ_2009 04 24_Creek  Pearl RFQ_May 12_Leopard UniBom_Foxlink_6 21 2010-ME_nego_Bolt RFQ_Foxlink_03.1 2011 2" xfId="29073"/>
    <cellStyle name="标题 3 2 2 2 2" xfId="29074"/>
    <cellStyle name="差_Creak Pearl Reliability Fixture RFQ_2009 04 24_Creek  Pearl RFQ_May 12_Leopard UniBom_Foxlink_6 21 2010-ME_nego_Bolt RFQ_Foxlink_03.1 2011 3" xfId="29075"/>
    <cellStyle name="差_Creak Pearl Reliability Fixture RFQ_2009 04 24_Creek RFQ feedback 04_28_2009_FD Update_Leopard Lemur Squirrel UniBom-06.22.2010_EE cost _update_internal_Bolt RFQ_Foxlink_03.1 2011 2" xfId="29076"/>
    <cellStyle name="标题 3 2 2 2 3" xfId="29077"/>
    <cellStyle name="标题 3 2 2 3" xfId="29078"/>
    <cellStyle name="标题 3 2 3" xfId="29079"/>
    <cellStyle name="标题 3 2 3 2" xfId="29080"/>
    <cellStyle name="标题 3 2 3 3" xfId="29081"/>
    <cellStyle name="差_Creek RFQ feedback 04_28_2009_FD Update_Leopard UniBom_Foxlink_6 21 2010-ME_nego 2 2" xfId="29082"/>
    <cellStyle name="标题 3 2 4" xfId="29083"/>
    <cellStyle name="差_Creek RFQ feedback 04_28_2009_FD Update_Leopard UniBom_Foxlink_6 21 2010-ME_nego 2 3" xfId="29084"/>
    <cellStyle name="标题 3 2 5" xfId="29085"/>
    <cellStyle name="标题 3 3" xfId="29086"/>
    <cellStyle name="差_F3   SMT設備明細_jupite r設備&amp;治工具LIST (總)_flow chart 2009.12.12_~5631336_Jackson 效益分析 (2-1 B0 上系統)_Leopard效益分析08-17" xfId="29087"/>
    <cellStyle name="标题 3 3 2" xfId="29088"/>
    <cellStyle name="标题 3 3 2 2" xfId="29089"/>
    <cellStyle name="标题 3 3 2 3" xfId="29090"/>
    <cellStyle name="标题 3 3 3" xfId="29091"/>
    <cellStyle name="差_Creek RFQ feedback 04_28_2009_FD Update_Leopard UniBom_Foxlink_6 21 2010-ME_nego 3 2" xfId="29092"/>
    <cellStyle name="标题 3 3 4" xfId="29093"/>
    <cellStyle name="标题 3 4" xfId="29094"/>
    <cellStyle name="标题 3 5" xfId="29095"/>
    <cellStyle name="标题 3 5 3" xfId="29096"/>
    <cellStyle name="差_Xl0000002_Jackson and Shadow BOM cost_mainfile_2010 0324 rev.1_Bristol UniBom_Foxlink_02082011 RevA" xfId="29097"/>
    <cellStyle name="标题 4 2 2" xfId="29098"/>
    <cellStyle name="标题 4 2 2 2 3" xfId="29099"/>
    <cellStyle name="标题 4 2 2 3" xfId="29100"/>
    <cellStyle name="差_F3   SMT設備明細_jupite r設備&amp;治工具LIST (總)_pq_Flow chart and Fixture(1-4)_Jackson 效益分析 (2-1 B0 上系統)_Leopard效益分析08-17" xfId="29101"/>
    <cellStyle name="标题 4 2 2 4" xfId="29102"/>
    <cellStyle name="标题 4 2 3 3" xfId="29103"/>
    <cellStyle name="标题 4 2 4" xfId="29104"/>
    <cellStyle name="标题 4 2 5" xfId="29105"/>
    <cellStyle name="标题 4 3" xfId="29106"/>
    <cellStyle name="标题 4 3 2" xfId="29107"/>
    <cellStyle name="标题 4 3 4" xfId="29108"/>
    <cellStyle name="标题 4 4" xfId="29109"/>
    <cellStyle name="标题 4 5" xfId="29110"/>
    <cellStyle name="标题 4 5 3" xfId="29111"/>
    <cellStyle name="标题 5" xfId="29112"/>
    <cellStyle name="差_Creak Pearl Reliability Fixture RFQ_2009 04 24_Pearl RFQ(Submittal)ver2_05_12_2009 _Squirrel UniBom-06.23.2010_update_internal 2 2 3" xfId="29113"/>
    <cellStyle name="标题 5 2" xfId="29114"/>
    <cellStyle name="标题 5 2 2 2" xfId="29115"/>
    <cellStyle name="差_Creak Pearl Reliability Fixture RFQ_2009 04 24_Xl0000002_Leopard_UniBOM_ME_0602-1_Bolt RFQ_Foxlink_03.1 2011 2 2" xfId="29116"/>
    <cellStyle name="标题 5 2 2 3" xfId="29117"/>
    <cellStyle name="标题 5 2 3" xfId="29118"/>
    <cellStyle name="标题 5 2 4" xfId="29119"/>
    <cellStyle name="标题 5 4" xfId="29120"/>
    <cellStyle name="差_Dolce IE 產能評估表_(12-1 Update)_~1159284" xfId="29121"/>
    <cellStyle name="标题 5 5" xfId="29122"/>
    <cellStyle name="标题 6 2" xfId="29123"/>
    <cellStyle name="标题 6 2 3" xfId="29124"/>
    <cellStyle name="标题 6 3" xfId="29125"/>
    <cellStyle name="标题 6 4" xfId="29126"/>
    <cellStyle name="計算方式 2" xfId="29127"/>
    <cellStyle name="計算方式 2 2 2" xfId="29128"/>
    <cellStyle name="計算方式 2 2 3" xfId="29129"/>
    <cellStyle name="差 2 2 2 2" xfId="29130"/>
    <cellStyle name="差 2 2 2 3" xfId="29131"/>
    <cellStyle name="差 2 4" xfId="29132"/>
    <cellStyle name="差 2 5" xfId="29133"/>
    <cellStyle name="差 3 2" xfId="29134"/>
    <cellStyle name="差 3 2 2" xfId="29135"/>
    <cellStyle name="差 3 3" xfId="29136"/>
    <cellStyle name="差_~5631336" xfId="29137"/>
    <cellStyle name="差_~5631336_Jackson 效益分析 (2-1 B0 上系統)" xfId="29138"/>
    <cellStyle name="差_~9527068_Dolce   QA Report 2010_0902" xfId="29139"/>
    <cellStyle name="差_~9527068_Dolce   QA Report 2010_0902 (A3)" xfId="29140"/>
    <cellStyle name="差_~9527068_Dolce   QA Report 2010_0902 (A3)_~7519239" xfId="29141"/>
    <cellStyle name="差_~9527068_Dolce   QA Report 2010_0902 (A3)_Dolce   QA Report 2010_0902" xfId="29142"/>
    <cellStyle name="差_dallas產能評估_flow chart 2009.12.12" xfId="29143"/>
    <cellStyle name="差_~9527068_Xl0000010" xfId="29144"/>
    <cellStyle name="差_Xl0000002_Leopard RFQ ME BOM Costs-0618_Bolt RFQ Proposal_Foxlink_ (Pricing Summary) 2 25 2011 2 4" xfId="29145"/>
    <cellStyle name="差_0842周 顯卡報廢超標8D 2" xfId="29146"/>
    <cellStyle name="差_0842周 顯卡報廢超標8D 2 4" xfId="29147"/>
    <cellStyle name="差_0842周 顯卡報廢超標8D 2 5" xfId="29148"/>
    <cellStyle name="差_0842周 顯卡報廢超標8D 3" xfId="29149"/>
    <cellStyle name="差_0842周 顯卡報廢超標8D 3 2 3" xfId="29150"/>
    <cellStyle name="差_0842周 顯卡報廢超標8D 3 4" xfId="29151"/>
    <cellStyle name="差_0842周 顯卡報廢超標8D 4" xfId="29152"/>
    <cellStyle name="差_0842周 顯卡報廢超標8D 5 2" xfId="29153"/>
    <cellStyle name="差_0842周 顯卡報廢超標8D 5 2 2" xfId="29154"/>
    <cellStyle name="差_F3   SMT設備明細_Erie 效益分析 (Update)_Flow Chart&amp;設備治工具清單 _Jackson 效益分析 (2-1 B0 上系統)_Leopard Flowchart &amp; 產能評估" xfId="29155"/>
    <cellStyle name="差_0842周 顯卡報廢超標8D 5 3" xfId="29156"/>
    <cellStyle name="差_Creak Pearl Reliability Fixture RFQ_2009 04 24_Squirrel RFQ ME BOM Costs-0623_Bolt RFQ Proposal_Foxlink_ (Pricing Summary) 2 25 2011 5 3" xfId="29157"/>
    <cellStyle name="差_0842周 顯卡報廢超標8D 6" xfId="29158"/>
    <cellStyle name="差_0842周 顯卡報廢超標8D 6 2" xfId="29159"/>
    <cellStyle name="差_0842周 顯卡報廢超標8D 6 3" xfId="29160"/>
    <cellStyle name="差_0842周 顯卡報廢超標8D_2009MB KPI_MBO3F製造部hp0209-01 2" xfId="29161"/>
    <cellStyle name="差_0842周 顯卡報廢超標8D_2009MB KPI_MBO3F製造部hp0209-01 2 2" xfId="29162"/>
    <cellStyle name="差_0842周 顯卡報廢超標8D_2009MB KPI_MBO3F製造部hp0209-01 2 2 3" xfId="29163"/>
    <cellStyle name="差_0842周 顯卡報廢超標8D_2009MB KPI_MBO3F製造部hp0209-01 2 3" xfId="29164"/>
    <cellStyle name="差_0842周 顯卡報廢超標8D_2009MB KPI_MBO3F製造部hp0209-01 2 3 2" xfId="29165"/>
    <cellStyle name="差_0842周 顯卡報廢超標8D_2009MB KPI_MBO3F製造部hp0209-01 2 3 3" xfId="29166"/>
    <cellStyle name="差_0842周 顯卡報廢超標8D_2009MB KPI_MBO3F製造部hp0209-01 2 4" xfId="29167"/>
    <cellStyle name="差_0842周 顯卡報廢超標8D_2009MB KPI_MBO3F製造部hp0209-01 3" xfId="29168"/>
    <cellStyle name="差_Xl0000000_Bolt RFQ Proposal_Foxlink_ (Pricing Summary) 2 25 2011 3" xfId="29169"/>
    <cellStyle name="差_0842周 顯卡報廢超標8D_2009MB KPI_MBO3F製造部hp0209-01 3 2" xfId="29170"/>
    <cellStyle name="差_Xl0000000_Bolt RFQ Proposal_Foxlink_ (Pricing Summary) 2 25 2011 3 2" xfId="29171"/>
    <cellStyle name="差_0842周 顯卡報廢超標8D_2009MB KPI_MBO3F製造部hp0209-01 3 2 2" xfId="29172"/>
    <cellStyle name="差_Xl0000000_Bolt RFQ Proposal_Foxlink_ (Pricing Summary) 2 25 2011 4" xfId="29173"/>
    <cellStyle name="差_0842周 顯卡報廢超標8D_2009MB KPI_MBO3F製造部hp0209-01 3 3" xfId="29174"/>
    <cellStyle name="差_0842周 顯卡報廢超標8D_2009MB KPI_MBO3F製造部hp0209-01 4" xfId="29175"/>
    <cellStyle name="差_0842周 顯卡報廢超標8D_2009MB KPI_MBO3F製造部hp0209-01 5" xfId="29176"/>
    <cellStyle name="差_0842周 顯卡報廢超標8D_2009MB KPI_MBO3F製造部hp0209-01 5 2 2" xfId="29177"/>
    <cellStyle name="差_Creak Pearl Reliability Fixture RFQ_2009 04 24_Pearl RFQ(Submittal)ver2_05_12_2009 _Bolt RFQ Proposal_Foxlink_ (Pricing Summary) 2 25 2011 5 2" xfId="29178"/>
    <cellStyle name="差_0842周 顯卡報廢超標8D_2009MB KPI_MBO3F製造部hp0209-01 5 2 3" xfId="29179"/>
    <cellStyle name="差_0842周 顯卡報廢超標8D_2009MB KPI_MBO3F製造部hp0209-01 6 2" xfId="29180"/>
    <cellStyle name="差_0842周 顯卡報廢超標8D_2009MB KPI_MBO3F製造部hp0209-01 6 3" xfId="29181"/>
    <cellStyle name="差_0842周 顯卡報廢超標8D_HP" xfId="29182"/>
    <cellStyle name="差_0842周 顯卡報廢超標8D_HP 2" xfId="29183"/>
    <cellStyle name="差_0842周 顯卡報廢超標8D_HP 2 2" xfId="29184"/>
    <cellStyle name="差_0842周 顯卡報廢超標8D_HP 2 2 2" xfId="29185"/>
    <cellStyle name="壞_Creek EE BOM cost_20090425_Creek RFQ feedback 04_28_2009_FD Update_Leopard Lemur Squirrel UniBom-06.22.2010_EE cost _update_internal_Bolt RFQ Proposal_Foxlink_ (Pricing Summary) 2 25 2011" xfId="29186"/>
    <cellStyle name="差_Creek RFQ feedback 04_28_2009_FD Update_Leopard RFQ ME BOM Costs-0618_Bolt RFQ_Foxlink_03.1 2011" xfId="29187"/>
    <cellStyle name="差_0842周 顯卡報廢超標8D_HP 2 2 2 2" xfId="29188"/>
    <cellStyle name="差_0842周 顯卡報廢超標8D_HP 2 3" xfId="29189"/>
    <cellStyle name="差_0842周 顯卡報廢超標8D_HP 2 3 2" xfId="29190"/>
    <cellStyle name="差_0842周 顯卡報廢超標8D_HP 3" xfId="29191"/>
    <cellStyle name="差_0842周 顯卡報廢超標8D_HP 3 2" xfId="29192"/>
    <cellStyle name="差_0842周 顯卡報廢超標8D_HP 3 2 2" xfId="29193"/>
    <cellStyle name="差_0842周 顯卡報廢超標8D_HP 3 2 3" xfId="29194"/>
    <cellStyle name="差_0842周 顯卡報廢超標8D_HP 3 4" xfId="29195"/>
    <cellStyle name="差_0842周 顯卡報廢超標8D_HP 4" xfId="29196"/>
    <cellStyle name="差_0842周 顯卡報廢超標8D_HP 5" xfId="29197"/>
    <cellStyle name="差_0842周 顯卡報廢超標8D_HP 5 2 2" xfId="29198"/>
    <cellStyle name="差_0842周 顯卡報廢超標8D_HP 5 3" xfId="29199"/>
    <cellStyle name="差_0842周 顯卡報廢超標8D_HP 5 4" xfId="29200"/>
    <cellStyle name="差_0842周 顯卡報廢超標8D_HP 6" xfId="29201"/>
    <cellStyle name="差_pq_Jackson 效益分析 testing update_16th Jan1" xfId="29202"/>
    <cellStyle name="差_Bolt EE tracker 20110421" xfId="29203"/>
    <cellStyle name="差_Bolt Quotation For Plastics Tooling RFQ Worksheets-2010-12-16" xfId="29204"/>
    <cellStyle name="差_Xl0000000_Squirrel RFQ ME BOM Costs-0623_Bolt RFQ_Foxlink_03.1 2011_nego meeting@MACH 3" xfId="29205"/>
    <cellStyle name="差_Bolt RFI ME BOM -1206" xfId="29206"/>
    <cellStyle name="差_Xl0000000_Squirrel RFQ ME BOM Costs-0623_Bolt RFQ_Foxlink_03.1 2011_nego meeting@MACH 3 2" xfId="29207"/>
    <cellStyle name="差_Bolt RFI ME BOM -1206 2" xfId="29208"/>
    <cellStyle name="差_Bolt RFI ME BOM -1206 2 2" xfId="29209"/>
    <cellStyle name="差_LLS Project Tracker 0920" xfId="29210"/>
    <cellStyle name="差_Bolt RFI ME BOM -1206 2 3" xfId="29211"/>
    <cellStyle name="差_Bolt RFI ME BOM -1206 4" xfId="29212"/>
    <cellStyle name="差_Bolt RFQ Proposal_Foxlink_ (Pricing Summary) 2 25 2011" xfId="29213"/>
    <cellStyle name="差_Bolt RFQ Proposal_Foxlink_ (Pricing Summary) 2 25 2011 2 2" xfId="29214"/>
    <cellStyle name="差_Bolt RFQ Proposal_Foxlink_ (Pricing Summary) 2 25 2011 2 2 3" xfId="29215"/>
    <cellStyle name="差_Creek RFQ feedback 04_28_2009_FD Update_Leopard_UniBOM_ME_0603-2_Bolt RFQ Proposal_Foxlink_ (Pricing Summary) 2 25 2011 2 4" xfId="29216"/>
    <cellStyle name="差_Bolt RFQ Proposal_Foxlink_ (Pricing Summary) 2 25 2011 3" xfId="29217"/>
    <cellStyle name="差_Bolt RFQ Proposal_Foxlink_ (Pricing Summary) 2 25 2011 3 2" xfId="29218"/>
    <cellStyle name="差_Bolt RFQ Proposal_Foxlink_ (Pricing Summary) 2 25 2011 3 3" xfId="29219"/>
    <cellStyle name="差_Xl0000000_Leopard RFQ ME BOM Costs-0618-2_Bolt RFQ_Foxlink_03.1 2011 4" xfId="29220"/>
    <cellStyle name="差_Bolt RFQ Proposal_Foxlink_ (Pricing Summary) 2 25 2011 4 3" xfId="29221"/>
    <cellStyle name="差_Bolt RFQ Proposal_Foxlink_ (Pricing Summary) 2 25 2011 5 2" xfId="29222"/>
    <cellStyle name="差_Bolt RFQ Proposal_Foxlink_ (Pricing Summary) 2 25 2011 5 3" xfId="29223"/>
    <cellStyle name="壞_Creek Assembly Fixture  Test Equipment RFQ_20090427_Xl0000002_Bolt RFQ_Foxlink_03.1 2011_nego meeting@MACH 2 3" xfId="29224"/>
    <cellStyle name="差_Bolt RFQ Proposal_Foxlink_ (Pricing Summary) 2 25 2011 6" xfId="29225"/>
    <cellStyle name="差_Bristol EV3 BOM quote_02252011 (2)" xfId="29226"/>
    <cellStyle name="差_Bristol ME parts tooling cost 20101022 updated" xfId="29227"/>
    <cellStyle name="差_Bristol ME parts tooling cost 20101022 updated_Bristol MP quote update_08182011_MS" xfId="29228"/>
    <cellStyle name="差_Bristol ME parts tooling cost 20101022 updated_Bristol TC Estimate Update 07292011" xfId="29229"/>
    <cellStyle name="差_Creak Pearl Reliability Fixture RFQ_2009 04 24_Creek RFQ feedback 04_28_2009_FD Update_Leopard_UniBOM_ME_0602-1_Bolt RFQ Proposal_Foxlink_ (Pricing Summary) 2 25 2011 2 4" xfId="29230"/>
    <cellStyle name="差_Bristol ME parts tooling cost 20101022 updated_Bristol TC Estimate Update 07292011_internal from Tony" xfId="29231"/>
    <cellStyle name="差_Bristol RFQ response _20101102_internal (4)_Bristol MP quote update_08182011_MS" xfId="29232"/>
    <cellStyle name="差_Bristol RFQ response _20101102_internal (4)_Bristol TC Estimate Update 08112011_internal working file" xfId="29233"/>
    <cellStyle name="差_Creak Pearl Reliability Fixture RFQ_2009 04 24" xfId="29234"/>
    <cellStyle name="差_Creak Pearl Reliability Fixture RFQ_2009 04 24 2" xfId="29235"/>
    <cellStyle name="差_Creak Pearl Reliability Fixture RFQ_2009 04 24 2 2" xfId="29236"/>
    <cellStyle name="差_Creak Pearl Reliability Fixture RFQ_2009 04 24 2 2 2" xfId="29237"/>
    <cellStyle name="差_Creak Pearl Reliability Fixture RFQ_2009 04 24 2 2 3" xfId="29238"/>
    <cellStyle name="差_Erie mouse 效益分析( 11-19 A1)_Flow Chart&amp;設備治工具清單 " xfId="29239"/>
    <cellStyle name="差_Creak Pearl Reliability Fixture RFQ_2009 04 24 2 3" xfId="29240"/>
    <cellStyle name="差_Creak Pearl Reliability Fixture RFQ_2009 04 24 2 4" xfId="29241"/>
    <cellStyle name="差_Creak Pearl Reliability Fixture RFQ_2009 04 24 3 2" xfId="29242"/>
    <cellStyle name="差_Creak Pearl Reliability Fixture RFQ_2009 04 24 4" xfId="29243"/>
    <cellStyle name="差_F3   SMT設備明細_效益分析_flow chart 2009.12.12_Flow chart and Fixture(Jackson)_A1_Jackson 效益分析 (2-1 B0 上系統)" xfId="29244"/>
    <cellStyle name="差_Creak Pearl Reliability Fixture RFQ_2009 04 24 5" xfId="29245"/>
    <cellStyle name="差_Creak Pearl Reliability Fixture RFQ_2009 04 24_Bolt RFQ Proposal_Foxlink_ (Pricing Summary) 2 25 2011" xfId="29246"/>
    <cellStyle name="差_治具工程課2009年KPI_KPI 1006" xfId="29247"/>
    <cellStyle name="差_Creak Pearl Reliability Fixture RFQ_2009 04 24_Bolt RFQ Proposal_Foxlink_ (Pricing Summary) 2 25 2011 2 2 3" xfId="29248"/>
    <cellStyle name="差_Creak Pearl Reliability Fixture RFQ_2009 04 24_Bolt RFQ Proposal_Foxlink_ (Pricing Summary) 2 25 2011 2 3" xfId="29249"/>
    <cellStyle name="差_Creak Pearl Reliability Fixture RFQ_2009 04 24_Bolt RFQ Proposal_Foxlink_ (Pricing Summary) 2 25 2011 3" xfId="29250"/>
    <cellStyle name="差_F3   SMT設備明細_jupite r設備&amp;治工具LIST (總)_Dallas效益分析&amp;投資回收期 (12-2 A1)_Flow Chart&amp;設備治工具清單 _Leopard Flowchart &amp; 產能評估" xfId="29251"/>
    <cellStyle name="差_Creak Pearl Reliability Fixture RFQ_2009 04 24_Bolt RFQ Proposal_Foxlink_ (Pricing Summary) 2 25 2011 3 2" xfId="29252"/>
    <cellStyle name="差_Creak Pearl Reliability Fixture RFQ_2009 04 24_Bolt RFQ Proposal_Foxlink_ (Pricing Summary) 2 25 2011 4" xfId="29253"/>
    <cellStyle name="差_Creak Pearl Reliability Fixture RFQ_2009 04 24_Bolt RFQ Proposal_Foxlink_ (Pricing Summary) 2 25 2011 4 2" xfId="29254"/>
    <cellStyle name="差_Creak Pearl Reliability Fixture RFQ_2009 04 24_Bolt RFQ Proposal_Foxlink_ (Pricing Summary) 2 25 2011 4 3" xfId="29255"/>
    <cellStyle name="差_Creak Pearl Reliability Fixture RFQ_2009 04 24_Bolt RFQ Proposal_Foxlink_ (Pricing Summary) 2 25 2011 5 2" xfId="29256"/>
    <cellStyle name="差_Creak Pearl Reliability Fixture RFQ_2009 04 24_Bolt RFQ_Foxlink_03.1 2011" xfId="29257"/>
    <cellStyle name="差_Creak Pearl Reliability Fixture RFQ_2009 04 24_Bolt RFQ_Foxlink_03.1 2011 2" xfId="29258"/>
    <cellStyle name="差_Creak Pearl Reliability Fixture RFQ_2009 04 24_Bolt RFQ_Foxlink_03.1 2011 2 2" xfId="29259"/>
    <cellStyle name="差_Creak Pearl Reliability Fixture RFQ_2009 04 24_Bolt RFQ_Foxlink_03.1 2011 3" xfId="29260"/>
    <cellStyle name="差_Creak Pearl Reliability Fixture RFQ_2009 04 24_Bolt RFQ_Foxlink_03.1 2011 3 2" xfId="29261"/>
    <cellStyle name="差_F3   SMT設備明細_效益分析_Leopard Flowchart &amp; 產能評估" xfId="29262"/>
    <cellStyle name="差_Creak Pearl Reliability Fixture RFQ_2009 04 24_Bolt RFQ_Foxlink_03.1 2011 3 3" xfId="29263"/>
    <cellStyle name="差_Creak Pearl Reliability Fixture RFQ_2009 04 24_Bristol UniBom_Foxlink_02082011 RevA" xfId="29264"/>
    <cellStyle name="差_Creak Pearl Reliability Fixture RFQ_2009 04 24_Creek  Pearl RFQ_May 12 2 2" xfId="29265"/>
    <cellStyle name="差_Creak Pearl Reliability Fixture RFQ_2009 04 24_Creek  Pearl RFQ_May 12 2 2 2" xfId="29266"/>
    <cellStyle name="差_Creak Pearl Reliability Fixture RFQ_2009 04 24_Creek  Pearl RFQ_May 12 2 2 3" xfId="29267"/>
    <cellStyle name="差_Creak Pearl Reliability Fixture RFQ_2009 04 24_Creek  Pearl RFQ_May 12_Bolt RFQ Proposal_Foxlink_ (Pricing Summary) 2 25 2011 2 2 2" xfId="29268"/>
    <cellStyle name="差_Creak Pearl Reliability Fixture RFQ_2009 04 24_Creek  Pearl RFQ_May 12_Bolt RFQ Proposal_Foxlink_ (Pricing Summary) 2 25 2011 2 2 3" xfId="29269"/>
    <cellStyle name="差_Creak Pearl Reliability Fixture RFQ_2009 04 24_Creek  Pearl RFQ_May 12_Bolt RFQ Proposal_Foxlink_ (Pricing Summary) 2 25 2011 2 4" xfId="29270"/>
    <cellStyle name="差_Creak Pearl Reliability Fixture RFQ_2009 04 24_Creek  Pearl RFQ_May 12_Bolt RFQ Proposal_Foxlink_ (Pricing Summary) 2 25 2011 3" xfId="29271"/>
    <cellStyle name="差_Creak Pearl Reliability Fixture RFQ_2009 04 24_Creek  Pearl RFQ_May 12_Bolt RFQ Proposal_Foxlink_ (Pricing Summary) 2 25 2011 3 3" xfId="29272"/>
    <cellStyle name="差_Creak Pearl Reliability Fixture RFQ_2009 04 24_Creek  Pearl RFQ_May 12_Bolt RFQ Proposal_Foxlink_ (Pricing Summary) 2 25 2011 5" xfId="29273"/>
    <cellStyle name="差_Creak Pearl Reliability Fixture RFQ_2009 04 24_Creek  Pearl RFQ_May 12_Bolt RFQ Proposal_Foxlink_ (Pricing Summary) 2 25 2011 5 2" xfId="29274"/>
    <cellStyle name="差_Creak Pearl Reliability Fixture RFQ_2009 04 24_Creek  Pearl RFQ_May 12_Bolt RFQ_Foxlink_03.1 2011" xfId="29275"/>
    <cellStyle name="差_Creak Pearl Reliability Fixture RFQ_2009 04 24_Creek  Pearl RFQ_May 12_Bolt RFQ_Foxlink_03.1 2011 2" xfId="29276"/>
    <cellStyle name="差_Creak Pearl Reliability Fixture RFQ_2009 04 24_Creek  Pearl RFQ_May 12_Bolt RFQ_Foxlink_03.1 2011 2 2" xfId="29277"/>
    <cellStyle name="差_Creak Pearl Reliability Fixture RFQ_2009 04 24_Creek  Pearl RFQ_May 12_Bolt RFQ_Foxlink_03.1 2011 2 3" xfId="29278"/>
    <cellStyle name="差_Creak Pearl Reliability Fixture RFQ_2009 04 24_Creek  Pearl RFQ_May 12_Bolt RFQ_Foxlink_03.1 2011 3" xfId="29279"/>
    <cellStyle name="差_pq_Leopard Flowchart &amp; 產能評估" xfId="29280"/>
    <cellStyle name="差_Creak Pearl Reliability Fixture RFQ_2009 04 24_Xl0000002_Leopard Lemur Squirrel UniBom-06.22.2010_EE cost _update_internal_Bolt RFQ Proposal_Foxlink_ (Pricing Summary) 2 25 2011 4 2" xfId="29281"/>
    <cellStyle name="差_Creak Pearl Reliability Fixture RFQ_2009 04 24_Creek  Pearl RFQ_May 12_Bolt RFQ_Foxlink_03.1 2011 4" xfId="29282"/>
    <cellStyle name="差_Creak Pearl Reliability Fixture RFQ_2009 04 24_Xl0000002_Leopard Lemur Squirrel UniBom-06.22.2010_EE cost _update_internal_Bolt RFQ Proposal_Foxlink_ (Pricing Summary) 2 25 2011 4 3" xfId="29283"/>
    <cellStyle name="差_Creak Pearl Reliability Fixture RFQ_2009 04 24_Creek  Pearl RFQ_May 12_Bolt RFQ_Foxlink_03.1 2011 5" xfId="29284"/>
    <cellStyle name="差_Creak Pearl Reliability Fixture RFQ_2009 04 24_Creek  Pearl RFQ_May 12_Bolt RFQ_Foxlink_03.1 2011_nego meeting@MACH 3 2" xfId="29285"/>
    <cellStyle name="差_Creak Pearl Reliability Fixture RFQ_2009 04 24_Creek  Pearl RFQ_May 12_Bolt RFQ_Foxlink_03.1 2011_nego meeting@MACH 5" xfId="29286"/>
    <cellStyle name="差_Creak Pearl Reliability Fixture RFQ_2009 04 24_Creek  Pearl RFQ_May 12_Bristol UniBom_Foxlink_02082011 RevA" xfId="29287"/>
    <cellStyle name="差_Creak Pearl Reliability Fixture RFQ_2009 04 24_Creek  Pearl RFQ_May 12_Foxlink_Shadow RFQ NREUni BOM_12032009" xfId="29288"/>
    <cellStyle name="差_Creak Pearl Reliability Fixture RFQ_2009 04 24_Creek  Pearl RFQ_May 12_Foxlink_Shadow RFQ NREUni BOM_12032009 2 2 2" xfId="29289"/>
    <cellStyle name="差_Creak Pearl Reliability Fixture RFQ_2009 04 24_Creek  Pearl RFQ_May 12_Foxlink_Shadow RFQ NREUni BOM_12032009 2 4" xfId="29290"/>
    <cellStyle name="差_Creak Pearl Reliability Fixture RFQ_2009 04 24_Creek  Pearl RFQ_May 12_Foxlink_Shadow RFQ NREUni BOM_12032009 3 2" xfId="29291"/>
    <cellStyle name="差_Creak Pearl Reliability Fixture RFQ_2009 04 24_Creek  Pearl RFQ_May 12_Foxlink_Shadow RFQ NREUni BOM_12032009 3 3" xfId="29292"/>
    <cellStyle name="差_Creak Pearl Reliability Fixture RFQ_2009 04 24_Creek  Pearl RFQ_May 12_Foxlink_Shadow RFQ NREUni BOM_12032009_Bolt RFQ Proposal_Foxlink_ (Pricing Summary) 2 25 2011 2 2 2" xfId="29293"/>
    <cellStyle name="壞_Creek EE BOM cost_20090425_Leopard RFQ ME BOM Costs-0618_Bolt RFQ_Foxlink_03.1 2011_nego meeting@MACH" xfId="29294"/>
    <cellStyle name="差_Creak Pearl Reliability Fixture RFQ_2009 04 24_Creek  Pearl RFQ_May 12_Foxlink_Shadow RFQ NREUni BOM_12032009_Bolt RFQ Proposal_Foxlink_ (Pricing Summary) 2 25 2011 2 3" xfId="29295"/>
    <cellStyle name="差_Creak Pearl Reliability Fixture RFQ_2009 04 24_Creek  Pearl RFQ_May 12_Foxlink_Shadow RFQ NREUni BOM_12032009_Bolt RFQ_Foxlink_03.1 2011 2" xfId="29296"/>
    <cellStyle name="差_Creak Pearl Reliability Fixture RFQ_2009 04 24_Creek  Pearl RFQ_May 12_Foxlink_Shadow RFQ NREUni BOM_12032009_Bolt RFQ_Foxlink_03.1 2011 4" xfId="29297"/>
    <cellStyle name="差_Creak Pearl Reliability Fixture RFQ_2009 04 24_Creek  Pearl RFQ_May 12_Foxlink_Shadow RFQ NREUni BOM_12032009_Bolt RFQ_Foxlink_03.1 2011_nego meeting@MACH 3" xfId="29298"/>
    <cellStyle name="差_Creak Pearl Reliability Fixture RFQ_2009 04 24_Creek  Pearl RFQ_May 12_Foxlink_Shadow RFQ NREUni BOM_12032009_Bolt RFQ_Foxlink_03.1 2011_nego meeting@MACH 3 2" xfId="29299"/>
    <cellStyle name="差_Xl0000000_Leopard UniBom_Foxlink_6 21 2010-ME_nego_Bolt RFQ_Foxlink_03.1 2011 2" xfId="29300"/>
    <cellStyle name="差_Creak Pearl Reliability Fixture RFQ_2009 04 24_Creek  Pearl RFQ_May 12_Foxlink_Shadow RFQ NREUni BOM_12032009_Bolt RFQ_Foxlink_03.1 2011_nego meeting@MACH 3 3" xfId="29301"/>
    <cellStyle name="差_Creak Pearl Reliability Fixture RFQ_2009 04 24_Creek  Pearl RFQ_May 12_Foxlink_Shadow RFQ NREUni BOM_12032009_Bolt RFQ_Foxlink_03.1 2011_nego meeting@MACH 4" xfId="29302"/>
    <cellStyle name="差_Creak Pearl Reliability Fixture RFQ_2009 04 24_Creek  Pearl RFQ_May 12_Leopard Lemur Squirrel UniBom-06.22.2010_EE cost _update_internal 2" xfId="29303"/>
    <cellStyle name="差_Creak Pearl Reliability Fixture RFQ_2009 04 24_Creek  Pearl RFQ_May 12_Leopard Lemur Squirrel UniBom-06.22.2010_EE cost _update_internal 2 2" xfId="29304"/>
    <cellStyle name="差_Creak Pearl Reliability Fixture RFQ_2009 04 24_Creek  Pearl RFQ_May 12_Leopard Lemur Squirrel UniBom-06.22.2010_EE cost _update_internal 2 2 2" xfId="29305"/>
    <cellStyle name="差_Creak Pearl Reliability Fixture RFQ_2009 04 24_Creek  Pearl RFQ_May 12_Leopard Lemur Squirrel UniBom-06.22.2010_EE cost _update_internal 2 2 3" xfId="29306"/>
    <cellStyle name="差_Creak Pearl Reliability Fixture RFQ_2009 04 24_Creek  Pearl RFQ_May 12_Leopard Lemur Squirrel UniBom-06.22.2010_EE cost _update_internal 3 3" xfId="29307"/>
    <cellStyle name="差_Xl0000002_Leopard_UniBOM_ME_0531_Bolt RFQ_Foxlink_03.1 2011 2 3" xfId="29308"/>
    <cellStyle name="差_Creak Pearl Reliability Fixture RFQ_2009 04 24_Creek  Pearl RFQ_May 12_Leopard Lemur Squirrel UniBom-06.22.2010_EE cost _update_internal_Bolt RFQ Proposal_Foxlink_ (Pricing Summary) 2 25 2011" xfId="29309"/>
    <cellStyle name="差_Creak Pearl Reliability Fixture RFQ_2009 04 24_Creek  Pearl RFQ_May 12_Leopard Lemur Squirrel UniBom-06.22.2010_EE cost _update_internal_Bolt RFQ Proposal_Foxlink_ (Pricing Summary) 2 25 2011 2 3" xfId="29310"/>
    <cellStyle name="差_Creak Pearl Reliability Fixture RFQ_2009 04 24_Creek  Pearl RFQ_May 12_Leopard Lemur Squirrel UniBom-06.22.2010_EE cost _update_internal_Bolt RFQ Proposal_Foxlink_ (Pricing Summary) 2 25 2011 3" xfId="29311"/>
    <cellStyle name="差_Creak Pearl Reliability Fixture RFQ_2009 04 24_Creek  Pearl RFQ_May 12_Leopard Lemur Squirrel UniBom-06.22.2010_EE cost _update_internal_Bolt RFQ Proposal_Foxlink_ (Pricing Summary) 2 25 2011 3 3" xfId="29312"/>
    <cellStyle name="差_Creak Pearl Reliability Fixture RFQ_2009 04 24_Creek  Pearl RFQ_May 12_Leopard Lemur Squirrel UniBom-06.22.2010_EE cost _update_internal_Bolt RFQ Proposal_Foxlink_ (Pricing Summary) 2 25 2011 4" xfId="29313"/>
    <cellStyle name="差_Creak Pearl Reliability Fixture RFQ_2009 04 24_Creek  Pearl RFQ_May 12_Leopard Lemur Squirrel UniBom-06.22.2010_EE cost _update_internal_Bolt RFQ Proposal_Foxlink_ (Pricing Summary) 2 25 2011 4 3" xfId="29314"/>
    <cellStyle name="差_Creak Pearl Reliability Fixture RFQ_2009 04 24_Creek  Pearl RFQ_May 12_Leopard Lemur Squirrel UniBom-06.22.2010_EE cost _update_internal_Bolt RFQ Proposal_Foxlink_ (Pricing Summary) 2 25 2011 5 2" xfId="29315"/>
    <cellStyle name="差_Creak Pearl Reliability Fixture RFQ_2009 04 24_Creek  Pearl RFQ_May 12_Leopard Lemur Squirrel UniBom-06.22.2010_EE cost _update_internal_Bolt RFQ Proposal_Foxlink_ (Pricing Summary) 2 25 2011 5 3" xfId="29316"/>
    <cellStyle name="差_Creak Pearl Reliability Fixture RFQ_2009 04 24_Creek  Pearl RFQ_May 12_Leopard Lemur Squirrel UniBom-06.22.2010_EE cost _update_internal_Bolt RFQ Proposal_Foxlink_ (Pricing Summary) 2 25 2011 6" xfId="29317"/>
    <cellStyle name="差_Creak Pearl Reliability Fixture RFQ_2009 04 24_Creek  Pearl RFQ_May 12_Leopard Lemur Squirrel UniBom-06.22.2010_EE cost _update_internal_Bolt RFQ Proposal_Foxlink_ (Pricing Summary) 2 25 2011 7" xfId="29318"/>
    <cellStyle name="差_Creak Pearl Reliability Fixture RFQ_2009 04 24_Creek  Pearl RFQ_May 12_Leopard Lemur Squirrel UniBom-06.22.2010_EE cost _update_internal_Bolt RFQ_Foxlink_03.1 2011" xfId="29319"/>
    <cellStyle name="差_Creak Pearl Reliability Fixture RFQ_2009 04 24_Creek  Pearl RFQ_May 12_Leopard Lemur Squirrel UniBom-06.22.2010_EE cost _update_internal_Bolt RFQ_Foxlink_03.1 2011 2 2" xfId="29320"/>
    <cellStyle name="差_Creak Pearl Reliability Fixture RFQ_2009 04 24_Creek  Pearl RFQ_May 12_Leopard Lemur Squirrel UniBom-06.22.2010_EE cost _update_internal_Bolt RFQ_Foxlink_03.1 2011 2 3" xfId="29321"/>
    <cellStyle name="差_Creak Pearl Reliability Fixture RFQ_2009 04 24_Creek  Pearl RFQ_May 12_Leopard Lemur Squirrel UniBom-06.22.2010_EE cost _update_internal_Bolt RFQ_Foxlink_03.1 2011_nego meeting@MACH" xfId="29322"/>
    <cellStyle name="差_Creak Pearl Reliability Fixture RFQ_2009 04 24_Creek  Pearl RFQ_May 12_Leopard Lemur Squirrel UniBom-06.22.2010_EE cost _update_internal_Bolt RFQ_Foxlink_03.1 2011_nego meeting@MACH 2" xfId="29323"/>
    <cellStyle name="差_Creak Pearl Reliability Fixture RFQ_2009 04 24_Creek  Pearl RFQ_May 12_Leopard Lemur Squirrel UniBom-06.22.2010_EE cost _update_internal_Bolt RFQ_Foxlink_03.1 2011_nego meeting@MACH 2 3" xfId="29324"/>
    <cellStyle name="差_Creak Pearl Reliability Fixture RFQ_2009 04 24_Creek  Pearl RFQ_May 12_Leopard Lemur Squirrel UniBom-06.22.2010_EE cost _update_internal_Bolt RFQ_Foxlink_03.1 2011_nego meeting@MACH 3" xfId="29325"/>
    <cellStyle name="差_Creak Pearl Reliability Fixture RFQ_2009 04 24_Creek  Pearl RFQ_May 12_Leopard RFQ ME BOM Costs-0618" xfId="29326"/>
    <cellStyle name="差_Creak Pearl Reliability Fixture RFQ_2009 04 24_Creek  Pearl RFQ_May 12_Leopard RFQ ME BOM Costs-0623" xfId="29327"/>
    <cellStyle name="差_Creak Pearl Reliability Fixture RFQ_2009 04 24_Creek  Pearl RFQ_May 12_Leopard RFQ ME BOM Costs-0618 2" xfId="29328"/>
    <cellStyle name="差_Creak Pearl Reliability Fixture RFQ_2009 04 24_Creek  Pearl RFQ_May 12_Leopard RFQ ME BOM Costs-0618 2 2" xfId="29329"/>
    <cellStyle name="差_F3   SMT設備明細_MS Bolt wireless mouse FixtureEquipment Cost_A5_2010_02_21_Bolt RFQ_Foxlink_03.1 2011 4" xfId="29330"/>
    <cellStyle name="差_dallas產能評估_~8644671" xfId="29331"/>
    <cellStyle name="差_Creak Pearl Reliability Fixture RFQ_2009 04 24_Creek  Pearl RFQ_May 12_Leopard RFQ ME BOM Costs-0618 2 2 2" xfId="29332"/>
    <cellStyle name="差_Creak Pearl Reliability Fixture RFQ_2009 04 24_Creek  Pearl RFQ_May 12_Leopard RFQ ME BOM Costs-0618 2 2 3" xfId="29333"/>
    <cellStyle name="差_F3   SMT設備明細_jupite r設備&amp;治工具LIST (總)_pq_~5631336_Jackson 效益分析 (2-1 B0 上系統)" xfId="29334"/>
    <cellStyle name="差_Creak Pearl Reliability Fixture RFQ_2009 04 24_Creek  Pearl RFQ_May 12_Leopard RFQ ME BOM Costs-0618 3" xfId="29335"/>
    <cellStyle name="差_Creak Pearl Reliability Fixture RFQ_2009 04 24_Creek  Pearl RFQ_May 12_Leopard RFQ ME BOM Costs-0618 3 2" xfId="29336"/>
    <cellStyle name="差_Creak Pearl Reliability Fixture RFQ_2009 04 24_Creek  Pearl RFQ_May 12_Leopard RFQ ME BOM Costs-0618 3 3" xfId="29337"/>
    <cellStyle name="差_Creak Pearl Reliability Fixture RFQ_2009 04 24_Creek  Pearl RFQ_May 12_Leopard RFQ ME BOM Costs-0618_Bolt RFQ Proposal_Foxlink_ (Pricing Summary) 2 25 2011 2" xfId="29338"/>
    <cellStyle name="差_Creak Pearl Reliability Fixture RFQ_2009 04 24_Creek  Pearl RFQ_May 12_Leopard RFQ ME BOM Costs-0618_Bolt RFQ Proposal_Foxlink_ (Pricing Summary) 2 25 2011 2 2 3" xfId="29339"/>
    <cellStyle name="差_Creak Pearl Reliability Fixture RFQ_2009 04 24_Creek  Pearl RFQ_May 12_Leopard RFQ ME BOM Costs-0618_Bolt RFQ Proposal_Foxlink_ (Pricing Summary) 2 25 2011 2 3" xfId="29340"/>
    <cellStyle name="差_Creak Pearl Reliability Fixture RFQ_2009 04 24_Creek  Pearl RFQ_May 12_Leopard RFQ ME BOM Costs-0618_Bolt RFQ Proposal_Foxlink_ (Pricing Summary) 2 25 2011 2 4" xfId="29341"/>
    <cellStyle name="差_Creak Pearl Reliability Fixture RFQ_2009 04 24_Creek  Pearl RFQ_May 12_Leopard RFQ ME BOM Costs-0618_Bolt RFQ Proposal_Foxlink_ (Pricing Summary) 2 25 2011 3 2" xfId="29342"/>
    <cellStyle name="差_Creak Pearl Reliability Fixture RFQ_2009 04 24_Creek  Pearl RFQ_May 12_Leopard RFQ ME BOM Costs-0618_Bolt RFQ Proposal_Foxlink_ (Pricing Summary) 2 25 2011 3 3" xfId="29343"/>
    <cellStyle name="差_Creak Pearl Reliability Fixture RFQ_2009 04 24_Creek  Pearl RFQ_May 12_Leopard RFQ ME BOM Costs-0618_Bolt RFQ Proposal_Foxlink_ (Pricing Summary) 2 25 2011 4" xfId="29344"/>
    <cellStyle name="差_Creak Pearl Reliability Fixture RFQ_2009 04 24_Creek  Pearl RFQ_May 12_Leopard RFQ ME BOM Costs-0618_Bolt RFQ Proposal_Foxlink_ (Pricing Summary) 2 25 2011 4 2" xfId="29345"/>
    <cellStyle name="差_Creak Pearl Reliability Fixture RFQ_2009 04 24_Creek  Pearl RFQ_May 12_Leopard RFQ ME BOM Costs-0618_Bolt RFQ Proposal_Foxlink_ (Pricing Summary) 2 25 2011 4 3" xfId="29346"/>
    <cellStyle name="差_Creak Pearl Reliability Fixture RFQ_2009 04 24_Creek  Pearl RFQ_May 12_Leopard RFQ ME BOM Costs-0618_Bolt RFQ Proposal_Foxlink_ (Pricing Summary) 2 25 2011 5 3" xfId="29347"/>
    <cellStyle name="差_Creak Pearl Reliability Fixture RFQ_2009 04 24_Creek  Pearl RFQ_May 12_Leopard RFQ ME BOM Costs-0618_Bolt RFQ_Foxlink_03.1 2011 2" xfId="29348"/>
    <cellStyle name="差_Creak Pearl Reliability Fixture RFQ_2009 04 24_Creek  Pearl RFQ_May 12_Leopard RFQ ME BOM Costs-0618_Bolt RFQ_Foxlink_03.1 2011_nego meeting@MACH" xfId="29349"/>
    <cellStyle name="差_Creak Pearl Reliability Fixture RFQ_2009 04 24_Creek  Pearl RFQ_May 12_Leopard RFQ ME BOM Costs-0618_Bolt RFQ_Foxlink_03.1 2011_nego meeting@MACH 2" xfId="29350"/>
    <cellStyle name="差_Creak Pearl Reliability Fixture RFQ_2009 04 24_Creek  Pearl RFQ_May 12_Leopard RFQ ME BOM Costs-0618_Bolt RFQ_Foxlink_03.1 2011_nego meeting@MACH 3" xfId="29351"/>
    <cellStyle name="差_Creak Pearl Reliability Fixture RFQ_2009 04 24_Creek  Pearl RFQ_May 12_Leopard RFQ ME BOM Costs-0618_Bolt RFQ_Foxlink_03.1 2011_nego meeting@MACH 3 2" xfId="29352"/>
    <cellStyle name="差_Creak Pearl Reliability Fixture RFQ_2009 04 24_Creek  Pearl RFQ_May 12_Leopard RFQ ME BOM Costs-0618_Bolt RFQ_Foxlink_03.1 2011_nego meeting@MACH 5" xfId="29353"/>
    <cellStyle name="差_Creak Pearl Reliability Fixture RFQ_2009 04 24_Leopard RFQ ME BOM Costs-0618_Bolt RFQ_Foxlink_03.1 2011_nego meeting@MACH 2 2" xfId="29354"/>
    <cellStyle name="差_Creak Pearl Reliability Fixture RFQ_2009 04 24_Creek  Pearl RFQ_May 12_Leopard RFQ ME BOM Costs-0618-2" xfId="29355"/>
    <cellStyle name="差_Creak Pearl Reliability Fixture RFQ_2009 04 24_Creek  Pearl RFQ_May 12_Leopard RFQ ME BOM Costs-0618-2 2" xfId="29356"/>
    <cellStyle name="差_Dolce IE 產能評估表_(12-1 Update)" xfId="29357"/>
    <cellStyle name="差_Creak Pearl Reliability Fixture RFQ_2009 04 24_Creek  Pearl RFQ_May 12_Leopard RFQ ME BOM Costs-0618-2 2 2" xfId="29358"/>
    <cellStyle name="差_Creak Pearl Reliability Fixture RFQ_2009 04 24_Creek  Pearl RFQ_May 12_Leopard RFQ ME BOM Costs-0618-2 2 3" xfId="29359"/>
    <cellStyle name="差_Creak Pearl Reliability Fixture RFQ_2009 04 24_Creek  Pearl RFQ_May 12_Leopard RFQ ME BOM Costs-0618-2 2 4" xfId="29360"/>
    <cellStyle name="差_Creak Pearl Reliability Fixture RFQ_2009 04 24_Creek  Pearl RFQ_May 12_Leopard RFQ ME BOM Costs-0618-2 3 2" xfId="29361"/>
    <cellStyle name="差_Creak Pearl Reliability Fixture RFQ_2009 04 24_Creek  Pearl RFQ_May 12_Leopard RFQ ME BOM Costs-0618-2_Bolt RFQ Proposal_Foxlink_ (Pricing Summary) 2 25 2011" xfId="29362"/>
    <cellStyle name="差_Creak Pearl Reliability Fixture RFQ_2009 04 24_Creek  Pearl RFQ_May 12_Leopard RFQ ME BOM Costs-0618-2_Bolt RFQ Proposal_Foxlink_ (Pricing Summary) 2 25 2011 2" xfId="29363"/>
    <cellStyle name="差_Creek RFQ feedback 04_28_2009_FD Update_Leopard RFQ ME BOM Costs-0618-2_Bolt RFQ Proposal_Foxlink_ (Pricing Summary) 2 25 2011 5 3" xfId="29364"/>
    <cellStyle name="差_Creak Pearl Reliability Fixture RFQ_2009 04 24_Creek  Pearl RFQ_May 12_Leopard RFQ ME BOM Costs-0618-2_Bolt RFQ Proposal_Foxlink_ (Pricing Summary) 2 25 2011 2 2" xfId="29365"/>
    <cellStyle name="差_Creak Pearl Reliability Fixture RFQ_2009 04 24_Creek  Pearl RFQ_May 12_Leopard RFQ ME BOM Costs-0618-2_Bolt RFQ Proposal_Foxlink_ (Pricing Summary) 2 25 2011 2 2 3" xfId="29366"/>
    <cellStyle name="差_Creak Pearl Reliability Fixture RFQ_2009 04 24_Creek  Pearl RFQ_May 12_Leopard RFQ ME BOM Costs-0618-2_Bolt RFQ Proposal_Foxlink_ (Pricing Summary) 2 25 2011 2 3" xfId="29367"/>
    <cellStyle name="差_Creak Pearl Reliability Fixture RFQ_2009 04 24_Creek  Pearl RFQ_May 12_Leopard RFQ ME BOM Costs-0618-2_Bolt RFQ Proposal_Foxlink_ (Pricing Summary) 2 25 2011 3" xfId="29368"/>
    <cellStyle name="差_Creak Pearl Reliability Fixture RFQ_2009 04 24_Creek  Pearl RFQ_May 12_Leopard RFQ ME BOM Costs-0618-2_Bolt RFQ Proposal_Foxlink_ (Pricing Summary) 2 25 2011 3 2" xfId="29369"/>
    <cellStyle name="差_Creak Pearl Reliability Fixture RFQ_2009 04 24_Creek  Pearl RFQ_May 12_Leopard RFQ ME BOM Costs-0618-2_Bolt RFQ Proposal_Foxlink_ (Pricing Summary) 2 25 2011 3 3" xfId="29370"/>
    <cellStyle name="差_Creak Pearl Reliability Fixture RFQ_2009 04 24_Creek  Pearl RFQ_May 12_Leopard RFQ ME BOM Costs-0618-2_Bolt RFQ Proposal_Foxlink_ (Pricing Summary) 2 25 2011 5" xfId="29371"/>
    <cellStyle name="差_Creak Pearl Reliability Fixture RFQ_2009 04 24_Creek  Pearl RFQ_May 12_Leopard RFQ ME BOM Costs-0618-2_Bolt RFQ Proposal_Foxlink_ (Pricing Summary) 2 25 2011 5 3" xfId="29372"/>
    <cellStyle name="差_Erie Trial run  QA Report-1105_Dolce   QA Report 2010_0902 (A3)" xfId="29373"/>
    <cellStyle name="差_Creak Pearl Reliability Fixture RFQ_2009 04 24_Creek  Pearl RFQ_May 12_Leopard RFQ ME BOM Costs-0618-2_Bolt RFQ Proposal_Foxlink_ (Pricing Summary) 2 25 2011 7" xfId="29374"/>
    <cellStyle name="差_Creak Pearl Reliability Fixture RFQ_2009 04 24_Creek  Pearl RFQ_May 12_Leopard RFQ ME BOM Costs-0618-2_Bolt RFQ_Foxlink_03.1 2011 2 3" xfId="29375"/>
    <cellStyle name="差_Creak Pearl Reliability Fixture RFQ_2009 04 24_Creek  Pearl RFQ_May 12_Leopard RFQ ME BOM Costs-0618-2_Bolt RFQ_Foxlink_03.1 2011 5" xfId="29376"/>
    <cellStyle name="差_pq_Flow Chart&amp;設備治工具清單 _squirrel效益分析08-17" xfId="29377"/>
    <cellStyle name="差_Creak Pearl Reliability Fixture RFQ_2009 04 24_Creek  Pearl RFQ_May 12_Leopard RFQ ME BOM Costs-0618-2_Bolt RFQ_Foxlink_03.1 2011_nego meeting@MACH" xfId="29378"/>
    <cellStyle name="差_Creak Pearl Reliability Fixture RFQ_2009 04 24_Creek  Pearl RFQ_May 12_Leopard RFQ ME BOM Costs-0618-2_Bolt RFQ_Foxlink_03.1 2011_nego meeting@MACH 2" xfId="29379"/>
    <cellStyle name="差_Creak Pearl Reliability Fixture RFQ_2009 04 24_Creek  Pearl RFQ_May 12_Leopard RFQ ME BOM Costs-0618-2_Bolt RFQ_Foxlink_03.1 2011_nego meeting@MACH 3 2" xfId="29380"/>
    <cellStyle name="差_Creak Pearl Reliability Fixture RFQ_2009 04 24_Creek  Pearl RFQ_May 12_Leopard RFQ ME BOM Costs-0618-2_Bolt RFQ_Foxlink_03.1 2011_nego meeting@MACH 3 3" xfId="29381"/>
    <cellStyle name="差_Creak Pearl Reliability Fixture RFQ_2009 04 24_Creek  Pearl RFQ_May 12_Squirrel UniBom-06.23.2010_update_internal 2 4" xfId="29382"/>
    <cellStyle name="差_Creak Pearl Reliability Fixture RFQ_2009 04 24_Creek  Pearl RFQ_May 12_Leopard UniBom_Foxlink_12092010 RevD-jen" xfId="29383"/>
    <cellStyle name="差_Creak Pearl Reliability Fixture RFQ_2009 04 24_Creek  Pearl RFQ_May 12_Leopard UniBom_Foxlink_6 21 2010-ME_nego" xfId="29384"/>
    <cellStyle name="差_Creak Pearl Reliability Fixture RFQ_2009 04 24_Creek  Pearl RFQ_May 12_Leopard UniBom_Foxlink_6 21 2010-ME_nego 2" xfId="29385"/>
    <cellStyle name="差_治具工程課2009年KPI 2 3 3" xfId="29386"/>
    <cellStyle name="差_F3   SMT設備明細_Erie 效益分析 (Update)_Flow chart and Fixture(1-4)_Jackson 效益分析 (2-1 B0 上系統)_Leopard效益分析08-17" xfId="29387"/>
    <cellStyle name="差_Creak Pearl Reliability Fixture RFQ_2009 04 24_Creek  Pearl RFQ_May 12_Leopard UniBom_Foxlink_6 21 2010-ME_nego 2 2" xfId="29388"/>
    <cellStyle name="差_Creak Pearl Reliability Fixture RFQ_2009 04 24_Creek  Pearl RFQ_May 12_Leopard UniBom_Foxlink_6 21 2010-ME_nego 2 2 2" xfId="29389"/>
    <cellStyle name="差_Creak Pearl Reliability Fixture RFQ_2009 04 24_Creek  Pearl RFQ_May 12_Leopard UniBom_Foxlink_6 21 2010-ME_nego 2 2 3" xfId="29390"/>
    <cellStyle name="差_Creak Pearl Reliability Fixture RFQ_2009 04 24_Creek  Pearl RFQ_May 12_Leopard UniBom_Foxlink_6 21 2010-ME_nego 2 3" xfId="29391"/>
    <cellStyle name="差_F3   SMT設備明細_jupite r設備&amp;治工具LIST (總)_Dallas flow chart&amp;設備&amp;治工具清單(12-8 A0)_效益分析(總 12-28 Update)_squirrel效益分析08-17" xfId="29392"/>
    <cellStyle name="差_Creak Pearl Reliability Fixture RFQ_2009 04 24_Creek  Pearl RFQ_May 12_Leopard UniBom_Foxlink_6 21 2010-ME_nego 2 4" xfId="29393"/>
    <cellStyle name="差_Creak Pearl Reliability Fixture RFQ_2009 04 24_Creek  Pearl RFQ_May 12_Leopard UniBom_Foxlink_6 21 2010-ME_nego 3" xfId="29394"/>
    <cellStyle name="差_Creak Pearl Reliability Fixture RFQ_2009 04 24_Creek  Pearl RFQ_May 12_Leopard UniBom_Foxlink_6 21 2010-ME_nego 3 3" xfId="29395"/>
    <cellStyle name="差_Creak Pearl Reliability Fixture RFQ_2009 04 24_Creek  Pearl RFQ_May 12_Leopard UniBom_Foxlink_6 21 2010-ME_nego_Bolt RFQ Proposal_Foxlink_ (Pricing Summary) 2 25 2011" xfId="29396"/>
    <cellStyle name="差_Creak Pearl Reliability Fixture RFQ_2009 04 24_Creek  Pearl RFQ_May 12_Leopard UniBom_Foxlink_6 21 2010-ME_nego_Bolt RFQ Proposal_Foxlink_ (Pricing Summary) 2 25 2011 2 2 2" xfId="29397"/>
    <cellStyle name="差_Creak Pearl Reliability Fixture RFQ_2009 04 24_Creek  Pearl RFQ_May 12_Leopard UniBom_Foxlink_6 21 2010-ME_nego_Bolt RFQ Proposal_Foxlink_ (Pricing Summary) 2 25 2011 2 2 3" xfId="29398"/>
    <cellStyle name="差_Creak Pearl Reliability Fixture RFQ_2009 04 24_Creek  Pearl RFQ_May 12_Leopard UniBom_Foxlink_6 21 2010-ME_nego_Bolt RFQ Proposal_Foxlink_ (Pricing Summary) 2 25 2011 2 3" xfId="29399"/>
    <cellStyle name="差_Creak Pearl Reliability Fixture RFQ_2009 04 24_Creek  Pearl RFQ_May 12_Leopard UniBom_Foxlink_6 21 2010-ME_nego_Bolt RFQ Proposal_Foxlink_ (Pricing Summary) 2 25 2011 3" xfId="29400"/>
    <cellStyle name="差_Creak Pearl Reliability Fixture RFQ_2009 04 24_Creek  Pearl RFQ_May 12_Leopard UniBom_Foxlink_6 21 2010-ME_nego_Bolt RFQ Proposal_Foxlink_ (Pricing Summary) 2 25 2011 3 2" xfId="29401"/>
    <cellStyle name="差_Creak Pearl Reliability Fixture RFQ_2009 04 24_Creek  Pearl RFQ_May 12_Leopard UniBom_Foxlink_6 21 2010-ME_nego_Bolt RFQ Proposal_Foxlink_ (Pricing Summary) 2 25 2011 4" xfId="29402"/>
    <cellStyle name="差_Creak Pearl Reliability Fixture RFQ_2009 04 24_Creek  Pearl RFQ_May 12_Leopard UniBom_Foxlink_6 21 2010-ME_nego_Bolt RFQ Proposal_Foxlink_ (Pricing Summary) 2 25 2011 4 3" xfId="29403"/>
    <cellStyle name="差_Creak Pearl Reliability Fixture RFQ_2009 04 24_Pearl RFQ(Submittal)ver2_05_12_2009 _Lemur RFQ ME BOM Costs-0623" xfId="29404"/>
    <cellStyle name="差_Creak Pearl Reliability Fixture RFQ_2009 04 24_Creek  Pearl RFQ_May 12_Leopard UniBom_Foxlink_6 21 2010-ME_nego_Bolt RFQ Proposal_Foxlink_ (Pricing Summary) 2 25 2011 5" xfId="29405"/>
    <cellStyle name="差_Creak Pearl Reliability Fixture RFQ_2009 04 24_Creek  Pearl RFQ_May 12_Leopard UniBom_Foxlink_6 21 2010-ME_nego_Bolt RFQ Proposal_Foxlink_ (Pricing Summary) 2 25 2011 5 2" xfId="29406"/>
    <cellStyle name="差_Creak Pearl Reliability Fixture RFQ_2009 04 24_Creek  Pearl RFQ_May 12_Leopard UniBom_Foxlink_6 21 2010-ME_nego_Bolt RFQ Proposal_Foxlink_ (Pricing Summary) 2 25 2011 6" xfId="29407"/>
    <cellStyle name="差_Creak Pearl Reliability Fixture RFQ_2009 04 24_Creek  Pearl RFQ_May 12_Leopard UniBom_Foxlink_6 21 2010-ME_nego_Bolt RFQ_Foxlink_03.1 2011 2 3" xfId="29408"/>
    <cellStyle name="差_Creak Pearl Reliability Fixture RFQ_2009 04 24_Creek  Pearl RFQ_May 12_Leopard UniBom_Foxlink_6 21 2010-ME_nego_Bolt RFQ_Foxlink_03.1 2011 3 2" xfId="29409"/>
    <cellStyle name="差_Creak Pearl Reliability Fixture RFQ_2009 04 24_Creek RFQ feedback 04_28_2009_FD Update_Leopard Lemur Squirrel UniBom-06.22.2010_EE cost _update_internal_Bolt RFQ_Foxlink_03.1 2011 2 2" xfId="29410"/>
    <cellStyle name="差_Creak Pearl Reliability Fixture RFQ_2009 04 24_Creek  Pearl RFQ_May 12_Leopard_UniBOM_ME_0531_Bolt RFQ_Foxlink_03.1 2011 2 3" xfId="29411"/>
    <cellStyle name="差_Creak Pearl Reliability Fixture RFQ_2009 04 24_Creek  Pearl RFQ_May 12_Leopard UniBom_Foxlink_6 21 2010-ME_nego_Bolt RFQ_Foxlink_03.1 2011 4" xfId="29412"/>
    <cellStyle name="差_Creak Pearl Reliability Fixture RFQ_2009 04 24_Creek RFQ feedback 04_28_2009_FD Update_Leopard Lemur Squirrel UniBom-06.22.2010_EE cost _update_internal_Bolt RFQ_Foxlink_03.1 2011 3" xfId="29413"/>
    <cellStyle name="差_Creak Pearl Reliability Fixture RFQ_2009 04 24_Leopard RFQ ME BOM Costs-0618_Bolt RFQ Proposal_Foxlink_ (Pricing Summary) 2 25 2011 5 2" xfId="29414"/>
    <cellStyle name="差_Creak Pearl Reliability Fixture RFQ_2009 04 24_Creek  Pearl RFQ_May 12_Leopard UniBom_Foxlink_6 21 2010-ME_nego_Bolt RFQ_Foxlink_03.1 2011 5" xfId="29415"/>
    <cellStyle name="差_Creak Pearl Reliability Fixture RFQ_2009 04 24_Creek RFQ feedback 04_28_2009_FD Update_Leopard Lemur Squirrel UniBom-06.22.2010_EE cost _update_internal_Bolt RFQ_Foxlink_03.1 2011 4" xfId="29416"/>
    <cellStyle name="差_Xl0000002_Leopard_UniBOM_ME_0531 2 2 3" xfId="29417"/>
    <cellStyle name="差_Creak Pearl Reliability Fixture RFQ_2009 04 24_Creek  Pearl RFQ_May 12_Leopard UniBom_Foxlink_6 21 2010-ME_nego_Bolt RFQ_Foxlink_03.1 2011_nego meeting@MACH" xfId="29418"/>
    <cellStyle name="差_Creak Pearl Reliability Fixture RFQ_2009 04 24_Creek  Pearl RFQ_May 12_Leopard UniBom_Foxlink_6 21 2010-ME_nego_Bolt RFQ_Foxlink_03.1 2011_nego meeting@MACH 2" xfId="29419"/>
    <cellStyle name="差_Creak Pearl Reliability Fixture RFQ_2009 04 24_Creek RFQ feedback 04_28_2009_FD Update_Leopard_UniBOM_ME_0603-2_Bolt RFQ Proposal_Foxlink_ (Pricing Summary) 2 25 2011 4 2" xfId="29420"/>
    <cellStyle name="差_Creak Pearl Reliability Fixture RFQ_2009 04 24_Creek  Pearl RFQ_May 12_Leopard UniBom_Foxlink_6 21 2010-ME_nego_Bolt RFQ_Foxlink_03.1 2011_nego meeting@MACH 4" xfId="29421"/>
    <cellStyle name="差_Creak Pearl Reliability Fixture RFQ_2009 04 24_Creek  Pearl RFQ_May 12_Leopard UniBom_true cost_6.23.2010" xfId="29422"/>
    <cellStyle name="差_HP  專案(設備&amp;治工具需夠買)update_費用統計_Jackson 效益分析 (2-1 B0 上系統)_squirrel效益分析08-17" xfId="29423"/>
    <cellStyle name="差_Creak Pearl Reliability Fixture RFQ_2009 04 24_Creek  Pearl RFQ_May 12_Leopard_UniBOM_ME_0531 2 4" xfId="29424"/>
    <cellStyle name="差_Creak Pearl Reliability Fixture RFQ_2009 04 24_Creek  Pearl RFQ_May 12_Leopard_UniBOM_ME_0531 3" xfId="29425"/>
    <cellStyle name="差_Creak Pearl Reliability Fixture RFQ_2009 04 24_Creek  Pearl RFQ_May 12_Leopard_UniBOM_ME_0531 3 2" xfId="29426"/>
    <cellStyle name="差_Creak Pearl Reliability Fixture RFQ_2009 04 24_Creek RFQ feedback 04_28_2009_FD Update_Bolt RFQ Proposal_Foxlink_ (Pricing Summary) 2 25 2011 5 2" xfId="29427"/>
    <cellStyle name="壞_Creek Assembly Fixture  Test Equipment RFQ_20090427_Leopard RFQ ME BOM Costs-0618-2_Bolt RFQ Proposal_Foxlink_ (Pricing Summary) 2 25 2011 4 2" xfId="29428"/>
    <cellStyle name="差_Creak Pearl Reliability Fixture RFQ_2009 04 24_Creek  Pearl RFQ_May 12_Leopard_UniBOM_ME_0531_Bolt RFQ Proposal_Foxlink_ (Pricing Summary) 2 25 2011 2" xfId="29429"/>
    <cellStyle name="差_Creak Pearl Reliability Fixture RFQ_2009 04 24_Creek  Pearl RFQ_May 12_Leopard_UniBOM_ME_0531_Bolt RFQ Proposal_Foxlink_ (Pricing Summary) 2 25 2011 2 2 3" xfId="29430"/>
    <cellStyle name="差_Creak Pearl Reliability Fixture RFQ_2009 04 24_Creek  Pearl RFQ_May 12_Leopard_UniBOM_ME_0531_Bolt RFQ Proposal_Foxlink_ (Pricing Summary) 2 25 2011 2 4" xfId="29431"/>
    <cellStyle name="差_Creak Pearl Reliability Fixture RFQ_2009 04 24_Creek  Pearl RFQ_May 12_Leopard_UniBOM_ME_0531_Bolt RFQ Proposal_Foxlink_ (Pricing Summary) 2 25 2011 3 2" xfId="29432"/>
    <cellStyle name="差_Creak Pearl Reliability Fixture RFQ_2009 04 24_Creek  Pearl RFQ_May 12_Leopard_UniBOM_ME_0531_Bolt RFQ Proposal_Foxlink_ (Pricing Summary) 2 25 2011 3 3" xfId="29433"/>
    <cellStyle name="差_Creak Pearl Reliability Fixture RFQ_2009 04 24_Creek  Pearl RFQ_May 12_Leopard_UniBOM_ME_0531_Bolt RFQ Proposal_Foxlink_ (Pricing Summary) 2 25 2011 5 2" xfId="29434"/>
    <cellStyle name="差_Creak Pearl Reliability Fixture RFQ_2009 04 24_Creek RFQ feedback 04_28_2009_FD Update_Leopard_UniBOM_ME_0602 2 2" xfId="29435"/>
    <cellStyle name="差_Creak Pearl Reliability Fixture RFQ_2009 04 24_Creek  Pearl RFQ_May 12_Leopard_UniBOM_ME_0531_Bolt RFQ Proposal_Foxlink_ (Pricing Summary) 2 25 2011 5 3" xfId="29436"/>
    <cellStyle name="差_Creak Pearl Reliability Fixture RFQ_2009 04 24_Creek  Pearl RFQ_May 12_Leopard_UniBOM_ME_0531_Bolt RFQ Proposal_Foxlink_ (Pricing Summary) 2 25 2011 6" xfId="29437"/>
    <cellStyle name="差_F3   SMT設備明細_M1 SuedeFixtureEquipment Cost_A0_2010_10_15" xfId="29438"/>
    <cellStyle name="差_Creak Pearl Reliability Fixture RFQ_2009 04 24_Creek  Pearl RFQ_May 12_Leopard_UniBOM_ME_0531_Bolt RFQ Proposal_Foxlink_ (Pricing Summary) 2 25 2011 7" xfId="29439"/>
    <cellStyle name="差_Creak Pearl Reliability Fixture RFQ_2009 04 24_Creek  Pearl RFQ_May 12_Leopard_UniBOM_ME_0531_Bolt RFQ_Foxlink_03.1 2011" xfId="29440"/>
    <cellStyle name="差_Xl0000000_Leopard RFQ ME BOM Costs-0618_Bolt RFQ_Foxlink_03.1 2011_nego meeting@MACH 4" xfId="29441"/>
    <cellStyle name="差_Creak Pearl Reliability Fixture RFQ_2009 04 24_Creek  Pearl RFQ_May 12_Leopard_UniBOM_ME_0531_Bolt RFQ_Foxlink_03.1 2011 2" xfId="29442"/>
    <cellStyle name="差_Creak Pearl Reliability Fixture RFQ_2009 04 24_Creek  Pearl RFQ_May 12_Leopard_UniBOM_ME_0531_Bolt RFQ_Foxlink_03.1 2011 2 2" xfId="29443"/>
    <cellStyle name="差_Creak Pearl Reliability Fixture RFQ_2009 04 24_Creek  Pearl RFQ_May 12_Leopard_UniBOM_ME_0531_Bolt RFQ_Foxlink_03.1 2011 3 2" xfId="29444"/>
    <cellStyle name="差_Creak Pearl Reliability Fixture RFQ_2009 04 24_Creek  Pearl RFQ_May 12_Leopard_UniBOM_ME_0531_Bolt RFQ_Foxlink_03.1 2011 4" xfId="29445"/>
    <cellStyle name="差_Creak Pearl Reliability Fixture RFQ_2009 04 24_Creek  Pearl RFQ_May 12_Leopard_UniBOM_ME_0531_Bolt RFQ_Foxlink_03.1 2011 5" xfId="29446"/>
    <cellStyle name="差_Erie mouse 效益分析( 11-19 A1)_Jackson 效益分析 testing update_16th Jan111" xfId="29447"/>
    <cellStyle name="差_Creak Pearl Reliability Fixture RFQ_2009 04 24_Creek  Pearl RFQ_May 12_Leopard_UniBOM_ME_0531_Bolt RFQ_Foxlink_03.1 2011_nego meeting@MACH" xfId="29448"/>
    <cellStyle name="差_foxlink Bristol for 10063D-2010-10-11_Bristol ME parts tooling cost 20101022 updated_Bristol TC Estimate Update 07292011_internal from Tony" xfId="29449"/>
    <cellStyle name="差_Creak Pearl Reliability Fixture RFQ_2009 04 24_Creek  Pearl RFQ_May 12_Leopard_UniBOM_ME_0531_Bolt RFQ_Foxlink_03.1 2011_nego meeting@MACH 2 3" xfId="29450"/>
    <cellStyle name="差_Creak Pearl Reliability Fixture RFQ_2009 04 24_Creek  Pearl RFQ_May 12_Leopard_UniBOM_ME_0531_Bolt RFQ_Foxlink_03.1 2011_nego meeting@MACH 3" xfId="29451"/>
    <cellStyle name="差_Creak Pearl Reliability Fixture RFQ_2009 04 24_Creek  Pearl RFQ_May 12_Leopard_UniBOM_ME_0531_Bolt RFQ_Foxlink_03.1 2011_nego meeting@MACH 4" xfId="29452"/>
    <cellStyle name="差_Creak Pearl Reliability Fixture RFQ_2009 04 24_Creek  Pearl RFQ_May 12_Leopard_UniBOM_ME_0602 3 3" xfId="29453"/>
    <cellStyle name="差_Creak Pearl Reliability Fixture RFQ_2009 04 24_Creek  Pearl RFQ_May 12_Leopard_UniBOM_ME_0602_Bolt RFQ Proposal_Foxlink_ (Pricing Summary) 2 25 2011" xfId="29454"/>
    <cellStyle name="差_Creak Pearl Reliability Fixture RFQ_2009 04 24_Creek  Pearl RFQ_May 12_Leopard_UniBOM_ME_0602_Bolt RFQ Proposal_Foxlink_ (Pricing Summary) 2 25 2011 2" xfId="29455"/>
    <cellStyle name="差_Creak Pearl Reliability Fixture RFQ_2009 04 24_Creek  Pearl RFQ_May 12_Leopard_UniBOM_ME_0602_Bolt RFQ Proposal_Foxlink_ (Pricing Summary) 2 25 2011 2 2 2" xfId="29456"/>
    <cellStyle name="差_Creak Pearl Reliability Fixture RFQ_2009 04 24_Creek  Pearl RFQ_May 12_Leopard_UniBOM_ME_0602_Bolt RFQ Proposal_Foxlink_ (Pricing Summary) 2 25 2011 2 4" xfId="29457"/>
    <cellStyle name="差_Creak Pearl Reliability Fixture RFQ_2009 04 24_Creek  Pearl RFQ_May 12_Leopard_UniBOM_ME_0602_Bolt RFQ Proposal_Foxlink_ (Pricing Summary) 2 25 2011 3" xfId="29458"/>
    <cellStyle name="差_Creak Pearl Reliability Fixture RFQ_2009 04 24_Creek  Pearl RFQ_May 12_Leopard_UniBOM_ME_0602_Bolt RFQ Proposal_Foxlink_ (Pricing Summary) 2 25 2011 3 2" xfId="29459"/>
    <cellStyle name="差_Creak Pearl Reliability Fixture RFQ_2009 04 24_Creek  Pearl RFQ_May 12_Leopard_UniBOM_ME_0602_Bolt RFQ Proposal_Foxlink_ (Pricing Summary) 2 25 2011 3 3" xfId="29460"/>
    <cellStyle name="差_Creak Pearl Reliability Fixture RFQ_2009 04 24_Creek  Pearl RFQ_May 12_Leopard_UniBOM_ME_0602_Bolt RFQ Proposal_Foxlink_ (Pricing Summary) 2 25 2011 5 2" xfId="29461"/>
    <cellStyle name="差_Creak Pearl Reliability Fixture RFQ_2009 04 24_Creek  Pearl RFQ_May 12_Leopard_UniBOM_ME_0602-1_Bolt RFQ_Foxlink_03.1 2011_nego meeting@MACH" xfId="29462"/>
    <cellStyle name="差_Creak Pearl Reliability Fixture RFQ_2009 04 24_Creek  Pearl RFQ_May 12_Leopard_UniBOM_ME_0602_Bolt RFQ_Foxlink_03.1 2011" xfId="29463"/>
    <cellStyle name="差_Creak Pearl Reliability Fixture RFQ_2009 04 24_Creek  Pearl RFQ_May 12_Leopard_UniBOM_ME_0602-1_Bolt RFQ_Foxlink_03.1 2011_nego meeting@MACH 2 2" xfId="29464"/>
    <cellStyle name="差_Creak Pearl Reliability Fixture RFQ_2009 04 24_Creek  Pearl RFQ_May 12_Leopard_UniBOM_ME_0602_Bolt RFQ_Foxlink_03.1 2011 2 2" xfId="29465"/>
    <cellStyle name="差_Creak Pearl Reliability Fixture RFQ_2009 04 24_Creek  Pearl RFQ_May 12_Leopard_UniBOM_ME_0602-1_Bolt RFQ_Foxlink_03.1 2011_nego meeting@MACH 2 3" xfId="29466"/>
    <cellStyle name="差_Creak Pearl Reliability Fixture RFQ_2009 04 24_Creek  Pearl RFQ_May 12_Leopard_UniBOM_ME_0602_Bolt RFQ_Foxlink_03.1 2011 2 3" xfId="29467"/>
    <cellStyle name="差_Creak Pearl Reliability Fixture RFQ_2009 04 24_Creek RFQ feedback 04_28_2009_FD Update_Leopard_UniBOM_ME_0602_Bolt RFQ_Foxlink_03.1 2011 2 2" xfId="29468"/>
    <cellStyle name="差_Creak Pearl Reliability Fixture RFQ_2009 04 24_Creek  Pearl RFQ_May 12_Leopard_UniBOM_ME_0602-1_Bolt RFQ_Foxlink_03.1 2011_nego meeting@MACH 3" xfId="29469"/>
    <cellStyle name="差_Creak Pearl Reliability Fixture RFQ_2009 04 24_Creek  Pearl RFQ_May 12_Leopard_UniBOM_ME_0602_Bolt RFQ_Foxlink_03.1 2011 3" xfId="29470"/>
    <cellStyle name="差_Creak Pearl Reliability Fixture RFQ_2009 04 24_Creek  Pearl RFQ_May 12_Leopard_UniBOM_ME_0602-1_Bolt RFQ_Foxlink_03.1 2011_nego meeting@MACH 3 2" xfId="29471"/>
    <cellStyle name="差_Creak Pearl Reliability Fixture RFQ_2009 04 24_Creek  Pearl RFQ_May 12_Leopard_UniBOM_ME_0602_Bolt RFQ_Foxlink_03.1 2011 3 2" xfId="29472"/>
    <cellStyle name="差_Creak Pearl Reliability Fixture RFQ_2009 04 24_Creek  Pearl RFQ_May 12_Leopard_UniBOM_ME_0602-1_Bolt RFQ_Foxlink_03.1 2011_nego meeting@MACH 3 3" xfId="29473"/>
    <cellStyle name="差_Creak Pearl Reliability Fixture RFQ_2009 04 24_Creek  Pearl RFQ_May 12_Leopard_UniBOM_ME_0602_Bolt RFQ_Foxlink_03.1 2011 3 3" xfId="29474"/>
    <cellStyle name="差_Creak Pearl Reliability Fixture RFQ_2009 04 24_Creek RFQ feedback 04_28_2009_FD Update_Leopard_UniBOM_ME_0602_Bolt RFQ_Foxlink_03.1 2011 2 3" xfId="29475"/>
    <cellStyle name="差_Creak Pearl Reliability Fixture RFQ_2009 04 24_Creek  Pearl RFQ_May 12_Leopard_UniBOM_ME_0602-1_Bolt RFQ_Foxlink_03.1 2011_nego meeting@MACH 4" xfId="29476"/>
    <cellStyle name="差_Creak Pearl Reliability Fixture RFQ_2009 04 24_Creek  Pearl RFQ_May 12_Leopard_UniBOM_ME_0602_Bolt RFQ_Foxlink_03.1 2011 4" xfId="29477"/>
    <cellStyle name="差_Creak Pearl Reliability Fixture RFQ_2009 04 24_Creek  Pearl RFQ_May 12_Leopard_UniBOM_ME_0602-1_Bolt RFQ_Foxlink_03.1 2011_nego meeting@MACH 5" xfId="29478"/>
    <cellStyle name="差_Creak Pearl Reliability Fixture RFQ_2009 04 24_Creek  Pearl RFQ_May 12_Leopard_UniBOM_ME_0602_Bolt RFQ_Foxlink_03.1 2011 5" xfId="29479"/>
    <cellStyle name="差_Creak Pearl Reliability Fixture RFQ_2009 04 24_Creek  Pearl RFQ_May 12_Leopard_UniBOM_ME_0602_Bolt RFQ_Foxlink_03.1 2011_nego meeting@MACH" xfId="29480"/>
    <cellStyle name="差_Creak Pearl Reliability Fixture RFQ_2009 04 24_Creek  Pearl RFQ_May 12_Leopard_UniBOM_ME_0602_Bolt RFQ_Foxlink_03.1 2011_nego meeting@MACH 2 2" xfId="29481"/>
    <cellStyle name="差_Creak Pearl Reliability Fixture RFQ_2009 04 24_Creek  Pearl RFQ_May 12_Leopard_UniBOM_ME_0602_Bolt RFQ_Foxlink_03.1 2011_nego meeting@MACH 2 3" xfId="29482"/>
    <cellStyle name="差_Creak Pearl Reliability Fixture RFQ_2009 04 24_Creek  Pearl RFQ_May 12_Leopard_UniBOM_ME_0602_Bolt RFQ_Foxlink_03.1 2011_nego meeting@MACH 3" xfId="29483"/>
    <cellStyle name="差_Creak Pearl Reliability Fixture RFQ_2009 04 24_Creek RFQ feedback 04_28_2009_FD Update_Leopard UniBom_Foxlink_6 21 2010-ME_nego_Bolt RFQ Proposal_Foxlink_ (Pricing Summary) 2 25 2011 4 2" xfId="29484"/>
    <cellStyle name="差_Creak Pearl Reliability Fixture RFQ_2009 04 24_Creek  Pearl RFQ_May 12_Leopard_UniBOM_ME_0602-1 2" xfId="29485"/>
    <cellStyle name="差_Creak Pearl Reliability Fixture RFQ_2009 04 24_Creek  Pearl RFQ_May 12_Leopard_UniBOM_ME_0602-1 2 2" xfId="29486"/>
    <cellStyle name="差_Creak Pearl Reliability Fixture RFQ_2009 04 24_Creek  Pearl RFQ_May 12_Leopard_UniBOM_ME_0602-1 2 2 2" xfId="29487"/>
    <cellStyle name="差_Creak Pearl Reliability Fixture RFQ_2009 04 24_Creek  Pearl RFQ_May 12_Leopard_UniBOM_ME_0602-1 2 3" xfId="29488"/>
    <cellStyle name="差_F3   SMT設備明細_效益分析_flow chart 2009.12.12_Jackson 效益分析 (1-18 A7)" xfId="29489"/>
    <cellStyle name="差_Creak Pearl Reliability Fixture RFQ_2009 04 24_Creek  Pearl RFQ_May 12_Leopard_UniBOM_ME_0602-1 2 4" xfId="29490"/>
    <cellStyle name="差_Creak Pearl Reliability Fixture RFQ_2009 04 24_Creek  Pearl RFQ_May 12_Leopard_UniBOM_ME_0602-1_Bolt RFQ Proposal_Foxlink_ (Pricing Summary) 2 25 2011 2" xfId="29491"/>
    <cellStyle name="差_HP Mouse 產能評估(Forecast更改後)_M1 Bolt wireless mouse FixtureEquipment Cost_A2_2010_12_07_Bolt RFQ Proposal_Foxlink_ (Pricing Summary) 2 25 2011 5 2" xfId="29492"/>
    <cellStyle name="差_Creak Pearl Reliability Fixture RFQ_2009 04 24_Creek  Pearl RFQ_May 12_Leopard_UniBOM_ME_0602-1_Bolt RFQ Proposal_Foxlink_ (Pricing Summary) 2 25 2011 2 2" xfId="29493"/>
    <cellStyle name="差_Creak Pearl Reliability Fixture RFQ_2009 04 24_Creek  Pearl RFQ_May 12_Leopard_UniBOM_ME_0602-1_Bolt RFQ Proposal_Foxlink_ (Pricing Summary) 2 25 2011 2 2 3" xfId="29494"/>
    <cellStyle name="差_Creak Pearl Reliability Fixture RFQ_2009 04 24_Creek  Pearl RFQ_May 12_Leopard_UniBOM_ME_0602-1_Bolt RFQ Proposal_Foxlink_ (Pricing Summary) 2 25 2011 2 3" xfId="29495"/>
    <cellStyle name="差_Creak Pearl Reliability Fixture RFQ_2009 04 24_Creek  Pearl RFQ_May 12_Leopard_UniBOM_ME_0602-1_Bolt RFQ Proposal_Foxlink_ (Pricing Summary) 2 25 2011 2 4" xfId="29496"/>
    <cellStyle name="差_MB9月管審誤判超標 8D_2009MB KPI_MBO3F製造部hp0209-01 6" xfId="29497"/>
    <cellStyle name="差_Creak Pearl Reliability Fixture RFQ_2009 04 24_Creek  Pearl RFQ_May 12_Leopard_UniBOM_ME_0602-1_Bolt RFQ Proposal_Foxlink_ (Pricing Summary) 2 25 2011 3 2" xfId="29498"/>
    <cellStyle name="差_Creak Pearl Reliability Fixture RFQ_2009 04 24_Creek  Pearl RFQ_May 12_Leopard_UniBOM_ME_0602-1_Bolt RFQ Proposal_Foxlink_ (Pricing Summary) 2 25 2011 3 3" xfId="29499"/>
    <cellStyle name="差_Creak Pearl Reliability Fixture RFQ_2009 04 24_Creek  Pearl RFQ_May 12_Leopard_UniBOM_ME_0602-1_Bolt RFQ Proposal_Foxlink_ (Pricing Summary) 2 25 2011 4" xfId="29500"/>
    <cellStyle name="差_Creak Pearl Reliability Fixture RFQ_2009 04 24_Creek  Pearl RFQ_May 12_Leopard_UniBOM_ME_0602-1_Bolt RFQ Proposal_Foxlink_ (Pricing Summary) 2 25 2011 4 2" xfId="29501"/>
    <cellStyle name="差_Creak Pearl Reliability Fixture RFQ_2009 04 24_Creek  Pearl RFQ_May 12_Leopard_UniBOM_ME_0602-1_Bolt RFQ Proposal_Foxlink_ (Pricing Summary) 2 25 2011 5" xfId="29502"/>
    <cellStyle name="差_Creak Pearl Reliability Fixture RFQ_2009 04 24_Creek  Pearl RFQ_May 12_Leopard_UniBOM_ME_0602-1_Bolt RFQ Proposal_Foxlink_ (Pricing Summary) 2 25 2011 5 2" xfId="29503"/>
    <cellStyle name="差_Creak Pearl Reliability Fixture RFQ_2009 04 24_Creek  Pearl RFQ_May 12_Leopard_UniBOM_ME_0602-1_Bolt RFQ Proposal_Foxlink_ (Pricing Summary) 2 25 2011 6" xfId="29504"/>
    <cellStyle name="差_Creak Pearl Reliability Fixture RFQ_2009 04 24_Creek  Pearl RFQ_May 12_Leopard_UniBOM_ME_0602-1_Bolt RFQ Proposal_Foxlink_ (Pricing Summary) 2 25 2011 7" xfId="29505"/>
    <cellStyle name="差_Creak Pearl Reliability Fixture RFQ_2009 04 24_Creek  Pearl RFQ_May 12_Leopard_UniBOM_ME_0602-1_Bolt RFQ_Foxlink_03.1 2011" xfId="29506"/>
    <cellStyle name="差_Creak Pearl Reliability Fixture RFQ_2009 04 24_Creek  Pearl RFQ_May 12_Leopard_UniBOM_ME_0602-1_Bolt RFQ_Foxlink_03.1 2011 2" xfId="29507"/>
    <cellStyle name="差_Creak Pearl Reliability Fixture RFQ_2009 04 24_Creek  Pearl RFQ_May 12_Leopard_UniBOM_ME_0602-1_Bolt RFQ_Foxlink_03.1 2011 2 3" xfId="29508"/>
    <cellStyle name="差_Creak Pearl Reliability Fixture RFQ_2009 04 24_Creek  Pearl RFQ_May 12_Leopard_UniBOM_ME_0602-1_Bolt RFQ_Foxlink_03.1 2011 3" xfId="29509"/>
    <cellStyle name="差_Creak Pearl Reliability Fixture RFQ_2009 04 24_Creek  Pearl RFQ_May 12_Leopard_UniBOM_ME_0602-1_Bolt RFQ_Foxlink_03.1 2011 3 2" xfId="29510"/>
    <cellStyle name="差_Creak Pearl Reliability Fixture RFQ_2009 04 24_Creek  Pearl RFQ_May 12_Leopard_UniBOM_ME_0602-1_Bolt RFQ_Foxlink_03.1 2011 3 3" xfId="29511"/>
    <cellStyle name="差_Creak Pearl Reliability Fixture RFQ_2009 04 24_Creek  Pearl RFQ_May 12_Leopard_UniBOM_ME_0602-1_Bolt RFQ_Foxlink_03.1 2011 4" xfId="29512"/>
    <cellStyle name="差_Creak Pearl Reliability Fixture RFQ_2009 04 24_Creek  Pearl RFQ_May 12_Leopard_UniBOM_ME_0602-1_Bolt RFQ_Foxlink_03.1 2011 5" xfId="29513"/>
    <cellStyle name="差_Creak Pearl Reliability Fixture RFQ_2009 04 24_Creek  Pearl RFQ_May 12_Leopard_UniBOM_ME_0603-2" xfId="29514"/>
    <cellStyle name="差_Creak Pearl Reliability Fixture RFQ_2009 04 24_Creek  Pearl RFQ_May 12_Leopard_UniBOM_ME_0603-2 2 3" xfId="29515"/>
    <cellStyle name="差_Creak Pearl Reliability Fixture RFQ_2009 04 24_Creek  Pearl RFQ_May 12_Leopard_UniBOM_ME_0603-2 2 4" xfId="29516"/>
    <cellStyle name="差_Creak Pearl Reliability Fixture RFQ_2009 04 24_Creek  Pearl RFQ_May 12_Leopard_UniBOM_ME_0603-2 3" xfId="29517"/>
    <cellStyle name="差_Creak Pearl Reliability Fixture RFQ_2009 04 24_Creek  Pearl RFQ_May 12_Leopard_UniBOM_ME_0603-2 3 3" xfId="29518"/>
    <cellStyle name="差_Creak Pearl Reliability Fixture RFQ_2009 04 24_Creek  Pearl RFQ_May 12_Leopard_UniBOM_ME_0603-2_Bolt RFQ Proposal_Foxlink_ (Pricing Summary) 2 25 2011" xfId="29519"/>
    <cellStyle name="差_Creak Pearl Reliability Fixture RFQ_2009 04 24_Creek  Pearl RFQ_May 12_Leopard_UniBOM_ME_0603-2_Bolt RFQ Proposal_Foxlink_ (Pricing Summary) 2 25 2011 2 2" xfId="29520"/>
    <cellStyle name="差_Creak Pearl Reliability Fixture RFQ_2009 04 24_Creek  Pearl RFQ_May 12_Leopard_UniBOM_ME_0603-2_Bolt RFQ Proposal_Foxlink_ (Pricing Summary) 2 25 2011 2 2 3" xfId="29521"/>
    <cellStyle name="差_Creak Pearl Reliability Fixture RFQ_2009 04 24_Creek  Pearl RFQ_May 12_Leopard_UniBOM_ME_0603-2_Bolt RFQ Proposal_Foxlink_ (Pricing Summary) 2 25 2011 4 3" xfId="29522"/>
    <cellStyle name="差_Creak Pearl Reliability Fixture RFQ_2009 04 24_Creek  Pearl RFQ_May 12_Leopard_UniBOM_ME_0603-2_Bolt RFQ Proposal_Foxlink_ (Pricing Summary) 2 25 2011 5 3" xfId="29523"/>
    <cellStyle name="差_Creak Pearl Reliability Fixture RFQ_2009 04 24_Creek  Pearl RFQ_May 12_Leopard_UniBOM_ME_0603-2_Bolt RFQ_Foxlink_03.1 2011 2" xfId="29524"/>
    <cellStyle name="差_Creak Pearl Reliability Fixture RFQ_2009 04 24_Creek  Pearl RFQ_May 12_Leopard_UniBOM_ME_0603-2_Bolt RFQ_Foxlink_03.1 2011 2 2" xfId="29525"/>
    <cellStyle name="差_Creak Pearl Reliability Fixture RFQ_2009 04 24_Creek  Pearl RFQ_May 12_Leopard_UniBOM_ME_0603-2_Bolt RFQ_Foxlink_03.1 2011 2 3" xfId="29526"/>
    <cellStyle name="差_Creak Pearl Reliability Fixture RFQ_2009 04 24_Creek  Pearl RFQ_May 12_Leopard_UniBOM_ME_0603-2_Bolt RFQ_Foxlink_03.1 2011 3" xfId="29527"/>
    <cellStyle name="差_Creak Pearl Reliability Fixture RFQ_2009 04 24_Xl0000002_Leopard UniBom_Foxlink_6 21 2010-ME_nego" xfId="29528"/>
    <cellStyle name="差_Creak Pearl Reliability Fixture RFQ_2009 04 24_Leopard_UniBOM_ME_0531 3 2" xfId="29529"/>
    <cellStyle name="差_HP Mouse 產能評估(Forecast更改後)_M1 SuedeFixtureEquipment Cost_A0_2010_10_15_Bolt RFQ Proposal_Foxlink_ (Pricing Summary) 2 25 2011" xfId="29530"/>
    <cellStyle name="差_HP  專案(設備&amp;治工具需夠買)update_M1 Squirrel Capacity planFixtureEquipment Cost_A2_06192010_Leopard UniBom_Foxlink_12092010 RevD-jen" xfId="29531"/>
    <cellStyle name="差_Creak Pearl Reliability Fixture RFQ_2009 04 24_Leopard_UniBOM_ME_0531 3 3" xfId="29532"/>
    <cellStyle name="差_Creak Pearl Reliability Fixture RFQ_2009 04 24_Creek  Pearl RFQ_May 12_Leopard_UniBOM_ME_0603-2_Bolt RFQ_Foxlink_03.1 2011 4" xfId="29533"/>
    <cellStyle name="差_Creak Pearl Reliability Fixture RFQ_2009 04 24_Creek  Pearl RFQ_May 12_Leopard_UniBOM_ME_0603-2_Bolt RFQ_Foxlink_03.1 2011_nego meeting@MACH 2 2" xfId="29534"/>
    <cellStyle name="差_Creak Pearl Reliability Fixture RFQ_2009 04 24_Creek  Pearl RFQ_May 12_Leopard_UniBOM_ME_0603-2_Bolt RFQ_Foxlink_03.1 2011_nego meeting@MACH 4" xfId="29535"/>
    <cellStyle name="差_Creak Pearl Reliability Fixture RFQ_2009 04 24_Creek  Pearl RFQ_May 12_Squirrel RFQ ME BOM Costs-0623" xfId="29536"/>
    <cellStyle name="差_Creak Pearl Reliability Fixture RFQ_2009 04 24_Creek  Pearl RFQ_May 12_Squirrel RFQ ME BOM Costs-0623 2" xfId="29537"/>
    <cellStyle name="差_Creak Pearl Reliability Fixture RFQ_2009 04 24_Creek  Pearl RFQ_May 12_Squirrel RFQ ME BOM Costs-0623 2 2 2" xfId="29538"/>
    <cellStyle name="差_Creak Pearl Reliability Fixture RFQ_2009 04 24_Creek  Pearl RFQ_May 12_Squirrel RFQ ME BOM Costs-0623 2 2 3" xfId="29539"/>
    <cellStyle name="差_Creak Pearl Reliability Fixture RFQ_2009 04 24_Creek  Pearl RFQ_May 12_Squirrel RFQ ME BOM Costs-0623 2 3" xfId="29540"/>
    <cellStyle name="差_foxlink Bristol for 10063D-2010-10-11_Bristol RFQ response _20101102_internal (4)_Bristol TC Estimate Update 08042011_MS" xfId="29541"/>
    <cellStyle name="差_Creak Pearl Reliability Fixture RFQ_2009 04 24_Creek  Pearl RFQ_May 12_Squirrel RFQ ME BOM Costs-0623 3 3" xfId="29542"/>
    <cellStyle name="差_Creak Pearl Reliability Fixture RFQ_2009 04 24_Creek  Pearl RFQ_May 12_Squirrel RFQ ME BOM Costs-0623_Bolt RFQ Proposal_Foxlink_ (Pricing Summary) 2 25 2011" xfId="29543"/>
    <cellStyle name="差_Creak Pearl Reliability Fixture RFQ_2009 04 24_Creek  Pearl RFQ_May 12_Squirrel RFQ ME BOM Costs-0623_Bolt RFQ Proposal_Foxlink_ (Pricing Summary) 2 25 2011 2 2 2" xfId="29544"/>
    <cellStyle name="差_HP  專案(設備&amp;治工具需夠買)update_Erie 效益分析 (Update)_Flow chart and Fixture(Jackson)_A1_Jackson 效益分析 (2-1 B0 上系統)_Leopard Flowchart &amp; 產能評估" xfId="29545"/>
    <cellStyle name="差_Creek RFQ feedback 04_28_2009_FD Update_Leopard_UniBOM_ME_0531 2 2" xfId="29546"/>
    <cellStyle name="差_Creak Pearl Reliability Fixture RFQ_2009 04 24_Creek  Pearl RFQ_May 12_Squirrel RFQ ME BOM Costs-0623_Bolt RFQ Proposal_Foxlink_ (Pricing Summary) 2 25 2011 2 2 3" xfId="29547"/>
    <cellStyle name="差_Creak Pearl Reliability Fixture RFQ_2009 04 24_Creek  Pearl RFQ_May 12_Squirrel RFQ ME BOM Costs-0623_Bolt RFQ Proposal_Foxlink_ (Pricing Summary) 2 25 2011 2 3" xfId="29548"/>
    <cellStyle name="差_Creak Pearl Reliability Fixture RFQ_2009 04 24_Creek  Pearl RFQ_May 12_Squirrel RFQ ME BOM Costs-0623_Bolt RFQ Proposal_Foxlink_ (Pricing Summary) 2 25 2011 3" xfId="29549"/>
    <cellStyle name="差_Creak Pearl Reliability Fixture RFQ_2009 04 24_Creek  Pearl RFQ_May 12_Squirrel RFQ ME BOM Costs-0623_Bolt RFQ Proposal_Foxlink_ (Pricing Summary) 2 25 2011 3 2" xfId="29550"/>
    <cellStyle name="差_Creak Pearl Reliability Fixture RFQ_2009 04 24_Creek  Pearl RFQ_May 12_Squirrel RFQ ME BOM Costs-0623_Bolt RFQ Proposal_Foxlink_ (Pricing Summary) 2 25 2011 4" xfId="29551"/>
    <cellStyle name="差_Creak Pearl Reliability Fixture RFQ_2009 04 24_Creek  Pearl RFQ_May 12_Squirrel RFQ ME BOM Costs-0623_Bolt RFQ Proposal_Foxlink_ (Pricing Summary) 2 25 2011 4 2" xfId="29552"/>
    <cellStyle name="差_Creak Pearl Reliability Fixture RFQ_2009 04 24_Creek  Pearl RFQ_May 12_Squirrel RFQ ME BOM Costs-0623_Bolt RFQ Proposal_Foxlink_ (Pricing Summary) 2 25 2011 5" xfId="29553"/>
    <cellStyle name="差_Creak Pearl Reliability Fixture RFQ_2009 04 24_Creek  Pearl RFQ_May 12_Squirrel RFQ ME BOM Costs-0623_Bolt RFQ Proposal_Foxlink_ (Pricing Summary) 2 25 2011 5 3" xfId="29554"/>
    <cellStyle name="差_Creak Pearl Reliability Fixture RFQ_2009 04 24_Creek  Pearl RFQ_May 12_Squirrel RFQ ME BOM Costs-0623_Bolt RFQ_Foxlink_03.1 2011 2 2" xfId="29555"/>
    <cellStyle name="差_Creak Pearl Reliability Fixture RFQ_2009 04 24_Creek  Pearl RFQ_May 12_Squirrel RFQ ME BOM Costs-0623_Bolt RFQ_Foxlink_03.1 2011 4" xfId="29556"/>
    <cellStyle name="差_Creak Pearl Reliability Fixture RFQ_2009 04 24_Creek  Pearl RFQ_May 12_Squirrel RFQ ME BOM Costs-0623_Bolt RFQ_Foxlink_03.1 2011_nego meeting@MACH" xfId="29557"/>
    <cellStyle name="差_Creak Pearl Reliability Fixture RFQ_2009 04 24_Pearl RFQ(Submittal)ver2_05_12_2009 _Leopard_UniBOM_ME_0602_Bolt RFQ_Foxlink_03.1 2011" xfId="29558"/>
    <cellStyle name="差_HP Mouse 產能評估(上系統)_費用統計_~1159284" xfId="29559"/>
    <cellStyle name="差_Creak Pearl Reliability Fixture RFQ_2009 04 24_Creek  Pearl RFQ_May 12_Squirrel RFQ ME BOM Costs-0623_Bolt RFQ_Foxlink_03.1 2011_nego meeting@MACH 2" xfId="29560"/>
    <cellStyle name="差_Creak Pearl Reliability Fixture RFQ_2009 04 24_Pearl RFQ(Submittal)ver2_05_12_2009 _Leopard_UniBOM_ME_0602_Bolt RFQ_Foxlink_03.1 2011 2" xfId="29561"/>
    <cellStyle name="差_Creak Pearl Reliability Fixture RFQ_2009 04 24_Creek  Pearl RFQ_May 12_Squirrel RFQ ME BOM Costs-0623_Bolt RFQ_Foxlink_03.1 2011_nego meeting@MACH 3" xfId="29562"/>
    <cellStyle name="差_Creak Pearl Reliability Fixture RFQ_2009 04 24_Pearl RFQ(Submittal)ver2_05_12_2009 _Leopard_UniBOM_ME_0602_Bolt RFQ_Foxlink_03.1 2011 3" xfId="29563"/>
    <cellStyle name="差_Creak Pearl Reliability Fixture RFQ_2009 04 24_Creek  Pearl RFQ_May 12_Squirrel RFQ ME BOM Costs-0624" xfId="29564"/>
    <cellStyle name="差_Creak Pearl Reliability Fixture RFQ_2009 04 24_Creek  Pearl RFQ_May 12_Squirrel UniBom_Foxlink_7.27.2010" xfId="29565"/>
    <cellStyle name="差_Creak Pearl Reliability Fixture RFQ_2009 04 24_Creek  Pearl RFQ_May 12_Squirrel UniBom-06 23 2010_update_internal" xfId="29566"/>
    <cellStyle name="差_Creak Pearl Reliability Fixture RFQ_2009 04 24_Creek  Pearl RFQ_May 12_Squirrel UniBom-06.23.2010_update_internal 2" xfId="29567"/>
    <cellStyle name="差_Creak Pearl Reliability Fixture RFQ_2009 04 24_Creek  Pearl RFQ_May 12_Squirrel UniBom-06.23.2010_update_internal 2 3" xfId="29568"/>
    <cellStyle name="差_Creak Pearl Reliability Fixture RFQ_2009 04 24_Creek  Pearl RFQ_May 12_Squirrel UniBom-06.23.2010_update_internal 3" xfId="29569"/>
    <cellStyle name="差_Creak Pearl Reliability Fixture RFQ_2009 04 24_Creek  Pearl RFQ_May 12_Squirrel UniBom-06.23.2010_update_internal 3 3" xfId="29570"/>
    <cellStyle name="差_Creak Pearl Reliability Fixture RFQ_2009 04 24_Creek  Pearl RFQ_May 12_Squirrel UniBom-06.23.2010_update_internal 5" xfId="29571"/>
    <cellStyle name="差_MS Bolt wireless mouse FixtureEquipment Cost_A5_2010_02_21_Bolt RFQ Proposal_Foxlink_ (Pricing Summary) 2 25 2011 2 2 2" xfId="29572"/>
    <cellStyle name="差_Creak Pearl Reliability Fixture RFQ_2009 04 24_Pearl RFQ(Submittal)ver2_05_12_2009 _Squirrel UniBom-06.23.2010_update_internal_Bolt RFQ_Foxlink_03.1 2011 2 2" xfId="29573"/>
    <cellStyle name="差_Creak Pearl Reliability Fixture RFQ_2009 04 24_Creek  Pearl RFQ_May 12_Squirrel UniBom-06.23.2010_update_internal_Bolt RFQ Proposal_Foxlink_ (Pricing Summary) 2 25 2011" xfId="29574"/>
    <cellStyle name="差_Creak Pearl Reliability Fixture RFQ_2009 04 24_Creek  Pearl RFQ_May 12_Squirrel UniBom-06.23.2010_update_internal_Bolt RFQ Proposal_Foxlink_ (Pricing Summary) 2 25 2011 2 2 2" xfId="29575"/>
    <cellStyle name="差_Creak Pearl Reliability Fixture RFQ_2009 04 24_Creek  Pearl RFQ_May 12_Squirrel UniBom-06.23.2010_update_internal_Bolt RFQ Proposal_Foxlink_ (Pricing Summary) 2 25 2011 2 4" xfId="29576"/>
    <cellStyle name="差_Creak Pearl Reliability Fixture RFQ_2009 04 24_Creek  Pearl RFQ_May 12_Squirrel UniBom-06.23.2010_update_internal_Bolt RFQ Proposal_Foxlink_ (Pricing Summary) 2 25 2011 4 2" xfId="29577"/>
    <cellStyle name="差_Creak Pearl Reliability Fixture RFQ_2009 04 24_Creek  Pearl RFQ_May 12_Squirrel UniBom-06.23.2010_update_internal_Bolt RFQ Proposal_Foxlink_ (Pricing Summary) 2 25 2011 4 3" xfId="29578"/>
    <cellStyle name="差_Creak Pearl Reliability Fixture RFQ_2009 04 24_Creek  Pearl RFQ_May 12_Squirrel UniBom-06.23.2010_update_internal_Bolt RFQ Proposal_Foxlink_ (Pricing Summary) 2 25 2011 5 2" xfId="29579"/>
    <cellStyle name="差_Creak Pearl Reliability Fixture RFQ_2009 04 24_Creek RFQ feedback 04_28_2009_FD Update_Leopard_UniBOM_ME_0531_Bolt RFQ_Foxlink_03.1 2011" xfId="29580"/>
    <cellStyle name="差_Creak Pearl Reliability Fixture RFQ_2009 04 24_Creek  Pearl RFQ_May 12_Squirrel UniBom-06.23.2010_update_internal_Bolt RFQ Proposal_Foxlink_ (Pricing Summary) 2 25 2011 5 3" xfId="29581"/>
    <cellStyle name="差_Creak Pearl Reliability Fixture RFQ_2009 04 24_Creek  Pearl RFQ_May 12_Squirrel UniBom-06.23.2010_update_internal_Bolt RFQ_Foxlink_03.1 2011" xfId="29582"/>
    <cellStyle name="差_Creak Pearl Reliability Fixture RFQ_2009 04 24_Creek  Pearl RFQ_May 12_Squirrel UniBom-06.23.2010_update_internal_Bolt RFQ_Foxlink_03.1 2011 2" xfId="29583"/>
    <cellStyle name="差_Creak Pearl Reliability Fixture RFQ_2009 04 24_Creek  Pearl RFQ_May 12_Squirrel UniBom-06.23.2010_update_internal_Bolt RFQ_Foxlink_03.1 2011 2 2" xfId="29584"/>
    <cellStyle name="差_Creak Pearl Reliability Fixture RFQ_2009 04 24_Creek  Pearl RFQ_May 12_Squirrel UniBom-06.23.2010_update_internal_Bolt RFQ_Foxlink_03.1 2011 3" xfId="29585"/>
    <cellStyle name="差_Creak Pearl Reliability Fixture RFQ_2009 04 24_Creek  Pearl RFQ_May 12_Squirrel UniBom-06.23.2010_update_internal_Bolt RFQ_Foxlink_03.1 2011 3 2" xfId="29586"/>
    <cellStyle name="差_Creak Pearl Reliability Fixture RFQ_2009 04 24_Pearl RFQ(Submittal)ver2_05_12_2009 _Leopard_UniBOM_ME_0602-1_Bolt RFQ_Foxlink_03.1 2011_nego meeting@MACH 2 3" xfId="29587"/>
    <cellStyle name="差_Creak Pearl Reliability Fixture RFQ_2009 04 24_Creek  Pearl RFQ_May 12_Squirrel UniBom-06.23.2010_update_internal_Bolt RFQ_Foxlink_03.1 2011 5" xfId="29588"/>
    <cellStyle name="差_Creak Pearl Reliability Fixture RFQ_2009 04 24_Creek  Pearl RFQ_May 12_Squirrel UniBom-06.23.2010_update_internal_Bolt RFQ_Foxlink_03.1 2011_nego meeting@MACH 2" xfId="29589"/>
    <cellStyle name="差_Creak Pearl Reliability Fixture RFQ_2009 04 24_Creek  Pearl RFQ_May 12_Squirrel UniBom-06.23.2010_update_internal_Bolt RFQ_Foxlink_03.1 2011_nego meeting@MACH 2 3" xfId="29590"/>
    <cellStyle name="差_Creak Pearl Reliability Fixture RFQ_2009 04 24_Creek  Pearl RFQ_May 12_Squirrel UniBom-06.23.2010_update_internal_Bolt RFQ_Foxlink_03.1 2011_nego meeting@MACH 3" xfId="29591"/>
    <cellStyle name="差_Creak Pearl Reliability Fixture RFQ_2009 04 24_Creek  Pearl RFQ_May 12_Squirrel UniBom-06.23.2010_update_internal_Bolt RFQ_Foxlink_03.1 2011_nego meeting@MACH 3 3" xfId="29592"/>
    <cellStyle name="差_Creak Pearl Reliability Fixture RFQ_2009 04 24_Creek  Pearl RFQ_May 12_Squirrel UniBom-06.23.2010_update_internal_Bolt RFQ_Foxlink_03.1 2011_nego meeting@MACH 5" xfId="29593"/>
    <cellStyle name="差_Creak Pearl Reliability Fixture RFQ_2009 04 24_Creek RFQ feedback 04_28_2009_FD Update" xfId="29594"/>
    <cellStyle name="差_Creak Pearl Reliability Fixture RFQ_2009 04 24_Creek RFQ feedback 04_28_2009_FD Update 2" xfId="29595"/>
    <cellStyle name="差_dallas產能評估_flow chart 2009.12.12_Flow Chart&amp;設備治工具清單 " xfId="29596"/>
    <cellStyle name="差_Creak Pearl Reliability Fixture RFQ_2009 04 24_Creek RFQ feedback 04_28_2009_FD Update 2 2" xfId="29597"/>
    <cellStyle name="差_Creak Pearl Reliability Fixture RFQ_2009 04 24_Creek RFQ feedback 04_28_2009_FD Update 2 2 2" xfId="29598"/>
    <cellStyle name="差_Creak Pearl Reliability Fixture RFQ_2009 04 24_Creek RFQ feedback 04_28_2009_FD Update 2 2 3" xfId="29599"/>
    <cellStyle name="差_Creak Pearl Reliability Fixture RFQ_2009 04 24_Creek RFQ feedback 04_28_2009_FD Update 2 3" xfId="29600"/>
    <cellStyle name="差_Creak Pearl Reliability Fixture RFQ_2009 04 24_Creek RFQ feedback 04_28_2009_FD Update 2 4" xfId="29601"/>
    <cellStyle name="差_Creak Pearl Reliability Fixture RFQ_2009 04 24_Creek RFQ feedback 04_28_2009_FD Update 3" xfId="29602"/>
    <cellStyle name="差_Creak Pearl Reliability Fixture RFQ_2009 04 24_Creek RFQ feedback 04_28_2009_FD Update 3 3" xfId="29603"/>
    <cellStyle name="差_Creak Pearl Reliability Fixture RFQ_2009 04 24_Creek RFQ feedback 04_28_2009_FD Update 4" xfId="29604"/>
    <cellStyle name="差_Creak Pearl Reliability Fixture RFQ_2009 04 24_Creek RFQ feedback 04_28_2009_FD Update_Bolt RFQ Proposal_Foxlink_ (Pricing Summary) 2 25 2011" xfId="29605"/>
    <cellStyle name="差_Creak Pearl Reliability Fixture RFQ_2009 04 24_Creek RFQ feedback 04_28_2009_FD Update_Bolt RFQ Proposal_Foxlink_ (Pricing Summary) 2 25 2011 2" xfId="29606"/>
    <cellStyle name="差_Creak Pearl Reliability Fixture RFQ_2009 04 24_Creek RFQ feedback 04_28_2009_FD Update_Bolt RFQ Proposal_Foxlink_ (Pricing Summary) 2 25 2011 2 2" xfId="29607"/>
    <cellStyle name="差_Creak Pearl Reliability Fixture RFQ_2009 04 24_Creek RFQ feedback 04_28_2009_FD Update_Bolt RFQ Proposal_Foxlink_ (Pricing Summary) 2 25 2011 2 2 2" xfId="29608"/>
    <cellStyle name="差_Xl0000000_Leopard RFQ ME BOM Costs-0618_Bolt RFQ_Foxlink_03.1 2011 2 2" xfId="29609"/>
    <cellStyle name="差_Creak Pearl Reliability Fixture RFQ_2009 04 24_Creek RFQ feedback 04_28_2009_FD Update_Bolt RFQ Proposal_Foxlink_ (Pricing Summary) 2 25 2011 2 2 3" xfId="29610"/>
    <cellStyle name="差_Creak Pearl Reliability Fixture RFQ_2009 04 24_Creek RFQ feedback 04_28_2009_FD Update_Bolt RFQ Proposal_Foxlink_ (Pricing Summary) 2 25 2011 2 3" xfId="29611"/>
    <cellStyle name="差_Creak Pearl Reliability Fixture RFQ_2009 04 24_Creek RFQ feedback 04_28_2009_FD Update_Bolt RFQ Proposal_Foxlink_ (Pricing Summary) 2 25 2011 2 4" xfId="29612"/>
    <cellStyle name="差_Creak Pearl Reliability Fixture RFQ_2009 04 24_Creek RFQ feedback 04_28_2009_FD Update_Bolt RFQ Proposal_Foxlink_ (Pricing Summary) 2 25 2011 4 2" xfId="29613"/>
    <cellStyle name="差_Creak Pearl Reliability Fixture RFQ_2009 04 24_Creek RFQ feedback 04_28_2009_FD Update_Bolt RFQ Proposal_Foxlink_ (Pricing Summary) 2 25 2011 6" xfId="29614"/>
    <cellStyle name="差_RIO Trial run (Pre-PV 100PCS) QA Report-0610_Suede QA report for EV2.1 _20110301_Update" xfId="29615"/>
    <cellStyle name="差_Creak Pearl Reliability Fixture RFQ_2009 04 24_Creek RFQ feedback 04_28_2009_FD Update_Bolt RFQ_Foxlink_03.1 2011" xfId="29616"/>
    <cellStyle name="差_Creak Pearl Reliability Fixture RFQ_2009 04 24_Creek RFQ feedback 04_28_2009_FD Update_Foxlink_Shadow RFQ NREUni BOM_12032009_Bolt RFQ_Foxlink_03.1 2011_nego meeting@MACH 2 2" xfId="29617"/>
    <cellStyle name="差_Creak Pearl Reliability Fixture RFQ_2009 04 24_Creek RFQ feedback 04_28_2009_FD Update_Bolt RFQ_Foxlink_03.1 2011 2 3" xfId="29618"/>
    <cellStyle name="壞_Creek Assembly Fixture  Test Equipment RFQ_20090427_Leopard_UniBOM_ME_0531_Bolt RFQ_Foxlink_03.1 2011_nego meeting@MACH 3 3" xfId="29619"/>
    <cellStyle name="差_Creak Pearl Reliability Fixture RFQ_2009 04 24_Creek RFQ feedback 04_28_2009_FD Update_Bolt RFQ_Foxlink_03.1 2011_nego meeting@MACH 2 3" xfId="29620"/>
    <cellStyle name="差_Creak Pearl Reliability Fixture RFQ_2009 04 24_Creek RFQ feedback 04_28_2009_FD Update_Bolt RFQ_Foxlink_03.1 2011_nego meeting@MACH 3 3" xfId="29621"/>
    <cellStyle name="差_Creak Pearl Reliability Fixture RFQ_2009 04 24_Creek RFQ feedback 04_28_2009_FD Update_Foxlink_Shadow RFQ NREUni BOM_12032009 2" xfId="29622"/>
    <cellStyle name="差_Creek RFQ feedback 04_28_2009_FD Update_Bolt RFQ_Foxlink_03.1 2011" xfId="29623"/>
    <cellStyle name="差_Creak Pearl Reliability Fixture RFQ_2009 04 24_Creek RFQ feedback 04_28_2009_FD Update_Foxlink_Shadow RFQ NREUni BOM_12032009 2 2 2" xfId="29624"/>
    <cellStyle name="差_Creak Pearl Reliability Fixture RFQ_2009 04 24_Creek RFQ feedback 04_28_2009_FD Update_Foxlink_Shadow RFQ NREUni BOM_12032009 2 4" xfId="29625"/>
    <cellStyle name="差_Creak Pearl Reliability Fixture RFQ_2009 04 24_Creek RFQ feedback 04_28_2009_FD Update_Foxlink_Shadow RFQ NREUni BOM_12032009 3" xfId="29626"/>
    <cellStyle name="差_Creak Pearl Reliability Fixture RFQ_2009 04 24_Creek RFQ feedback 04_28_2009_FD Update_Foxlink_Shadow RFQ NREUni BOM_12032009 3 2" xfId="29627"/>
    <cellStyle name="差_Creak Pearl Reliability Fixture RFQ_2009 04 24_Creek RFQ feedback 04_28_2009_FD Update_Foxlink_Shadow RFQ NREUni BOM_12032009_Bolt RFQ Proposal_Foxlink_ (Pricing Summary) 2 25 2011" xfId="29628"/>
    <cellStyle name="差_Creak Pearl Reliability Fixture RFQ_2009 04 24_Creek RFQ feedback 04_28_2009_FD Update_Foxlink_Shadow RFQ NREUni BOM_12032009_Bolt RFQ Proposal_Foxlink_ (Pricing Summary) 2 25 2011 2 2" xfId="29629"/>
    <cellStyle name="差_Creak Pearl Reliability Fixture RFQ_2009 04 24_Creek RFQ feedback 04_28_2009_FD Update_Foxlink_Shadow RFQ NREUni BOM_12032009_Bolt RFQ Proposal_Foxlink_ (Pricing Summary) 2 25 2011 2 2 2" xfId="29630"/>
    <cellStyle name="差_Creak Pearl Reliability Fixture RFQ_2009 04 24_Creek RFQ feedback 04_28_2009_FD Update_Foxlink_Shadow RFQ NREUni BOM_12032009_Bolt RFQ Proposal_Foxlink_ (Pricing Summary) 2 25 2011 2 2 3" xfId="29631"/>
    <cellStyle name="差_Creak Pearl Reliability Fixture RFQ_2009 04 24_Creek RFQ feedback 04_28_2009_FD Update_Foxlink_Shadow RFQ NREUni BOM_12032009_Bolt RFQ Proposal_Foxlink_ (Pricing Summary) 2 25 2011 2 3" xfId="29632"/>
    <cellStyle name="差_Creak Pearl Reliability Fixture RFQ_2009 04 24_Creek RFQ feedback 04_28_2009_FD Update_Foxlink_Shadow RFQ NREUni BOM_12032009_Bolt RFQ Proposal_Foxlink_ (Pricing Summary) 2 25 2011 3" xfId="29633"/>
    <cellStyle name="差_Creak Pearl Reliability Fixture RFQ_2009 04 24_Creek RFQ feedback 04_28_2009_FD Update_Foxlink_Shadow RFQ NREUni BOM_12032009_Bolt RFQ Proposal_Foxlink_ (Pricing Summary) 2 25 2011 3 3" xfId="29634"/>
    <cellStyle name="差_Creak Pearl Reliability Fixture RFQ_2009 04 24_Creek RFQ feedback 04_28_2009_FD Update_Foxlink_Shadow RFQ NREUni BOM_12032009_Bolt RFQ Proposal_Foxlink_ (Pricing Summary) 2 25 2011 4 3" xfId="29635"/>
    <cellStyle name="差_F3   SMT設備明細_Erie 效益分析 (Update)_效益分析(總 12-28 Update)_~1159284" xfId="29636"/>
    <cellStyle name="差_Creak Pearl Reliability Fixture RFQ_2009 04 24_Creek RFQ feedback 04_28_2009_FD Update_Foxlink_Shadow RFQ NREUni BOM_12032009_Bolt RFQ Proposal_Foxlink_ (Pricing Summary) 2 25 2011 5 2" xfId="29637"/>
    <cellStyle name="差_Creak Pearl Reliability Fixture RFQ_2009 04 24_Creek RFQ feedback 04_28_2009_FD Update_Foxlink_Shadow RFQ NREUni BOM_12032009_Bolt RFQ Proposal_Foxlink_ (Pricing Summary) 2 25 2011 5 3" xfId="29638"/>
    <cellStyle name="差_Creak Pearl Reliability Fixture RFQ_2009 04 24_Squirrel RFQ ME BOM Costs-0623_Bolt RFQ_Foxlink_03.1 2011 2" xfId="29639"/>
    <cellStyle name="差_Creak Pearl Reliability Fixture RFQ_2009 04 24_Creek RFQ feedback 04_28_2009_FD Update_Foxlink_Shadow RFQ NREUni BOM_12032009_Bolt RFQ Proposal_Foxlink_ (Pricing Summary) 2 25 2011 6" xfId="29640"/>
    <cellStyle name="差_Creek RFQ feedback 04_28_2009_FD Update_Leopard_UniBOM_ME_0603-2_Bolt RFQ Proposal_Foxlink_ (Pricing Summary) 2 25 2011 2 2 2" xfId="29641"/>
    <cellStyle name="差_Creak Pearl Reliability Fixture RFQ_2009 04 24_Squirrel RFQ ME BOM Costs-0623_Bolt RFQ_Foxlink_03.1 2011 3" xfId="29642"/>
    <cellStyle name="差_Creak Pearl Reliability Fixture RFQ_2009 04 24_Creek RFQ feedback 04_28_2009_FD Update_Foxlink_Shadow RFQ NREUni BOM_12032009_Bolt RFQ Proposal_Foxlink_ (Pricing Summary) 2 25 2011 7" xfId="29643"/>
    <cellStyle name="差_Creak Pearl Reliability Fixture RFQ_2009 04 24_Creek RFQ feedback 04_28_2009_FD Update_Leopard_UniBOM_ME_0531_Bolt RFQ_Foxlink_03.1 2011_nego meeting@MACH 3" xfId="29644"/>
    <cellStyle name="差_Creak Pearl Reliability Fixture RFQ_2009 04 24_Creek RFQ feedback 04_28_2009_FD Update_Foxlink_Shadow RFQ NREUni BOM_12032009_Bolt RFQ_Foxlink_03.1 2011 2" xfId="29645"/>
    <cellStyle name="差_Creak Pearl Reliability Fixture RFQ_2009 04 24_Creek RFQ feedback 04_28_2009_FD Update_Leopard_UniBOM_ME_0531_Bolt RFQ_Foxlink_03.1 2011_nego meeting@MACH 3 2" xfId="29646"/>
    <cellStyle name="差_Creak Pearl Reliability Fixture RFQ_2009 04 24_Creek RFQ feedback 04_28_2009_FD Update_Foxlink_Shadow RFQ NREUni BOM_12032009_Bolt RFQ_Foxlink_03.1 2011 2 2" xfId="29647"/>
    <cellStyle name="差_Creak Pearl Reliability Fixture RFQ_2009 04 24_Creek RFQ feedback 04_28_2009_FD Update_Leopard_UniBOM_ME_0531_Bolt RFQ_Foxlink_03.1 2011_nego meeting@MACH 4" xfId="29648"/>
    <cellStyle name="差_Creak Pearl Reliability Fixture RFQ_2009 04 24_Creek RFQ feedback 04_28_2009_FD Update_Foxlink_Shadow RFQ NREUni BOM_12032009_Bolt RFQ_Foxlink_03.1 2011 3" xfId="29649"/>
    <cellStyle name="差_Creak Pearl Reliability Fixture RFQ_2009 04 24_Creek RFQ feedback 04_28_2009_FD Update_Foxlink_Shadow RFQ NREUni BOM_12032009_Bolt RFQ_Foxlink_03.1 2011 3 3" xfId="29650"/>
    <cellStyle name="壞_Erie Assembly Fixture  Test Equip Cost_20090716_Bolt RFQ_Foxlink_03.1 2011 2 2" xfId="29651"/>
    <cellStyle name="差_Creak Pearl Reliability Fixture RFQ_2009 04 24_Creek RFQ feedback 04_28_2009_FD Update_Leopard_UniBOM_ME_0531_Bolt RFQ_Foxlink_03.1 2011_nego meeting@MACH 5" xfId="29652"/>
    <cellStyle name="差_Creak Pearl Reliability Fixture RFQ_2009 04 24_Creek RFQ feedback 04_28_2009_FD Update_Foxlink_Shadow RFQ NREUni BOM_12032009_Bolt RFQ_Foxlink_03.1 2011 4" xfId="29653"/>
    <cellStyle name="差_Creak Pearl Reliability Fixture RFQ_2009 04 24_Creek RFQ feedback 04_28_2009_FD Update_Foxlink_Shadow RFQ NREUni BOM_12032009_Bolt RFQ_Foxlink_03.1 2011 5" xfId="29654"/>
    <cellStyle name="差_Creak Pearl Reliability Fixture RFQ_2009 04 24_Creek RFQ feedback 04_28_2009_FD Update_Foxlink_Shadow RFQ NREUni BOM_12032009_Bolt RFQ_Foxlink_03.1 2011_nego meeting@MACH 2" xfId="29655"/>
    <cellStyle name="差_Creak Pearl Reliability Fixture RFQ_2009 04 24_Creek RFQ feedback 04_28_2009_FD Update_Foxlink_Shadow RFQ NREUni BOM_12032009_Bolt RFQ_Foxlink_03.1 2011_nego meeting@MACH 2 3" xfId="29656"/>
    <cellStyle name="差_Creak Pearl Reliability Fixture RFQ_2009 04 24_Creek RFQ feedback 04_28_2009_FD Update_Foxlink_Shadow RFQ NREUni BOM_12032009_Bolt RFQ_Foxlink_03.1 2011_nego meeting@MACH 4" xfId="29657"/>
    <cellStyle name="差_Creak Pearl Reliability Fixture RFQ_2009 04 24_Creek RFQ feedback 04_28_2009_FD Update_Jackson and Shadow BOM cost_mainfile_2010 0324 rev.1_Bristol UniBom_Foxlink_02082011 RevA" xfId="29658"/>
    <cellStyle name="差_F3   SMT設備明細_效益分析_Dallas flow chart&amp;設備&amp;治工具清單(12-8 A0)_~5631336_Jackson 效益分析 (2-1 B0 上系統)_squirrel效益分析08-17" xfId="29659"/>
    <cellStyle name="差_Creak Pearl Reliability Fixture RFQ_2009 04 24_Creek RFQ feedback 04_28_2009_FD Update_Jackson and Shadow BOM cost_mainfile_2010 0324 rev.1_Leopard UniBom_Foxlink_12092010 RevD-jen" xfId="29660"/>
    <cellStyle name="差_Creak Pearl Reliability Fixture RFQ_2009 04 24_Pearl RFQ(Submittal)ver2_05_12_2009 _Leopard RFQ ME BOM Costs-0618_Bolt RFQ_Foxlink_03.1 2011_nego meeting@MACH 5" xfId="29661"/>
    <cellStyle name="差_F3   SMT設備明細_jupite r設備&amp;治工具LIST (總)_Flow Chart&amp;PQ分析(12-1)_Jackson 效益分析 testing update_16th Jan111" xfId="29662"/>
    <cellStyle name="差_Creak Pearl Reliability Fixture RFQ_2009 04 24_Creek RFQ feedback 04_28_2009_FD Update_Jackson and Shadow BOM cost_mainfile_2010 0324 rev.1_Leopard UniBom_Foxlink_12272010 RevF_shirley" xfId="29663"/>
    <cellStyle name="差_Creak Pearl Reliability Fixture RFQ_2009 04 24_Creek RFQ feedback 04_28_2009_FD Update_Lemur RFQ ME BOM Costs-0623" xfId="29664"/>
    <cellStyle name="差_Creak Pearl Reliability Fixture RFQ_2009 04 24_Creek RFQ feedback 04_28_2009_FD Update_Leopard Lemur Squirrel UniBom-06.22.2010_EE cost _update_internal 2 2 3" xfId="29665"/>
    <cellStyle name="差_Creak Pearl Reliability Fixture RFQ_2009 04 24_Creek RFQ feedback 04_28_2009_FD Update_Leopard Lemur Squirrel UniBom-06.22.2010_EE cost _update_internal 2 3" xfId="29666"/>
    <cellStyle name="差_Creak Pearl Reliability Fixture RFQ_2009 04 24_Pearl RFQ(Submittal)ver2_05_12_2009 _Leopard UniBom_Foxlink_6 21 2010-ME_nego_Bolt RFQ_Foxlink_03.1 2011 2 2" xfId="29667"/>
    <cellStyle name="差_Creak Pearl Reliability Fixture RFQ_2009 04 24_Creek RFQ feedback 04_28_2009_FD Update_Leopard Lemur Squirrel UniBom-06.22.2010_EE cost _update_internal 3" xfId="29668"/>
    <cellStyle name="差_Creak Pearl Reliability Fixture RFQ_2009 04 24_Creek RFQ feedback 04_28_2009_FD Update_Leopard UniBom_Foxlink_6 21 2010-ME_nego 2 2 3" xfId="29669"/>
    <cellStyle name="差_Creak Pearl Reliability Fixture RFQ_2009 04 24_Creek RFQ feedback 04_28_2009_FD Update_Leopard Lemur Squirrel UniBom-06.22.2010_EE cost _update_internal 3 2" xfId="29670"/>
    <cellStyle name="差_Creak Pearl Reliability Fixture RFQ_2009 04 24_Creek RFQ feedback 04_28_2009_FD Update_Leopard Lemur Squirrel UniBom-06.22.2010_EE cost _update_internal 3 3" xfId="29671"/>
    <cellStyle name="差_Creak Pearl Reliability Fixture RFQ_2009 04 24_Pearl RFQ(Submittal)ver2_05_12_2009 _Leopard UniBom_Foxlink_6 21 2010-ME_nego_Bolt RFQ_Foxlink_03.1 2011 3 2" xfId="29672"/>
    <cellStyle name="差_Creak Pearl Reliability Fixture RFQ_2009 04 24_Creek RFQ feedback 04_28_2009_FD Update_Leopard Lemur Squirrel UniBom-06.22.2010_EE cost _update_internal_Bolt RFQ Proposal_Foxlink_ (Pricing Summary) 2 25 2011" xfId="29673"/>
    <cellStyle name="差_Creak Pearl Reliability Fixture RFQ_2009 04 24_Creek RFQ feedback 04_28_2009_FD Update_Leopard Lemur Squirrel UniBom-06.22.2010_EE cost _update_internal_Bolt RFQ Proposal_Foxlink_ (Pricing Summary) 2 25 2011 2 2" xfId="29674"/>
    <cellStyle name="差_Creak Pearl Reliability Fixture RFQ_2009 04 24_Creek RFQ feedback 04_28_2009_FD Update_Leopard Lemur Squirrel UniBom-06.22.2010_EE cost _update_internal_Bolt RFQ Proposal_Foxlink_ (Pricing Summary) 2 25 2011 2 2 3" xfId="29675"/>
    <cellStyle name="差_LLS Project Tracker 0920 2" xfId="29676"/>
    <cellStyle name="差_Creak Pearl Reliability Fixture RFQ_2009 04 24_Creek RFQ feedback 04_28_2009_FD Update_Leopard Lemur Squirrel UniBom-06.22.2010_EE cost _update_internal_Bolt RFQ Proposal_Foxlink_ (Pricing Summary) 2 25 2011 2 3" xfId="29677"/>
    <cellStyle name="差_LLS Project Tracker 0920 3" xfId="29678"/>
    <cellStyle name="差_Creak Pearl Reliability Fixture RFQ_2009 04 24_Creek RFQ feedback 04_28_2009_FD Update_Leopard Lemur Squirrel UniBom-06.22.2010_EE cost _update_internal_Bolt RFQ Proposal_Foxlink_ (Pricing Summary) 2 25 2011 2 4" xfId="29679"/>
    <cellStyle name="差_Creak Pearl Reliability Fixture RFQ_2009 04 24_Creek RFQ feedback 04_28_2009_FD Update_Leopard Lemur Squirrel UniBom-06.22.2010_EE cost _update_internal_Bolt RFQ Proposal_Foxlink_ (Pricing Summary) 2 25 2011 3" xfId="29680"/>
    <cellStyle name="差_Creak Pearl Reliability Fixture RFQ_2009 04 24_Creek RFQ feedback 04_28_2009_FD Update_Leopard Lemur Squirrel UniBom-06.22.2010_EE cost _update_internal_Bolt RFQ Proposal_Foxlink_ (Pricing Summary) 2 25 2011 3 3" xfId="29681"/>
    <cellStyle name="差_Creak Pearl Reliability Fixture RFQ_2009 04 24_Creek RFQ feedback 04_28_2009_FD Update_Leopard Lemur Squirrel UniBom-06.22.2010_EE cost _update_internal_Bolt RFQ Proposal_Foxlink_ (Pricing Summary) 2 25 2011 4" xfId="29682"/>
    <cellStyle name="差_Creak Pearl Reliability Fixture RFQ_2009 04 24_Creek RFQ feedback 04_28_2009_FD Update_Leopard Lemur Squirrel UniBom-06.22.2010_EE cost _update_internal_Bolt RFQ Proposal_Foxlink_ (Pricing Summary) 2 25 2011 4 2" xfId="29683"/>
    <cellStyle name="差_Creak Pearl Reliability Fixture RFQ_2009 04 24_Creek RFQ feedback 04_28_2009_FD Update_Leopard Lemur Squirrel UniBom-06.22.2010_EE cost _update_internal_Bolt RFQ Proposal_Foxlink_ (Pricing Summary) 2 25 2011 5" xfId="29684"/>
    <cellStyle name="差_Creak Pearl Reliability Fixture RFQ_2009 04 24_Creek RFQ feedback 04_28_2009_FD Update_Leopard Lemur Squirrel UniBom-06.22.2010_EE cost _update_internal_Bolt RFQ Proposal_Foxlink_ (Pricing Summary) 2 25 2011 6" xfId="29685"/>
    <cellStyle name="差_Creak Pearl Reliability Fixture RFQ_2009 04 24_Creek RFQ feedback 04_28_2009_FD Update_Leopard Lemur Squirrel UniBom-06.22.2010_EE cost _update_internal_Bolt RFQ_Foxlink_03.1 2011 3 3" xfId="29686"/>
    <cellStyle name="差_Creak Pearl Reliability Fixture RFQ_2009 04 24_Leopard RFQ ME BOM Costs-0618_Bolt RFQ Proposal_Foxlink_ (Pricing Summary) 2 25 2011 5 3" xfId="29687"/>
    <cellStyle name="差_Creak Pearl Reliability Fixture RFQ_2009 04 24_Creek RFQ feedback 04_28_2009_FD Update_Leopard Lemur Squirrel UniBom-06.22.2010_EE cost _update_internal_Bolt RFQ_Foxlink_03.1 2011 5" xfId="29688"/>
    <cellStyle name="差_Creak Pearl Reliability Fixture RFQ_2009 04 24_Creek RFQ feedback 04_28_2009_FD Update_Leopard Lemur Squirrel UniBom-06.22.2010_EE cost _update_internal_Bolt RFQ_Foxlink_03.1 2011_nego meeting@MACH" xfId="29689"/>
    <cellStyle name="差_Creak Pearl Reliability Fixture RFQ_2009 04 24_Creek RFQ feedback 04_28_2009_FD Update_Leopard Lemur Squirrel UniBom-06.22.2010_EE cost _update_internal_Bolt RFQ_Foxlink_03.1 2011_nego meeting@MACH 2 2" xfId="29690"/>
    <cellStyle name="差_Creak Pearl Reliability Fixture RFQ_2009 04 24_Creek RFQ feedback 04_28_2009_FD Update_Leopard Lemur Squirrel UniBom-06.22.2010_EE cost _update_internal_Bolt RFQ_Foxlink_03.1 2011_nego meeting@MACH 3 2" xfId="29691"/>
    <cellStyle name="差_Creak Pearl Reliability Fixture RFQ_2009 04 24_Creek RFQ feedback 04_28_2009_FD Update_Leopard Lemur Squirrel UniBom-06.22.2010_EE cost _update_internal_Bolt RFQ_Foxlink_03.1 2011_nego meeting@MACH 3 3" xfId="29692"/>
    <cellStyle name="差_Creak Pearl Reliability Fixture RFQ_2009 04 24_Creek RFQ feedback 04_28_2009_FD Update_Leopard RFQ ME BOM Costs-0618 2" xfId="29693"/>
    <cellStyle name="差_Creak Pearl Reliability Fixture RFQ_2009 04 24_Creek RFQ feedback 04_28_2009_FD Update_Leopard RFQ ME BOM Costs-0618 2 4" xfId="29694"/>
    <cellStyle name="差_Creak Pearl Reliability Fixture RFQ_2009 04 24_Creek RFQ feedback 04_28_2009_FD Update_Leopard RFQ ME BOM Costs-0618 3 3" xfId="29695"/>
    <cellStyle name="差_Creak Pearl Reliability Fixture RFQ_2009 04 24_Creek RFQ feedback 04_28_2009_FD Update_Leopard RFQ ME BOM Costs-0618_Bolt RFQ Proposal_Foxlink_ (Pricing Summary) 2 25 2011" xfId="29696"/>
    <cellStyle name="差_Creak Pearl Reliability Fixture RFQ_2009 04 24_Creek RFQ feedback 04_28_2009_FD Update_Leopard RFQ ME BOM Costs-0618_Bolt RFQ Proposal_Foxlink_ (Pricing Summary) 2 25 2011 2" xfId="29697"/>
    <cellStyle name="差_Creak Pearl Reliability Fixture RFQ_2009 04 24_Creek RFQ feedback 04_28_2009_FD Update_Leopard RFQ ME BOM Costs-0618_Bolt RFQ Proposal_Foxlink_ (Pricing Summary) 2 25 2011 2 2 3" xfId="29698"/>
    <cellStyle name="差_Creak Pearl Reliability Fixture RFQ_2009 04 24_Creek RFQ feedback 04_28_2009_FD Update_Leopard RFQ ME BOM Costs-0618_Bolt RFQ Proposal_Foxlink_ (Pricing Summary) 2 25 2011 2 3" xfId="29699"/>
    <cellStyle name="差_Creak Pearl Reliability Fixture RFQ_2009 04 24_Creek RFQ feedback 04_28_2009_FD Update_Leopard RFQ ME BOM Costs-0618_Bolt RFQ Proposal_Foxlink_ (Pricing Summary) 2 25 2011 3" xfId="29700"/>
    <cellStyle name="差_Creak Pearl Reliability Fixture RFQ_2009 04 24_Creek RFQ feedback 04_28_2009_FD Update_Leopard RFQ ME BOM Costs-0618_Bolt RFQ Proposal_Foxlink_ (Pricing Summary) 2 25 2011 3 2" xfId="29701"/>
    <cellStyle name="差_Creak Pearl Reliability Fixture RFQ_2009 04 24_Creek RFQ feedback 04_28_2009_FD Update_Leopard RFQ ME BOM Costs-0618_Bolt RFQ Proposal_Foxlink_ (Pricing Summary) 2 25 2011 3 3" xfId="29702"/>
    <cellStyle name="差_Creak Pearl Reliability Fixture RFQ_2009 04 24_Creek RFQ feedback 04_28_2009_FD Update_Leopard RFQ ME BOM Costs-0618_Bolt RFQ Proposal_Foxlink_ (Pricing Summary) 2 25 2011 4" xfId="29703"/>
    <cellStyle name="差_Creak Pearl Reliability Fixture RFQ_2009 04 24_Leopard_UniBOM_ME_0531_Bolt RFQ Proposal_Foxlink_ (Pricing Summary) 2 25 2011 2 2 3" xfId="29704"/>
    <cellStyle name="差_Creak Pearl Reliability Fixture RFQ_2009 04 24_Creek RFQ feedback 04_28_2009_FD Update_Leopard RFQ ME BOM Costs-0618_Bolt RFQ Proposal_Foxlink_ (Pricing Summary) 2 25 2011 4 2" xfId="29705"/>
    <cellStyle name="差_Creak Pearl Reliability Fixture RFQ_2009 04 24_Creek RFQ feedback 04_28_2009_FD Update_Leopard RFQ ME BOM Costs-0618_Bolt RFQ_Foxlink_03.1 2011_nego meeting@MACH 2" xfId="29706"/>
    <cellStyle name="差_HP Mouse 產能評估(Forecast更改後)_Erie 效益分析 (Update)_效益分析(總 12-28 Update)_squirrel效益分析08-17" xfId="29707"/>
    <cellStyle name="差_Creak Pearl Reliability Fixture RFQ_2009 04 24_Creek RFQ feedback 04_28_2009_FD Update_Leopard RFQ ME BOM Costs-0618_Bolt RFQ_Foxlink_03.1 2011_nego meeting@MACH 4" xfId="29708"/>
    <cellStyle name="差_Erie mouse 效益分析( 11-19 A1)_Jackson 效益分析 testing update_16th Jan1_Jackson 效益分析 (2-1 B0 上系統)" xfId="29709"/>
    <cellStyle name="差_Creak Pearl Reliability Fixture RFQ_2009 04 24_Creek RFQ feedback 04_28_2009_FD Update_Leopard RFQ ME BOM Costs-0618_Bolt RFQ_Foxlink_03.1 2011_nego meeting@MACH 5" xfId="29710"/>
    <cellStyle name="差_Creak Pearl Reliability Fixture RFQ_2009 04 24_Creek RFQ feedback 04_28_2009_FD Update_Leopard RFQ ME BOM Costs-0618-2 2" xfId="29711"/>
    <cellStyle name="差_Creak Pearl Reliability Fixture RFQ_2009 04 24_Creek RFQ feedback 04_28_2009_FD Update_Leopard RFQ ME BOM Costs-0618-2 3" xfId="29712"/>
    <cellStyle name="差_Creak Pearl Reliability Fixture RFQ_2009 04 24_Creek RFQ feedback 04_28_2009_FD Update_Leopard RFQ ME BOM Costs-0618-2_Bolt RFQ Proposal_Foxlink_ (Pricing Summary) 2 25 2011" xfId="29713"/>
    <cellStyle name="差_Creak Pearl Reliability Fixture RFQ_2009 04 24_Creek RFQ feedback 04_28_2009_FD Update_Leopard RFQ ME BOM Costs-0618-2_Bolt RFQ Proposal_Foxlink_ (Pricing Summary) 2 25 2011 3" xfId="29714"/>
    <cellStyle name="差_Creak Pearl Reliability Fixture RFQ_2009 04 24_Creek RFQ feedback 04_28_2009_FD Update_Leopard RFQ ME BOM Costs-0618-2_Bolt RFQ Proposal_Foxlink_ (Pricing Summary) 2 25 2011 4" xfId="29715"/>
    <cellStyle name="差_Creak Pearl Reliability Fixture RFQ_2009 04 24_Creek RFQ feedback 04_28_2009_FD Update_Leopard RFQ ME BOM Costs-0618-2_Bolt RFQ Proposal_Foxlink_ (Pricing Summary) 2 25 2011 5" xfId="29716"/>
    <cellStyle name="差_F3   SMT設備明細_Erie 效益分析 (Update)_Jackson 效益分析 (1-18 A7)" xfId="29717"/>
    <cellStyle name="差_Creak Pearl Reliability Fixture RFQ_2009 04 24_Creek RFQ feedback 04_28_2009_FD Update_Leopard RFQ ME BOM Costs-0618-2_Bolt RFQ Proposal_Foxlink_ (Pricing Summary) 2 25 2011 5 2" xfId="29718"/>
    <cellStyle name="差_Creak Pearl Reliability Fixture RFQ_2009 04 24_Creek RFQ feedback 04_28_2009_FD Update_Leopard RFQ ME BOM Costs-0618-2_Bolt RFQ Proposal_Foxlink_ (Pricing Summary) 2 25 2011 7" xfId="29719"/>
    <cellStyle name="差_Creak Pearl Reliability Fixture RFQ_2009 04 24_Pearl RFQ(Submittal)ver2_05_12_2009 _Leopard RFQ ME BOM Costs-0618-2 2 2 3" xfId="29720"/>
    <cellStyle name="差_Creak Pearl Reliability Fixture RFQ_2009 04 24_Creek RFQ feedback 04_28_2009_FD Update_Leopard RFQ ME BOM Costs-0618-2_Bolt RFQ_Foxlink_03.1 2011 2" xfId="29721"/>
    <cellStyle name="差_Creak Pearl Reliability Fixture RFQ_2009 04 24_Creek RFQ feedback 04_28_2009_FD Update_Leopard_UniBOM_ME_0531 3 3" xfId="29722"/>
    <cellStyle name="差_Creak Pearl Reliability Fixture RFQ_2009 04 24_Creek RFQ feedback 04_28_2009_FD Update_Leopard RFQ ME BOM Costs-0618-2_Bolt RFQ_Foxlink_03.1 2011 2 2" xfId="29723"/>
    <cellStyle name="差_Creak Pearl Reliability Fixture RFQ_2009 04 24_Creek RFQ feedback 04_28_2009_FD Update_Leopard RFQ ME BOM Costs-0618-2_Bolt RFQ_Foxlink_03.1 2011 2 3" xfId="29724"/>
    <cellStyle name="差_Creak Pearl Reliability Fixture RFQ_2009 04 24_Creek RFQ feedback 04_28_2009_FD Update_Leopard RFQ ME BOM Costs-0618-2_Bolt RFQ_Foxlink_03.1 2011 3" xfId="29725"/>
    <cellStyle name="差_Creak Pearl Reliability Fixture RFQ_2009 04 24_Creek RFQ feedback 04_28_2009_FD Update_Leopard RFQ ME BOM Costs-0618-2_Bolt RFQ_Foxlink_03.1 2011 3 2" xfId="29726"/>
    <cellStyle name="差_Creak Pearl Reliability Fixture RFQ_2009 04 24_Creek RFQ feedback 04_28_2009_FD Update_Leopard RFQ ME BOM Costs-0618-2_Bolt RFQ_Foxlink_03.1 2011 4" xfId="29727"/>
    <cellStyle name="差_Creak Pearl Reliability Fixture RFQ_2009 04 24_Creek RFQ feedback 04_28_2009_FD Update_Leopard RFQ ME BOM Costs-0618-2_Bolt RFQ_Foxlink_03.1 2011_nego meeting@MACH 3 3" xfId="29728"/>
    <cellStyle name="差_Creak Pearl Reliability Fixture RFQ_2009 04 24_Creek RFQ feedback 04_28_2009_FD Update_Leopard RFQ ME BOM Costs-0618-2_Bolt RFQ_Foxlink_03.1 2011_nego meeting@MACH 4" xfId="29729"/>
    <cellStyle name="差_Creak Pearl Reliability Fixture RFQ_2009 04 24_Creek RFQ feedback 04_28_2009_FD Update_Leopard RFQ ME BOM Costs-0618-2_Bolt RFQ_Foxlink_03.1 2011_nego meeting@MACH 5" xfId="29730"/>
    <cellStyle name="差_Xl0000002_Leopard_UniBOM_ME_0603-2 2 3" xfId="29731"/>
    <cellStyle name="差_Creak Pearl Reliability Fixture RFQ_2009 04 24_Creek RFQ feedback 04_28_2009_FD Update_Leopard UniBom_Foxlink_6 21 2010-ME_nego" xfId="29732"/>
    <cellStyle name="差_Creak Pearl Reliability Fixture RFQ_2009 04 24_Creek RFQ feedback 04_28_2009_FD Update_Leopard UniBom_Foxlink_6 21 2010-ME_nego 2 2 2" xfId="29733"/>
    <cellStyle name="差_Creak Pearl Reliability Fixture RFQ_2009 04 24_Creek RFQ feedback 04_28_2009_FD Update_Leopard UniBom_Foxlink_6 21 2010-ME_nego 2 3" xfId="29734"/>
    <cellStyle name="差_Creak Pearl Reliability Fixture RFQ_2009 04 24_Creek RFQ feedback 04_28_2009_FD Update_Leopard UniBom_Foxlink_6 21 2010-ME_nego 2 4" xfId="29735"/>
    <cellStyle name="差_Creak Pearl Reliability Fixture RFQ_2009 04 24_Creek RFQ feedback 04_28_2009_FD Update_Leopard UniBom_Foxlink_6 21 2010-ME_nego 3" xfId="29736"/>
    <cellStyle name="差_Creak Pearl Reliability Fixture RFQ_2009 04 24_Creek RFQ feedback 04_28_2009_FD Update_Leopard UniBom_Foxlink_6 21 2010-ME_nego 3 2" xfId="29737"/>
    <cellStyle name="差_Creak Pearl Reliability Fixture RFQ_2009 04 24_Creek RFQ feedback 04_28_2009_FD Update_Leopard UniBom_Foxlink_6 21 2010-ME_nego 3 3" xfId="29738"/>
    <cellStyle name="差_Creak Pearl Reliability Fixture RFQ_2009 04 24_Creek RFQ feedback 04_28_2009_FD Update_Leopard UniBom_Foxlink_6 21 2010-ME_nego_Bolt RFQ Proposal_Foxlink_ (Pricing Summary) 2 25 2011 2 2" xfId="29739"/>
    <cellStyle name="差_Creak Pearl Reliability Fixture RFQ_2009 04 24_Creek RFQ feedback 04_28_2009_FD Update_Leopard UniBom_Foxlink_6 21 2010-ME_nego_Bolt RFQ Proposal_Foxlink_ (Pricing Summary) 2 25 2011 2 2 2" xfId="29740"/>
    <cellStyle name="差_Creak Pearl Reliability Fixture RFQ_2009 04 24_Creek RFQ feedback 04_28_2009_FD Update_Leopard UniBom_Foxlink_6 21 2010-ME_nego_Bolt RFQ Proposal_Foxlink_ (Pricing Summary) 2 25 2011 2 3" xfId="29741"/>
    <cellStyle name="差_Creak Pearl Reliability Fixture RFQ_2009 04 24_Creek RFQ feedback 04_28_2009_FD Update_Leopard UniBom_Foxlink_6 21 2010-ME_nego_Bolt RFQ Proposal_Foxlink_ (Pricing Summary) 2 25 2011 2 4" xfId="29742"/>
    <cellStyle name="差_Creak Pearl Reliability Fixture RFQ_2009 04 24_Creek RFQ feedback 04_28_2009_FD Update_Leopard UniBom_Foxlink_6 21 2010-ME_nego_Bolt RFQ Proposal_Foxlink_ (Pricing Summary) 2 25 2011 3 2" xfId="29743"/>
    <cellStyle name="差_Creak Pearl Reliability Fixture RFQ_2009 04 24_Creek RFQ feedback 04_28_2009_FD Update_Leopard UniBom_Foxlink_6 21 2010-ME_nego_Bolt RFQ Proposal_Foxlink_ (Pricing Summary) 2 25 2011 3 3" xfId="29744"/>
    <cellStyle name="差_F3   SMT設備明細_Jackson 效益分析 (2-1 B0 上系統)_squirrel效益分析08-17" xfId="29745"/>
    <cellStyle name="差_Creak Pearl Reliability Fixture RFQ_2009 04 24_Creek RFQ feedback 04_28_2009_FD Update_Leopard UniBom_Foxlink_6 21 2010-ME_nego_Bolt RFQ Proposal_Foxlink_ (Pricing Summary) 2 25 2011 5" xfId="29746"/>
    <cellStyle name="差_Creak Pearl Reliability Fixture RFQ_2009 04 24_Creek RFQ feedback 04_28_2009_FD Update_Leopard UniBom_Foxlink_6 21 2010-ME_nego_Bolt RFQ Proposal_Foxlink_ (Pricing Summary) 2 25 2011 6" xfId="29747"/>
    <cellStyle name="差_Creak Pearl Reliability Fixture RFQ_2009 04 24_Creek RFQ feedback 04_28_2009_FD Update_Leopard UniBom_Foxlink_6 21 2010-ME_nego_Bolt RFQ Proposal_Foxlink_ (Pricing Summary) 2 25 2011 7" xfId="29748"/>
    <cellStyle name="差_Creak Pearl Reliability Fixture RFQ_2009 04 24_Creek RFQ feedback 04_28_2009_FD Update_Leopard UniBom_Foxlink_6 21 2010-ME_nego_Bolt RFQ_Foxlink_03.1 2011" xfId="29749"/>
    <cellStyle name="差_Creak Pearl Reliability Fixture RFQ_2009 04 24_Creek RFQ feedback 04_28_2009_FD Update_Leopard UniBom_Foxlink_6 21 2010-ME_nego_Bolt RFQ_Foxlink_03.1 2011 2" xfId="29750"/>
    <cellStyle name="差_Creak Pearl Reliability Fixture RFQ_2009 04 24_Creek RFQ feedback 04_28_2009_FD Update_Leopard UniBom_Foxlink_6 21 2010-ME_nego_Bolt RFQ_Foxlink_03.1 2011 3 2" xfId="29751"/>
    <cellStyle name="差_Creak Pearl Reliability Fixture RFQ_2009 04 24_Creek RFQ feedback 04_28_2009_FD Update_Leopard UniBom_Foxlink_6 21 2010-ME_nego_Bolt RFQ_Foxlink_03.1 2011 3 3" xfId="29752"/>
    <cellStyle name="差_Creak Pearl Reliability Fixture RFQ_2009 04 24_Creek RFQ feedback 04_28_2009_FD Update_Leopard UniBom_Foxlink_6 21 2010-ME_nego_Bolt RFQ_Foxlink_03.1 2011 4" xfId="29753"/>
    <cellStyle name="差_Creak Pearl Reliability Fixture RFQ_2009 04 24_Creek RFQ feedback 04_28_2009_FD Update_Leopard UniBom_Foxlink_6 21 2010-ME_nego_Bolt RFQ_Foxlink_03.1 2011 5" xfId="29754"/>
    <cellStyle name="差_Creek RFQ feedback 04_28_2009_FD Update_Leopard Lemur Squirrel UniBom-06.22.2010_EE cost _update_internal" xfId="29755"/>
    <cellStyle name="差_Creak Pearl Reliability Fixture RFQ_2009 04 24_Creek RFQ feedback 04_28_2009_FD Update_Leopard UniBom_Foxlink_6 21 2010-ME_nego_Bolt RFQ_Foxlink_03.1 2011_nego meeting@MACH 2 3" xfId="29756"/>
    <cellStyle name="差_Creak Pearl Reliability Fixture RFQ_2009 04 24_Creek RFQ feedback 04_28_2009_FD Update_Leopard UniBom_Foxlink_6 21 2010-ME_nego_Bolt RFQ_Foxlink_03.1 2011_nego meeting@MACH 3 2" xfId="29757"/>
    <cellStyle name="差_Creak Pearl Reliability Fixture RFQ_2009 04 24_Creek RFQ feedback 04_28_2009_FD Update_Leopard UniBom_Foxlink_6 21 2010-ME_nego_Bolt RFQ_Foxlink_03.1 2011_nego meeting@MACH 3 3" xfId="29758"/>
    <cellStyle name="差_Creak Pearl Reliability Fixture RFQ_2009 04 24_Creek RFQ feedback 04_28_2009_FD Update_Leopard UniBom_Foxlink_6 21 2010-ME_nego_Bolt RFQ_Foxlink_03.1 2011_nego meeting@MACH 4" xfId="29759"/>
    <cellStyle name="差_Creak Pearl Reliability Fixture RFQ_2009 04 24_Creek RFQ feedback 04_28_2009_FD Update_Leopard UniBom_Foxlink_6 21 2010-ME_nego_Bolt RFQ_Foxlink_03.1 2011_nego meeting@MACH 5" xfId="29760"/>
    <cellStyle name="差_Creak Pearl Reliability Fixture RFQ_2009 04 24_Creek RFQ feedback 04_28_2009_FD Update_Leopard_UniBOM_ME_0531" xfId="29761"/>
    <cellStyle name="差_Creak Pearl Reliability Fixture RFQ_2009 04 24_Leopard RFQ ME BOM Costs-0618-2_Bolt RFQ Proposal_Foxlink_ (Pricing Summary) 2 25 2011 5 3" xfId="29762"/>
    <cellStyle name="差_Creak Pearl Reliability Fixture RFQ_2009 04 24_Creek RFQ feedback 04_28_2009_FD Update_Leopard_UniBOM_ME_0531 2" xfId="29763"/>
    <cellStyle name="差_Creak Pearl Reliability Fixture RFQ_2009 04 24_Creek RFQ feedback 04_28_2009_FD Update_Leopard_UniBOM_ME_0531 2 2" xfId="29764"/>
    <cellStyle name="差_F3   SMT設備明細_jupite r設備&amp;治工具LIST (總)_Dallas效益分析&amp;投資回收期 (12-2 A1)_Flow chart and Fixture(1-4)" xfId="29765"/>
    <cellStyle name="差_Creak Pearl Reliability Fixture RFQ_2009 04 24_Creek RFQ feedback 04_28_2009_FD Update_Leopard_UniBOM_ME_0531 2 2 2" xfId="29766"/>
    <cellStyle name="差_Creak Pearl Reliability Fixture RFQ_2009 04 24_Creek RFQ feedback 04_28_2009_FD Update_Leopard_UniBOM_ME_0531 2 4" xfId="29767"/>
    <cellStyle name="差_Creak Pearl Reliability Fixture RFQ_2009 04 24_Creek RFQ feedback 04_28_2009_FD Update_Leopard_UniBOM_ME_0531_Bolt RFQ Proposal_Foxlink_ (Pricing Summary) 2 25 2011" xfId="29768"/>
    <cellStyle name="差_Creak Pearl Reliability Fixture RFQ_2009 04 24_Creek RFQ feedback 04_28_2009_FD Update_Leopard_UniBOM_ME_0531_Bolt RFQ Proposal_Foxlink_ (Pricing Summary) 2 25 2011 2" xfId="29769"/>
    <cellStyle name="差_Creak Pearl Reliability Fixture RFQ_2009 04 24_Creek RFQ feedback 04_28_2009_FD Update_Leopard_UniBOM_ME_0531_Bolt RFQ Proposal_Foxlink_ (Pricing Summary) 2 25 2011 3" xfId="29770"/>
    <cellStyle name="差_Creak Pearl Reliability Fixture RFQ_2009 04 24_Creek RFQ feedback 04_28_2009_FD Update_Leopard_UniBOM_ME_0531_Bolt RFQ Proposal_Foxlink_ (Pricing Summary) 2 25 2011 3 3" xfId="29771"/>
    <cellStyle name="差_Creak Pearl Reliability Fixture RFQ_2009 04 24_Creek RFQ feedback 04_28_2009_FD Update_Leopard_UniBOM_ME_0531_Bolt RFQ Proposal_Foxlink_ (Pricing Summary) 2 25 2011 4" xfId="29772"/>
    <cellStyle name="差_Creak Pearl Reliability Fixture RFQ_2009 04 24_Creek RFQ feedback 04_28_2009_FD Update_Leopard_UniBOM_ME_0531_Bolt RFQ Proposal_Foxlink_ (Pricing Summary) 2 25 2011 4 2" xfId="29773"/>
    <cellStyle name="差_Creak Pearl Reliability Fixture RFQ_2009 04 24_Squirrel RFQ ME BOM Costs-0623 2 2" xfId="29774"/>
    <cellStyle name="差_Creak Pearl Reliability Fixture RFQ_2009 04 24_Creek RFQ feedback 04_28_2009_FD Update_Leopard_UniBOM_ME_0531_Bolt RFQ Proposal_Foxlink_ (Pricing Summary) 2 25 2011 4 3" xfId="29775"/>
    <cellStyle name="差_Creak Pearl Reliability Fixture RFQ_2009 04 24_Creek RFQ feedback 04_28_2009_FD Update_Leopard_UniBOM_ME_0531_Bolt RFQ Proposal_Foxlink_ (Pricing Summary) 2 25 2011 5" xfId="29776"/>
    <cellStyle name="差_Creak Pearl Reliability Fixture RFQ_2009 04 24_Squirrel RFQ ME BOM Costs-0623 3 2" xfId="29777"/>
    <cellStyle name="差_Creak Pearl Reliability Fixture RFQ_2009 04 24_Creek RFQ feedback 04_28_2009_FD Update_Leopard_UniBOM_ME_0531_Bolt RFQ Proposal_Foxlink_ (Pricing Summary) 2 25 2011 5 3" xfId="29778"/>
    <cellStyle name="差_Xl0000000_Leopard_UniBOM_ME_0531 3" xfId="29779"/>
    <cellStyle name="差_Creak Pearl Reliability Fixture RFQ_2009 04 24_Creek RFQ feedback 04_28_2009_FD Update_Leopard_UniBOM_ME_0531_Bolt RFQ Proposal_Foxlink_ (Pricing Summary) 2 25 2011 7" xfId="29780"/>
    <cellStyle name="差_Creak Pearl Reliability Fixture RFQ_2009 04 24_Creek RFQ feedback 04_28_2009_FD Update_Leopard_UniBOM_ME_0531_Bolt RFQ_Foxlink_03.1 2011_nego meeting@MACH" xfId="29781"/>
    <cellStyle name="差_Creak Pearl Reliability Fixture RFQ_2009 04 24_Creek RFQ feedback 04_28_2009_FD Update_Leopard_UniBOM_ME_0531_Bolt RFQ_Foxlink_03.1 2011_nego meeting@MACH 2" xfId="29782"/>
    <cellStyle name="差_Creak Pearl Reliability Fixture RFQ_2009 04 24_Creek RFQ feedback 04_28_2009_FD Update_Leopard_UniBOM_ME_0531_Bolt RFQ_Foxlink_03.1 2011_nego meeting@MACH 2 2" xfId="29783"/>
    <cellStyle name="差_Creak Pearl Reliability Fixture RFQ_2009 04 24_Creek RFQ feedback 04_28_2009_FD Update_Leopard_UniBOM_ME_0531_Bolt RFQ_Foxlink_03.1 2011_nego meeting@MACH 2 3" xfId="29784"/>
    <cellStyle name="差_Creak Pearl Reliability Fixture RFQ_2009 04 24_Creek RFQ feedback 04_28_2009_FD Update_Leopard_UniBOM_ME_0602" xfId="29785"/>
    <cellStyle name="差_Creak Pearl Reliability Fixture RFQ_2009 04 24_Creek RFQ feedback 04_28_2009_FD Update_Leopard_UniBOM_ME_0602 2 2 2" xfId="29786"/>
    <cellStyle name="差_F3   SMT設備明細_jupite r設備&amp;治工具LIST (總)_pq_Jackson 效益分析 (1-18 A7)" xfId="29787"/>
    <cellStyle name="差_Creak Pearl Reliability Fixture RFQ_2009 04 24_Creek RFQ feedback 04_28_2009_FD Update_Leopard_UniBOM_ME_0602 2 2 3" xfId="29788"/>
    <cellStyle name="差_Creak Pearl Reliability Fixture RFQ_2009 04 24_Creek RFQ feedback 04_28_2009_FD Update_Leopard_UniBOM_ME_0602 2 4" xfId="29789"/>
    <cellStyle name="差_Creak Pearl Reliability Fixture RFQ_2009 04 24_Pearl RFQ(Submittal)ver2_05_12_2009 _Leopard_UniBOM_ME_0602-1_Bolt RFQ_Foxlink_03.1 2011" xfId="29790"/>
    <cellStyle name="差_Creak Pearl Reliability Fixture RFQ_2009 04 24_Creek RFQ feedback 04_28_2009_FD Update_Leopard_UniBOM_ME_0602_Bolt RFQ Proposal_Foxlink_ (Pricing Summary) 2 25 2011 2 2 3" xfId="29791"/>
    <cellStyle name="差_Creak Pearl Reliability Fixture RFQ_2009 04 24_Creek RFQ feedback 04_28_2009_FD Update_Leopard_UniBOM_ME_0602_Bolt RFQ Proposal_Foxlink_ (Pricing Summary) 2 25 2011 2 4" xfId="29792"/>
    <cellStyle name="差_Creak Pearl Reliability Fixture RFQ_2009 04 24_Xl0000002_Leopard_UniBOM_ME_0602_Bolt RFQ_Foxlink_03.1 2011_nego meeting@MACH 2" xfId="29793"/>
    <cellStyle name="差_Creak Pearl Reliability Fixture RFQ_2009 04 24_Creek RFQ feedback 04_28_2009_FD Update_Leopard_UniBOM_ME_0602_Bolt RFQ Proposal_Foxlink_ (Pricing Summary) 2 25 2011 3 2" xfId="29794"/>
    <cellStyle name="差_HP  專案(設備&amp;治工具需夠買)update_M1 Bolt wireless mouse FixtureEquipment Cost_A2_2010_12_07 3" xfId="29795"/>
    <cellStyle name="差_Creak Pearl Reliability Fixture RFQ_2009 04 24_Creek RFQ feedback 04_28_2009_FD Update_Leopard_UniBOM_ME_0602_Bolt RFQ Proposal_Foxlink_ (Pricing Summary) 2 25 2011 4 3" xfId="29796"/>
    <cellStyle name="差_Creak Pearl Reliability Fixture RFQ_2009 04 24_Creek RFQ feedback 04_28_2009_FD Update_Leopard_UniBOM_ME_0602_Bolt RFQ_Foxlink_03.1 2011" xfId="29797"/>
    <cellStyle name="差_Creak Pearl Reliability Fixture RFQ_2009 04 24_Creek RFQ feedback 04_28_2009_FD Update_Leopard_UniBOM_ME_0602_Bolt RFQ_Foxlink_03.1 2011 5" xfId="29798"/>
    <cellStyle name="差_Creak Pearl Reliability Fixture RFQ_2009 04 24_Creek RFQ feedback 04_28_2009_FD Update_Leopard_UniBOM_ME_0602_Bolt RFQ_Foxlink_03.1 2011_nego meeting@MACH" xfId="29799"/>
    <cellStyle name="差_Creak Pearl Reliability Fixture RFQ_2009 04 24_Creek RFQ feedback 04_28_2009_FD Update_Leopard_UniBOM_ME_0602_Bolt RFQ_Foxlink_03.1 2011_nego meeting@MACH 2 2" xfId="29800"/>
    <cellStyle name="差_Creak Pearl Reliability Fixture RFQ_2009 04 24_Creek RFQ feedback 04_28_2009_FD Update_Leopard_UniBOM_ME_0602_Bolt RFQ_Foxlink_03.1 2011_nego meeting@MACH 2 3" xfId="29801"/>
    <cellStyle name="差_F3   SMT設備明細_效益分析_flow chart 2009.12.12_Jackson 效益分析 testing update_16th Jan1_Jackson 效益分析 (2-1 B0 上系統)_Leopard效益分析08-17" xfId="29802"/>
    <cellStyle name="差_Creak Pearl Reliability Fixture RFQ_2009 04 24_Creek RFQ feedback 04_28_2009_FD Update_Leopard_UniBOM_ME_0602_Bolt RFQ_Foxlink_03.1 2011_nego meeting@MACH 4" xfId="29803"/>
    <cellStyle name="差_F3   SMT設備明細_jupite r設備&amp;治工具LIST (總)_Dallas效益分析&amp;投資回收期 (12-2 A1)_效益分析(總 12-28 Update)_~1159284" xfId="29804"/>
    <cellStyle name="差_Creak Pearl Reliability Fixture RFQ_2009 04 24_Creek RFQ feedback 04_28_2009_FD Update_Leopard_UniBOM_ME_0602_Bolt RFQ_Foxlink_03.1 2011_nego meeting@MACH 5" xfId="29805"/>
    <cellStyle name="差_Creak Pearl Reliability Fixture RFQ_2009 04 24_Creek RFQ feedback 04_28_2009_FD Update_Leopard_UniBOM_ME_0602-1" xfId="29806"/>
    <cellStyle name="差_Creak Pearl Reliability Fixture RFQ_2009 04 24_Creek RFQ feedback 04_28_2009_FD Update_Leopard_UniBOM_ME_0602-1 2" xfId="29807"/>
    <cellStyle name="差_HP Mouse 產能評估(Forecast更改後)_Bolt RFQ Proposal_Foxlink_ (Pricing Summary) 2 25 2011 3" xfId="29808"/>
    <cellStyle name="差_Creak Pearl Reliability Fixture RFQ_2009 04 24_Creek RFQ feedback 04_28_2009_FD Update_Leopard_UniBOM_ME_0602-1 2 2" xfId="29809"/>
    <cellStyle name="差_HP Mouse 產能評估(Forecast更改後)_Bolt RFQ Proposal_Foxlink_ (Pricing Summary) 2 25 2011 3 2" xfId="29810"/>
    <cellStyle name="差_Creak Pearl Reliability Fixture RFQ_2009 04 24_Creek RFQ feedback 04_28_2009_FD Update_Leopard_UniBOM_ME_0602-1 2 2 2" xfId="29811"/>
    <cellStyle name="差_HP Mouse 產能評估(Forecast更改後)_Bolt RFQ Proposal_Foxlink_ (Pricing Summary) 2 25 2011 4" xfId="29812"/>
    <cellStyle name="差_Creak Pearl Reliability Fixture RFQ_2009 04 24_Creek RFQ feedback 04_28_2009_FD Update_Leopard_UniBOM_ME_0602-1 2 3" xfId="29813"/>
    <cellStyle name="差_HP  專案(設備&amp;治工具需夠買)update" xfId="29814"/>
    <cellStyle name="差_Creak Pearl Reliability Fixture RFQ_2009 04 24_Creek RFQ feedback 04_28_2009_FD Update_Leopard_UniBOM_ME_0602-1 3" xfId="29815"/>
    <cellStyle name="差_Creak Pearl Reliability Fixture RFQ_2009 04 24_Creek RFQ feedback 04_28_2009_FD Update_Leopard_UniBOM_ME_0602-1_Bolt RFQ Proposal_Foxlink_ (Pricing Summary) 2 25 2011" xfId="29816"/>
    <cellStyle name="差_Creak Pearl Reliability Fixture RFQ_2009 04 24_Creek RFQ feedback 04_28_2009_FD Update_Leopard_UniBOM_ME_0602-1_Bolt RFQ Proposal_Foxlink_ (Pricing Summary) 2 25 2011 2 2" xfId="29817"/>
    <cellStyle name="差_Creak Pearl Reliability Fixture RFQ_2009 04 24_Creek RFQ feedback 04_28_2009_FD Update_Leopard_UniBOM_ME_0602-1_Bolt RFQ Proposal_Foxlink_ (Pricing Summary) 2 25 2011 2 2 2" xfId="29818"/>
    <cellStyle name="差_Creak Pearl Reliability Fixture RFQ_2009 04 24_Creek RFQ feedback 04_28_2009_FD Update_Leopard_UniBOM_ME_0602-1_Bolt RFQ Proposal_Foxlink_ (Pricing Summary) 2 25 2011 2 2 3" xfId="29819"/>
    <cellStyle name="差_Creak Pearl Reliability Fixture RFQ_2009 04 24_Creek RFQ feedback 04_28_2009_FD Update_Leopard_UniBOM_ME_0602-1_Bolt RFQ Proposal_Foxlink_ (Pricing Summary) 2 25 2011 2 3" xfId="29820"/>
    <cellStyle name="差_Creak Pearl Reliability Fixture RFQ_2009 04 24_Creek RFQ feedback 04_28_2009_FD Update_Leopard_UniBOM_ME_0602-1_Bolt RFQ Proposal_Foxlink_ (Pricing Summary) 2 25 2011 3" xfId="29821"/>
    <cellStyle name="差_Creak Pearl Reliability Fixture RFQ_2009 04 24_Creek RFQ feedback 04_28_2009_FD Update_Leopard_UniBOM_ME_0602-1_Bolt RFQ Proposal_Foxlink_ (Pricing Summary) 2 25 2011 3 2" xfId="29822"/>
    <cellStyle name="差_Creak Pearl Reliability Fixture RFQ_2009 04 24_Creek RFQ feedback 04_28_2009_FD Update_Leopard_UniBOM_ME_0602-1_Bolt RFQ Proposal_Foxlink_ (Pricing Summary) 2 25 2011 3 3" xfId="29823"/>
    <cellStyle name="差_Creak Pearl Reliability Fixture RFQ_2009 04 24_Creek RFQ feedback 04_28_2009_FD Update_Leopard_UniBOM_ME_0602-1_Bolt RFQ Proposal_Foxlink_ (Pricing Summary) 2 25 2011 5 2" xfId="29824"/>
    <cellStyle name="差_Creak Pearl Reliability Fixture RFQ_2009 04 24_Creek RFQ feedback 04_28_2009_FD Update_Leopard_UniBOM_ME_0602-1_Bolt RFQ_Foxlink_03.1 2011 2 3" xfId="29825"/>
    <cellStyle name="差_Creak Pearl Reliability Fixture RFQ_2009 04 24_Creek RFQ feedback 04_28_2009_FD Update_Leopard_UniBOM_ME_0602-1_Bolt RFQ_Foxlink_03.1 2011 3 2" xfId="29826"/>
    <cellStyle name="差_Creak Pearl Reliability Fixture RFQ_2009 04 24_Creek RFQ feedback 04_28_2009_FD Update_Leopard_UniBOM_ME_0602-1_Bolt RFQ_Foxlink_03.1 2011 3 3" xfId="29827"/>
    <cellStyle name="差_Creak Pearl Reliability Fixture RFQ_2009 04 24_Creek RFQ feedback 04_28_2009_FD Update_Leopard_UniBOM_ME_0602-1_Bolt RFQ_Foxlink_03.1 2011 4" xfId="29828"/>
    <cellStyle name="差_Creak Pearl Reliability Fixture RFQ_2009 04 24_Creek RFQ feedback 04_28_2009_FD Update_Leopard_UniBOM_ME_0602-1_Bolt RFQ_Foxlink_03.1 2011_nego meeting@MACH" xfId="29829"/>
    <cellStyle name="差_Creak Pearl Reliability Fixture RFQ_2009 04 24_Creek RFQ feedback 04_28_2009_FD Update_Leopard_UniBOM_ME_0602-1_Bolt RFQ_Foxlink_03.1 2011_nego meeting@MACH 3" xfId="29830"/>
    <cellStyle name="差_HP Mouse 產能評估(上系統)_MS Bolt wireless mouse FixtureEquipment Cost_A5_2010_02_21_Bolt RFQ Proposal_Foxlink_ (Pricing Summary) 2 25 2011 5" xfId="29831"/>
    <cellStyle name="差_Creak Pearl Reliability Fixture RFQ_2009 04 24_Creek RFQ feedback 04_28_2009_FD Update_Leopard_UniBOM_ME_0602-1_Bolt RFQ_Foxlink_03.1 2011_nego meeting@MACH 3 2" xfId="29832"/>
    <cellStyle name="差_HP Mouse 產能評估(上系統)_MS Bolt wireless mouse FixtureEquipment Cost_A5_2010_02_21_Bolt RFQ Proposal_Foxlink_ (Pricing Summary) 2 25 2011 5 2" xfId="29833"/>
    <cellStyle name="差_Creak Pearl Reliability Fixture RFQ_2009 04 24_Creek RFQ feedback 04_28_2009_FD Update_Leopard_UniBOM_ME_0602-1_Bolt RFQ_Foxlink_03.1 2011_nego meeting@MACH 3 3" xfId="29834"/>
    <cellStyle name="差_HP Mouse 產能評估(上系統)_MS Bolt wireless mouse FixtureEquipment Cost_A5_2010_02_21_Bolt RFQ Proposal_Foxlink_ (Pricing Summary) 2 25 2011 5 3" xfId="29835"/>
    <cellStyle name="差_Creak Pearl Reliability Fixture RFQ_2009 04 24_Creek RFQ feedback 04_28_2009_FD Update_Leopard_UniBOM_ME_0602-1_Bolt RFQ_Foxlink_03.1 2011_nego meeting@MACH 4" xfId="29836"/>
    <cellStyle name="差_HP Mouse 產能評估(上系統)_MS Bolt wireless mouse FixtureEquipment Cost_A5_2010_02_21_Bolt RFQ Proposal_Foxlink_ (Pricing Summary) 2 25 2011 6" xfId="29837"/>
    <cellStyle name="差_Creak Pearl Reliability Fixture RFQ_2009 04 24_Creek RFQ feedback 04_28_2009_FD Update_Leopard_UniBOM_ME_0603-2 2 2 3" xfId="29838"/>
    <cellStyle name="差_Creak Pearl Reliability Fixture RFQ_2009 04 24_Creek RFQ feedback 04_28_2009_FD Update_Leopard_UniBOM_ME_0603-2 2 3" xfId="29839"/>
    <cellStyle name="差_Creak Pearl Reliability Fixture RFQ_2009 04 24_Creek RFQ feedback 04_28_2009_FD Update_Leopard_UniBOM_ME_0603-2 2 4" xfId="29840"/>
    <cellStyle name="差_Squirrel UniBom-06.23.2010_update_internal_Bolt RFQ Proposal_Foxlink_ (Pricing Summary) 2 25 2011 2 4" xfId="29841"/>
    <cellStyle name="差_Creak Pearl Reliability Fixture RFQ_2009 04 24_Creek RFQ feedback 04_28_2009_FD Update_Leopard_UniBOM_ME_0603-2 3 2" xfId="29842"/>
    <cellStyle name="差_Creak Pearl Reliability Fixture RFQ_2009 04 24_Creek RFQ feedback 04_28_2009_FD Update_Leopard_UniBOM_ME_0603-2 3 3" xfId="29843"/>
    <cellStyle name="差_Creak Pearl Reliability Fixture RFQ_2009 04 24_Creek RFQ feedback 04_28_2009_FD Update_Leopard_UniBOM_ME_0603-2_Bolt RFQ Proposal_Foxlink_ (Pricing Summary) 2 25 2011 2 2" xfId="29844"/>
    <cellStyle name="差_Creak Pearl Reliability Fixture RFQ_2009 04 24_Creek RFQ feedback 04_28_2009_FD Update_Leopard_UniBOM_ME_0603-2_Bolt RFQ Proposal_Foxlink_ (Pricing Summary) 2 25 2011 2 2 3" xfId="29845"/>
    <cellStyle name="差_Creak Pearl Reliability Fixture RFQ_2009 04 24_Creek RFQ feedback 04_28_2009_FD Update_Leopard_UniBOM_ME_0603-2_Bolt RFQ Proposal_Foxlink_ (Pricing Summary) 2 25 2011 2 4" xfId="29846"/>
    <cellStyle name="差_Creak Pearl Reliability Fixture RFQ_2009 04 24_Creek RFQ feedback 04_28_2009_FD Update_Leopard_UniBOM_ME_0603-2_Bolt RFQ Proposal_Foxlink_ (Pricing Summary) 2 25 2011 3 2" xfId="29847"/>
    <cellStyle name="差_jupite r設備&amp;治工具LIST (總)_Flow Chart&amp;PQ分析(12-1)_Jackson 效益分析 testing update_16th Jan111" xfId="29848"/>
    <cellStyle name="差_Creak Pearl Reliability Fixture RFQ_2009 04 24_Creek RFQ feedback 04_28_2009_FD Update_Leopard_UniBOM_ME_0603-2_Bolt RFQ Proposal_Foxlink_ (Pricing Summary) 2 25 2011 5 3" xfId="29849"/>
    <cellStyle name="差_Creak Pearl Reliability Fixture RFQ_2009 04 24_Creek RFQ feedback 04_28_2009_FD Update_Leopard_UniBOM_ME_0603-2_Bolt RFQ Proposal_Foxlink_ (Pricing Summary) 2 25 2011 6" xfId="29850"/>
    <cellStyle name="差_Creak Pearl Reliability Fixture RFQ_2009 04 24_Creek RFQ feedback 04_28_2009_FD Update_Leopard_UniBOM_ME_0603-2_Bolt RFQ Proposal_Foxlink_ (Pricing Summary) 2 25 2011 7" xfId="29851"/>
    <cellStyle name="差_Creak Pearl Reliability Fixture RFQ_2009 04 24_Creek RFQ feedback 04_28_2009_FD Update_Leopard_UniBOM_ME_0603-2_Bolt RFQ_Foxlink_03.1 2011 3 2" xfId="29852"/>
    <cellStyle name="差_Creak Pearl Reliability Fixture RFQ_2009 04 24_Creek RFQ feedback 04_28_2009_FD Update_Leopard_UniBOM_ME_0603-2_Bolt RFQ_Foxlink_03.1 2011 3 3" xfId="29853"/>
    <cellStyle name="差_Creak Pearl Reliability Fixture RFQ_2009 04 24_Creek RFQ feedback 04_28_2009_FD Update_Leopard_UniBOM_ME_0603-2_Bolt RFQ_Foxlink_03.1 2011_nego meeting@MACH" xfId="29854"/>
    <cellStyle name="差_Creak Pearl Reliability Fixture RFQ_2009 04 24_Creek RFQ feedback 04_28_2009_FD Update_Leopard_UniBOM_ME_0603-2_Bolt RFQ_Foxlink_03.1 2011_nego meeting@MACH 2 3" xfId="29855"/>
    <cellStyle name="差_Creak Pearl Reliability Fixture RFQ_2009 04 24_Creek RFQ feedback 04_28_2009_FD Update_Leopard_UniBOM_ME_0603-2_Bolt RFQ_Foxlink_03.1 2011_nego meeting@MACH 3" xfId="29856"/>
    <cellStyle name="差_Creak Pearl Reliability Fixture RFQ_2009 04 24_Creek RFQ feedback 04_28_2009_FD Update_Leopard_UniBOM_ME_0603-2_Bolt RFQ_Foxlink_03.1 2011_nego meeting@MACH 3 2" xfId="29857"/>
    <cellStyle name="差_Creak Pearl Reliability Fixture RFQ_2009 04 24_Creek RFQ feedback 04_28_2009_FD Update_Leopard_UniBOM_ME_0603-2_Bolt RFQ_Foxlink_03.1 2011_nego meeting@MACH 3 3" xfId="29858"/>
    <cellStyle name="差_Creek RFQ feedback 04_28_2009_FD Update_Bolt RFQ_Foxlink_03.1 2011_nego meeting@MACH 2" xfId="29859"/>
    <cellStyle name="差_Creak Pearl Reliability Fixture RFQ_2009 04 24_Creek RFQ feedback 04_28_2009_FD Update_Leopard_UniBOM_ME_0603-2_Bolt RFQ_Foxlink_03.1 2011_nego meeting@MACH 4" xfId="29860"/>
    <cellStyle name="差_Creak Pearl Reliability Fixture RFQ_2009 04 24_Creek RFQ feedback 04_28_2009_FD Update_Squirrel RFQ ME BOM Costs-0623" xfId="29861"/>
    <cellStyle name="差_Creak Pearl Reliability Fixture RFQ_2009 04 24_Creek RFQ feedback 04_28_2009_FD Update_Squirrel RFQ ME BOM Costs-0623 2 2 2" xfId="29862"/>
    <cellStyle name="差_Creak Pearl Reliability Fixture RFQ_2009 04 24_Creek RFQ feedback 04_28_2009_FD Update_Squirrel RFQ ME BOM Costs-0623 2 2 3" xfId="29863"/>
    <cellStyle name="差_Creak Pearl Reliability Fixture RFQ_2009 04 24_Creek RFQ feedback 04_28_2009_FD Update_Squirrel RFQ ME BOM Costs-0623 2 3" xfId="29864"/>
    <cellStyle name="差_Creak Pearl Reliability Fixture RFQ_2009 04 24_Creek RFQ feedback 04_28_2009_FD Update_Squirrel RFQ ME BOM Costs-0623 3 2" xfId="29865"/>
    <cellStyle name="差_Creak Pearl Reliability Fixture RFQ_2009 04 24_Creek RFQ feedback 04_28_2009_FD Update_Squirrel RFQ ME BOM Costs-0623 3 3" xfId="29866"/>
    <cellStyle name="差_Creak Pearl Reliability Fixture RFQ_2009 04 24_Creek RFQ feedback 04_28_2009_FD Update_Squirrel RFQ ME BOM Costs-0623_Bolt RFQ Proposal_Foxlink_ (Pricing Summary) 2 25 2011" xfId="29867"/>
    <cellStyle name="差_Creak Pearl Reliability Fixture RFQ_2009 04 24_Creek RFQ feedback 04_28_2009_FD Update_Squirrel RFQ ME BOM Costs-0623_Bolt RFQ Proposal_Foxlink_ (Pricing Summary) 2 25 2011 2 2 3" xfId="29868"/>
    <cellStyle name="差_Creak Pearl Reliability Fixture RFQ_2009 04 24_Creek RFQ feedback 04_28_2009_FD Update_Squirrel RFQ ME BOM Costs-0623_Bolt RFQ Proposal_Foxlink_ (Pricing Summary) 2 25 2011 2 3" xfId="29869"/>
    <cellStyle name="差_Creak Pearl Reliability Fixture RFQ_2009 04 24_Creek RFQ feedback 04_28_2009_FD Update_Squirrel RFQ ME BOM Costs-0623_Bolt RFQ Proposal_Foxlink_ (Pricing Summary) 2 25 2011 2 4" xfId="29870"/>
    <cellStyle name="差_Creak Pearl Reliability Fixture RFQ_2009 04 24_Creek RFQ feedback 04_28_2009_FD Update_Squirrel RFQ ME BOM Costs-0623_Bolt RFQ Proposal_Foxlink_ (Pricing Summary) 2 25 2011 3" xfId="29871"/>
    <cellStyle name="差_Creak Pearl Reliability Fixture RFQ_2009 04 24_Creek RFQ feedback 04_28_2009_FD Update_Squirrel RFQ ME BOM Costs-0623_Bolt RFQ_Foxlink_03.1 2011 2 2" xfId="29872"/>
    <cellStyle name="差_Creek RFQ feedback 04_28_2009_FD Update_Squirrel RFQ ME BOM Costs-0623 2 2" xfId="29873"/>
    <cellStyle name="差_Creak Pearl Reliability Fixture RFQ_2009 04 24_Creek RFQ feedback 04_28_2009_FD Update_Squirrel RFQ ME BOM Costs-0623_Bolt RFQ_Foxlink_03.1 2011 2 3" xfId="29874"/>
    <cellStyle name="差_Creak Pearl Reliability Fixture RFQ_2009 04 24_Creek RFQ feedback 04_28_2009_FD Update_Squirrel RFQ ME BOM Costs-0623_Bolt RFQ_Foxlink_03.1 2011 3" xfId="29875"/>
    <cellStyle name="差_Creek RFQ feedback 04_28_2009_FD Update_Squirrel RFQ ME BOM Costs-0623 3 2" xfId="29876"/>
    <cellStyle name="差_Creak Pearl Reliability Fixture RFQ_2009 04 24_Creek RFQ feedback 04_28_2009_FD Update_Squirrel RFQ ME BOM Costs-0623_Bolt RFQ_Foxlink_03.1 2011 3 3" xfId="29877"/>
    <cellStyle name="差_Creak Pearl Reliability Fixture RFQ_2009 04 24_Creek RFQ feedback 04_28_2009_FD Update_Squirrel RFQ ME BOM Costs-0623_Bolt RFQ_Foxlink_03.1 2011_nego meeting@MACH" xfId="29878"/>
    <cellStyle name="差_Creak Pearl Reliability Fixture RFQ_2009 04 24_Creek RFQ feedback 04_28_2009_FD Update_Squirrel RFQ ME BOM Costs-0623_Bolt RFQ_Foxlink_03.1 2011_nego meeting@MACH 2" xfId="29879"/>
    <cellStyle name="差_Creak Pearl Reliability Fixture RFQ_2009 04 24_Creek RFQ feedback 04_28_2009_FD Update_Squirrel UniBom-06 23 2010_update_internal" xfId="29880"/>
    <cellStyle name="差_Creak Pearl Reliability Fixture RFQ_2009 04 24_Creek RFQ feedback 04_28_2009_FD Update_Squirrel UniBom-06.23.2010_update_internal" xfId="29881"/>
    <cellStyle name="差_HP Mouse 產能評估(Forecast更改後)_M1 Bolt wireless mouse FixtureEquipment Cost_A2_2010_12_07_Bolt RFQ Proposal_Foxlink_ (Pricing Summary) 2 25 2011 2 4" xfId="29882"/>
    <cellStyle name="差_Creak Pearl Reliability Fixture RFQ_2009 04 24_Creek RFQ feedback 04_28_2009_FD Update_Squirrel UniBom-06.23.2010_update_internal 2" xfId="29883"/>
    <cellStyle name="差_F3   SMT設備明細_效益分析_Jackson 效益分析 testing update_16th Jan1_Jackson 效益分析 (2-1 B0 上系統)_squirrel效益分析08-17" xfId="29884"/>
    <cellStyle name="差_Creak Pearl Reliability Fixture RFQ_2009 04 24_Creek RFQ feedback 04_28_2009_FD Update_Squirrel UniBom-06.23.2010_update_internal 2 2 2" xfId="29885"/>
    <cellStyle name="差_Creak Pearl Reliability Fixture RFQ_2009 04 24_Creek RFQ feedback 04_28_2009_FD Update_Squirrel UniBom-06.23.2010_update_internal 2 2 3" xfId="29886"/>
    <cellStyle name="差_Creak Pearl Reliability Fixture RFQ_2009 04 24_Creek RFQ feedback 04_28_2009_FD Update_Squirrel UniBom-06.23.2010_update_internal 2 4" xfId="29887"/>
    <cellStyle name="差_Creak Pearl Reliability Fixture RFQ_2009 04 24_Creek RFQ feedback 04_28_2009_FD Update_Squirrel UniBom-06.23.2010_update_internal 3" xfId="29888"/>
    <cellStyle name="差_Creak Pearl Reliability Fixture RFQ_2009 04 24_Creek RFQ feedback 04_28_2009_FD Update_Squirrel UniBom-06.23.2010_update_internal 3 2" xfId="29889"/>
    <cellStyle name="差_Creak Pearl Reliability Fixture RFQ_2009 04 24_Creek RFQ feedback 04_28_2009_FD Update_Squirrel UniBom-06.23.2010_update_internal 4" xfId="29890"/>
    <cellStyle name="差_Creak Pearl Reliability Fixture RFQ_2009 04 24_Creek RFQ feedback 04_28_2009_FD Update_Squirrel UniBom-06.23.2010_update_internal 5" xfId="29891"/>
    <cellStyle name="差_Creak Pearl Reliability Fixture RFQ_2009 04 24_Creek RFQ feedback 04_28_2009_FD Update_Squirrel UniBom-06.23.2010_update_internal_Bolt RFQ Proposal_Foxlink_ (Pricing Summary) 2 25 2011 2 2" xfId="29892"/>
    <cellStyle name="差_Creak Pearl Reliability Fixture RFQ_2009 04 24_Creek RFQ feedback 04_28_2009_FD Update_Squirrel UniBom-06.23.2010_update_internal_Bolt RFQ Proposal_Foxlink_ (Pricing Summary) 2 25 2011 2 2 3" xfId="29893"/>
    <cellStyle name="差_Creak Pearl Reliability Fixture RFQ_2009 04 24_Creek RFQ feedback 04_28_2009_FD Update_Squirrel UniBom-06.23.2010_update_internal_Bolt RFQ Proposal_Foxlink_ (Pricing Summary) 2 25 2011 2 4" xfId="29894"/>
    <cellStyle name="差_Creak Pearl Reliability Fixture RFQ_2009 04 24_Creek RFQ feedback 04_28_2009_FD Update_Squirrel UniBom-06.23.2010_update_internal_Bolt RFQ Proposal_Foxlink_ (Pricing Summary) 2 25 2011 3 3" xfId="29895"/>
    <cellStyle name="差_Creak Pearl Reliability Fixture RFQ_2009 04 24_Creek RFQ feedback 04_28_2009_FD Update_Squirrel UniBom-06.23.2010_update_internal_Bolt RFQ Proposal_Foxlink_ (Pricing Summary) 2 25 2011 5 3" xfId="29896"/>
    <cellStyle name="差_Creak Pearl Reliability Fixture RFQ_2009 04 24_Creek RFQ feedback 04_28_2009_FD Update_Squirrel UniBom-06.23.2010_update_internal_Bolt RFQ_Foxlink_03.1 2011 2" xfId="29897"/>
    <cellStyle name="差_Creak Pearl Reliability Fixture RFQ_2009 04 24_Creek RFQ feedback 04_28_2009_FD Update_Squirrel UniBom-06.23.2010_update_internal_Bolt RFQ_Foxlink_03.1 2011 2 2" xfId="29898"/>
    <cellStyle name="差_Creak Pearl Reliability Fixture RFQ_2009 04 24_Creek RFQ feedback 04_28_2009_FD Update_Squirrel UniBom-06.23.2010_update_internal_Bolt RFQ_Foxlink_03.1 2011 2 3" xfId="29899"/>
    <cellStyle name="差_Creak Pearl Reliability Fixture RFQ_2009 04 24_Creek RFQ feedback 04_28_2009_FD Update_Squirrel UniBom-06.23.2010_update_internal_Bolt RFQ_Foxlink_03.1 2011 3 2" xfId="29900"/>
    <cellStyle name="差_Creak Pearl Reliability Fixture RFQ_2009 04 24_Creek RFQ feedback 04_28_2009_FD Update_Squirrel UniBom-06.23.2010_update_internal_Bolt RFQ_Foxlink_03.1 2011 3 3" xfId="29901"/>
    <cellStyle name="差_Creak Pearl Reliability Fixture RFQ_2009 04 24_Creek RFQ feedback 04_28_2009_FD Update_Squirrel UniBom-06.23.2010_update_internal_Bolt RFQ_Foxlink_03.1 2011 4" xfId="29902"/>
    <cellStyle name="差_F3   SMT設備明細_jupite r設備&amp;治工具LIST (總)_pq_~5631336_Jackson 效益分析 (2-1 B0 上系統)_Leopard效益分析08-17" xfId="29903"/>
    <cellStyle name="差_Creak Pearl Reliability Fixture RFQ_2009 04 24_Creek RFQ feedback 04_28_2009_FD Update_Squirrel UniBom-06.23.2010_update_internal_Bolt RFQ_Foxlink_03.1 2011 5" xfId="29904"/>
    <cellStyle name="差_Creak Pearl Reliability Fixture RFQ_2009 04 24_Creek RFQ feedback 04_28_2009_FD Update_Squirrel UniBom-06.23.2010_update_internal_Bolt RFQ_Foxlink_03.1 2011_nego meeting@MACH 3" xfId="29905"/>
    <cellStyle name="差_Creak Pearl Reliability Fixture RFQ_2009 04 24_Creek RFQ feedback 04_28_2009_FD Update_Squirrel UniBom-06.23.2010_update_internal_Bolt RFQ_Foxlink_03.1 2011_nego meeting@MACH 3 3" xfId="29906"/>
    <cellStyle name="差_F3   SMT設備明細_Erie 效益分析 (Update)_效益分析(總 12-28 Update)_Leopard Flowchart &amp; 產能評估" xfId="29907"/>
    <cellStyle name="差_Creak Pearl Reliability Fixture RFQ_2009 04 24_Creek RFQ feedback 04_28_2009_FD Update_Squirrel UniBom-06.23.2010_update_internal_Bolt RFQ_Foxlink_03.1 2011_nego meeting@MACH 4" xfId="29908"/>
    <cellStyle name="差_Creak Pearl Reliability Fixture RFQ_2009 04 24_Foxlink_Shadow RFQ NREUni BOM_12032009" xfId="29909"/>
    <cellStyle name="差_Creak Pearl Reliability Fixture RFQ_2009 04 24_Foxlink_Shadow RFQ NREUni BOM_12032009 2" xfId="29910"/>
    <cellStyle name="差_Creak Pearl Reliability Fixture RFQ_2009 04 24_Foxlink_Shadow RFQ NREUni BOM_12032009 2 4" xfId="29911"/>
    <cellStyle name="差_Creak Pearl Reliability Fixture RFQ_2009 04 24_Foxlink_Shadow RFQ NREUni BOM_12032009 3" xfId="29912"/>
    <cellStyle name="差_Creak Pearl Reliability Fixture RFQ_2009 04 24_Foxlink_Shadow RFQ NREUni BOM_12032009 3 2" xfId="29913"/>
    <cellStyle name="差_Creak Pearl Reliability Fixture RFQ_2009 04 24_Foxlink_Shadow RFQ NREUni BOM_12032009 3 3" xfId="29914"/>
    <cellStyle name="差_Creak Pearl Reliability Fixture RFQ_2009 04 24_Foxlink_Shadow RFQ NREUni BOM_12032009_Bolt RFQ Proposal_Foxlink_ (Pricing Summary) 2 25 2011 2" xfId="29915"/>
    <cellStyle name="差_jupite r設備&amp;治工具LIST (總)_pq_Jackson 效益分析 testing update_16th Jan111_Jackson 效益分析 (2-1 B0 上系統)_Leopard效益分析08-17" xfId="29916"/>
    <cellStyle name="差_Creak Pearl Reliability Fixture RFQ_2009 04 24_Foxlink_Shadow RFQ NREUni BOM_12032009_Bolt RFQ Proposal_Foxlink_ (Pricing Summary) 2 25 2011 3" xfId="29917"/>
    <cellStyle name="差_Creak Pearl Reliability Fixture RFQ_2009 04 24_Foxlink_Shadow RFQ NREUni BOM_12032009_Bolt RFQ Proposal_Foxlink_ (Pricing Summary) 2 25 2011 4" xfId="29918"/>
    <cellStyle name="差_Creak Pearl Reliability Fixture RFQ_2009 04 24_Foxlink_Shadow RFQ NREUni BOM_12032009_Bolt RFQ Proposal_Foxlink_ (Pricing Summary) 2 25 2011 5" xfId="29919"/>
    <cellStyle name="差_Creak Pearl Reliability Fixture RFQ_2009 04 24_Foxlink_Shadow RFQ NREUni BOM_12032009_Bolt RFQ_Foxlink_03.1 2011 3" xfId="29920"/>
    <cellStyle name="差_Creak Pearl Reliability Fixture RFQ_2009 04 24_Foxlink_Shadow RFQ NREUni BOM_12032009_Bolt RFQ_Foxlink_03.1 2011 3 2" xfId="29921"/>
    <cellStyle name="差_Creak Pearl Reliability Fixture RFQ_2009 04 24_Foxlink_Shadow RFQ NREUni BOM_12032009_Bolt RFQ_Foxlink_03.1 2011 3 3" xfId="29922"/>
    <cellStyle name="差_Creak Pearl Reliability Fixture RFQ_2009 04 24_Foxlink_Shadow RFQ NREUni BOM_12032009_Bolt RFQ_Foxlink_03.1 2011 5" xfId="29923"/>
    <cellStyle name="差_Creak Pearl Reliability Fixture RFQ_2009 04 24_Foxlink_Shadow RFQ NREUni BOM_12032009_Bolt RFQ_Foxlink_03.1 2011_nego meeting@MACH" xfId="29924"/>
    <cellStyle name="差_Creak Pearl Reliability Fixture RFQ_2009 04 24_Foxlink_Shadow RFQ NREUni BOM_12032009_Bolt RFQ_Foxlink_03.1 2011_nego meeting@MACH 2 2" xfId="29925"/>
    <cellStyle name="差_Creak Pearl Reliability Fixture RFQ_2009 04 24_Foxlink_Shadow RFQ NREUni BOM_12032009_Bolt RFQ_Foxlink_03.1 2011_nego meeting@MACH 3" xfId="29926"/>
    <cellStyle name="差_F3   SMT設備明細_效益分析_Dallas效益分析&amp;投資回收期 (12-2 A1)_Flow chart and Fixture(Jackson)_A1_Jackson 效益分析 (2-1 B0 上系統)_Leopard Flowchart &amp; 產能評估" xfId="29927"/>
    <cellStyle name="差_Creak Pearl Reliability Fixture RFQ_2009 04 24_Jackson and Shadow BOM cost_mainfile_2010 0324 rev.1" xfId="29928"/>
    <cellStyle name="强调文字颜色 4 4" xfId="29929"/>
    <cellStyle name="差_Creak Pearl Reliability Fixture RFQ_2009 04 24_Jackson and Shadow BOM cost_mainfile_2010 0324 rev.1_Bristol UniBom_Foxlink_02082011 RevA" xfId="29930"/>
    <cellStyle name="差_Creak Pearl Reliability Fixture RFQ_2009 04 24_Jackson and Shadow BOM cost_mainfile_2010 0324 rev.1_Leopard UniBom_Foxlink_12092010 RevD-jen" xfId="29931"/>
    <cellStyle name="差_Creak Pearl Reliability Fixture RFQ_2009 04 24_Jackson and Shadow BOM cost_mainfile_2010 0324 rev.1_Leopard UniBom_Foxlink_12272010 RevF_shirley" xfId="29932"/>
    <cellStyle name="差_Creak Pearl Reliability Fixture RFQ_2009 04 24_Jackson NRE Uni BOM_update _05072010 rev K" xfId="29933"/>
    <cellStyle name="差_Creak Pearl Reliability Fixture RFQ_2009 04 24_Leopard Lemur Squirrel UniBom-06.22.2010_EE cost _update_internal 2 2 2" xfId="29934"/>
    <cellStyle name="差_Creak Pearl Reliability Fixture RFQ_2009 04 24_Leopard Lemur Squirrel UniBom-06.22.2010_EE cost _update_internal_Bolt RFQ Proposal_Foxlink_ (Pricing Summary) 2 25 2011" xfId="29935"/>
    <cellStyle name="差_Creak Pearl Reliability Fixture RFQ_2009 04 24_Leopard Lemur Squirrel UniBom-06.22.2010_EE cost _update_internal_Bolt RFQ Proposal_Foxlink_ (Pricing Summary) 2 25 2011 2 2" xfId="29936"/>
    <cellStyle name="差_MB9月管審換線超時8d 5 3" xfId="29937"/>
    <cellStyle name="差_Creak Pearl Reliability Fixture RFQ_2009 04 24_Leopard Lemur Squirrel UniBom-06.22.2010_EE cost _update_internal_Bolt RFQ Proposal_Foxlink_ (Pricing Summary) 2 25 2011 2 2 2" xfId="29938"/>
    <cellStyle name="差_MB9月管審換線超時8d 5 4" xfId="29939"/>
    <cellStyle name="差_Creak Pearl Reliability Fixture RFQ_2009 04 24_Leopard Lemur Squirrel UniBom-06.22.2010_EE cost _update_internal_Bolt RFQ Proposal_Foxlink_ (Pricing Summary) 2 25 2011 2 2 3" xfId="29940"/>
    <cellStyle name="差_Creak Pearl Reliability Fixture RFQ_2009 04 24_Pearl RFQ(Submittal)ver2_05_12_2009 _Leopard RFQ ME BOM Costs-0618" xfId="29941"/>
    <cellStyle name="差_Creak Pearl Reliability Fixture RFQ_2009 04 24_Pearl RFQ(Submittal)ver2_05_12_2009 _Leopard RFQ ME BOM Costs-0623" xfId="29942"/>
    <cellStyle name="差_Creak Pearl Reliability Fixture RFQ_2009 04 24_Leopard Lemur Squirrel UniBom-06.22.2010_EE cost _update_internal_Bolt RFQ Proposal_Foxlink_ (Pricing Summary) 2 25 2011 4" xfId="29943"/>
    <cellStyle name="差_Creak Pearl Reliability Fixture RFQ_2009 04 24_Pearl RFQ(Submittal)ver2_05_12_2009 _Leopard RFQ ME BOM Costs-0618 2" xfId="29944"/>
    <cellStyle name="差_Creak Pearl Reliability Fixture RFQ_2009 04 24_Leopard Lemur Squirrel UniBom-06.22.2010_EE cost _update_internal_Bolt RFQ Proposal_Foxlink_ (Pricing Summary) 2 25 2011 4 2" xfId="29945"/>
    <cellStyle name="差_Creak Pearl Reliability Fixture RFQ_2009 04 24_Leopard Lemur Squirrel UniBom-06.22.2010_EE cost _update_internal_Bolt RFQ Proposal_Foxlink_ (Pricing Summary) 2 25 2011 5" xfId="29946"/>
    <cellStyle name="差_Creak Pearl Reliability Fixture RFQ_2009 04 24_Leopard Lemur Squirrel UniBom-06.22.2010_EE cost _update_internal_Bolt RFQ Proposal_Foxlink_ (Pricing Summary) 2 25 2011 5 2" xfId="29947"/>
    <cellStyle name="差_Creak Pearl Reliability Fixture RFQ_2009 04 24_Leopard Lemur Squirrel UniBom-06.22.2010_EE cost _update_internal_Bolt RFQ Proposal_Foxlink_ (Pricing Summary) 2 25 2011 6" xfId="29948"/>
    <cellStyle name="差_Creak Pearl Reliability Fixture RFQ_2009 04 24_Leopard Lemur Squirrel UniBom-06.22.2010_EE cost _update_internal_Bolt RFQ Proposal_Foxlink_ (Pricing Summary) 2 25 2011 7" xfId="29949"/>
    <cellStyle name="差_Creak Pearl Reliability Fixture RFQ_2009 04 24_Leopard_UniBOM_ME_0602_Bolt RFQ Proposal_Foxlink_ (Pricing Summary) 2 25 2011 3" xfId="29950"/>
    <cellStyle name="差_Creak Pearl Reliability Fixture RFQ_2009 04 24_Leopard Lemur Squirrel UniBom-06.22.2010_EE cost _update_internal_Bolt RFQ_Foxlink_03.1 2011 2" xfId="29951"/>
    <cellStyle name="差_Creak Pearl Reliability Fixture RFQ_2009 04 24_Leopard_UniBOM_ME_0602_Bolt RFQ Proposal_Foxlink_ (Pricing Summary) 2 25 2011 3 3" xfId="29952"/>
    <cellStyle name="差_Creak Pearl Reliability Fixture RFQ_2009 04 24_Leopard Lemur Squirrel UniBom-06.22.2010_EE cost _update_internal_Bolt RFQ_Foxlink_03.1 2011 2 3" xfId="29953"/>
    <cellStyle name="差_Creak Pearl Reliability Fixture RFQ_2009 04 24_Leopard_UniBOM_ME_0602_Bolt RFQ Proposal_Foxlink_ (Pricing Summary) 2 25 2011 4" xfId="29954"/>
    <cellStyle name="差_Creak Pearl Reliability Fixture RFQ_2009 04 24_Leopard Lemur Squirrel UniBom-06.22.2010_EE cost _update_internal_Bolt RFQ_Foxlink_03.1 2011 3" xfId="29955"/>
    <cellStyle name="差_Creak Pearl Reliability Fixture RFQ_2009 04 24_Leopard_UniBOM_ME_0602_Bolt RFQ Proposal_Foxlink_ (Pricing Summary) 2 25 2011 4 3" xfId="29956"/>
    <cellStyle name="差_Creak Pearl Reliability Fixture RFQ_2009 04 24_Leopard Lemur Squirrel UniBom-06.22.2010_EE cost _update_internal_Bolt RFQ_Foxlink_03.1 2011 3 3" xfId="29957"/>
    <cellStyle name="差_Creak Pearl Reliability Fixture RFQ_2009 04 24_Leopard_UniBOM_ME_0602_Bolt RFQ Proposal_Foxlink_ (Pricing Summary) 2 25 2011 5" xfId="29958"/>
    <cellStyle name="差_Creak Pearl Reliability Fixture RFQ_2009 04 24_Leopard Lemur Squirrel UniBom-06.22.2010_EE cost _update_internal_Bolt RFQ_Foxlink_03.1 2011 4" xfId="29959"/>
    <cellStyle name="差_Creak Pearl Reliability Fixture RFQ_2009 04 24_Leopard_UniBOM_ME_0602_Bolt RFQ Proposal_Foxlink_ (Pricing Summary) 2 25 2011 6" xfId="29960"/>
    <cellStyle name="差_Creak Pearl Reliability Fixture RFQ_2009 04 24_Leopard Lemur Squirrel UniBom-06.22.2010_EE cost _update_internal_Bolt RFQ_Foxlink_03.1 2011 5" xfId="29961"/>
    <cellStyle name="差_Xl0000000_Leopard Lemur Squirrel UniBom-06.22.2010_EE cost _update_internal_Bolt RFQ_Foxlink_03.1 2011 2" xfId="29962"/>
    <cellStyle name="差_Creak Pearl Reliability Fixture RFQ_2009 04 24_Leopard Lemur Squirrel UniBom-06.22.2010_EE cost _update_internal_Bolt RFQ_Foxlink_03.1 2011_nego meeting@MACH" xfId="29963"/>
    <cellStyle name="差_Xl0000000_Leopard Lemur Squirrel UniBom-06.22.2010_EE cost _update_internal_Bolt RFQ_Foxlink_03.1 2011 2 2" xfId="29964"/>
    <cellStyle name="差_Creak Pearl Reliability Fixture RFQ_2009 04 24_Leopard Lemur Squirrel UniBom-06.22.2010_EE cost _update_internal_Bolt RFQ_Foxlink_03.1 2011_nego meeting@MACH 2" xfId="29965"/>
    <cellStyle name="差_Creak Pearl Reliability Fixture RFQ_2009 04 24_Leopard Lemur Squirrel UniBom-06.22.2010_EE cost _update_internal_Bolt RFQ_Foxlink_03.1 2011_nego meeting@MACH 2 2" xfId="29966"/>
    <cellStyle name="差_Creak Pearl Reliability Fixture RFQ_2009 04 24_Leopard Lemur Squirrel UniBom-06.22.2010_EE cost _update_internal_Bolt RFQ_Foxlink_03.1 2011_nego meeting@MACH 2 3" xfId="29967"/>
    <cellStyle name="差_HP  專案(設備&amp;治工具需夠買)update_Erie 效益分析 (Update)_Jackson 效益分析 (2-1 B0 上系統)" xfId="29968"/>
    <cellStyle name="差_Xl0000000_Leopard Lemur Squirrel UniBom-06.22.2010_EE cost _update_internal_Bolt RFQ_Foxlink_03.1 2011 2 3" xfId="29969"/>
    <cellStyle name="差_Creak Pearl Reliability Fixture RFQ_2009 04 24_Leopard Lemur Squirrel UniBom-06.22.2010_EE cost _update_internal_Bolt RFQ_Foxlink_03.1 2011_nego meeting@MACH 3" xfId="29970"/>
    <cellStyle name="差_Creak Pearl Reliability Fixture RFQ_2009 04 24_Leopard Lemur Squirrel UniBom-06.22.2010_EE cost _update_internal_Bolt RFQ_Foxlink_03.1 2011_nego meeting@MACH 3 2" xfId="29971"/>
    <cellStyle name="差_Creak Pearl Reliability Fixture RFQ_2009 04 24_Leopard Lemur Squirrel UniBom-06.22.2010_EE cost _update_internal_Bolt RFQ_Foxlink_03.1 2011_nego meeting@MACH 3 3" xfId="29972"/>
    <cellStyle name="差_Creak Pearl Reliability Fixture RFQ_2009 04 24_Leopard Lemur Squirrel UniBom-06.22.2010_EE cost _update_internal_Bolt RFQ_Foxlink_03.1 2011_nego meeting@MACH 4" xfId="29973"/>
    <cellStyle name="差_Creak Pearl Reliability Fixture RFQ_2009 04 24_Xl0000002_Leopard UniBom-06 22 2010_update_internal" xfId="29974"/>
    <cellStyle name="差_Creak Pearl Reliability Fixture RFQ_2009 04 24_Leopard Lemur Squirrel UniBom-06.22.2010_EE cost _update_internal_Bolt RFQ_Foxlink_03.1 2011_nego meeting@MACH 5" xfId="29975"/>
    <cellStyle name="壞_Creek Assembly Fixture  Test Equipment RFQ_20090427_Xl0000002_Leopard_UniBOM_ME_0531_Bolt RFQ Proposal_Foxlink_ (Pricing Summary) 2 25 2011 2 3 2" xfId="29976"/>
    <cellStyle name="差_Creak Pearl Reliability Fixture RFQ_2009 04 24_Leopard RFQ ME BOM Costs-0618" xfId="29977"/>
    <cellStyle name="差_Creak Pearl Reliability Fixture RFQ_2009 04 24_Leopard RFQ ME BOM Costs-0623" xfId="29978"/>
    <cellStyle name="差_Creak Pearl Reliability Fixture RFQ_2009 04 24_Leopard RFQ ME BOM Costs-0618 2 4" xfId="29979"/>
    <cellStyle name="差_Creak Pearl Reliability Fixture RFQ_2009 04 24_Leopard RFQ ME BOM Costs-0618 3 2" xfId="29980"/>
    <cellStyle name="差_Erie mouse 效益分析( 11-19 A1)_Flow chart and Fixture(1-4)_Jackson 效益分析 (2-1 B0 上系統)" xfId="29981"/>
    <cellStyle name="差_Creak Pearl Reliability Fixture RFQ_2009 04 24_Leopard RFQ ME BOM Costs-0618_Bolt RFQ Proposal_Foxlink_ (Pricing Summary) 2 25 2011" xfId="29982"/>
    <cellStyle name="差_Creak Pearl Reliability Fixture RFQ_2009 04 24_Leopard RFQ ME BOM Costs-0618_Bolt RFQ Proposal_Foxlink_ (Pricing Summary) 2 25 2011 2" xfId="29983"/>
    <cellStyle name="差_dallas產能評估_~8644671_~1159284" xfId="29984"/>
    <cellStyle name="差_Creak Pearl Reliability Fixture RFQ_2009 04 24_Leopard RFQ ME BOM Costs-0618_Bolt RFQ Proposal_Foxlink_ (Pricing Summary) 2 25 2011 2 2" xfId="29985"/>
    <cellStyle name="差_jupite r設備&amp;治工具LIST (總)_Flow Chart&amp;PQ分析(12-1)_效益分析(總 12-28 Update)_Jackson 效益分析 (2-1 B0 上系統)" xfId="29986"/>
    <cellStyle name="差_Creak Pearl Reliability Fixture RFQ_2009 04 24_Leopard RFQ ME BOM Costs-0618_Bolt RFQ Proposal_Foxlink_ (Pricing Summary) 2 25 2011 2 2 2" xfId="29987"/>
    <cellStyle name="差_Xl0000002_Bolt RFQ_Foxlink_03.1 2011_nego meeting@MACH" xfId="29988"/>
    <cellStyle name="差_Creak Pearl Reliability Fixture RFQ_2009 04 24_Leopard RFQ ME BOM Costs-0618_Bolt RFQ Proposal_Foxlink_ (Pricing Summary) 2 25 2011 2 2 3" xfId="29989"/>
    <cellStyle name="差_Creak Pearl Reliability Fixture RFQ_2009 04 24_Leopard RFQ ME BOM Costs-0618_Bolt RFQ Proposal_Foxlink_ (Pricing Summary) 2 25 2011 2 3" xfId="29990"/>
    <cellStyle name="差_Creak Pearl Reliability Fixture RFQ_2009 04 24_Leopard RFQ ME BOM Costs-0618_Bolt RFQ Proposal_Foxlink_ (Pricing Summary) 2 25 2011 4 3" xfId="29991"/>
    <cellStyle name="差_Creak Pearl Reliability Fixture RFQ_2009 04 24_Leopard RFQ ME BOM Costs-0618_Bolt RFQ Proposal_Foxlink_ (Pricing Summary) 2 25 2011 7" xfId="29992"/>
    <cellStyle name="差_治具工程課2009年KPI_KPI 1006 2" xfId="29993"/>
    <cellStyle name="差_Creak Pearl Reliability Fixture RFQ_2009 04 24_Leopard RFQ ME BOM Costs-0618_Bolt RFQ_Foxlink_03.1 2011" xfId="29994"/>
    <cellStyle name="差_治具工程課2009年KPI_KPI 1006 2 2" xfId="29995"/>
    <cellStyle name="差_Creak Pearl Reliability Fixture RFQ_2009 04 24_Leopard RFQ ME BOM Costs-0618_Bolt RFQ_Foxlink_03.1 2011 2" xfId="29996"/>
    <cellStyle name="差_治具工程課2009年KPI_KPI 1006 2 3" xfId="29997"/>
    <cellStyle name="差_Creak Pearl Reliability Fixture RFQ_2009 04 24_Leopard RFQ ME BOM Costs-0618_Bolt RFQ_Foxlink_03.1 2011 3" xfId="29998"/>
    <cellStyle name="差_治具工程課2009年KPI_KPI 1006 2 3 2" xfId="29999"/>
    <cellStyle name="差_Creak Pearl Reliability Fixture RFQ_2009 04 24_Leopard RFQ ME BOM Costs-0618_Bolt RFQ_Foxlink_03.1 2011 3 2" xfId="30000"/>
    <cellStyle name="差_治具工程課2009年KPI_KPI 1006 2 3 3" xfId="30001"/>
    <cellStyle name="差_Creak Pearl Reliability Fixture RFQ_2009 04 24_Leopard RFQ ME BOM Costs-0618_Bolt RFQ_Foxlink_03.1 2011 3 3" xfId="30002"/>
    <cellStyle name="差_Creak Pearl Reliability Fixture RFQ_2009 04 24_Leopard RFQ ME BOM Costs-0618_Bolt RFQ_Foxlink_03.1 2011_nego meeting@MACH 2" xfId="30003"/>
    <cellStyle name="差_Creak Pearl Reliability Fixture RFQ_2009 04 24_Leopard RFQ ME BOM Costs-0618_Bolt RFQ_Foxlink_03.1 2011_nego meeting@MACH 2 3" xfId="30004"/>
    <cellStyle name="差_Creak Pearl Reliability Fixture RFQ_2009 04 24_Leopard RFQ ME BOM Costs-0618_Bolt RFQ_Foxlink_03.1 2011_nego meeting@MACH 3" xfId="30005"/>
    <cellStyle name="差_Creak Pearl Reliability Fixture RFQ_2009 04 24_Leopard RFQ ME BOM Costs-0618_Bolt RFQ_Foxlink_03.1 2011_nego meeting@MACH 4" xfId="30006"/>
    <cellStyle name="差_Creak Pearl Reliability Fixture RFQ_2009 04 24_Leopard RFQ ME BOM Costs-0618-2 2 2" xfId="30007"/>
    <cellStyle name="差_F3   SMT設備明細_jupite r設備&amp;治工具LIST (總)_Dallas flow chart&amp;設備&amp;治工具清單(12-8 A0)_效益分析(總 12-28 Update)_Jackson 效益分析 (2-1 B0 上系統)_Leopard Flowchart &amp; 產能評估" xfId="30008"/>
    <cellStyle name="差_Creak Pearl Reliability Fixture RFQ_2009 04 24_Leopard RFQ ME BOM Costs-0618-2 2 2 3" xfId="30009"/>
    <cellStyle name="差_Creak Pearl Reliability Fixture RFQ_2009 04 24_Leopard RFQ ME BOM Costs-0618-2 2 3" xfId="30010"/>
    <cellStyle name="差_Creak Pearl Reliability Fixture RFQ_2009 04 24_Leopard RFQ ME BOM Costs-0618-2 2 4" xfId="30011"/>
    <cellStyle name="差_Creak Pearl Reliability Fixture RFQ_2009 04 24_Leopard RFQ ME BOM Costs-0618-2 3 3" xfId="30012"/>
    <cellStyle name="差_Creak Pearl Reliability Fixture RFQ_2009 04 24_Leopard RFQ ME BOM Costs-0618-2_Bolt RFQ Proposal_Foxlink_ (Pricing Summary) 2 25 2011" xfId="30013"/>
    <cellStyle name="差_Creak Pearl Reliability Fixture RFQ_2009 04 24_Leopard RFQ ME BOM Costs-0618-2_Bolt RFQ Proposal_Foxlink_ (Pricing Summary) 2 25 2011 2 2" xfId="30014"/>
    <cellStyle name="差_Creak Pearl Reliability Fixture RFQ_2009 04 24_Leopard RFQ ME BOM Costs-0618-2_Bolt RFQ Proposal_Foxlink_ (Pricing Summary) 2 25 2011 2 2 2" xfId="30015"/>
    <cellStyle name="差_Creak Pearl Reliability Fixture RFQ_2009 04 24_Leopard RFQ ME BOM Costs-0618-2_Bolt RFQ Proposal_Foxlink_ (Pricing Summary) 2 25 2011 2 2 3" xfId="30016"/>
    <cellStyle name="差_Xl0000000_Foxlink_Shadow RFQ NREUni BOM_12032009_Bolt RFQ Proposal_Foxlink_ (Pricing Summary) 2 25 2011 2 4" xfId="30017"/>
    <cellStyle name="差_Creak Pearl Reliability Fixture RFQ_2009 04 24_Leopard RFQ ME BOM Costs-0618-2_Bolt RFQ Proposal_Foxlink_ (Pricing Summary) 2 25 2011 3" xfId="30018"/>
    <cellStyle name="差_Creak Pearl Reliability Fixture RFQ_2009 04 24_Leopard RFQ ME BOM Costs-0618-2_Bolt RFQ Proposal_Foxlink_ (Pricing Summary) 2 25 2011 3 2" xfId="30019"/>
    <cellStyle name="差_Creak Pearl Reliability Fixture RFQ_2009 04 24_Leopard RFQ ME BOM Costs-0618-2_Bolt RFQ Proposal_Foxlink_ (Pricing Summary) 2 25 2011 3 3" xfId="30020"/>
    <cellStyle name="差_Creak Pearl Reliability Fixture RFQ_2009 04 24_Leopard RFQ ME BOM Costs-0618-2_Bolt RFQ Proposal_Foxlink_ (Pricing Summary) 2 25 2011 4" xfId="30021"/>
    <cellStyle name="差_Creak Pearl Reliability Fixture RFQ_2009 04 24_Leopard RFQ ME BOM Costs-0618-2_Bolt RFQ Proposal_Foxlink_ (Pricing Summary) 2 25 2011 4 2" xfId="30022"/>
    <cellStyle name="差_Creak Pearl Reliability Fixture RFQ_2009 04 24_Leopard RFQ ME BOM Costs-0618-2_Bolt RFQ Proposal_Foxlink_ (Pricing Summary) 2 25 2011 4 3" xfId="30023"/>
    <cellStyle name="差_Creak Pearl Reliability Fixture RFQ_2009 04 24_Leopard RFQ ME BOM Costs-0618-2_Bolt RFQ Proposal_Foxlink_ (Pricing Summary) 2 25 2011 5" xfId="30024"/>
    <cellStyle name="差_Creak Pearl Reliability Fixture RFQ_2009 04 24_Leopard RFQ ME BOM Costs-0618-2_Bolt RFQ Proposal_Foxlink_ (Pricing Summary) 2 25 2011 5 2" xfId="30025"/>
    <cellStyle name="差_Creak Pearl Reliability Fixture RFQ_2009 04 24_Leopard RFQ ME BOM Costs-0618-2_Bolt RFQ Proposal_Foxlink_ (Pricing Summary) 2 25 2011 6" xfId="30026"/>
    <cellStyle name="差_Creak Pearl Reliability Fixture RFQ_2009 04 24_Leopard RFQ ME BOM Costs-0618-2_Bolt RFQ Proposal_Foxlink_ (Pricing Summary) 2 25 2011 7" xfId="30027"/>
    <cellStyle name="差_Creak Pearl Reliability Fixture RFQ_2009 04 24_Leopard RFQ ME BOM Costs-0618-2_Bolt RFQ_Foxlink_03.1 2011" xfId="30028"/>
    <cellStyle name="差_Creak Pearl Reliability Fixture RFQ_2009 04 24_Leopard RFQ ME BOM Costs-0618-2_Bolt RFQ_Foxlink_03.1 2011 2" xfId="30029"/>
    <cellStyle name="差_Creak Pearl Reliability Fixture RFQ_2009 04 24_Leopard RFQ ME BOM Costs-0618-2_Bolt RFQ_Foxlink_03.1 2011 2 3" xfId="30030"/>
    <cellStyle name="差_Creak Pearl Reliability Fixture RFQ_2009 04 24_Leopard RFQ ME BOM Costs-0618-2_Bolt RFQ_Foxlink_03.1 2011 3" xfId="30031"/>
    <cellStyle name="差_Creak Pearl Reliability Fixture RFQ_2009 04 24_Leopard RFQ ME BOM Costs-0618-2_Bolt RFQ_Foxlink_03.1 2011 3 3" xfId="30032"/>
    <cellStyle name="差_Creak Pearl Reliability Fixture RFQ_2009 04 24_Leopard RFQ ME BOM Costs-0618-2_Bolt RFQ_Foxlink_03.1 2011 4" xfId="30033"/>
    <cellStyle name="差_Creak Pearl Reliability Fixture RFQ_2009 04 24_Leopard RFQ ME BOM Costs-0618-2_Bolt RFQ_Foxlink_03.1 2011_nego meeting@MACH" xfId="30034"/>
    <cellStyle name="差_Creak Pearl Reliability Fixture RFQ_2009 04 24_Leopard RFQ ME BOM Costs-0618-2_Bolt RFQ_Foxlink_03.1 2011_nego meeting@MACH 2" xfId="30035"/>
    <cellStyle name="差_F3   SMT設備明細_jupite r設備&amp;治工具LIST (總)_Dallas效益分析&amp;投資回收期 (12-2 A1)_Flow chart and Fixture(Jackson)_A1_Jackson 效益分析 (2-1 B0 上系統)_squirrel效益分析08-17" xfId="30036"/>
    <cellStyle name="差_Creak Pearl Reliability Fixture RFQ_2009 04 24_Leopard RFQ ME BOM Costs-0618-2_Bolt RFQ_Foxlink_03.1 2011_nego meeting@MACH 2 2" xfId="30037"/>
    <cellStyle name="差_Creak Pearl Reliability Fixture RFQ_2009 04 24_Leopard RFQ ME BOM Costs-0618-2_Bolt RFQ_Foxlink_03.1 2011_nego meeting@MACH 2 3" xfId="30038"/>
    <cellStyle name="差_Creak Pearl Reliability Fixture RFQ_2009 04 24_Leopard RFQ ME BOM Costs-0618-2_Bolt RFQ_Foxlink_03.1 2011_nego meeting@MACH 3" xfId="30039"/>
    <cellStyle name="差_Creak Pearl Reliability Fixture RFQ_2009 04 24_Leopard RFQ ME BOM Costs-0618-2_Bolt RFQ_Foxlink_03.1 2011_nego meeting@MACH 3 2" xfId="30040"/>
    <cellStyle name="差_Creak Pearl Reliability Fixture RFQ_2009 04 24_Leopard RFQ ME BOM Costs-0618-2_Bolt RFQ_Foxlink_03.1 2011_nego meeting@MACH 3 3" xfId="30041"/>
    <cellStyle name="壞_Creek Assembly Fixture  Test Equipment RFQ_20090427_Xl0000002_Leopard_UniBOM_ME_0603-2 2 3 2" xfId="30042"/>
    <cellStyle name="差_Creak Pearl Reliability Fixture RFQ_2009 04 24_Leopard RFQ ME BOM Costs-0618-2_Bolt RFQ_Foxlink_03.1 2011_nego meeting@MACH 4" xfId="30043"/>
    <cellStyle name="壞_Creek Assembly Fixture  Test Equipment RFQ_20090427_Xl0000002_Leopard_UniBOM_ME_0603-2 2 3 3" xfId="30044"/>
    <cellStyle name="差_Creak Pearl Reliability Fixture RFQ_2009 04 24_Leopard RFQ ME BOM Costs-0618-2_Bolt RFQ_Foxlink_03.1 2011_nego meeting@MACH 5" xfId="30045"/>
    <cellStyle name="差_Creak Pearl Reliability Fixture RFQ_2009 04 24_Leopard UniBom_Foxlink_6 21 2010-ME_nego 2" xfId="30046"/>
    <cellStyle name="差_Creak Pearl Reliability Fixture RFQ_2009 04 24_Leopard UniBom_Foxlink_6 21 2010-ME_nego 2 4" xfId="30047"/>
    <cellStyle name="差_Creak Pearl Reliability Fixture RFQ_2009 04 24_Leopard UniBom_Foxlink_6 21 2010-ME_nego_Bolt RFQ Proposal_Foxlink_ (Pricing Summary) 2 25 2011 2" xfId="30048"/>
    <cellStyle name="差_Creak Pearl Reliability Fixture RFQ_2009 04 24_Leopard UniBom_Foxlink_6 21 2010-ME_nego_Bolt RFQ Proposal_Foxlink_ (Pricing Summary) 2 25 2011 2 2" xfId="30049"/>
    <cellStyle name="差_Creak Pearl Reliability Fixture RFQ_2009 04 24_Leopard UniBom_Foxlink_6 21 2010-ME_nego_Bolt RFQ Proposal_Foxlink_ (Pricing Summary) 2 25 2011 2 2 2" xfId="30050"/>
    <cellStyle name="差_Creak Pearl Reliability Fixture RFQ_2009 04 24_Leopard UniBom_Foxlink_6 21 2010-ME_nego_Bolt RFQ Proposal_Foxlink_ (Pricing Summary) 2 25 2011 2 2 3" xfId="30051"/>
    <cellStyle name="差_F3   SMT設備明細_jupite r設備&amp;治工具LIST (總)_效益分析 (12-9 A1)" xfId="30052"/>
    <cellStyle name="差_Creak Pearl Reliability Fixture RFQ_2009 04 24_Leopard UniBom_Foxlink_6 21 2010-ME_nego_Bolt RFQ Proposal_Foxlink_ (Pricing Summary) 2 25 2011 2 3" xfId="30053"/>
    <cellStyle name="差_Creak Pearl Reliability Fixture RFQ_2009 04 24_Leopard UniBom_Foxlink_6 21 2010-ME_nego_Bolt RFQ Proposal_Foxlink_ (Pricing Summary) 2 25 2011 3" xfId="30054"/>
    <cellStyle name="差_Creak Pearl Reliability Fixture RFQ_2009 04 24_Leopard UniBom_Foxlink_6 21 2010-ME_nego_Bolt RFQ Proposal_Foxlink_ (Pricing Summary) 2 25 2011 3 3" xfId="30055"/>
    <cellStyle name="差_Creak Pearl Reliability Fixture RFQ_2009 04 24_Leopard UniBom_Foxlink_6 21 2010-ME_nego_Bolt RFQ Proposal_Foxlink_ (Pricing Summary) 2 25 2011 4" xfId="30056"/>
    <cellStyle name="差_Creak Pearl Reliability Fixture RFQ_2009 04 24_Leopard UniBom_Foxlink_6 21 2010-ME_nego_Bolt RFQ Proposal_Foxlink_ (Pricing Summary) 2 25 2011 4 2" xfId="30057"/>
    <cellStyle name="差_Creak Pearl Reliability Fixture RFQ_2009 04 24_Leopard UniBom_Foxlink_6 21 2010-ME_nego_Bolt RFQ Proposal_Foxlink_ (Pricing Summary) 2 25 2011 4 3" xfId="30058"/>
    <cellStyle name="差_Creak Pearl Reliability Fixture RFQ_2009 04 24_Leopard UniBom_Foxlink_6 21 2010-ME_nego_Bolt RFQ Proposal_Foxlink_ (Pricing Summary) 2 25 2011 5" xfId="30059"/>
    <cellStyle name="差_Creak Pearl Reliability Fixture RFQ_2009 04 24_Leopard UniBom_Foxlink_6 21 2010-ME_nego_Bolt RFQ Proposal_Foxlink_ (Pricing Summary) 2 25 2011 5 2" xfId="30060"/>
    <cellStyle name="差_Creak Pearl Reliability Fixture RFQ_2009 04 24_Leopard UniBom_Foxlink_6 21 2010-ME_nego_Bolt RFQ Proposal_Foxlink_ (Pricing Summary) 2 25 2011 5 3" xfId="30061"/>
    <cellStyle name="差_Creak Pearl Reliability Fixture RFQ_2009 04 24_Leopard UniBom_Foxlink_6 21 2010-ME_nego_Bolt RFQ_Foxlink_03.1 2011 2 2" xfId="30062"/>
    <cellStyle name="差_F3   SMT設備明細_jupite r設備&amp;治工具LIST (總)_pq_效益分析(總 12-28 Update)_~1159284" xfId="30063"/>
    <cellStyle name="差_Creak Pearl Reliability Fixture RFQ_2009 04 24_Leopard UniBom_Foxlink_6 21 2010-ME_nego_Bolt RFQ_Foxlink_03.1 2011 2 3" xfId="30064"/>
    <cellStyle name="差_Creak Pearl Reliability Fixture RFQ_2009 04 24_Leopard UniBom_Foxlink_6 21 2010-ME_nego_Bolt RFQ_Foxlink_03.1 2011_nego meeting@MACH" xfId="30065"/>
    <cellStyle name="差_Creak Pearl Reliability Fixture RFQ_2009 04 24_Leopard UniBom_Foxlink_6 21 2010-ME_nego_Bolt RFQ_Foxlink_03.1 2011_nego meeting@MACH 2 2" xfId="30066"/>
    <cellStyle name="差_Creak Pearl Reliability Fixture RFQ_2009 04 24_Leopard UniBom_Foxlink_6 21 2010-ME_nego_Bolt RFQ_Foxlink_03.1 2011_nego meeting@MACH 2 3" xfId="30067"/>
    <cellStyle name="差_Creak Pearl Reliability Fixture RFQ_2009 04 24_Leopard UniBom-06 22 2010_update_internal" xfId="30068"/>
    <cellStyle name="差_Creak Pearl Reliability Fixture RFQ_2009 04 24_Leopard_UniBOM_ME_0531 2" xfId="30069"/>
    <cellStyle name="差_Creak Pearl Reliability Fixture RFQ_2009 04 24_Leopard_UniBOM_ME_0531 2 2" xfId="30070"/>
    <cellStyle name="差_F3   SMT設備明細_jupite r設備&amp;治工具LIST (總)_Flow Chart&amp;PQ分析(12-1)_Jackson 效益分析 testing update_16th Jan1_Jackson 效益分析 (2-1 B0 上系統)" xfId="30071"/>
    <cellStyle name="差_Creak Pearl Reliability Fixture RFQ_2009 04 24_Leopard_UniBOM_ME_0531 2 2 2" xfId="30072"/>
    <cellStyle name="差_效益分析&amp;產能評估 3 2" xfId="30073"/>
    <cellStyle name="差_Creak Pearl Reliability Fixture RFQ_2009 04 24_Leopard_UniBOM_ME_0531 2 2 3" xfId="30074"/>
    <cellStyle name="差_Creak Pearl Reliability Fixture RFQ_2009 04 24_Leopard_UniBOM_ME_0531 2 3" xfId="30075"/>
    <cellStyle name="差_Creak Pearl Reliability Fixture RFQ_2009 04 24_Leopard_UniBOM_ME_0531 2 4" xfId="30076"/>
    <cellStyle name="壞_Creek EE BOM cost_20090425_Creek RFQ feedback 04_28_2009_FD Update_Leopard UniBom_Foxlink_6 21 2010-ME_nego_Bolt RFQ_Foxlink_03.1 2011_nego meeting@MACH 3 3" xfId="30077"/>
    <cellStyle name="差_dallas產能評估_flow chart 2009.12.12_Flow Chart&amp;設備治工具清單 _Jackson 效益分析 (2-1 B0 上系統)_squirrel效益分析08-17" xfId="30078"/>
    <cellStyle name="差_Creak Pearl Reliability Fixture RFQ_2009 04 24_Leopard_UniBOM_ME_0531_Bolt RFQ Proposal_Foxlink_ (Pricing Summary) 2 25 2011" xfId="30079"/>
    <cellStyle name="差_Creak Pearl Reliability Fixture RFQ_2009 04 24_Leopard_UniBOM_ME_0531_Bolt RFQ Proposal_Foxlink_ (Pricing Summary) 2 25 2011 2 2" xfId="30080"/>
    <cellStyle name="差_Creak Pearl Reliability Fixture RFQ_2009 04 24_Leopard_UniBOM_ME_0531_Bolt RFQ Proposal_Foxlink_ (Pricing Summary) 2 25 2011 2 2 2" xfId="30081"/>
    <cellStyle name="差_Creak Pearl Reliability Fixture RFQ_2009 04 24_Leopard_UniBOM_ME_0531_Bolt RFQ Proposal_Foxlink_ (Pricing Summary) 2 25 2011 2 4" xfId="30082"/>
    <cellStyle name="差_Creak Pearl Reliability Fixture RFQ_2009 04 24_Leopard_UniBOM_ME_0531_Bolt RFQ Proposal_Foxlink_ (Pricing Summary) 2 25 2011 3" xfId="30083"/>
    <cellStyle name="差_Creak Pearl Reliability Fixture RFQ_2009 04 24_Leopard_UniBOM_ME_0531_Bolt RFQ Proposal_Foxlink_ (Pricing Summary) 2 25 2011 3 2" xfId="30084"/>
    <cellStyle name="差_Creak Pearl Reliability Fixture RFQ_2009 04 24_Leopard_UniBOM_ME_0531_Bolt RFQ Proposal_Foxlink_ (Pricing Summary) 2 25 2011 4 2" xfId="30085"/>
    <cellStyle name="差_Creak Pearl Reliability Fixture RFQ_2009 04 24_Leopard_UniBOM_ME_0531_Bolt RFQ Proposal_Foxlink_ (Pricing Summary) 2 25 2011 4 3" xfId="30086"/>
    <cellStyle name="差_Creak Pearl Reliability Fixture RFQ_2009 04 24_Leopard_UniBOM_ME_0531_Bolt RFQ Proposal_Foxlink_ (Pricing Summary) 2 25 2011 5 2" xfId="30087"/>
    <cellStyle name="差_Creak Pearl Reliability Fixture RFQ_2009 04 24_Leopard_UniBOM_ME_0531_Bolt RFQ Proposal_Foxlink_ (Pricing Summary) 2 25 2011 6" xfId="30088"/>
    <cellStyle name="差_Creak Pearl Reliability Fixture RFQ_2009 04 24_Leopard_UniBOM_ME_0531_Bolt RFQ Proposal_Foxlink_ (Pricing Summary) 2 25 2011 7" xfId="30089"/>
    <cellStyle name="差_Creak Pearl Reliability Fixture RFQ_2009 04 24_Leopard_UniBOM_ME_0531_Bolt RFQ_Foxlink_03.1 2011 2 3" xfId="30090"/>
    <cellStyle name="差_Creak Pearl Reliability Fixture RFQ_2009 04 24_Leopard_UniBOM_ME_0531_Bolt RFQ_Foxlink_03.1 2011 3" xfId="30091"/>
    <cellStyle name="差_Creak Pearl Reliability Fixture RFQ_2009 04 24_Leopard_UniBOM_ME_0531_Bolt RFQ_Foxlink_03.1 2011 5" xfId="30092"/>
    <cellStyle name="差_Oslo Quark Certification 20100312_Leopard UniBom_Foxlink_12272010 RevF_shirley" xfId="30093"/>
    <cellStyle name="差_Creak Pearl Reliability Fixture RFQ_2009 04 24_Leopard_UniBOM_ME_0531_Bolt RFQ_Foxlink_03.1 2011_nego meeting@MACH 2" xfId="30094"/>
    <cellStyle name="差_HP Mouse 產能評估(上系統)_M1 SuedeFixtureEquipment Cost_A0_2010_10_15_Bolt RFQ Proposal_Foxlink_ (Pricing Summary) 2 25 2011 6" xfId="30095"/>
    <cellStyle name="差_Creak Pearl Reliability Fixture RFQ_2009 04 24_Leopard_UniBOM_ME_0531_Bolt RFQ_Foxlink_03.1 2011_nego meeting@MACH 2 2" xfId="30096"/>
    <cellStyle name="差_HP Mouse 產能評估(上系統)_M1 SuedeFixtureEquipment Cost_A0_2010_10_15_Bolt RFQ Proposal_Foxlink_ (Pricing Summary) 2 25 2011 7" xfId="30097"/>
    <cellStyle name="差_Creak Pearl Reliability Fixture RFQ_2009 04 24_Leopard_UniBOM_ME_0531_Bolt RFQ_Foxlink_03.1 2011_nego meeting@MACH 2 3" xfId="30098"/>
    <cellStyle name="差_Creak Pearl Reliability Fixture RFQ_2009 04 24_Leopard_UniBOM_ME_0531_Bolt RFQ_Foxlink_03.1 2011_nego meeting@MACH 3" xfId="30099"/>
    <cellStyle name="差_Creak Pearl Reliability Fixture RFQ_2009 04 24_Leopard_UniBOM_ME_0531_Bolt RFQ_Foxlink_03.1 2011_nego meeting@MACH 3 2" xfId="30100"/>
    <cellStyle name="差_Creak Pearl Reliability Fixture RFQ_2009 04 24_Leopard_UniBOM_ME_0531_Bolt RFQ_Foxlink_03.1 2011_nego meeting@MACH 4" xfId="30101"/>
    <cellStyle name="差_Creak Pearl Reliability Fixture RFQ_2009 04 24_Leopard_UniBOM_ME_0531_Bolt RFQ_Foxlink_03.1 2011_nego meeting@MACH 5" xfId="30102"/>
    <cellStyle name="差_Creak Pearl Reliability Fixture RFQ_2009 04 24_Leopard_UniBOM_ME_0602_Bolt RFQ Proposal_Foxlink_ (Pricing Summary) 2 25 2011" xfId="30103"/>
    <cellStyle name="差_Creak Pearl Reliability Fixture RFQ_2009 04 24_Leopard_UniBOM_ME_0602_Bolt RFQ Proposal_Foxlink_ (Pricing Summary) 2 25 2011 2" xfId="30104"/>
    <cellStyle name="差_Creak Pearl Reliability Fixture RFQ_2009 04 24_Leopard_UniBOM_ME_0602_Bolt RFQ Proposal_Foxlink_ (Pricing Summary) 2 25 2011 2 2" xfId="30105"/>
    <cellStyle name="差_Creak Pearl Reliability Fixture RFQ_2009 04 24_Leopard_UniBOM_ME_0602_Bolt RFQ Proposal_Foxlink_ (Pricing Summary) 2 25 2011 2 2 3" xfId="30106"/>
    <cellStyle name="差_Creak Pearl Reliability Fixture RFQ_2009 04 24_Leopard_UniBOM_ME_0602_Bolt RFQ Proposal_Foxlink_ (Pricing Summary) 2 25 2011 5 2" xfId="30107"/>
    <cellStyle name="差_foxlink Bristol for 10063D-2010-10-11_Bristol ME parts tooling cost 20101022 updated_Bristol TC Estimate Update 08112011_internal working file" xfId="30108"/>
    <cellStyle name="差_Creak Pearl Reliability Fixture RFQ_2009 04 24_Leopard_UniBOM_ME_0602_Bolt RFQ Proposal_Foxlink_ (Pricing Summary) 2 25 2011 5 3" xfId="30109"/>
    <cellStyle name="差_Creak Pearl Reliability Fixture RFQ_2009 04 24_Leopard_UniBOM_ME_0602_Bolt RFQ_Foxlink_03.1 2011" xfId="30110"/>
    <cellStyle name="差_Creek RFQ feedback 04_28_2009_FD Update_Leopard RFQ ME BOM Costs-0618_Bolt RFQ_Foxlink_03.1 2011_nego meeting@MACH 4" xfId="30111"/>
    <cellStyle name="差_Creak Pearl Reliability Fixture RFQ_2009 04 24_Leopard_UniBOM_ME_0602_Bolt RFQ_Foxlink_03.1 2011 3 2" xfId="30112"/>
    <cellStyle name="差_F3   SMT設備明細_jupite r設備&amp;治工具LIST (總)_效益分析(總 12-28 Update)_Jackson 效益分析 (2-1 B0 上系統)_Leopard Flowchart &amp; 產能評估" xfId="30113"/>
    <cellStyle name="差_Creek RFQ feedback 04_28_2009_FD Update_Leopard RFQ ME BOM Costs-0618_Bolt RFQ_Foxlink_03.1 2011_nego meeting@MACH 5" xfId="30114"/>
    <cellStyle name="差_Creak Pearl Reliability Fixture RFQ_2009 04 24_Leopard_UniBOM_ME_0602_Bolt RFQ_Foxlink_03.1 2011 3 3" xfId="30115"/>
    <cellStyle name="差_Creak Pearl Reliability Fixture RFQ_2009 04 24_Leopard_UniBOM_ME_0602_Bolt RFQ_Foxlink_03.1 2011_nego meeting@MACH" xfId="30116"/>
    <cellStyle name="差_HP  專案(設備&amp;治工具需夠買)update_Bolt RFQ_Foxlink_03.1 2011" xfId="30117"/>
    <cellStyle name="差_Creak Pearl Reliability Fixture RFQ_2009 04 24_Leopard_UniBOM_ME_0602_Bolt RFQ_Foxlink_03.1 2011_nego meeting@MACH 3 2" xfId="30118"/>
    <cellStyle name="差_Creak Pearl Reliability Fixture RFQ_2009 04 24_Leopard_UniBOM_ME_0602_Bolt RFQ_Foxlink_03.1 2011_nego meeting@MACH 3 3" xfId="30119"/>
    <cellStyle name="差_Creak Pearl Reliability Fixture RFQ_2009 04 24_Leopard_UniBOM_ME_0602-1 2" xfId="30120"/>
    <cellStyle name="差_Creak Pearl Reliability Fixture RFQ_2009 04 24_Leopard_UniBOM_ME_0602-1 2 2 2" xfId="30121"/>
    <cellStyle name="差_Creak Pearl Reliability Fixture RFQ_2009 04 24_Leopard_UniBOM_ME_0602-1 2 2 3" xfId="30122"/>
    <cellStyle name="差_Creak Pearl Reliability Fixture RFQ_2009 04 24_Leopard_UniBOM_ME_0602-1 2 3" xfId="30123"/>
    <cellStyle name="差_Creak Pearl Reliability Fixture RFQ_2009 04 24_Leopard_UniBOM_ME_0602-1 3 2" xfId="30124"/>
    <cellStyle name="差_Creak Pearl Reliability Fixture RFQ_2009 04 24_Leopard_UniBOM_ME_0602-1_Bolt RFQ Proposal_Foxlink_ (Pricing Summary) 2 25 2011" xfId="30125"/>
    <cellStyle name="差_Creak Pearl Reliability Fixture RFQ_2009 04 24_Leopard_UniBOM_ME_0602-1_Bolt RFQ Proposal_Foxlink_ (Pricing Summary) 2 25 2011 2" xfId="30126"/>
    <cellStyle name="差_Creak Pearl Reliability Fixture RFQ_2009 04 24_Leopard_UniBOM_ME_0602-1_Bolt RFQ Proposal_Foxlink_ (Pricing Summary) 2 25 2011 2 2" xfId="30127"/>
    <cellStyle name="差_Creek RFQ feedback 04_28_2009_FD Update_Leopard UniBom_Foxlink_6 21 2010-ME_nego_Bolt RFQ Proposal_Foxlink_ (Pricing Summary) 2 25 2011 2 4" xfId="30128"/>
    <cellStyle name="差_效益分析&amp;產能評估_M1 SuedeFixtureEquipment Cost_A0_2010_10_15_Bolt RFQ_Foxlink_03.1 2011_nego meeting@MACH 2 2" xfId="30129"/>
    <cellStyle name="差_Creak Pearl Reliability Fixture RFQ_2009 04 24_Leopard_UniBOM_ME_0602-1_Bolt RFQ Proposal_Foxlink_ (Pricing Summary) 2 25 2011 2 2 3" xfId="30130"/>
    <cellStyle name="差_Creak Pearl Reliability Fixture RFQ_2009 04 24_Leopard_UniBOM_ME_0602-1_Bolt RFQ Proposal_Foxlink_ (Pricing Summary) 2 25 2011 2 3" xfId="30131"/>
    <cellStyle name="差_Creak Pearl Reliability Fixture RFQ_2009 04 24_Leopard_UniBOM_ME_0602-1_Bolt RFQ Proposal_Foxlink_ (Pricing Summary) 2 25 2011 2 4" xfId="30132"/>
    <cellStyle name="差_Creak Pearl Reliability Fixture RFQ_2009 04 24_Leopard_UniBOM_ME_0602-1_Bolt RFQ Proposal_Foxlink_ (Pricing Summary) 2 25 2011 3" xfId="30133"/>
    <cellStyle name="差_HP Mouse 產能評估(Forecast更改後)_M1 SuedeFixtureEquipment Cost_A0_2010_10_15_Bolt RFQ Proposal_Foxlink_ (Pricing Summary) 2 25 2011 7" xfId="30134"/>
    <cellStyle name="差_Creak Pearl Reliability Fixture RFQ_2009 04 24_Leopard_UniBOM_ME_0602-1_Bolt RFQ Proposal_Foxlink_ (Pricing Summary) 2 25 2011 4 2" xfId="30135"/>
    <cellStyle name="差_Creak Pearl Reliability Fixture RFQ_2009 04 24_Leopard_UniBOM_ME_0602-1_Bolt RFQ Proposal_Foxlink_ (Pricing Summary) 2 25 2011 4 3" xfId="30136"/>
    <cellStyle name="差_F3   SMT設備明細_效益分析_Flow Chart(shadow) A3 " xfId="30137"/>
    <cellStyle name="差_Creak Pearl Reliability Fixture RFQ_2009 04 24_Leopard_UniBOM_ME_0602-1_Bolt RFQ Proposal_Foxlink_ (Pricing Summary) 2 25 2011 5" xfId="30138"/>
    <cellStyle name="差_Creak Pearl Reliability Fixture RFQ_2009 04 24_Leopard_UniBOM_ME_0602-1_Bolt RFQ Proposal_Foxlink_ (Pricing Summary) 2 25 2011 6" xfId="30139"/>
    <cellStyle name="差_Creak Pearl Reliability Fixture RFQ_2009 04 24_Leopard_UniBOM_ME_0602-1_Bolt RFQ_Foxlink_03.1 2011" xfId="30140"/>
    <cellStyle name="差_Creak Pearl Reliability Fixture RFQ_2009 04 24_Leopard_UniBOM_ME_0602-1_Bolt RFQ_Foxlink_03.1 2011 2 2" xfId="30141"/>
    <cellStyle name="差_Creak Pearl Reliability Fixture RFQ_2009 04 24_Leopard_UniBOM_ME_0602-1_Bolt RFQ_Foxlink_03.1 2011 2 3" xfId="30142"/>
    <cellStyle name="差_Creak Pearl Reliability Fixture RFQ_2009 04 24_Leopard_UniBOM_ME_0602-1_Bolt RFQ_Foxlink_03.1 2011 3" xfId="30143"/>
    <cellStyle name="差_Creak Pearl Reliability Fixture RFQ_2009 04 24_Leopard_UniBOM_ME_0602-1_Bolt RFQ_Foxlink_03.1 2011 4" xfId="30144"/>
    <cellStyle name="差_Creak Pearl Reliability Fixture RFQ_2009 04 24_Leopard_UniBOM_ME_0603-2 2 2 3" xfId="30145"/>
    <cellStyle name="差_Creak Pearl Reliability Fixture RFQ_2009 04 24_Leopard_UniBOM_ME_0603-2_Bolt RFQ Proposal_Foxlink_ (Pricing Summary) 2 25 2011 2 3" xfId="30146"/>
    <cellStyle name="差_Creak Pearl Reliability Fixture RFQ_2009 04 24_Pearl RFQ(Submittal)ver2_05_12_2009 _Leopard_UniBOM_ME_0602_Bolt RFQ_Foxlink_03.1 2011_nego meeting@MACH 4" xfId="30147"/>
    <cellStyle name="差_Creak Pearl Reliability Fixture RFQ_2009 04 24_Leopard_UniBOM_ME_0603-2_Bolt RFQ Proposal_Foxlink_ (Pricing Summary) 2 25 2011 2 4" xfId="30148"/>
    <cellStyle name="差_Creak Pearl Reliability Fixture RFQ_2009 04 24_Pearl RFQ(Submittal)ver2_05_12_2009 _Leopard_UniBOM_ME_0602_Bolt RFQ_Foxlink_03.1 2011_nego meeting@MACH 5" xfId="30149"/>
    <cellStyle name="差_Creak Pearl Reliability Fixture RFQ_2009 04 24_Leopard_UniBOM_ME_0603-2_Bolt RFQ Proposal_Foxlink_ (Pricing Summary) 2 25 2011 3 2" xfId="30150"/>
    <cellStyle name="差_Creak Pearl Reliability Fixture RFQ_2009 04 24_Leopard_UniBOM_ME_0603-2_Bolt RFQ Proposal_Foxlink_ (Pricing Summary) 2 25 2011 4 2" xfId="30151"/>
    <cellStyle name="差_Creak Pearl Reliability Fixture RFQ_2009 04 24_Leopard_UniBOM_ME_0603-2_Bolt RFQ Proposal_Foxlink_ (Pricing Summary) 2 25 2011 4 3" xfId="30152"/>
    <cellStyle name="差_Creak Pearl Reliability Fixture RFQ_2009 04 24_Leopard_UniBOM_ME_0603-2_Bolt RFQ_Foxlink_03.1 2011 2 2" xfId="30153"/>
    <cellStyle name="差_Creak Pearl Reliability Fixture RFQ_2009 04 24_Leopard_UniBOM_ME_0603-2_Bolt RFQ_Foxlink_03.1 2011 2 3" xfId="30154"/>
    <cellStyle name="差_Creak Pearl Reliability Fixture RFQ_2009 04 24_Leopard_UniBOM_ME_0603-2_Bolt RFQ_Foxlink_03.1 2011 3" xfId="30155"/>
    <cellStyle name="差_Creak Pearl Reliability Fixture RFQ_2009 04 24_Leopard_UniBOM_ME_0603-2_Bolt RFQ_Foxlink_03.1 2011_nego meeting@MACH 2 2" xfId="30156"/>
    <cellStyle name="差_Creak Pearl Reliability Fixture RFQ_2009 04 24_Pearl RFQ(Submittal)ver2_05_12_2009 _Leopard RFQ ME BOM Costs-0618-2 2" xfId="30157"/>
    <cellStyle name="差_Creak Pearl Reliability Fixture RFQ_2009 04 24_Leopard_UniBOM_ME_0603-2_Bolt RFQ_Foxlink_03.1 2011_nego meeting@MACH 4" xfId="30158"/>
    <cellStyle name="差_Creak Pearl Reliability Fixture RFQ_2009 04 24_Pearl RFQ(Submittal)ver2_05_12_2009 _Leopard RFQ ME BOM Costs-0618-2 3" xfId="30159"/>
    <cellStyle name="差_Creak Pearl Reliability Fixture RFQ_2009 04 24_Leopard_UniBOM_ME_0603-2_Bolt RFQ_Foxlink_03.1 2011_nego meeting@MACH 5" xfId="30160"/>
    <cellStyle name="差_Creak Pearl Reliability Fixture RFQ_2009 04 24_Pearl RFQ(Submittal)ver2_05_12_2009  2 4" xfId="30161"/>
    <cellStyle name="差_Creak Pearl Reliability Fixture RFQ_2009 04 24_Pearl RFQ(Submittal)ver2_05_12_2009 _Bolt RFQ Proposal_Foxlink_ (Pricing Summary) 2 25 2011" xfId="30162"/>
    <cellStyle name="差_Creak Pearl Reliability Fixture RFQ_2009 04 24_Pearl RFQ(Submittal)ver2_05_12_2009 _Bolt RFQ Proposal_Foxlink_ (Pricing Summary) 2 25 2011 2 2" xfId="30163"/>
    <cellStyle name="差_Creak Pearl Reliability Fixture RFQ_2009 04 24_Pearl RFQ(Submittal)ver2_05_12_2009 _Bolt RFQ Proposal_Foxlink_ (Pricing Summary) 2 25 2011 2 2 2" xfId="30164"/>
    <cellStyle name="差_Creak Pearl Reliability Fixture RFQ_2009 04 24_Pearl RFQ(Submittal)ver2_05_12_2009 _Bolt RFQ Proposal_Foxlink_ (Pricing Summary) 2 25 2011 2 2 3" xfId="30165"/>
    <cellStyle name="差_Creak Pearl Reliability Fixture RFQ_2009 04 24_Pearl RFQ(Submittal)ver2_05_12_2009 _Bolt RFQ Proposal_Foxlink_ (Pricing Summary) 2 25 2011 2 3" xfId="30166"/>
    <cellStyle name="差_HP Mouse 產能評估(上系統)_M1 SuedeFixtureEquipment Cost_A0_2010_10_15_Wedge_ME_BOM-v00-11v0715 2" xfId="30167"/>
    <cellStyle name="差_Creak Pearl Reliability Fixture RFQ_2009 04 24_Pearl RFQ(Submittal)ver2_05_12_2009 _Bolt RFQ Proposal_Foxlink_ (Pricing Summary) 2 25 2011 3" xfId="30168"/>
    <cellStyle name="差_Creak Pearl Reliability Fixture RFQ_2009 04 24_Pearl RFQ(Submittal)ver2_05_12_2009 _Bolt RFQ Proposal_Foxlink_ (Pricing Summary) 2 25 2011 3 2" xfId="30169"/>
    <cellStyle name="差_Creak Pearl Reliability Fixture RFQ_2009 04 24_Pearl RFQ(Submittal)ver2_05_12_2009 _Bolt RFQ Proposal_Foxlink_ (Pricing Summary) 2 25 2011 3 3" xfId="30170"/>
    <cellStyle name="差_Creak Pearl Reliability Fixture RFQ_2009 04 24_Pearl RFQ(Submittal)ver2_05_12_2009 _Bolt RFQ Proposal_Foxlink_ (Pricing Summary) 2 25 2011 5" xfId="30171"/>
    <cellStyle name="差_Creak Pearl Reliability Fixture RFQ_2009 04 24_Pearl RFQ(Submittal)ver2_05_12_2009 _Bolt RFQ Proposal_Foxlink_ (Pricing Summary) 2 25 2011 5 3" xfId="30172"/>
    <cellStyle name="差_F3   SMT設備明細_Jackson 效益分析 testing update_16th Jan1_Jackson 效益分析 (2-1 B0 上系統)_Leopard Flowchart &amp; 產能評估" xfId="30173"/>
    <cellStyle name="差_Creak Pearl Reliability Fixture RFQ_2009 04 24_Pearl RFQ(Submittal)ver2_05_12_2009 _Bolt RFQ Proposal_Foxlink_ (Pricing Summary) 2 25 2011 6" xfId="30174"/>
    <cellStyle name="差_Creak Pearl Reliability Fixture RFQ_2009 04 24_Pearl RFQ(Submittal)ver2_05_12_2009 _Bolt RFQ Proposal_Foxlink_ (Pricing Summary) 2 25 2011 7" xfId="30175"/>
    <cellStyle name="差_F3   SMT設備明細_jupite r設備&amp;治工具LIST (總)_Flow chart and Fixture(1-4)_Jackson 效益分析 (2-1 B0 上系統)" xfId="30176"/>
    <cellStyle name="差_Creak Pearl Reliability Fixture RFQ_2009 04 24_Pearl RFQ(Submittal)ver2_05_12_2009 _Bolt RFQ_Foxlink_03.1 2011 2" xfId="30177"/>
    <cellStyle name="差_Creak Pearl Reliability Fixture RFQ_2009 04 24_Pearl RFQ(Submittal)ver2_05_12_2009 _Bolt RFQ_Foxlink_03.1 2011_nego meeting@MACH 2" xfId="30178"/>
    <cellStyle name="差_Creak Pearl Reliability Fixture RFQ_2009 04 24_Pearl RFQ(Submittal)ver2_05_12_2009 _Bolt RFQ_Foxlink_03.1 2011_nego meeting@MACH 2 2" xfId="30179"/>
    <cellStyle name="差_Creak Pearl Reliability Fixture RFQ_2009 04 24_Pearl RFQ(Submittal)ver2_05_12_2009 _Bolt RFQ_Foxlink_03.1 2011_nego meeting@MACH 3" xfId="30180"/>
    <cellStyle name="差_Creak Pearl Reliability Fixture RFQ_2009 04 24_Pearl RFQ(Submittal)ver2_05_12_2009 _Bolt RFQ_Foxlink_03.1 2011_nego meeting@MACH 3 2" xfId="30181"/>
    <cellStyle name="差_Creak Pearl Reliability Fixture RFQ_2009 04 24_Pearl RFQ(Submittal)ver2_05_12_2009 _Bolt RFQ_Foxlink_03.1 2011_nego meeting@MACH 3 3" xfId="30182"/>
    <cellStyle name="差_Creak Pearl Reliability Fixture RFQ_2009 04 24_Pearl RFQ(Submittal)ver2_05_12_2009 _Bolt RFQ_Foxlink_03.1 2011_nego meeting@MACH 4" xfId="30183"/>
    <cellStyle name="差_Creak Pearl Reliability Fixture RFQ_2009 04 24_Pearl RFQ(Submittal)ver2_05_12_2009 _Foxlink_Shadow RFQ NREUni BOM_12032009 2 2 2" xfId="30184"/>
    <cellStyle name="差_Creak Pearl Reliability Fixture RFQ_2009 04 24_Pearl RFQ(Submittal)ver2_05_12_2009 _Foxlink_Shadow RFQ NREUni BOM_12032009 2 4" xfId="30185"/>
    <cellStyle name="差_Creak Pearl Reliability Fixture RFQ_2009 04 24_Pearl RFQ(Submittal)ver2_05_12_2009 _Foxlink_Shadow RFQ NREUni BOM_12032009_Bolt RFQ Proposal_Foxlink_ (Pricing Summary) 2 25 2011" xfId="30186"/>
    <cellStyle name="差_Creak Pearl Reliability Fixture RFQ_2009 04 24_Pearl RFQ(Submittal)ver2_05_12_2009 _Foxlink_Shadow RFQ NREUni BOM_12032009_Bolt RFQ Proposal_Foxlink_ (Pricing Summary) 2 25 2011 2" xfId="30187"/>
    <cellStyle name="差_Creak Pearl Reliability Fixture RFQ_2009 04 24_Pearl RFQ(Submittal)ver2_05_12_2009 _Foxlink_Shadow RFQ NREUni BOM_12032009_Bolt RFQ Proposal_Foxlink_ (Pricing Summary) 2 25 2011 3 3" xfId="30188"/>
    <cellStyle name="差_Creak Pearl Reliability Fixture RFQ_2009 04 24_Pearl RFQ(Submittal)ver2_05_12_2009 _Foxlink_Shadow RFQ NREUni BOM_12032009_Bolt RFQ Proposal_Foxlink_ (Pricing Summary) 2 25 2011 4" xfId="30189"/>
    <cellStyle name="差_jupite r設備&amp;治工具LIST (總)_Flow Chart(shadow) A3 _Jackson 效益分析 (2-1 B0 上系統)_Leopard效益分析08-17" xfId="30190"/>
    <cellStyle name="差_Creak Pearl Reliability Fixture RFQ_2009 04 24_Pearl RFQ(Submittal)ver2_05_12_2009 _Foxlink_Shadow RFQ NREUni BOM_12032009_Bolt RFQ_Foxlink_03.1 2011" xfId="30191"/>
    <cellStyle name="差_Creak Pearl Reliability Fixture RFQ_2009 04 24_Pearl RFQ(Submittal)ver2_05_12_2009 _Foxlink_Shadow RFQ NREUni BOM_12032009_Bolt RFQ_Foxlink_03.1 2011 3" xfId="30192"/>
    <cellStyle name="差_Creak Pearl Reliability Fixture RFQ_2009 04 24_Pearl RFQ(Submittal)ver2_05_12_2009 _Foxlink_Shadow RFQ NREUni BOM_12032009_Bolt RFQ_Foxlink_03.1 2011 3 3" xfId="30193"/>
    <cellStyle name="差_Creak Pearl Reliability Fixture RFQ_2009 04 24_Pearl RFQ(Submittal)ver2_05_12_2009 _Foxlink_Shadow RFQ NREUni BOM_12032009_Bolt RFQ_Foxlink_03.1 2011 4" xfId="30194"/>
    <cellStyle name="差_Creak Pearl Reliability Fixture RFQ_2009 04 24_Pearl RFQ(Submittal)ver2_05_12_2009 _Foxlink_Shadow RFQ NREUni BOM_12032009_Bolt RFQ_Foxlink_03.1 2011_nego meeting@MACH" xfId="30195"/>
    <cellStyle name="差_Creak Pearl Reliability Fixture RFQ_2009 04 24_Pearl RFQ(Submittal)ver2_05_12_2009 _Foxlink_Shadow RFQ NREUni BOM_12032009_Bolt RFQ_Foxlink_03.1 2011_nego meeting@MACH 2" xfId="30196"/>
    <cellStyle name="差_Creak Pearl Reliability Fixture RFQ_2009 04 24_Pearl RFQ(Submittal)ver2_05_12_2009 _Foxlink_Shadow RFQ NREUni BOM_12032009_Bolt RFQ_Foxlink_03.1 2011_nego meeting@MACH 3" xfId="30197"/>
    <cellStyle name="差_Creak Pearl Reliability Fixture RFQ_2009 04 24_Pearl RFQ(Submittal)ver2_05_12_2009 _Foxlink_Shadow RFQ NREUni BOM_12032009_Bolt RFQ_Foxlink_03.1 2011_nego meeting@MACH 4" xfId="30198"/>
    <cellStyle name="差_Creak Pearl Reliability Fixture RFQ_2009 04 24_Pearl RFQ(Submittal)ver2_05_12_2009 _Jackson and Shadow BOM cost_mainfile_2010 0324 rev.1" xfId="30199"/>
    <cellStyle name="差_Creak Pearl Reliability Fixture RFQ_2009 04 24_Pearl RFQ(Submittal)ver2_05_12_2009 _Jackson and Shadow BOM cost_mainfile_2010 0324 rev.1_Bristol UniBom_Foxlink_02082011 RevA" xfId="30200"/>
    <cellStyle name="差_Creak Pearl Reliability Fixture RFQ_2009 04 24_Pearl RFQ(Submittal)ver2_05_12_2009 _Jackson and Shadow BOM cost_mainfile_2010 0324 rev.1_Leopard UniBom_Foxlink_12272010 RevF_shirley" xfId="30201"/>
    <cellStyle name="差_Xl0000002_Bolt RFQ_Foxlink_03.1 2011_nego meeting@MACH 4" xfId="30202"/>
    <cellStyle name="壞_Erie Assembly Fixture  Test Equip Cost_20090716_Foxlink_Shadow RFQ NREUni BOM_12032009_Bolt RFQ Proposal_Foxlink_ (Pricing Summary) 2 25 2011 2" xfId="30203"/>
    <cellStyle name="差_Creak Pearl Reliability Fixture RFQ_2009 04 24_Pearl RFQ(Submittal)ver2_05_12_2009 _Jackson NRE Uni BOM_update _05072010 rev K" xfId="30204"/>
    <cellStyle name="差_Creak Pearl Reliability Fixture RFQ_2009 04 24_Pearl RFQ(Submittal)ver2_05_12_2009 _Leopard Lemur Squirrel UniBom-06.22.2010_EE cost _update_internal" xfId="30205"/>
    <cellStyle name="差_Creak Pearl Reliability Fixture RFQ_2009 04 24_Pearl RFQ(Submittal)ver2_05_12_2009 _Leopard Lemur Squirrel UniBom-06.22.2010_EE cost _update_internal 2" xfId="30206"/>
    <cellStyle name="差_Creak Pearl Reliability Fixture RFQ_2009 04 24_Pearl RFQ(Submittal)ver2_05_12_2009 _Leopard Lemur Squirrel UniBom-06.22.2010_EE cost _update_internal 2 3" xfId="30207"/>
    <cellStyle name="差_Creak Pearl Reliability Fixture RFQ_2009 04 24_Pearl RFQ(Submittal)ver2_05_12_2009 _Leopard Lemur Squirrel UniBom-06.22.2010_EE cost _update_internal 2 4" xfId="30208"/>
    <cellStyle name="差_Creak Pearl Reliability Fixture RFQ_2009 04 24_Pearl RFQ(Submittal)ver2_05_12_2009 _Leopard Lemur Squirrel UniBom-06.22.2010_EE cost _update_internal 3 2" xfId="30209"/>
    <cellStyle name="差_Creak Pearl Reliability Fixture RFQ_2009 04 24_Pearl RFQ(Submittal)ver2_05_12_2009 _Leopard Lemur Squirrel UniBom-06.22.2010_EE cost _update_internal_Bolt RFQ Proposal_Foxlink_ (Pricing Summary) 2 25 2011 2" xfId="30210"/>
    <cellStyle name="差_Creak Pearl Reliability Fixture RFQ_2009 04 24_Pearl RFQ(Submittal)ver2_05_12_2009 _Leopard Lemur Squirrel UniBom-06.22.2010_EE cost _update_internal_Bolt RFQ Proposal_Foxlink_ (Pricing Summary) 2 25 2011 2 4" xfId="30211"/>
    <cellStyle name="差_Creak Pearl Reliability Fixture RFQ_2009 04 24_Pearl RFQ(Submittal)ver2_05_12_2009 _Leopard Lemur Squirrel UniBom-06.22.2010_EE cost _update_internal_Bolt RFQ Proposal_Foxlink_ (Pricing Summary) 2 25 2011 3 3" xfId="30212"/>
    <cellStyle name="差_Creak Pearl Reliability Fixture RFQ_2009 04 24_Pearl RFQ(Submittal)ver2_05_12_2009 _Leopard Lemur Squirrel UniBom-06.22.2010_EE cost _update_internal_Bolt RFQ Proposal_Foxlink_ (Pricing Summary) 2 25 2011 5 2" xfId="30213"/>
    <cellStyle name="差_Creak Pearl Reliability Fixture RFQ_2009 04 24_Pearl RFQ(Submittal)ver2_05_12_2009 _Leopard Lemur Squirrel UniBom-06.22.2010_EE cost _update_internal_Bolt RFQ Proposal_Foxlink_ (Pricing Summary) 2 25 2011 5 3" xfId="30214"/>
    <cellStyle name="差_Creak Pearl Reliability Fixture RFQ_2009 04 24_Pearl RFQ(Submittal)ver2_05_12_2009 _Leopard Lemur Squirrel UniBom-06.22.2010_EE cost _update_internal_Bolt RFQ Proposal_Foxlink_ (Pricing Summary) 2 25 2011 7" xfId="30215"/>
    <cellStyle name="差_F3   SMT設備明細_效益分析_~8644671_Jackson 效益分析 (2-1 B0 上系統)_Leopard效益分析08-17" xfId="30216"/>
    <cellStyle name="差_Creak Pearl Reliability Fixture RFQ_2009 04 24_Pearl RFQ(Submittal)ver2_05_12_2009 _Leopard Lemur Squirrel UniBom-06.22.2010_EE cost _update_internal_Bolt RFQ_Foxlink_03.1 2011 2" xfId="30217"/>
    <cellStyle name="差_Creak Pearl Reliability Fixture RFQ_2009 04 24_Pearl RFQ(Submittal)ver2_05_12_2009 _Leopard Lemur Squirrel UniBom-06.22.2010_EE cost _update_internal_Bolt RFQ_Foxlink_03.1 2011 2 2" xfId="30218"/>
    <cellStyle name="差_Creak Pearl Reliability Fixture RFQ_2009 04 24_Pearl RFQ(Submittal)ver2_05_12_2009 _Leopard Lemur Squirrel UniBom-06.22.2010_EE cost _update_internal_Bolt RFQ_Foxlink_03.1 2011 5" xfId="30219"/>
    <cellStyle name="差_Creak Pearl Reliability Fixture RFQ_2009 04 24_Pearl RFQ(Submittal)ver2_05_12_2009 _Leopard Lemur Squirrel UniBom-06.22.2010_EE cost _update_internal_Bolt RFQ_Foxlink_03.1 2011_nego meeting@MACH" xfId="30220"/>
    <cellStyle name="差_Creak Pearl Reliability Fixture RFQ_2009 04 24_Pearl RFQ(Submittal)ver2_05_12_2009 _Leopard Lemur Squirrel UniBom-06.22.2010_EE cost _update_internal_Bolt RFQ_Foxlink_03.1 2011_nego meeting@MACH 2" xfId="30221"/>
    <cellStyle name="差_Xl0000002_Leopard Lemur Squirrel UniBom-06.22.2010_EE cost _update_internal_Bolt RFQ Proposal_Foxlink_ (Pricing Summary) 2 25 2011 5" xfId="30222"/>
    <cellStyle name="差_Creak Pearl Reliability Fixture RFQ_2009 04 24_Pearl RFQ(Submittal)ver2_05_12_2009 _Leopard Lemur Squirrel UniBom-06.22.2010_EE cost _update_internal_Bolt RFQ_Foxlink_03.1 2011_nego meeting@MACH 2 3" xfId="30223"/>
    <cellStyle name="差_Xl0000002_Leopard Lemur Squirrel UniBom-06.22.2010_EE cost _update_internal_Bolt RFQ Proposal_Foxlink_ (Pricing Summary) 2 25 2011 5 3" xfId="30224"/>
    <cellStyle name="差_Creak Pearl Reliability Fixture RFQ_2009 04 24_Pearl RFQ(Submittal)ver2_05_12_2009 _Leopard Lemur Squirrel UniBom-06.22.2010_EE cost _update_internal_Bolt RFQ_Foxlink_03.1 2011_nego meeting@MACH 3 2" xfId="30225"/>
    <cellStyle name="差_Creak Pearl Reliability Fixture RFQ_2009 04 24_Pearl RFQ(Submittal)ver2_05_12_2009 _Leopard Lemur Squirrel UniBom-06.22.2010_EE cost _update_internal_Bolt RFQ_Foxlink_03.1 2011_nego meeting@MACH 3 3" xfId="30226"/>
    <cellStyle name="差_Creak Pearl Reliability Fixture RFQ_2009 04 24_Pearl RFQ(Submittal)ver2_05_12_2009 _Leopard Lemur Squirrel UniBom-06.22.2010_EE cost _update_internal_Bolt RFQ_Foxlink_03.1 2011_nego meeting@MACH 4" xfId="30227"/>
    <cellStyle name="差_Xl0000002_Leopard Lemur Squirrel UniBom-06.22.2010_EE cost _update_internal_Bolt RFQ Proposal_Foxlink_ (Pricing Summary) 2 25 2011 7" xfId="30228"/>
    <cellStyle name="差_Creak Pearl Reliability Fixture RFQ_2009 04 24_Pearl RFQ(Submittal)ver2_05_12_2009 _Leopard Lemur Squirrel UniBom-06.22.2010_EE cost _update_internal_Bolt RFQ_Foxlink_03.1 2011_nego meeting@MACH 5" xfId="30229"/>
    <cellStyle name="差_Creak Pearl Reliability Fixture RFQ_2009 04 24_Pearl RFQ(Submittal)ver2_05_12_2009 _Leopard RFQ ME BOM Costs-0618 2 2" xfId="30230"/>
    <cellStyle name="差_Creak Pearl Reliability Fixture RFQ_2009 04 24_Pearl RFQ(Submittal)ver2_05_12_2009 _Leopard RFQ ME BOM Costs-0618 2 2 2" xfId="30231"/>
    <cellStyle name="差_Creak Pearl Reliability Fixture RFQ_2009 04 24_Pearl RFQ(Submittal)ver2_05_12_2009 _Leopard RFQ ME BOM Costs-0618 2 2 3" xfId="30232"/>
    <cellStyle name="差_Creak Pearl Reliability Fixture RFQ_2009 04 24_Pearl RFQ(Submittal)ver2_05_12_2009 _Leopard RFQ ME BOM Costs-0618 2 3" xfId="30233"/>
    <cellStyle name="差_Creak Pearl Reliability Fixture RFQ_2009 04 24_Xl0000002_Leopard_UniBOM_ME_0603-2 2 2 2" xfId="30234"/>
    <cellStyle name="差_Creak Pearl Reliability Fixture RFQ_2009 04 24_Pearl RFQ(Submittal)ver2_05_12_2009 _Leopard RFQ ME BOM Costs-0618 2 4" xfId="30235"/>
    <cellStyle name="差_Creak Pearl Reliability Fixture RFQ_2009 04 24_Pearl RFQ(Submittal)ver2_05_12_2009 _Leopard RFQ ME BOM Costs-0618 3 2" xfId="30236"/>
    <cellStyle name="壞_Creek EE BOM cost_20090425_Creek RFQ feedback 04_28_2009_FD Update_Leopard_UniBOM_ME_0531_Bolt RFQ_Foxlink_03.1 2011_nego meeting@MACH 2" xfId="30237"/>
    <cellStyle name="差_Creak Pearl Reliability Fixture RFQ_2009 04 24_Pearl RFQ(Submittal)ver2_05_12_2009 _Leopard RFQ ME BOM Costs-0618 3 3" xfId="30238"/>
    <cellStyle name="差_Xl0000000_Leopard UniBom_Foxlink_6 21 2010-ME_nego_Bolt RFQ_Foxlink_03.1 2011_nego meeting@MACH 2 2" xfId="30239"/>
    <cellStyle name="差_Creak Pearl Reliability Fixture RFQ_2009 04 24_Pearl RFQ(Submittal)ver2_05_12_2009 _Leopard RFQ ME BOM Costs-0618_Bolt RFQ Proposal_Foxlink_ (Pricing Summary) 2 25 2011" xfId="30240"/>
    <cellStyle name="差_Creak Pearl Reliability Fixture RFQ_2009 04 24_Pearl RFQ(Submittal)ver2_05_12_2009 _Leopard RFQ ME BOM Costs-0618_Bolt RFQ Proposal_Foxlink_ (Pricing Summary) 2 25 2011 2 2" xfId="30241"/>
    <cellStyle name="差_Creak Pearl Reliability Fixture RFQ_2009 04 24_Pearl RFQ(Submittal)ver2_05_12_2009 _Leopard RFQ ME BOM Costs-0618_Bolt RFQ Proposal_Foxlink_ (Pricing Summary) 2 25 2011 2 3" xfId="30242"/>
    <cellStyle name="差_Creak Pearl Reliability Fixture RFQ_2009 04 24_Pearl RFQ(Submittal)ver2_05_12_2009 _Leopard RFQ ME BOM Costs-0618_Bolt RFQ Proposal_Foxlink_ (Pricing Summary) 2 25 2011 2 4" xfId="30243"/>
    <cellStyle name="差_Creak Pearl Reliability Fixture RFQ_2009 04 24_Pearl RFQ(Submittal)ver2_05_12_2009 _Leopard RFQ ME BOM Costs-0618_Bolt RFQ Proposal_Foxlink_ (Pricing Summary) 2 25 2011 3" xfId="30244"/>
    <cellStyle name="差_Creak Pearl Reliability Fixture RFQ_2009 04 24_Pearl RFQ(Submittal)ver2_05_12_2009 _Leopard RFQ ME BOM Costs-0618_Bolt RFQ Proposal_Foxlink_ (Pricing Summary) 2 25 2011 3 2" xfId="30245"/>
    <cellStyle name="差_Creak Pearl Reliability Fixture RFQ_2009 04 24_Pearl RFQ(Submittal)ver2_05_12_2009 _Leopard RFQ ME BOM Costs-0618_Bolt RFQ Proposal_Foxlink_ (Pricing Summary) 2 25 2011 3 3" xfId="30246"/>
    <cellStyle name="差_Creak Pearl Reliability Fixture RFQ_2009 04 24_Pearl RFQ(Submittal)ver2_05_12_2009 _Leopard RFQ ME BOM Costs-0618_Bolt RFQ Proposal_Foxlink_ (Pricing Summary) 2 25 2011 4" xfId="30247"/>
    <cellStyle name="差_Creak Pearl Reliability Fixture RFQ_2009 04 24_Pearl RFQ(Submittal)ver2_05_12_2009 _Leopard RFQ ME BOM Costs-0618_Bolt RFQ Proposal_Foxlink_ (Pricing Summary) 2 25 2011 4 2" xfId="30248"/>
    <cellStyle name="差_Creak Pearl Reliability Fixture RFQ_2009 04 24_Pearl RFQ(Submittal)ver2_05_12_2009 _Leopard RFQ ME BOM Costs-0618_Bolt RFQ Proposal_Foxlink_ (Pricing Summary) 2 25 2011 5 2" xfId="30249"/>
    <cellStyle name="差_Creak Pearl Reliability Fixture RFQ_2009 04 24_Pearl RFQ(Submittal)ver2_05_12_2009 _Leopard RFQ ME BOM Costs-0618_Bolt RFQ_Foxlink_03.1 2011 3" xfId="30250"/>
    <cellStyle name="差_Creak Pearl Reliability Fixture RFQ_2009 04 24_Pearl RFQ(Submittal)ver2_05_12_2009 _Leopard RFQ ME BOM Costs-0618_Bolt RFQ_Foxlink_03.1 2011 3 3" xfId="30251"/>
    <cellStyle name="差_Creak Pearl Reliability Fixture RFQ_2009 04 24_Pearl RFQ(Submittal)ver2_05_12_2009 _Leopard RFQ ME BOM Costs-0618_Bolt RFQ_Foxlink_03.1 2011 5" xfId="30252"/>
    <cellStyle name="差_Creak Pearl Reliability Fixture RFQ_2009 04 24_Pearl RFQ(Submittal)ver2_05_12_2009 _Leopard RFQ ME BOM Costs-0618_Bolt RFQ_Foxlink_03.1 2011_nego meeting@MACH 2" xfId="30253"/>
    <cellStyle name="差_Creak Pearl Reliability Fixture RFQ_2009 04 24_Pearl RFQ(Submittal)ver2_05_12_2009 _Leopard RFQ ME BOM Costs-0618_Bolt RFQ_Foxlink_03.1 2011_nego meeting@MACH 2 2" xfId="30254"/>
    <cellStyle name="差_F3   SMT設備明細_效益分析_Jackson 效益分析 testing update_16th Jan111_Jackson 效益分析 (2-1 B0 上系統)_squirrel效益分析08-17" xfId="30255"/>
    <cellStyle name="差_Creak Pearl Reliability Fixture RFQ_2009 04 24_Pearl RFQ(Submittal)ver2_05_12_2009 _Leopard RFQ ME BOM Costs-0618_Bolt RFQ_Foxlink_03.1 2011_nego meeting@MACH 2 3" xfId="30256"/>
    <cellStyle name="差_Creak Pearl Reliability Fixture RFQ_2009 04 24_Pearl RFQ(Submittal)ver2_05_12_2009 _Leopard RFQ ME BOM Costs-0618_Bolt RFQ_Foxlink_03.1 2011_nego meeting@MACH 3 2" xfId="30257"/>
    <cellStyle name="差_HP Mouse 產能評估(上系統)_Bolt RFQ Proposal_Foxlink_ (Pricing Summary) 2 25 2011 5 3" xfId="30258"/>
    <cellStyle name="差_Creak Pearl Reliability Fixture RFQ_2009 04 24_Pearl RFQ(Submittal)ver2_05_12_2009 _Leopard RFQ ME BOM Costs-0618_Bolt RFQ_Foxlink_03.1 2011_nego meeting@MACH 4" xfId="30259"/>
    <cellStyle name="差_Creak Pearl Reliability Fixture RFQ_2009 04 24_Pearl RFQ(Submittal)ver2_05_12_2009 _Leopard RFQ ME BOM Costs-0618-2" xfId="30260"/>
    <cellStyle name="差_Creak Pearl Reliability Fixture RFQ_2009 04 24_Pearl RFQ(Submittal)ver2_05_12_2009 _Leopard RFQ ME BOM Costs-0618-2 2 2" xfId="30261"/>
    <cellStyle name="差_F3   SMT設備明細_Erie 效益分析 (Update)_Flow Chart&amp;設備治工具清單 _Jackson 效益分析 (2-1 B0 上系統)_Leopard效益分析08-17" xfId="30262"/>
    <cellStyle name="差_Creak Pearl Reliability Fixture RFQ_2009 04 24_Pearl RFQ(Submittal)ver2_05_12_2009 _Leopard RFQ ME BOM Costs-0618-2 2 3" xfId="30263"/>
    <cellStyle name="差_Creak Pearl Reliability Fixture RFQ_2009 04 24_Pearl RFQ(Submittal)ver2_05_12_2009 _Leopard RFQ ME BOM Costs-0618-2 2 4" xfId="30264"/>
    <cellStyle name="差_Creak Pearl Reliability Fixture RFQ_2009 04 24_Pearl RFQ(Submittal)ver2_05_12_2009 _Leopard RFQ ME BOM Costs-0618-2 3 2" xfId="30265"/>
    <cellStyle name="差_Creak Pearl Reliability Fixture RFQ_2009 04 24_Pearl RFQ(Submittal)ver2_05_12_2009 _Leopard RFQ ME BOM Costs-0618-2_Bolt RFQ Proposal_Foxlink_ (Pricing Summary) 2 25 2011 2 2" xfId="30266"/>
    <cellStyle name="差_Creak Pearl Reliability Fixture RFQ_2009 04 24_Pearl RFQ(Submittal)ver2_05_12_2009 _Leopard RFQ ME BOM Costs-0618-2_Bolt RFQ Proposal_Foxlink_ (Pricing Summary) 2 25 2011 2 2 3" xfId="30267"/>
    <cellStyle name="差_MB9月管審誤判超標 8D_2009MB KPI_MBO3F製造部hp0209-01 3 4" xfId="30268"/>
    <cellStyle name="差_Creak Pearl Reliability Fixture RFQ_2009 04 24_Pearl RFQ(Submittal)ver2_05_12_2009 _Leopard RFQ ME BOM Costs-0618-2_Bolt RFQ Proposal_Foxlink_ (Pricing Summary) 2 25 2011 3 3" xfId="30269"/>
    <cellStyle name="差_Erie mouse 效益分析( 11-19 A1)_Jackson 效益分析 (2-1 B0 上系統)" xfId="30270"/>
    <cellStyle name="差_Creak Pearl Reliability Fixture RFQ_2009 04 24_Pearl RFQ(Submittal)ver2_05_12_2009 _Leopard RFQ ME BOM Costs-0618-2_Bolt RFQ Proposal_Foxlink_ (Pricing Summary) 2 25 2011 4" xfId="30271"/>
    <cellStyle name="差_Creak Pearl Reliability Fixture RFQ_2009 04 24_Pearl RFQ(Submittal)ver2_05_12_2009 _Leopard RFQ ME BOM Costs-0618-2_Bolt RFQ Proposal_Foxlink_ (Pricing Summary) 2 25 2011 4 2" xfId="30272"/>
    <cellStyle name="差_Creak Pearl Reliability Fixture RFQ_2009 04 24_Pearl RFQ(Submittal)ver2_05_12_2009 _Leopard RFQ ME BOM Costs-0618-2_Bolt RFQ Proposal_Foxlink_ (Pricing Summary) 2 25 2011 5" xfId="30273"/>
    <cellStyle name="差_Creak Pearl Reliability Fixture RFQ_2009 04 24_Pearl RFQ(Submittal)ver2_05_12_2009 _Leopard RFQ ME BOM Costs-0618-2_Bolt RFQ Proposal_Foxlink_ (Pricing Summary) 2 25 2011 6" xfId="30274"/>
    <cellStyle name="差_Creak Pearl Reliability Fixture RFQ_2009 04 24_Pearl RFQ(Submittal)ver2_05_12_2009 _Leopard RFQ ME BOM Costs-0618-2_Bolt RFQ Proposal_Foxlink_ (Pricing Summary) 2 25 2011 7" xfId="30275"/>
    <cellStyle name="差_Creak Pearl Reliability Fixture RFQ_2009 04 24_Pearl RFQ(Submittal)ver2_05_12_2009 _Leopard RFQ ME BOM Costs-0618-2_Bolt RFQ_Foxlink_03.1 2011 2 2" xfId="30276"/>
    <cellStyle name="差_Creak Pearl Reliability Fixture RFQ_2009 04 24_Pearl RFQ(Submittal)ver2_05_12_2009 _Leopard RFQ ME BOM Costs-0618-2_Bolt RFQ_Foxlink_03.1 2011 2 3" xfId="30277"/>
    <cellStyle name="差_Creak Pearl Reliability Fixture RFQ_2009 04 24_Pearl RFQ(Submittal)ver2_05_12_2009 _Leopard RFQ ME BOM Costs-0618-2_Bolt RFQ_Foxlink_03.1 2011 4" xfId="30278"/>
    <cellStyle name="差_Flow Chart&amp;設備治工具清單 _Jackson 效益分析 (2-1 B0 上系統)_Leopard效益分析08-17" xfId="30279"/>
    <cellStyle name="差_Creak Pearl Reliability Fixture RFQ_2009 04 24_Pearl RFQ(Submittal)ver2_05_12_2009 _Leopard RFQ ME BOM Costs-0618-2_Bolt RFQ_Foxlink_03.1 2011 5" xfId="30280"/>
    <cellStyle name="差_Creak Pearl Reliability Fixture RFQ_2009 04 24_Pearl RFQ(Submittal)ver2_05_12_2009 _Leopard RFQ ME BOM Costs-0618-2_Bolt RFQ_Foxlink_03.1 2011_nego meeting@MACH" xfId="30281"/>
    <cellStyle name="差_Creak Pearl Reliability Fixture RFQ_2009 04 24_Pearl RFQ(Submittal)ver2_05_12_2009 _Leopard RFQ ME BOM Costs-0618-2_Bolt RFQ_Foxlink_03.1 2011_nego meeting@MACH 2 3" xfId="30282"/>
    <cellStyle name="差_Creak Pearl Reliability Fixture RFQ_2009 04 24_Pearl RFQ(Submittal)ver2_05_12_2009 _Leopard RFQ ME BOM Costs-0618-2_Bolt RFQ_Foxlink_03.1 2011_nego meeting@MACH 3 2" xfId="30283"/>
    <cellStyle name="差_Creak Pearl Reliability Fixture RFQ_2009 04 24_Pearl RFQ(Submittal)ver2_05_12_2009 _Leopard RFQ ME BOM Costs-0618-2_Bolt RFQ_Foxlink_03.1 2011_nego meeting@MACH 3 3" xfId="30284"/>
    <cellStyle name="差_Creak Pearl Reliability Fixture RFQ_2009 04 24_Xl0000002_Leopard RFQ ME BOM Costs-0618_Bolt RFQ_Foxlink_03.1 2011_nego meeting@MACH 2 3" xfId="30285"/>
    <cellStyle name="差_Creak Pearl Reliability Fixture RFQ_2009 04 24_Pearl RFQ(Submittal)ver2_05_12_2009 _Leopard UniBom_Foxlink_12272010 RevF_shirley" xfId="30286"/>
    <cellStyle name="差_Creak Pearl Reliability Fixture RFQ_2009 04 24_Pearl RFQ(Submittal)ver2_05_12_2009 _Leopard UniBom_Foxlink_6 21 2010-ME_nego 2 2 2" xfId="30287"/>
    <cellStyle name="差_Creak Pearl Reliability Fixture RFQ_2009 04 24_Pearl RFQ(Submittal)ver2_05_12_2009 _Leopard UniBom_Foxlink_6 21 2010-ME_nego 2 4" xfId="30288"/>
    <cellStyle name="差_Creak Pearl Reliability Fixture RFQ_2009 04 24_Pearl RFQ(Submittal)ver2_05_12_2009 _Leopard UniBom_Foxlink_6 21 2010-ME_nego_Bolt RFQ Proposal_Foxlink_ (Pricing Summary) 2 25 2011" xfId="30289"/>
    <cellStyle name="差_Creak Pearl Reliability Fixture RFQ_2009 04 24_Pearl RFQ(Submittal)ver2_05_12_2009 _Leopard UniBom_Foxlink_6 21 2010-ME_nego_Bolt RFQ Proposal_Foxlink_ (Pricing Summary) 2 25 2011 2 2" xfId="30290"/>
    <cellStyle name="差_Creak Pearl Reliability Fixture RFQ_2009 04 24_Pearl RFQ(Submittal)ver2_05_12_2009 _Leopard UniBom_Foxlink_6 21 2010-ME_nego_Bolt RFQ Proposal_Foxlink_ (Pricing Summary) 2 25 2011 2 2 2" xfId="30291"/>
    <cellStyle name="差_Creak Pearl Reliability Fixture RFQ_2009 04 24_Pearl RFQ(Submittal)ver2_05_12_2009 _Leopard UniBom_Foxlink_6 21 2010-ME_nego_Bolt RFQ Proposal_Foxlink_ (Pricing Summary) 2 25 2011 2 2 3" xfId="30292"/>
    <cellStyle name="差_Creak Pearl Reliability Fixture RFQ_2009 04 24_Pearl RFQ(Submittal)ver2_05_12_2009 _Leopard UniBom_Foxlink_6 21 2010-ME_nego_Bolt RFQ Proposal_Foxlink_ (Pricing Summary) 2 25 2011 2 3" xfId="30293"/>
    <cellStyle name="差_Creak Pearl Reliability Fixture RFQ_2009 04 24_Pearl RFQ(Submittal)ver2_05_12_2009 _Leopard UniBom_Foxlink_6 21 2010-ME_nego_Bolt RFQ Proposal_Foxlink_ (Pricing Summary) 2 25 2011 3" xfId="30294"/>
    <cellStyle name="差_Creak Pearl Reliability Fixture RFQ_2009 04 24_Pearl RFQ(Submittal)ver2_05_12_2009 _Leopard UniBom_Foxlink_6 21 2010-ME_nego_Bolt RFQ Proposal_Foxlink_ (Pricing Summary) 2 25 2011 4" xfId="30295"/>
    <cellStyle name="差_Creak Pearl Reliability Fixture RFQ_2009 04 24_Pearl RFQ(Submittal)ver2_05_12_2009 _Leopard UniBom_Foxlink_6 21 2010-ME_nego_Bolt RFQ Proposal_Foxlink_ (Pricing Summary) 2 25 2011 4 3" xfId="30296"/>
    <cellStyle name="差_Creak Pearl Reliability Fixture RFQ_2009 04 24_Pearl RFQ(Submittal)ver2_05_12_2009 _Leopard UniBom_Foxlink_6 21 2010-ME_nego_Bolt RFQ Proposal_Foxlink_ (Pricing Summary) 2 25 2011 5" xfId="30297"/>
    <cellStyle name="差_Creak Pearl Reliability Fixture RFQ_2009 04 24_Pearl RFQ(Submittal)ver2_05_12_2009 _Leopard UniBom_Foxlink_6 21 2010-ME_nego_Bolt RFQ Proposal_Foxlink_ (Pricing Summary) 2 25 2011 5 2" xfId="30298"/>
    <cellStyle name="差_Xl0000002_Leopard Lemur Squirrel UniBom-06.22.2010_EE cost _update_internal_Bolt RFQ_Foxlink_03.1 2011 2" xfId="30299"/>
    <cellStyle name="差_Creak Pearl Reliability Fixture RFQ_2009 04 24_Pearl RFQ(Submittal)ver2_05_12_2009 _Leopard UniBom_Foxlink_6 21 2010-ME_nego_Bolt RFQ Proposal_Foxlink_ (Pricing Summary) 2 25 2011 7" xfId="30300"/>
    <cellStyle name="差_Creak Pearl Reliability Fixture RFQ_2009 04 24_Pearl RFQ(Submittal)ver2_05_12_2009 _Leopard UniBom_Foxlink_6 21 2010-ME_nego_Bolt RFQ_Foxlink_03.1 2011 2" xfId="30301"/>
    <cellStyle name="差_Creak Pearl Reliability Fixture RFQ_2009 04 24_Pearl RFQ(Submittal)ver2_05_12_2009 _Leopard UniBom_Foxlink_6 21 2010-ME_nego_Bolt RFQ_Foxlink_03.1 2011 3" xfId="30302"/>
    <cellStyle name="差_Creak Pearl Reliability Fixture RFQ_2009 04 24_Pearl RFQ(Submittal)ver2_05_12_2009 _Leopard UniBom_Foxlink_6 21 2010-ME_nego_Bolt RFQ_Foxlink_03.1 2011 3 3" xfId="30303"/>
    <cellStyle name="差_Creak Pearl Reliability Fixture RFQ_2009 04 24_Pearl RFQ(Submittal)ver2_05_12_2009 _Leopard UniBom_Foxlink_6 21 2010-ME_nego_Bolt RFQ_Foxlink_03.1 2011_nego meeting@MACH" xfId="30304"/>
    <cellStyle name="差_Creak Pearl Reliability Fixture RFQ_2009 04 24_Pearl RFQ(Submittal)ver2_05_12_2009 _Leopard UniBom_Foxlink_6 21 2010-ME_nego_Bolt RFQ_Foxlink_03.1 2011_nego meeting@MACH 2" xfId="30305"/>
    <cellStyle name="差_Creak Pearl Reliability Fixture RFQ_2009 04 24_Pearl RFQ(Submittal)ver2_05_12_2009 _Leopard UniBom_Foxlink_6 21 2010-ME_nego_Bolt RFQ_Foxlink_03.1 2011_nego meeting@MACH 3 2" xfId="30306"/>
    <cellStyle name="差_Creak Pearl Reliability Fixture RFQ_2009 04 24_Pearl RFQ(Submittal)ver2_05_12_2009 _Leopard UniBom_Foxlink_6 21 2010-ME_nego_Bolt RFQ_Foxlink_03.1 2011_nego meeting@MACH 5" xfId="30307"/>
    <cellStyle name="差_Creak Pearl Reliability Fixture RFQ_2009 04 24_Pearl RFQ(Submittal)ver2_05_12_2009 _Leopard UniBom_Foxlink_6 21 2010-nego" xfId="30308"/>
    <cellStyle name="差_Xl0000002_Squirrel UniBom-06.23.2010_update_internal_Bolt RFQ_Foxlink_03.1 2011 3 3" xfId="30309"/>
    <cellStyle name="差_Creak Pearl Reliability Fixture RFQ_2009 04 24_Pearl RFQ(Submittal)ver2_05_12_2009 _Leopard_UniBOM_ME_0531" xfId="30310"/>
    <cellStyle name="差_Creak Pearl Reliability Fixture RFQ_2009 04 24_Pearl RFQ(Submittal)ver2_05_12_2009 _Leopard_UniBOM_ME_0531 2 2 2" xfId="30311"/>
    <cellStyle name="差_Creak Pearl Reliability Fixture RFQ_2009 04 24_Pearl RFQ(Submittal)ver2_05_12_2009 _Leopard_UniBOM_ME_0531 2 2 3" xfId="30312"/>
    <cellStyle name="差_Creak Pearl Reliability Fixture RFQ_2009 04 24_Pearl RFQ(Submittal)ver2_05_12_2009 _Leopard_UniBOM_ME_0531 3" xfId="30313"/>
    <cellStyle name="差_Creak Pearl Reliability Fixture RFQ_2009 04 24_Pearl RFQ(Submittal)ver2_05_12_2009 _Leopard_UniBOM_ME_0531 3 3" xfId="30314"/>
    <cellStyle name="差_Creak Pearl Reliability Fixture RFQ_2009 04 24_Pearl RFQ(Submittal)ver2_05_12_2009 _Leopard_UniBOM_ME_0531_Bolt RFQ Proposal_Foxlink_ (Pricing Summary) 2 25 2011" xfId="30315"/>
    <cellStyle name="差_Creak Pearl Reliability Fixture RFQ_2009 04 24_Pearl RFQ(Submittal)ver2_05_12_2009 _Leopard_UniBOM_ME_0531_Bolt RFQ Proposal_Foxlink_ (Pricing Summary) 2 25 2011 2" xfId="30316"/>
    <cellStyle name="差_MB9月管審誤判超標 8D_HP 2 3 3" xfId="30317"/>
    <cellStyle name="差_Creak Pearl Reliability Fixture RFQ_2009 04 24_Pearl RFQ(Submittal)ver2_05_12_2009 _Leopard_UniBOM_ME_0531_Bolt RFQ Proposal_Foxlink_ (Pricing Summary) 2 25 2011 2 2" xfId="30318"/>
    <cellStyle name="差_Creak Pearl Reliability Fixture RFQ_2009 04 24_Pearl RFQ(Submittal)ver2_05_12_2009 _Leopard_UniBOM_ME_0531_Bolt RFQ Proposal_Foxlink_ (Pricing Summary) 2 25 2011 2 2 2" xfId="30319"/>
    <cellStyle name="差_Creak Pearl Reliability Fixture RFQ_2009 04 24_Pearl RFQ(Submittal)ver2_05_12_2009 _Leopard_UniBOM_ME_0531_Bolt RFQ Proposal_Foxlink_ (Pricing Summary) 2 25 2011 2 2 3" xfId="30320"/>
    <cellStyle name="差_Creak Pearl Reliability Fixture RFQ_2009 04 24_Pearl RFQ(Submittal)ver2_05_12_2009 _Leopard_UniBOM_ME_0531_Bolt RFQ Proposal_Foxlink_ (Pricing Summary) 2 25 2011 2 3" xfId="30321"/>
    <cellStyle name="差_Creak Pearl Reliability Fixture RFQ_2009 04 24_Pearl RFQ(Submittal)ver2_05_12_2009 _Leopard_UniBOM_ME_0531_Bolt RFQ Proposal_Foxlink_ (Pricing Summary) 2 25 2011 2 4" xfId="30322"/>
    <cellStyle name="差_F3   SMT設備明細_MS Bolt wireless mouse FixtureEquipment Cost_A5_2010_02_21_Bolt RFQ Proposal_Foxlink_ (Pricing Summary) 2 25 2011 4 2" xfId="30323"/>
    <cellStyle name="差_Creak Pearl Reliability Fixture RFQ_2009 04 24_Pearl RFQ(Submittal)ver2_05_12_2009 _Leopard_UniBOM_ME_0531_Bolt RFQ Proposal_Foxlink_ (Pricing Summary) 2 25 2011 5 2" xfId="30324"/>
    <cellStyle name="差_Creak Pearl Reliability Fixture RFQ_2009 04 24_Squirrel UniBom-06.23.2010_update_internal 3 2" xfId="30325"/>
    <cellStyle name="差_Creak Pearl Reliability Fixture RFQ_2009 04 24_Pearl RFQ(Submittal)ver2_05_12_2009 _Leopard_UniBOM_ME_0531_Bolt RFQ_Foxlink_03.1 2011 2" xfId="30326"/>
    <cellStyle name="差_Creak Pearl Reliability Fixture RFQ_2009 04 24_Pearl RFQ(Submittal)ver2_05_12_2009 _Leopard_UniBOM_ME_0531_Bolt RFQ_Foxlink_03.1 2011 3" xfId="30327"/>
    <cellStyle name="差_Creak Pearl Reliability Fixture RFQ_2009 04 24_Pearl RFQ(Submittal)ver2_05_12_2009 _Leopard_UniBOM_ME_0531_Bolt RFQ_Foxlink_03.1 2011 3 2" xfId="30328"/>
    <cellStyle name="差_F3   SMT設備明細_jupite r設備&amp;治工具LIST (總)_Dallas效益分析&amp;投資回收期 (12-2 A1)_Jackson 效益分析 (2-1 B0 上系統)" xfId="30329"/>
    <cellStyle name="差_Creak Pearl Reliability Fixture RFQ_2009 04 24_Pearl RFQ(Submittal)ver2_05_12_2009 _Leopard_UniBOM_ME_0531_Bolt RFQ_Foxlink_03.1 2011 3 3" xfId="30330"/>
    <cellStyle name="差_Creak Pearl Reliability Fixture RFQ_2009 04 24_Pearl RFQ(Submittal)ver2_05_12_2009 _Leopard_UniBOM_ME_0531_Bolt RFQ_Foxlink_03.1 2011 4" xfId="30331"/>
    <cellStyle name="差_Creak Pearl Reliability Fixture RFQ_2009 04 24_Pearl RFQ(Submittal)ver2_05_12_2009 _Leopard_UniBOM_ME_0531_Bolt RFQ_Foxlink_03.1 2011_nego meeting@MACH" xfId="30332"/>
    <cellStyle name="差_Creak Pearl Reliability Fixture RFQ_2009 04 24_Pearl RFQ(Submittal)ver2_05_12_2009 _Leopard_UniBOM_ME_0602 2 2" xfId="30333"/>
    <cellStyle name="差_F3   SMT設備明細_jupite r設備&amp;治工具LIST (總)_flow chart 2009.12.12_Flow Chart&amp;設備治工具清單 _Jackson 效益分析 (2-1 B0 上系統)" xfId="30334"/>
    <cellStyle name="差_Creak Pearl Reliability Fixture RFQ_2009 04 24_Pearl RFQ(Submittal)ver2_05_12_2009 _Leopard_UniBOM_ME_0602 2 2 2" xfId="30335"/>
    <cellStyle name="差_Creak Pearl Reliability Fixture RFQ_2009 04 24_Pearl RFQ(Submittal)ver2_05_12_2009 _Leopard_UniBOM_ME_0602 2 2 3" xfId="30336"/>
    <cellStyle name="差_Creak Pearl Reliability Fixture RFQ_2009 04 24_Pearl RFQ(Submittal)ver2_05_12_2009 _Leopard_UniBOM_ME_0602 3 3" xfId="30337"/>
    <cellStyle name="差_Creak Pearl Reliability Fixture RFQ_2009 04 24_Pearl RFQ(Submittal)ver2_05_12_2009 _Leopard_UniBOM_ME_0602_Bolt RFQ Proposal_Foxlink_ (Pricing Summary) 2 25 2011" xfId="30338"/>
    <cellStyle name="差_Creak Pearl Reliability Fixture RFQ_2009 04 24_Pearl RFQ(Submittal)ver2_05_12_2009 _Leopard_UniBOM_ME_0602_Bolt RFQ Proposal_Foxlink_ (Pricing Summary) 2 25 2011 2" xfId="30339"/>
    <cellStyle name="差_Creak Pearl Reliability Fixture RFQ_2009 04 24_Pearl RFQ(Submittal)ver2_05_12_2009 _Leopard_UniBOM_ME_0602_Bolt RFQ Proposal_Foxlink_ (Pricing Summary) 2 25 2011 2 2 2" xfId="30340"/>
    <cellStyle name="差_Creak Pearl Reliability Fixture RFQ_2009 04 24_Pearl RFQ(Submittal)ver2_05_12_2009 _Leopard_UniBOM_ME_0602_Bolt RFQ Proposal_Foxlink_ (Pricing Summary) 2 25 2011 2 2 3" xfId="30341"/>
    <cellStyle name="壞_Creek Assembly Fixture  Test Equipment RFQ_20090427_Xl0000002_Squirrel UniBom-06.23.2010_update_internal_Bolt RFQ Proposal_Foxlink_ (Pricing Summary) 2 25 2011 2" xfId="30342"/>
    <cellStyle name="差_Creak Pearl Reliability Fixture RFQ_2009 04 24_Pearl RFQ(Submittal)ver2_05_12_2009 _Leopard_UniBOM_ME_0602_Bolt RFQ Proposal_Foxlink_ (Pricing Summary) 2 25 2011 2 3" xfId="30343"/>
    <cellStyle name="壞_Creek Assembly Fixture  Test Equipment RFQ_20090427_Xl0000002_Squirrel UniBom-06.23.2010_update_internal_Bolt RFQ Proposal_Foxlink_ (Pricing Summary) 2 25 2011 3" xfId="30344"/>
    <cellStyle name="差_Creak Pearl Reliability Fixture RFQ_2009 04 24_Pearl RFQ(Submittal)ver2_05_12_2009 _Leopard_UniBOM_ME_0602_Bolt RFQ Proposal_Foxlink_ (Pricing Summary) 2 25 2011 2 4" xfId="30345"/>
    <cellStyle name="差_jupite r設備&amp;治工具LIST (總)_flow chart 2009.12.12_Flow chart and Fixture(1-4)_Jackson 效益分析 (2-1 B0 上系統)" xfId="30346"/>
    <cellStyle name="差_Creak Pearl Reliability Fixture RFQ_2009 04 24_Pearl RFQ(Submittal)ver2_05_12_2009 _Leopard_UniBOM_ME_0602_Bolt RFQ Proposal_Foxlink_ (Pricing Summary) 2 25 2011 3" xfId="30347"/>
    <cellStyle name="差_Creak Pearl Reliability Fixture RFQ_2009 04 24_Pearl RFQ(Submittal)ver2_05_12_2009 _Leopard_UniBOM_ME_0602_Bolt RFQ Proposal_Foxlink_ (Pricing Summary) 2 25 2011 3 2" xfId="30348"/>
    <cellStyle name="差_Creak Pearl Reliability Fixture RFQ_2009 04 24_Pearl RFQ(Submittal)ver2_05_12_2009 _Leopard_UniBOM_ME_0602_Bolt RFQ Proposal_Foxlink_ (Pricing Summary) 2 25 2011 3 3" xfId="30349"/>
    <cellStyle name="差_Creak Pearl Reliability Fixture RFQ_2009 04 24_Pearl RFQ(Submittal)ver2_05_12_2009 _Leopard_UniBOM_ME_0602_Bolt RFQ Proposal_Foxlink_ (Pricing Summary) 2 25 2011 4 2" xfId="30350"/>
    <cellStyle name="差_Creak Pearl Reliability Fixture RFQ_2009 04 24_Pearl RFQ(Submittal)ver2_05_12_2009 _Leopard_UniBOM_ME_0602_Bolt RFQ Proposal_Foxlink_ (Pricing Summary) 2 25 2011 4 3" xfId="30351"/>
    <cellStyle name="差_Creak Pearl Reliability Fixture RFQ_2009 04 24_Pearl RFQ(Submittal)ver2_05_12_2009 _Leopard_UniBOM_ME_0602_Bolt RFQ Proposal_Foxlink_ (Pricing Summary) 2 25 2011 5 2" xfId="30352"/>
    <cellStyle name="差_Creak Pearl Reliability Fixture RFQ_2009 04 24_Pearl RFQ(Submittal)ver2_05_12_2009 _Leopard_UniBOM_ME_0602_Bolt RFQ Proposal_Foxlink_ (Pricing Summary) 2 25 2011 5 3" xfId="30353"/>
    <cellStyle name="差_效益分析&amp;產能評估_Bolt RFQ Proposal_Foxlink_ (Pricing Summary) 2 25 2011 2 3" xfId="30354"/>
    <cellStyle name="差_Creak Pearl Reliability Fixture RFQ_2009 04 24_Pearl RFQ(Submittal)ver2_05_12_2009 _Leopard_UniBOM_ME_0602_Bolt RFQ Proposal_Foxlink_ (Pricing Summary) 2 25 2011 7" xfId="30355"/>
    <cellStyle name="差_Creak Pearl Reliability Fixture RFQ_2009 04 24_Pearl RFQ(Submittal)ver2_05_12_2009 _Leopard_UniBOM_ME_0602_Bolt RFQ_Foxlink_03.1 2011_nego meeting@MACH 2" xfId="30356"/>
    <cellStyle name="差_Creak Pearl Reliability Fixture RFQ_2009 04 24_Pearl RFQ(Submittal)ver2_05_12_2009 _Leopard_UniBOM_ME_0602_Bolt RFQ_Foxlink_03.1 2011_nego meeting@MACH 2 2" xfId="30357"/>
    <cellStyle name="差_Creak Pearl Reliability Fixture RFQ_2009 04 24_Pearl RFQ(Submittal)ver2_05_12_2009 _Leopard_UniBOM_ME_0602_Bolt RFQ_Foxlink_03.1 2011_nego meeting@MACH 2 3" xfId="30358"/>
    <cellStyle name="差_Creak Pearl Reliability Fixture RFQ_2009 04 24_Pearl RFQ(Submittal)ver2_05_12_2009 _Leopard_UniBOM_ME_0602-1" xfId="30359"/>
    <cellStyle name="差_Creak Pearl Reliability Fixture RFQ_2009 04 24_Pearl RFQ(Submittal)ver2_05_12_2009 _Leopard_UniBOM_ME_0602-1 2" xfId="30360"/>
    <cellStyle name="差_Creak Pearl Reliability Fixture RFQ_2009 04 24_Pearl RFQ(Submittal)ver2_05_12_2009 _Leopard_UniBOM_ME_0602-1 2 2 2" xfId="30361"/>
    <cellStyle name="差_Creak Pearl Reliability Fixture RFQ_2009 04 24_Pearl RFQ(Submittal)ver2_05_12_2009 _Leopard_UniBOM_ME_0602-1 2 2 3" xfId="30362"/>
    <cellStyle name="差_Creak Pearl Reliability Fixture RFQ_2009 04 24_Pearl RFQ(Submittal)ver2_05_12_2009 _Leopard_UniBOM_ME_0602-1 2 4" xfId="30363"/>
    <cellStyle name="差_Creak Pearl Reliability Fixture RFQ_2009 04 24_Pearl RFQ(Submittal)ver2_05_12_2009 _Leopard_UniBOM_ME_0602-1 3" xfId="30364"/>
    <cellStyle name="差_Creak Pearl Reliability Fixture RFQ_2009 04 24_Pearl RFQ(Submittal)ver2_05_12_2009 _Leopard_UniBOM_ME_0602-1 3 2" xfId="30365"/>
    <cellStyle name="差_Creak Pearl Reliability Fixture RFQ_2009 04 24_Pearl RFQ(Submittal)ver2_05_12_2009 _Leopard_UniBOM_ME_0602-1_Bolt RFQ Proposal_Foxlink_ (Pricing Summary) 2 25 2011" xfId="30366"/>
    <cellStyle name="差_Creak Pearl Reliability Fixture RFQ_2009 04 24_Pearl RFQ(Submittal)ver2_05_12_2009 _Leopard_UniBOM_ME_0602-1_Bolt RFQ Proposal_Foxlink_ (Pricing Summary) 2 25 2011 2" xfId="30367"/>
    <cellStyle name="差_Creak Pearl Reliability Fixture RFQ_2009 04 24_Pearl RFQ(Submittal)ver2_05_12_2009 _Leopard_UniBOM_ME_0602-1_Bolt RFQ Proposal_Foxlink_ (Pricing Summary) 2 25 2011 2 2" xfId="30368"/>
    <cellStyle name="差_Creak Pearl Reliability Fixture RFQ_2009 04 24_Pearl RFQ(Submittal)ver2_05_12_2009 _Leopard_UniBOM_ME_0602-1_Bolt RFQ Proposal_Foxlink_ (Pricing Summary) 2 25 2011 2 2 2" xfId="30369"/>
    <cellStyle name="差_Creak Pearl Reliability Fixture RFQ_2009 04 24_Pearl RFQ(Submittal)ver2_05_12_2009 _Leopard_UniBOM_ME_0602-1_Bolt RFQ Proposal_Foxlink_ (Pricing Summary) 2 25 2011 2 2 3" xfId="30370"/>
    <cellStyle name="差_Creak Pearl Reliability Fixture RFQ_2009 04 24_Pearl RFQ(Submittal)ver2_05_12_2009 _Leopard_UniBOM_ME_0602-1_Bolt RFQ Proposal_Foxlink_ (Pricing Summary) 2 25 2011 2 3" xfId="30371"/>
    <cellStyle name="差_Creak Pearl Reliability Fixture RFQ_2009 04 24_Pearl RFQ(Submittal)ver2_05_12_2009 _Leopard_UniBOM_ME_0602-1_Bolt RFQ Proposal_Foxlink_ (Pricing Summary) 2 25 2011 2 4" xfId="30372"/>
    <cellStyle name="差_Creak Pearl Reliability Fixture RFQ_2009 04 24_Pearl RFQ(Submittal)ver2_05_12_2009 _Leopard_UniBOM_ME_0602-1_Bolt RFQ Proposal_Foxlink_ (Pricing Summary) 2 25 2011 3" xfId="30373"/>
    <cellStyle name="差_Creak Pearl Reliability Fixture RFQ_2009 04 24_Pearl RFQ(Submittal)ver2_05_12_2009 _Leopard_UniBOM_ME_0602-1_Bolt RFQ Proposal_Foxlink_ (Pricing Summary) 2 25 2011 3 2" xfId="30374"/>
    <cellStyle name="差_Creak Pearl Reliability Fixture RFQ_2009 04 24_Pearl RFQ(Submittal)ver2_05_12_2009 _Leopard_UniBOM_ME_0602-1_Bolt RFQ Proposal_Foxlink_ (Pricing Summary) 2 25 2011 4" xfId="30375"/>
    <cellStyle name="差_Creak Pearl Reliability Fixture RFQ_2009 04 24_Pearl RFQ(Submittal)ver2_05_12_2009 _Leopard_UniBOM_ME_0602-1_Bolt RFQ Proposal_Foxlink_ (Pricing Summary) 2 25 2011 5 2" xfId="30376"/>
    <cellStyle name="差_Creak Pearl Reliability Fixture RFQ_2009 04 24_Pearl RFQ(Submittal)ver2_05_12_2009 _Leopard_UniBOM_ME_0602-1_Bolt RFQ Proposal_Foxlink_ (Pricing Summary) 2 25 2011 5 3" xfId="30377"/>
    <cellStyle name="差_Creak Pearl Reliability Fixture RFQ_2009 04 24_Pearl RFQ(Submittal)ver2_05_12_2009 _Leopard_UniBOM_ME_0602-1_Bolt RFQ_Foxlink_03.1 2011 2" xfId="30378"/>
    <cellStyle name="差_Flow Chart&amp;PQ分析(12-1)_Jackson 效益分析 testing update_16th Jan1_Jackson 效益分析 (2-1 B0 上系統)_squirrel效益分析08-17" xfId="30379"/>
    <cellStyle name="差_Creak Pearl Reliability Fixture RFQ_2009 04 24_Pearl RFQ(Submittal)ver2_05_12_2009 _Leopard_UniBOM_ME_0602-1_Bolt RFQ_Foxlink_03.1 2011 2 2" xfId="30380"/>
    <cellStyle name="差_Creak Pearl Reliability Fixture RFQ_2009 04 24_Pearl RFQ(Submittal)ver2_05_12_2009 _Leopard_UniBOM_ME_0602-1_Bolt RFQ_Foxlink_03.1 2011 2 3" xfId="30381"/>
    <cellStyle name="差_Creak Pearl Reliability Fixture RFQ_2009 04 24_Pearl RFQ(Submittal)ver2_05_12_2009 _Leopard_UniBOM_ME_0602-1_Bolt RFQ_Foxlink_03.1 2011 3 2" xfId="30382"/>
    <cellStyle name="差_Creak Pearl Reliability Fixture RFQ_2009 04 24_Pearl RFQ(Submittal)ver2_05_12_2009 _Leopard_UniBOM_ME_0602-1_Bolt RFQ_Foxlink_03.1 2011 3 3" xfId="30383"/>
    <cellStyle name="差_Creak Pearl Reliability Fixture RFQ_2009 04 24_Pearl RFQ(Submittal)ver2_05_12_2009 _Leopard_UniBOM_ME_0602-1_Bolt RFQ_Foxlink_03.1 2011_nego meeting@MACH 2 2" xfId="30384"/>
    <cellStyle name="差_Creak Pearl Reliability Fixture RFQ_2009 04 24_Pearl RFQ(Submittal)ver2_05_12_2009 _Leopard_UniBOM_ME_0602-1_Bolt RFQ_Foxlink_03.1 2011_nego meeting@MACH 3 2" xfId="30385"/>
    <cellStyle name="差_F3   SMT設備明細_效益分析_Jackson 效益分析 (2-1 B0 上系統)" xfId="30386"/>
    <cellStyle name="差_Xl0000002_Foxlink_Shadow RFQ NREUni BOM_12032009_Bolt RFQ Proposal_Foxlink_ (Pricing Summary) 2 25 2011 6" xfId="30387"/>
    <cellStyle name="差_Creak Pearl Reliability Fixture RFQ_2009 04 24_Pearl RFQ(Submittal)ver2_05_12_2009 _Leopard_UniBOM_ME_0602-1_Bolt RFQ_Foxlink_03.1 2011_nego meeting@MACH 3 3" xfId="30388"/>
    <cellStyle name="差_Xl0000002_Foxlink_Shadow RFQ NREUni BOM_12032009_Bolt RFQ Proposal_Foxlink_ (Pricing Summary) 2 25 2011 7" xfId="30389"/>
    <cellStyle name="差_Creak Pearl Reliability Fixture RFQ_2009 04 24_Pearl RFQ(Submittal)ver2_05_12_2009 _Leopard_UniBOM_ME_0602-1_Bolt RFQ_Foxlink_03.1 2011_nego meeting@MACH 5" xfId="30390"/>
    <cellStyle name="差_Creak Pearl Reliability Fixture RFQ_2009 04 24_Pearl RFQ(Submittal)ver2_05_12_2009 _Leopard_UniBOM_ME_0603-2" xfId="30391"/>
    <cellStyle name="差_Creak Pearl Reliability Fixture RFQ_2009 04 24_Pearl RFQ(Submittal)ver2_05_12_2009 _Leopard_UniBOM_ME_0603-2 2" xfId="30392"/>
    <cellStyle name="差_Creak Pearl Reliability Fixture RFQ_2009 04 24_Pearl RFQ(Submittal)ver2_05_12_2009 _Leopard_UniBOM_ME_0603-2 2 2" xfId="30393"/>
    <cellStyle name="差_Creak Pearl Reliability Fixture RFQ_2009 04 24_Pearl RFQ(Submittal)ver2_05_12_2009 _Leopard_UniBOM_ME_0603-2 2 2 2" xfId="30394"/>
    <cellStyle name="差_Creak Pearl Reliability Fixture RFQ_2009 04 24_Pearl RFQ(Submittal)ver2_05_12_2009 _Leopard_UniBOM_ME_0603-2 2 2 3" xfId="30395"/>
    <cellStyle name="差_Creak Pearl Reliability Fixture RFQ_2009 04 24_Pearl RFQ(Submittal)ver2_05_12_2009 _Leopard_UniBOM_ME_0603-2 2 3" xfId="30396"/>
    <cellStyle name="差_Creak Pearl Reliability Fixture RFQ_2009 04 24_Pearl RFQ(Submittal)ver2_05_12_2009 _Leopard_UniBOM_ME_0603-2 3" xfId="30397"/>
    <cellStyle name="差_Creak Pearl Reliability Fixture RFQ_2009 04 24_Pearl RFQ(Submittal)ver2_05_12_2009 _Leopard_UniBOM_ME_0603-2 3 2" xfId="30398"/>
    <cellStyle name="差_Xl0000000_Leopard_UniBOM_ME_0531_Bolt RFQ Proposal_Foxlink_ (Pricing Summary) 2 25 2011 7" xfId="30399"/>
    <cellStyle name="差_Creak Pearl Reliability Fixture RFQ_2009 04 24_Pearl RFQ(Submittal)ver2_05_12_2009 _Leopard_UniBOM_ME_0603-2_Bolt RFQ Proposal_Foxlink_ (Pricing Summary) 2 25 2011 2" xfId="30400"/>
    <cellStyle name="差_Creak Pearl Reliability Fixture RFQ_2009 04 24_Pearl RFQ(Submittal)ver2_05_12_2009 _Leopard_UniBOM_ME_0603-2_Bolt RFQ Proposal_Foxlink_ (Pricing Summary) 2 25 2011 2 2" xfId="30401"/>
    <cellStyle name="差_F3   SMT設備明細_Erie 效益分析 (Update)" xfId="30402"/>
    <cellStyle name="差_Creak Pearl Reliability Fixture RFQ_2009 04 24_Pearl RFQ(Submittal)ver2_05_12_2009 _Leopard_UniBOM_ME_0603-2_Bolt RFQ Proposal_Foxlink_ (Pricing Summary) 2 25 2011 2 2 3" xfId="30403"/>
    <cellStyle name="差_Xl0000000_Leopard_UniBOM_ME_0602-1_Bolt RFQ_Foxlink_03.1 2011_nego meeting@MACH" xfId="30404"/>
    <cellStyle name="差_Creak Pearl Reliability Fixture RFQ_2009 04 24_Pearl RFQ(Submittal)ver2_05_12_2009 _Leopard_UniBOM_ME_0603-2_Bolt RFQ Proposal_Foxlink_ (Pricing Summary) 2 25 2011 2 3" xfId="30405"/>
    <cellStyle name="差_Creak Pearl Reliability Fixture RFQ_2009 04 24_Pearl RFQ(Submittal)ver2_05_12_2009 _Leopard_UniBOM_ME_0603-2_Bolt RFQ Proposal_Foxlink_ (Pricing Summary) 2 25 2011 2 4" xfId="30406"/>
    <cellStyle name="差_Creak Pearl Reliability Fixture RFQ_2009 04 24_Pearl RFQ(Submittal)ver2_05_12_2009 _Leopard_UniBOM_ME_0603-2_Bolt RFQ Proposal_Foxlink_ (Pricing Summary) 2 25 2011 3 2" xfId="30407"/>
    <cellStyle name="差_Creak Pearl Reliability Fixture RFQ_2009 04 24_Pearl RFQ(Submittal)ver2_05_12_2009 _Leopard_UniBOM_ME_0603-2_Bolt RFQ Proposal_Foxlink_ (Pricing Summary) 2 25 2011 3 3" xfId="30408"/>
    <cellStyle name="差_Creak Pearl Reliability Fixture RFQ_2009 04 24_Xl0000002_Leopard_UniBOM_ME_0602_Bolt RFQ Proposal_Foxlink_ (Pricing Summary) 2 25 2011 5 3" xfId="30409"/>
    <cellStyle name="差_Creak Pearl Reliability Fixture RFQ_2009 04 24_Pearl RFQ(Submittal)ver2_05_12_2009 _Leopard_UniBOM_ME_0603-2_Bolt RFQ Proposal_Foxlink_ (Pricing Summary) 2 25 2011 4" xfId="30410"/>
    <cellStyle name="差_F3   SMT設備明細_費用統計_Jackson 效益分析 (2-1 B0 上系統)_Leopard Flowchart &amp; 產能評估" xfId="30411"/>
    <cellStyle name="差_Creak Pearl Reliability Fixture RFQ_2009 04 24_Pearl RFQ(Submittal)ver2_05_12_2009 _Leopard_UniBOM_ME_0603-2_Bolt RFQ Proposal_Foxlink_ (Pricing Summary) 2 25 2011 5" xfId="30412"/>
    <cellStyle name="差_Creak Pearl Reliability Fixture RFQ_2009 04 24_Pearl RFQ(Submittal)ver2_05_12_2009 _Leopard_UniBOM_ME_0603-2_Bolt RFQ Proposal_Foxlink_ (Pricing Summary) 2 25 2011 5 2" xfId="30413"/>
    <cellStyle name="差_Creak Pearl Reliability Fixture RFQ_2009 04 24_Pearl RFQ(Submittal)ver2_05_12_2009 _Leopard_UniBOM_ME_0603-2_Bolt RFQ Proposal_Foxlink_ (Pricing Summary) 2 25 2011 5 3" xfId="30414"/>
    <cellStyle name="差_Creak Pearl Reliability Fixture RFQ_2009 04 24_Pearl RFQ(Submittal)ver2_05_12_2009 _Leopard_UniBOM_ME_0603-2_Bolt RFQ Proposal_Foxlink_ (Pricing Summary) 2 25 2011 7" xfId="30415"/>
    <cellStyle name="差_Creak Pearl Reliability Fixture RFQ_2009 04 24_Pearl RFQ(Submittal)ver2_05_12_2009 _Leopard_UniBOM_ME_0603-2_Bolt RFQ_Foxlink_03.1 2011 2 2" xfId="30416"/>
    <cellStyle name="差_Creak Pearl Reliability Fixture RFQ_2009 04 24_Pearl RFQ(Submittal)ver2_05_12_2009 _Leopard_UniBOM_ME_0603-2_Bolt RFQ_Foxlink_03.1 2011 3" xfId="30417"/>
    <cellStyle name="差_Xl0000002_Leopard_UniBOM_ME_0531_Bolt RFQ Proposal_Foxlink_ (Pricing Summary) 2 25 2011 5 2" xfId="30418"/>
    <cellStyle name="差_Creak Pearl Reliability Fixture RFQ_2009 04 24_Pearl RFQ(Submittal)ver2_05_12_2009 _Leopard_UniBOM_ME_0603-2_Bolt RFQ_Foxlink_03.1 2011 4" xfId="30419"/>
    <cellStyle name="差_Xl0000002_Leopard_UniBOM_ME_0531_Bolt RFQ Proposal_Foxlink_ (Pricing Summary) 2 25 2011 5 3" xfId="30420"/>
    <cellStyle name="差_Creak Pearl Reliability Fixture RFQ_2009 04 24_Pearl RFQ(Submittal)ver2_05_12_2009 _Leopard_UniBOM_ME_0603-2_Bolt RFQ_Foxlink_03.1 2011 5" xfId="30421"/>
    <cellStyle name="差_Creak Pearl Reliability Fixture RFQ_2009 04 24_Pearl RFQ(Submittal)ver2_05_12_2009 _Leopard_UniBOM_ME_0603-2_Bolt RFQ_Foxlink_03.1 2011_nego meeting@MACH 2" xfId="30422"/>
    <cellStyle name="差_Creak Pearl Reliability Fixture RFQ_2009 04 24_Pearl RFQ(Submittal)ver2_05_12_2009 _Leopard_UniBOM_ME_0603-2_Bolt RFQ_Foxlink_03.1 2011_nego meeting@MACH 3" xfId="30423"/>
    <cellStyle name="差_Creak Pearl Reliability Fixture RFQ_2009 04 24_Pearl RFQ(Submittal)ver2_05_12_2009 _Leopard_UniBOM_ME_0603-2_Bolt RFQ_Foxlink_03.1 2011_nego meeting@MACH 3 3" xfId="30424"/>
    <cellStyle name="差_Creak Pearl Reliability Fixture RFQ_2009 04 24_Pearl RFQ(Submittal)ver2_05_12_2009 _Leopard_UniBOM_ME_0603-2_Bolt RFQ_Foxlink_03.1 2011_nego meeting@MACH 4" xfId="30425"/>
    <cellStyle name="差_Creak Pearl Reliability Fixture RFQ_2009 04 24_Pearl RFQ(Submittal)ver2_05_12_2009 _Leopard_UniBOM_ME_0603-2_Bolt RFQ_Foxlink_03.1 2011_nego meeting@MACH 5" xfId="30426"/>
    <cellStyle name="差_Creak Pearl Reliability Fixture RFQ_2009 04 24_Pearl RFQ(Submittal)ver2_05_12_2009 _Squirrel RFQ ME BOM Costs-0623" xfId="30427"/>
    <cellStyle name="差_HP Mouse 產能評估(上系統)_費用統計_Jackson 效益分析 (2-1 B0 上系統)_Leopard Flowchart &amp; 產能評估" xfId="30428"/>
    <cellStyle name="差_Creak Pearl Reliability Fixture RFQ_2009 04 24_Pearl RFQ(Submittal)ver2_05_12_2009 _Squirrel RFQ ME BOM Costs-0623 2" xfId="30429"/>
    <cellStyle name="差_Creak Pearl Reliability Fixture RFQ_2009 04 24_Pearl RFQ(Submittal)ver2_05_12_2009 _Squirrel RFQ ME BOM Costs-0623 3" xfId="30430"/>
    <cellStyle name="差_Creak Pearl Reliability Fixture RFQ_2009 04 24_Pearl RFQ(Submittal)ver2_05_12_2009 _Squirrel RFQ ME BOM Costs-0623 3 2" xfId="30431"/>
    <cellStyle name="差_Creak Pearl Reliability Fixture RFQ_2009 04 24_Pearl RFQ(Submittal)ver2_05_12_2009 _Squirrel RFQ ME BOM Costs-0623 3 3" xfId="30432"/>
    <cellStyle name="差_Creak Pearl Reliability Fixture RFQ_2009 04 24_Pearl RFQ(Submittal)ver2_05_12_2009 _Squirrel RFQ ME BOM Costs-0623_Bolt RFQ Proposal_Foxlink_ (Pricing Summary) 2 25 2011 2 2" xfId="30433"/>
    <cellStyle name="差_Creak Pearl Reliability Fixture RFQ_2009 04 24_Pearl RFQ(Submittal)ver2_05_12_2009 _Squirrel RFQ ME BOM Costs-0623_Bolt RFQ Proposal_Foxlink_ (Pricing Summary) 2 25 2011 2 3" xfId="30434"/>
    <cellStyle name="差_Creak Pearl Reliability Fixture RFQ_2009 04 24_Pearl RFQ(Submittal)ver2_05_12_2009 _Squirrel RFQ ME BOM Costs-0623_Bolt RFQ Proposal_Foxlink_ (Pricing Summary) 2 25 2011 3 2" xfId="30435"/>
    <cellStyle name="差_Creak Pearl Reliability Fixture RFQ_2009 04 24_Pearl RFQ(Submittal)ver2_05_12_2009 _Squirrel RFQ ME BOM Costs-0623_Bolt RFQ Proposal_Foxlink_ (Pricing Summary) 2 25 2011 5 2" xfId="30436"/>
    <cellStyle name="差_Creak Pearl Reliability Fixture RFQ_2009 04 24_Pearl RFQ(Submittal)ver2_05_12_2009 _Squirrel RFQ ME BOM Costs-0623_Bolt RFQ Proposal_Foxlink_ (Pricing Summary) 2 25 2011 5 3" xfId="30437"/>
    <cellStyle name="差_Creak Pearl Reliability Fixture RFQ_2009 04 24_Pearl RFQ(Submittal)ver2_05_12_2009 _Squirrel RFQ ME BOM Costs-0623_Bolt RFQ_Foxlink_03.1 2011" xfId="30438"/>
    <cellStyle name="差_Creak Pearl Reliability Fixture RFQ_2009 04 24_Pearl RFQ(Submittal)ver2_05_12_2009 _Squirrel RFQ ME BOM Costs-0623_Bolt RFQ_Foxlink_03.1 2011 2 2" xfId="30439"/>
    <cellStyle name="差_Creak Pearl Reliability Fixture RFQ_2009 04 24_Pearl RFQ(Submittal)ver2_05_12_2009 _Squirrel RFQ ME BOM Costs-0623_Bolt RFQ_Foxlink_03.1 2011 2 3" xfId="30440"/>
    <cellStyle name="差_Creak Pearl Reliability Fixture RFQ_2009 04 24_Pearl RFQ(Submittal)ver2_05_12_2009 _Squirrel RFQ ME BOM Costs-0623_Bolt RFQ_Foxlink_03.1 2011 3" xfId="30441"/>
    <cellStyle name="差_Creak Pearl Reliability Fixture RFQ_2009 04 24_Pearl RFQ(Submittal)ver2_05_12_2009 _Squirrel RFQ ME BOM Costs-0623_Bolt RFQ_Foxlink_03.1 2011 3 2" xfId="30442"/>
    <cellStyle name="差_F3   SMT設備明細_效益分析_Dallas flow chart&amp;設備&amp;治工具清單(12-8 A0)_Jackson 效益分析 testing update_16th Jan111_Jackson 效益分析 (2-1 B0 上系統)_Leopard Flowchart &amp; 產能評估" xfId="30443"/>
    <cellStyle name="差_Creak Pearl Reliability Fixture RFQ_2009 04 24_Pearl RFQ(Submittal)ver2_05_12_2009 _Squirrel RFQ ME BOM Costs-0623_Bolt RFQ_Foxlink_03.1 2011 3 3" xfId="30444"/>
    <cellStyle name="差_Creak Pearl Reliability Fixture RFQ_2009 04 24_Pearl RFQ(Submittal)ver2_05_12_2009 _Squirrel RFQ ME BOM Costs-0623_Bolt RFQ_Foxlink_03.1 2011 4" xfId="30445"/>
    <cellStyle name="差_Creak Pearl Reliability Fixture RFQ_2009 04 24_Pearl RFQ(Submittal)ver2_05_12_2009 _Squirrel RFQ ME BOM Costs-0623_Bolt RFQ_Foxlink_03.1 2011 5" xfId="30446"/>
    <cellStyle name="差_Creak Pearl Reliability Fixture RFQ_2009 04 24_Pearl RFQ(Submittal)ver2_05_12_2009 _Squirrel RFQ ME BOM Costs-0623_Bolt RFQ_Foxlink_03.1 2011_nego meeting@MACH" xfId="30447"/>
    <cellStyle name="差_Creak Pearl Reliability Fixture RFQ_2009 04 24_Pearl RFQ(Submittal)ver2_05_12_2009 _Squirrel RFQ ME BOM Costs-0623_Bolt RFQ_Foxlink_03.1 2011_nego meeting@MACH 2" xfId="30448"/>
    <cellStyle name="差_Creak Pearl Reliability Fixture RFQ_2009 04 24_Pearl RFQ(Submittal)ver2_05_12_2009 _Squirrel RFQ ME BOM Costs-0623_Bolt RFQ_Foxlink_03.1 2011_nego meeting@MACH 2 2" xfId="30449"/>
    <cellStyle name="差_Creak Pearl Reliability Fixture RFQ_2009 04 24_Pearl RFQ(Submittal)ver2_05_12_2009 _Squirrel RFQ ME BOM Costs-0623_Bolt RFQ_Foxlink_03.1 2011_nego meeting@MACH 2 3" xfId="30450"/>
    <cellStyle name="差_Creak Pearl Reliability Fixture RFQ_2009 04 24_Pearl RFQ(Submittal)ver2_05_12_2009 _Squirrel RFQ ME BOM Costs-0623_Bolt RFQ_Foxlink_03.1 2011_nego meeting@MACH 3 2" xfId="30451"/>
    <cellStyle name="差_Creak Pearl Reliability Fixture RFQ_2009 04 24_Pearl RFQ(Submittal)ver2_05_12_2009 _Squirrel RFQ ME BOM Costs-0623_Bolt RFQ_Foxlink_03.1 2011_nego meeting@MACH 4" xfId="30452"/>
    <cellStyle name="差_Creak Pearl Reliability Fixture RFQ_2009 04 24_Pearl RFQ(Submittal)ver2_05_12_2009 _Squirrel RFQ ME BOM Costs-0623_Bolt RFQ_Foxlink_03.1 2011_nego meeting@MACH 5" xfId="30453"/>
    <cellStyle name="差_Flow Chart&amp;PQ分析(12-1)_Jackson 效益分析 (2-1 B0 上系統)_squirrel效益分析08-17" xfId="30454"/>
    <cellStyle name="差_Creak Pearl Reliability Fixture RFQ_2009 04 24_Pearl RFQ(Submittal)ver2_05_12_2009 _Squirrel RFQ ME BOM Costs-0624" xfId="30455"/>
    <cellStyle name="差_Creak Pearl Reliability Fixture RFQ_2009 04 24_Pearl RFQ(Submittal)ver2_05_12_2009 _Squirrel UniBom_Foxlink_6 28 2010" xfId="30456"/>
    <cellStyle name="差_Creak Pearl Reliability Fixture RFQ_2009 04 24_Pearl RFQ(Submittal)ver2_05_12_2009 _Squirrel UniBom-06.23.2010_update_internal" xfId="30457"/>
    <cellStyle name="差_Creak Pearl Reliability Fixture RFQ_2009 04 24_Pearl RFQ(Submittal)ver2_05_12_2009 _Squirrel UniBom-06.23.2010_update_internal 2 2 2" xfId="30458"/>
    <cellStyle name="差_Creak Pearl Reliability Fixture RFQ_2009 04 24_Pearl RFQ(Submittal)ver2_05_12_2009 _Squirrel UniBom-06.23.2010_update_internal 2 4" xfId="30459"/>
    <cellStyle name="差_Creak Pearl Reliability Fixture RFQ_2009 04 24_Pearl RFQ(Submittal)ver2_05_12_2009 _Squirrel UniBom-06.23.2010_update_internal 5" xfId="30460"/>
    <cellStyle name="差_HP Mouse 產能評估(Forecast更改後)_Erie 效益分析 (Update)_Flow chart and Fixture(Jackson)_A1_Jackson 效益分析 (2-1 B0 上系統)_Leopard效益分析08-17" xfId="30461"/>
    <cellStyle name="差_Creak Pearl Reliability Fixture RFQ_2009 04 24_Pearl RFQ(Submittal)ver2_05_12_2009 _Squirrel UniBom-06.23.2010_update_internal_Bolt RFQ Proposal_Foxlink_ (Pricing Summary) 2 25 2011" xfId="30462"/>
    <cellStyle name="差_MB9月管審換線超時8d_HP 2 3 2" xfId="30463"/>
    <cellStyle name="差_Creak Pearl Reliability Fixture RFQ_2009 04 24_Pearl RFQ(Submittal)ver2_05_12_2009 _Squirrel UniBom-06.23.2010_update_internal_Bolt RFQ Proposal_Foxlink_ (Pricing Summary) 2 25 2011 2 2" xfId="30464"/>
    <cellStyle name="差_Creak Pearl Reliability Fixture RFQ_2009 04 24_Pearl RFQ(Submittal)ver2_05_12_2009 _Squirrel UniBom-06.23.2010_update_internal_Bolt RFQ Proposal_Foxlink_ (Pricing Summary) 2 25 2011 2 2 2" xfId="30465"/>
    <cellStyle name="差_Creak Pearl Reliability Fixture RFQ_2009 04 24_Pearl RFQ(Submittal)ver2_05_12_2009 _Squirrel UniBom-06.23.2010_update_internal_Bolt RFQ Proposal_Foxlink_ (Pricing Summary) 2 25 2011 2 2 3" xfId="30466"/>
    <cellStyle name="差_MB9月管審換線超時8d_HP 2 3 3" xfId="30467"/>
    <cellStyle name="差_Creak Pearl Reliability Fixture RFQ_2009 04 24_Pearl RFQ(Submittal)ver2_05_12_2009 _Squirrel UniBom-06.23.2010_update_internal_Bolt RFQ Proposal_Foxlink_ (Pricing Summary) 2 25 2011 2 3" xfId="30468"/>
    <cellStyle name="差_Creak Pearl Reliability Fixture RFQ_2009 04 24_Pearl RFQ(Submittal)ver2_05_12_2009 _Squirrel UniBom-06.23.2010_update_internal_Bolt RFQ Proposal_Foxlink_ (Pricing Summary) 2 25 2011 3 2" xfId="30469"/>
    <cellStyle name="差_HP Mouse 產能評估(Forecast更改後)_Erie 效益分析 (Update)_Jackson 效益分析 (2-1 B0 上系統)_squirrel效益分析08-17" xfId="30470"/>
    <cellStyle name="差_Creak Pearl Reliability Fixture RFQ_2009 04 24_Pearl RFQ(Submittal)ver2_05_12_2009 _Squirrel UniBom-06.23.2010_update_internal_Bolt RFQ Proposal_Foxlink_ (Pricing Summary) 2 25 2011 4 2" xfId="30471"/>
    <cellStyle name="差_Creak Pearl Reliability Fixture RFQ_2009 04 24_Pearl RFQ(Submittal)ver2_05_12_2009 _Squirrel UniBom-06.23.2010_update_internal_Bolt RFQ Proposal_Foxlink_ (Pricing Summary) 2 25 2011 4 3" xfId="30472"/>
    <cellStyle name="差_MS Bolt wireless mouse FixtureEquipment Cost_A5_2010_02_21_Bolt RFQ Proposal_Foxlink_ (Pricing Summary) 2 25 2011 2 2" xfId="30473"/>
    <cellStyle name="差_Creak Pearl Reliability Fixture RFQ_2009 04 24_Pearl RFQ(Submittal)ver2_05_12_2009 _Squirrel UniBom-06.23.2010_update_internal_Bolt RFQ_Foxlink_03.1 2011 2" xfId="30474"/>
    <cellStyle name="差_MS Bolt wireless mouse FixtureEquipment Cost_A5_2010_02_21_Bolt RFQ Proposal_Foxlink_ (Pricing Summary) 2 25 2011 2 3" xfId="30475"/>
    <cellStyle name="差_Creak Pearl Reliability Fixture RFQ_2009 04 24_Pearl RFQ(Submittal)ver2_05_12_2009 _Squirrel UniBom-06.23.2010_update_internal_Bolt RFQ_Foxlink_03.1 2011 3" xfId="30476"/>
    <cellStyle name="差_Creak Pearl Reliability Fixture RFQ_2009 04 24_Pearl RFQ(Submittal)ver2_05_12_2009 _Squirrel UniBom-06.23.2010_update_internal_Bolt RFQ_Foxlink_03.1 2011 3 3" xfId="30477"/>
    <cellStyle name="差_Creak Pearl Reliability Fixture RFQ_2009 04 24_Pearl RFQ(Submittal)ver2_05_12_2009 _Squirrel UniBom-06.23.2010_update_internal_Bolt RFQ_Foxlink_03.1 2011 5" xfId="30478"/>
    <cellStyle name="差_Creak Pearl Reliability Fixture RFQ_2009 04 24_Squirrel RFQ ME BOM Costs-0623" xfId="30479"/>
    <cellStyle name="差_Creak Pearl Reliability Fixture RFQ_2009 04 24_Squirrel RFQ ME BOM Costs-0623 2" xfId="30480"/>
    <cellStyle name="差_Creak Pearl Reliability Fixture RFQ_2009 04 24_Squirrel RFQ ME BOM Costs-0623 2 4" xfId="30481"/>
    <cellStyle name="差_Creak Pearl Reliability Fixture RFQ_2009 04 24_Squirrel RFQ ME BOM Costs-0623 3" xfId="30482"/>
    <cellStyle name="差_Creak Pearl Reliability Fixture RFQ_2009 04 24_Squirrel RFQ ME BOM Costs-0623 3 3" xfId="30483"/>
    <cellStyle name="差_Creak Pearl Reliability Fixture RFQ_2009 04 24_Squirrel RFQ ME BOM Costs-0623_Bolt RFQ Proposal_Foxlink_ (Pricing Summary) 2 25 2011" xfId="30484"/>
    <cellStyle name="差_Creak Pearl Reliability Fixture RFQ_2009 04 24_Squirrel RFQ ME BOM Costs-0623_Bolt RFQ Proposal_Foxlink_ (Pricing Summary) 2 25 2011 2 2 2" xfId="30485"/>
    <cellStyle name="差_Creak Pearl Reliability Fixture RFQ_2009 04 24_Squirrel RFQ ME BOM Costs-0623_Bolt RFQ Proposal_Foxlink_ (Pricing Summary) 2 25 2011 2 2 3" xfId="30486"/>
    <cellStyle name="差_Creak Pearl Reliability Fixture RFQ_2009 04 24_Squirrel RFQ ME BOM Costs-0623_Bolt RFQ Proposal_Foxlink_ (Pricing Summary) 2 25 2011 2 3" xfId="30487"/>
    <cellStyle name="差_Creak Pearl Reliability Fixture RFQ_2009 04 24_Squirrel RFQ ME BOM Costs-0623_Bolt RFQ Proposal_Foxlink_ (Pricing Summary) 2 25 2011 2 4" xfId="30488"/>
    <cellStyle name="差_Creak Pearl Reliability Fixture RFQ_2009 04 24_Squirrel RFQ ME BOM Costs-0623_Bolt RFQ Proposal_Foxlink_ (Pricing Summary) 2 25 2011 3" xfId="30489"/>
    <cellStyle name="差_Creek RFQ feedback 04_28_2009_FD Update_Leopard_UniBOM_ME_0603-2 2 2 2" xfId="30490"/>
    <cellStyle name="差_Creak Pearl Reliability Fixture RFQ_2009 04 24_Squirrel RFQ ME BOM Costs-0623_Bolt RFQ Proposal_Foxlink_ (Pricing Summary) 2 25 2011 3 2" xfId="30491"/>
    <cellStyle name="差_Creak Pearl Reliability Fixture RFQ_2009 04 24_Squirrel RFQ ME BOM Costs-0623_Bolt RFQ Proposal_Foxlink_ (Pricing Summary) 2 25 2011 4" xfId="30492"/>
    <cellStyle name="差_Creek RFQ feedback 04_28_2009_FD Update_Leopard_UniBOM_ME_0603-2 2 2 3" xfId="30493"/>
    <cellStyle name="差_Creak Pearl Reliability Fixture RFQ_2009 04 24_Squirrel RFQ ME BOM Costs-0623_Bolt RFQ Proposal_Foxlink_ (Pricing Summary) 2 25 2011 4 2" xfId="30494"/>
    <cellStyle name="差_Creak Pearl Reliability Fixture RFQ_2009 04 24_Squirrel RFQ ME BOM Costs-0623_Bolt RFQ Proposal_Foxlink_ (Pricing Summary) 2 25 2011 4 3" xfId="30495"/>
    <cellStyle name="差_Creak Pearl Reliability Fixture RFQ_2009 04 24_Squirrel RFQ ME BOM Costs-0623_Bolt RFQ_Foxlink_03.1 2011 2 2" xfId="30496"/>
    <cellStyle name="差_Creak Pearl Reliability Fixture RFQ_2009 04 24_Squirrel RFQ ME BOM Costs-0623_Bolt RFQ_Foxlink_03.1 2011 3 2" xfId="30497"/>
    <cellStyle name="差_Creak Pearl Reliability Fixture RFQ_2009 04 24_Squirrel RFQ ME BOM Costs-0623_Bolt RFQ_Foxlink_03.1 2011 3 3" xfId="30498"/>
    <cellStyle name="差_Creek RFQ feedback 04_28_2009_FD Update_Leopard_UniBOM_ME_0603-2_Bolt RFQ Proposal_Foxlink_ (Pricing Summary) 2 25 2011 2 2 3" xfId="30499"/>
    <cellStyle name="差_Creak Pearl Reliability Fixture RFQ_2009 04 24_Squirrel RFQ ME BOM Costs-0623_Bolt RFQ_Foxlink_03.1 2011 4" xfId="30500"/>
    <cellStyle name="差_Creak Pearl Reliability Fixture RFQ_2009 04 24_Squirrel RFQ ME BOM Costs-0623_Bolt RFQ_Foxlink_03.1 2011_nego meeting@MACH" xfId="30501"/>
    <cellStyle name="差_Creak Pearl Reliability Fixture RFQ_2009 04 24_Squirrel RFQ ME BOM Costs-0623_Bolt RFQ_Foxlink_03.1 2011_nego meeting@MACH 2 3" xfId="30502"/>
    <cellStyle name="差_Creak Pearl Reliability Fixture RFQ_2009 04 24_Squirrel RFQ ME BOM Costs-0623_Bolt RFQ_Foxlink_03.1 2011_nego meeting@MACH 5" xfId="30503"/>
    <cellStyle name="差_HP Mouse 產能評估(上系統)_MS Bolt wireless mouse FixtureEquipment Cost_A5_2010_02_21 2 2" xfId="30504"/>
    <cellStyle name="差_Creak Pearl Reliability Fixture RFQ_2009 04 24_Squirrel UniBom-06 23 2010_update_internal" xfId="30505"/>
    <cellStyle name="差_Creak Pearl Reliability Fixture RFQ_2009 04 24_Squirrel UniBom-06.23.2010_update_internal" xfId="30506"/>
    <cellStyle name="差_Creak Pearl Reliability Fixture RFQ_2009 04 24_Squirrel UniBom-06.23.2010_update_internal 2 2 2" xfId="30507"/>
    <cellStyle name="差_Creak Pearl Reliability Fixture RFQ_2009 04 24_Squirrel UniBom-06.23.2010_update_internal_Bolt RFQ Proposal_Foxlink_ (Pricing Summary) 2 25 2011 2 2 2" xfId="30508"/>
    <cellStyle name="差_Creak Pearl Reliability Fixture RFQ_2009 04 24_Squirrel UniBom-06.23.2010_update_internal_Bolt RFQ Proposal_Foxlink_ (Pricing Summary) 2 25 2011 2 2 3" xfId="30509"/>
    <cellStyle name="壞_Creek Assembly Fixture  Test Equipment RFQ_20090427_Leopard RFQ ME BOM Costs-0618-2_Bolt RFQ_Foxlink_03.1 2011_nego meeting@MACH" xfId="30510"/>
    <cellStyle name="差_Creak Pearl Reliability Fixture RFQ_2009 04 24_Squirrel UniBom-06.23.2010_update_internal_Bolt RFQ Proposal_Foxlink_ (Pricing Summary) 2 25 2011 2 4" xfId="30511"/>
    <cellStyle name="差_Creak Pearl Reliability Fixture RFQ_2009 04 24_Squirrel UniBom-06.23.2010_update_internal_Bolt RFQ Proposal_Foxlink_ (Pricing Summary) 2 25 2011 3 2" xfId="30512"/>
    <cellStyle name="差_Creak Pearl Reliability Fixture RFQ_2009 04 24_Squirrel UniBom-06.23.2010_update_internal_Bolt RFQ Proposal_Foxlink_ (Pricing Summary) 2 25 2011 4 2" xfId="30513"/>
    <cellStyle name="差_Creak Pearl Reliability Fixture RFQ_2009 04 24_Squirrel UniBom-06.23.2010_update_internal_Bolt RFQ Proposal_Foxlink_ (Pricing Summary) 2 25 2011 5" xfId="30514"/>
    <cellStyle name="差_Xl0000002_Leopard_UniBOM_ME_0603-2_Bolt RFQ_Foxlink_03.1 2011 5" xfId="30515"/>
    <cellStyle name="差_Creak Pearl Reliability Fixture RFQ_2009 04 24_Squirrel UniBom-06.23.2010_update_internal_Bolt RFQ Proposal_Foxlink_ (Pricing Summary) 2 25 2011 5 2" xfId="30516"/>
    <cellStyle name="差_Creak Pearl Reliability Fixture RFQ_2009 04 24_Squirrel UniBom-06.23.2010_update_internal_Bolt RFQ Proposal_Foxlink_ (Pricing Summary) 2 25 2011 6" xfId="30517"/>
    <cellStyle name="差_Creak Pearl Reliability Fixture RFQ_2009 04 24_Squirrel UniBom-06.23.2010_update_internal_Bolt RFQ_Foxlink_03.1 2011 2 2" xfId="30518"/>
    <cellStyle name="差_Creak Pearl Reliability Fixture RFQ_2009 04 24_Squirrel UniBom-06.23.2010_update_internal_Bolt RFQ_Foxlink_03.1 2011 2 3" xfId="30519"/>
    <cellStyle name="差_Creak Pearl Reliability Fixture RFQ_2009 04 24_Squirrel UniBom-06.23.2010_update_internal_Bolt RFQ_Foxlink_03.1 2011 3 2" xfId="30520"/>
    <cellStyle name="差_Creak Pearl Reliability Fixture RFQ_2009 04 24_Squirrel UniBom-06.23.2010_update_internal_Bolt RFQ_Foxlink_03.1 2011 5" xfId="30521"/>
    <cellStyle name="差_Creak Pearl Reliability Fixture RFQ_2009 04 24_Squirrel UniBom-06.23.2010_update_internal_Bolt RFQ_Foxlink_03.1 2011_nego meeting@MACH" xfId="30522"/>
    <cellStyle name="差_Creak Pearl Reliability Fixture RFQ_2009 04 24_Squirrel UniBom-06.23.2010_update_internal_Bolt RFQ_Foxlink_03.1 2011_nego meeting@MACH 2" xfId="30523"/>
    <cellStyle name="差_Creak Pearl Reliability Fixture RFQ_2009 04 24_Squirrel UniBom-06.23.2010_update_internal_Bolt RFQ_Foxlink_03.1 2011_nego meeting@MACH 3" xfId="30524"/>
    <cellStyle name="差_Creek RFQ feedback 04_28_2009_FD Update_Squirrel RFQ ME BOM Costs-0623_Bolt RFQ_Foxlink_03.1 2011_nego meeting@MACH 5" xfId="30525"/>
    <cellStyle name="差_Creak Pearl Reliability Fixture RFQ_2009 04 24_Squirrel UniBom-06.23.2010_update_internal_Bolt RFQ_Foxlink_03.1 2011_nego meeting@MACH 3 3" xfId="30526"/>
    <cellStyle name="差_Creak Pearl Reliability Fixture RFQ_2009 04 24_Squirrel UniBom-06.23.2010_update_internal_Bolt RFQ_Foxlink_03.1 2011_nego meeting@MACH 4" xfId="30527"/>
    <cellStyle name="差_F3   SMT設備明細_Jackson 效益分析 (2-1 B0 上系統)_Leopard效益分析08-17" xfId="30528"/>
    <cellStyle name="差_Creak Pearl Reliability Fixture RFQ_2009 04 24_Xl0000002" xfId="30529"/>
    <cellStyle name="差_Creak Pearl Reliability Fixture RFQ_2009 04 24_Xl0000002 2 2 2" xfId="30530"/>
    <cellStyle name="差_pq_Flow Chart&amp;設備治工具清單 _Jackson 效益分析 (2-1 B0 上系統)_Leopard效益分析08-17" xfId="30531"/>
    <cellStyle name="差_Creak Pearl Reliability Fixture RFQ_2009 04 24_Xl0000002 2 2 3" xfId="30532"/>
    <cellStyle name="差_Creak Pearl Reliability Fixture RFQ_2009 04 24_Xl0000002 2 3" xfId="30533"/>
    <cellStyle name="差_Creak Pearl Reliability Fixture RFQ_2009 04 24_Xl0000002 2 4" xfId="30534"/>
    <cellStyle name="差_Creak Pearl Reliability Fixture RFQ_2009 04 24_Xl0000002_Bolt RFQ Proposal_Foxlink_ (Pricing Summary) 2 25 2011" xfId="30535"/>
    <cellStyle name="差_Xl0000002_Jackson and Shadow BOM cost_mainfile_2010 0324 rev.1" xfId="30536"/>
    <cellStyle name="差_Creak Pearl Reliability Fixture RFQ_2009 04 24_Xl0000002_Bolt RFQ Proposal_Foxlink_ (Pricing Summary) 2 25 2011 2" xfId="30537"/>
    <cellStyle name="差_Creak Pearl Reliability Fixture RFQ_2009 04 24_Xl0000002_Bolt RFQ Proposal_Foxlink_ (Pricing Summary) 2 25 2011 2 2 3" xfId="30538"/>
    <cellStyle name="差_Creak Pearl Reliability Fixture RFQ_2009 04 24_Xl0000002_Bolt RFQ Proposal_Foxlink_ (Pricing Summary) 2 25 2011 2 3" xfId="30539"/>
    <cellStyle name="差_Creak Pearl Reliability Fixture RFQ_2009 04 24_Xl0000002_Bolt RFQ Proposal_Foxlink_ (Pricing Summary) 2 25 2011 4 2" xfId="30540"/>
    <cellStyle name="差_Creak Pearl Reliability Fixture RFQ_2009 04 24_Xl0000002_Bolt RFQ Proposal_Foxlink_ (Pricing Summary) 2 25 2011 4 3" xfId="30541"/>
    <cellStyle name="差_Creak Pearl Reliability Fixture RFQ_2009 04 24_Xl0000002_Bolt RFQ Proposal_Foxlink_ (Pricing Summary) 2 25 2011 5" xfId="30542"/>
    <cellStyle name="差_Creak Pearl Reliability Fixture RFQ_2009 04 24_Xl0000002_Bolt RFQ Proposal_Foxlink_ (Pricing Summary) 2 25 2011 6" xfId="30543"/>
    <cellStyle name="差_Creak Pearl Reliability Fixture RFQ_2009 04 24_Xl0000002_Bolt RFQ_Foxlink_03.1 2011 2" xfId="30544"/>
    <cellStyle name="差_Creak Pearl Reliability Fixture RFQ_2009 04 24_Xl0000002_Bolt RFQ_Foxlink_03.1 2011 3 2" xfId="30545"/>
    <cellStyle name="差_HP Mouse 產能評估(Forecast更改後)_Erie 效益分析 (Update)_Jackson 效益分析 testing update_16th Jan1_Jackson 效益分析 (2-1 B0 上系統)_squirrel效益分析08-17" xfId="30546"/>
    <cellStyle name="差_Creak Pearl Reliability Fixture RFQ_2009 04 24_Xl0000002_Bolt RFQ_Foxlink_03.1 2011 3 3" xfId="30547"/>
    <cellStyle name="差_Creak Pearl Reliability Fixture RFQ_2009 04 24_Xl0000002_Bolt RFQ_Foxlink_03.1 2011 4" xfId="30548"/>
    <cellStyle name="差_Creek RFQ feedback 04_28_2009_FD Update_Squirrel RFQ ME BOM Costs-0623_Bolt RFQ Proposal_Foxlink_ (Pricing Summary) 2 25 2011 3 2" xfId="30549"/>
    <cellStyle name="差_Creak Pearl Reliability Fixture RFQ_2009 04 24_Xl0000002_Bolt RFQ_Foxlink_03.1 2011 5" xfId="30550"/>
    <cellStyle name="差_Creek RFQ feedback 04_28_2009_FD Update_Squirrel RFQ ME BOM Costs-0623_Bolt RFQ Proposal_Foxlink_ (Pricing Summary) 2 25 2011 3 3" xfId="30551"/>
    <cellStyle name="差_Creak Pearl Reliability Fixture RFQ_2009 04 24_Xl0000002_Bolt RFQ_Foxlink_03.1 2011_nego meeting@MACH 2 2" xfId="30552"/>
    <cellStyle name="差_Creak Pearl Reliability Fixture RFQ_2009 04 24_Xl0000002_Bolt RFQ_Foxlink_03.1 2011_nego meeting@MACH 2 3" xfId="30553"/>
    <cellStyle name="壞_Creek Assembly Fixture  Test Equipment RFQ_20090427_Xl0000002_Leopard_UniBOM_ME_0602-1_Bolt RFQ_Foxlink_03.1 2011 2 2" xfId="30554"/>
    <cellStyle name="差_Creak Pearl Reliability Fixture RFQ_2009 04 24_Xl0000002_Foxlink_Shadow RFQ NREUni BOM_12032009 2 2 3" xfId="30555"/>
    <cellStyle name="差_Creak Pearl Reliability Fixture RFQ_2009 04 24_Xl0000002_Foxlink_Shadow RFQ NREUni BOM_12032009 2 3" xfId="30556"/>
    <cellStyle name="差_Creak Pearl Reliability Fixture RFQ_2009 04 24_Xl0000002_Foxlink_Shadow RFQ NREUni BOM_12032009 3" xfId="30557"/>
    <cellStyle name="差_Xl0000002_Foxlink_Shadow RFQ NREUni BOM_12032009_Bolt RFQ_Foxlink_03.1 2011 5" xfId="30558"/>
    <cellStyle name="差_Creak Pearl Reliability Fixture RFQ_2009 04 24_Xl0000002_Foxlink_Shadow RFQ NREUni BOM_12032009_Bolt RFQ Proposal_Foxlink_ (Pricing Summary) 2 25 2011" xfId="30559"/>
    <cellStyle name="差_dallas產能評估_Dallas flow chart&amp;設備&amp;治工具清單(12-8 A0)_squirrel效益分析08-17" xfId="30560"/>
    <cellStyle name="差_Creak Pearl Reliability Fixture RFQ_2009 04 24_Xl0000002_Foxlink_Shadow RFQ NREUni BOM_12032009_Bolt RFQ Proposal_Foxlink_ (Pricing Summary) 2 25 2011 2 2 2" xfId="30561"/>
    <cellStyle name="差_Creak Pearl Reliability Fixture RFQ_2009 04 24_Xl0000002_Foxlink_Shadow RFQ NREUni BOM_12032009_Bolt RFQ Proposal_Foxlink_ (Pricing Summary) 2 25 2011 2 2 3" xfId="30562"/>
    <cellStyle name="差_Creak Pearl Reliability Fixture RFQ_2009 04 24_Xl0000002_Foxlink_Shadow RFQ NREUni BOM_12032009_Bolt RFQ Proposal_Foxlink_ (Pricing Summary) 2 25 2011 2 4" xfId="30563"/>
    <cellStyle name="差_Creak Pearl Reliability Fixture RFQ_2009 04 24_Xl0000002_Foxlink_Shadow RFQ NREUni BOM_12032009_Bolt RFQ Proposal_Foxlink_ (Pricing Summary) 2 25 2011 3" xfId="30564"/>
    <cellStyle name="差_Creak Pearl Reliability Fixture RFQ_2009 04 24_Xl0000002_Squirrel RFQ ME BOM Costs-0623 3" xfId="30565"/>
    <cellStyle name="差_Creak Pearl Reliability Fixture RFQ_2009 04 24_Xl0000002_Foxlink_Shadow RFQ NREUni BOM_12032009_Bolt RFQ Proposal_Foxlink_ (Pricing Summary) 2 25 2011 3 2" xfId="30566"/>
    <cellStyle name="差_Creak Pearl Reliability Fixture RFQ_2009 04 24_Xl0000002_Foxlink_Shadow RFQ NREUni BOM_12032009_Bolt RFQ Proposal_Foxlink_ (Pricing Summary) 2 25 2011 3 3" xfId="30567"/>
    <cellStyle name="差_Creak Pearl Reliability Fixture RFQ_2009 04 24_Xl0000002_Foxlink_Shadow RFQ NREUni BOM_12032009_Bolt RFQ Proposal_Foxlink_ (Pricing Summary) 2 25 2011 4" xfId="30568"/>
    <cellStyle name="差_Creak Pearl Reliability Fixture RFQ_2009 04 24_Xl0000002_Foxlink_Shadow RFQ NREUni BOM_12032009_Bolt RFQ Proposal_Foxlink_ (Pricing Summary) 2 25 2011 4 2" xfId="30569"/>
    <cellStyle name="差_Creak Pearl Reliability Fixture RFQ_2009 04 24_Xl0000002_Foxlink_Shadow RFQ NREUni BOM_12032009_Bolt RFQ Proposal_Foxlink_ (Pricing Summary) 2 25 2011 4 3" xfId="30570"/>
    <cellStyle name="差_Creak Pearl Reliability Fixture RFQ_2009 04 24_Xl0000002_Foxlink_Shadow RFQ NREUni BOM_12032009_Bolt RFQ Proposal_Foxlink_ (Pricing Summary) 2 25 2011 5" xfId="30571"/>
    <cellStyle name="差_Creak Pearl Reliability Fixture RFQ_2009 04 24_Xl0000002_Foxlink_Shadow RFQ NREUni BOM_12032009_Bolt RFQ Proposal_Foxlink_ (Pricing Summary) 2 25 2011 5 2" xfId="30572"/>
    <cellStyle name="差_Creak Pearl Reliability Fixture RFQ_2009 04 24_Xl0000002_Foxlink_Shadow RFQ NREUni BOM_12032009_Bolt RFQ Proposal_Foxlink_ (Pricing Summary) 2 25 2011 6" xfId="30573"/>
    <cellStyle name="差_Creak Pearl Reliability Fixture RFQ_2009 04 24_Xl0000002_Foxlink_Shadow RFQ NREUni BOM_12032009_Bolt RFQ Proposal_Foxlink_ (Pricing Summary) 2 25 2011 7" xfId="30574"/>
    <cellStyle name="差_Creak Pearl Reliability Fixture RFQ_2009 04 24_Xl0000002_Foxlink_Shadow RFQ NREUni BOM_12032009_Bolt RFQ_Foxlink_03.1 2011" xfId="30575"/>
    <cellStyle name="壞_foxlink Bristol for 10063D-2010-10-11_Bristol ME parts tooling cost 20101022 updated_Bristol TC Estimate Update 07292011_internal from Tony" xfId="30576"/>
    <cellStyle name="差_Creak Pearl Reliability Fixture RFQ_2009 04 24_Xl0000002_Foxlink_Shadow RFQ NREUni BOM_12032009_Bolt RFQ_Foxlink_03.1 2011 3 3" xfId="30577"/>
    <cellStyle name="差_Creak Pearl Reliability Fixture RFQ_2009 04 24_Xl0000002_Foxlink_Shadow RFQ NREUni BOM_12032009_Bolt RFQ_Foxlink_03.1 2011 4" xfId="30578"/>
    <cellStyle name="差_Creak Pearl Reliability Fixture RFQ_2009 04 24_Xl0000002_Foxlink_Shadow RFQ NREUni BOM_12032009_Bolt RFQ_Foxlink_03.1 2011 5" xfId="30579"/>
    <cellStyle name="差_Creak Pearl Reliability Fixture RFQ_2009 04 24_Xl0000002_Foxlink_Shadow RFQ NREUni BOM_12032009_Bolt RFQ_Foxlink_03.1 2011_nego meeting@MACH" xfId="30580"/>
    <cellStyle name="差_F3   SMT設備明細_Bolt RFQ Proposal_Foxlink_ (Pricing Summary) 2 25 2011 7" xfId="30581"/>
    <cellStyle name="差_Creak Pearl Reliability Fixture RFQ_2009 04 24_Xl0000002_Foxlink_Shadow RFQ NREUni BOM_12032009_Bolt RFQ_Foxlink_03.1 2011_nego meeting@MACH 2" xfId="30582"/>
    <cellStyle name="差_Creak Pearl Reliability Fixture RFQ_2009 04 24_Xl0000002_Foxlink_Shadow RFQ NREUni BOM_12032009_Bolt RFQ_Foxlink_03.1 2011_nego meeting@MACH 2 2" xfId="30583"/>
    <cellStyle name="差_Creak Pearl Reliability Fixture RFQ_2009 04 24_Xl0000002_Foxlink_Shadow RFQ NREUni BOM_12032009_Bolt RFQ_Foxlink_03.1 2011_nego meeting@MACH 2 3" xfId="30584"/>
    <cellStyle name="差_HP Mouse 產能評估(上系統)_M1 Bolt wireless mouse FixtureEquipment Cost_A2_2010_12_07 2" xfId="30585"/>
    <cellStyle name="差_Xl0000000_Bolt RFQ_Foxlink_03.1 2011_nego meeting@MACH 3 3" xfId="30586"/>
    <cellStyle name="差_Creak Pearl Reliability Fixture RFQ_2009 04 24_Xl0000002_Jackson and Shadow BOM cost_mainfile_2010 0324 rev.1" xfId="30587"/>
    <cellStyle name="差_Creak Pearl Reliability Fixture RFQ_2009 04 24_Xl0000002_Jackson and Shadow BOM cost_mainfile_2010 0324 rev.1_Leopard UniBom_Foxlink_12272010 RevF_shirley" xfId="30588"/>
    <cellStyle name="差_F3   SMT設備明細_jupite r設備&amp;治工具LIST (總)_Dallas效益分析&amp;投資回收期 (12-2 A1)_Jackson 效益分析 testing update_16th Jan1" xfId="30589"/>
    <cellStyle name="差_Creak Pearl Reliability Fixture RFQ_2009 04 24_Xl0000002_Leopard Lemur Squirrel UniBom-06.22.2010_EE cost _update_internal" xfId="30590"/>
    <cellStyle name="差_Creak Pearl Reliability Fixture RFQ_2009 04 24_Xl0000002_Leopard Lemur Squirrel UniBom-06.22.2010_EE cost _update_internal 2" xfId="30591"/>
    <cellStyle name="差_Creak Pearl Reliability Fixture RFQ_2009 04 24_Xl0000002_Leopard Lemur Squirrel UniBom-06.22.2010_EE cost _update_internal 2 3" xfId="30592"/>
    <cellStyle name="差_Creak Pearl Reliability Fixture RFQ_2009 04 24_Xl0000002_Leopard Lemur Squirrel UniBom-06.22.2010_EE cost _update_internal 2 4" xfId="30593"/>
    <cellStyle name="差_Creak Pearl Reliability Fixture RFQ_2009 04 24_Xl0000002_Leopard Lemur Squirrel UniBom-06.22.2010_EE cost _update_internal 3 3" xfId="30594"/>
    <cellStyle name="差_Creak Pearl Reliability Fixture RFQ_2009 04 24_Xl0000002_Leopard Lemur Squirrel UniBom-06.22.2010_EE cost _update_internal_Bolt RFQ Proposal_Foxlink_ (Pricing Summary) 2 25 2011 2 2" xfId="30595"/>
    <cellStyle name="差_Creak Pearl Reliability Fixture RFQ_2009 04 24_Xl0000002_Leopard Lemur Squirrel UniBom-06.22.2010_EE cost _update_internal_Bolt RFQ Proposal_Foxlink_ (Pricing Summary) 2 25 2011 2 2 2" xfId="30596"/>
    <cellStyle name="差_Creak Pearl Reliability Fixture RFQ_2009 04 24_Xl0000002_Leopard Lemur Squirrel UniBom-06.22.2010_EE cost _update_internal_Bolt RFQ Proposal_Foxlink_ (Pricing Summary) 2 25 2011 2 2 3" xfId="30597"/>
    <cellStyle name="差_Creak Pearl Reliability Fixture RFQ_2009 04 24_Xl0000002_Leopard Lemur Squirrel UniBom-06.22.2010_EE cost _update_internal_Bolt RFQ Proposal_Foxlink_ (Pricing Summary) 2 25 2011 3 2" xfId="30598"/>
    <cellStyle name="差_Creak Pearl Reliability Fixture RFQ_2009 04 24_Xl0000002_Leopard Lemur Squirrel UniBom-06.22.2010_EE cost _update_internal_Bolt RFQ Proposal_Foxlink_ (Pricing Summary) 2 25 2011 3 3" xfId="30599"/>
    <cellStyle name="差_Creak Pearl Reliability Fixture RFQ_2009 04 24_Xl0000002_Leopard Lemur Squirrel UniBom-06.22.2010_EE cost _update_internal_Bolt RFQ Proposal_Foxlink_ (Pricing Summary) 2 25 2011 4" xfId="30600"/>
    <cellStyle name="差_Creak Pearl Reliability Fixture RFQ_2009 04 24_Xl0000002_Leopard Lemur Squirrel UniBom-06.22.2010_EE cost _update_internal_Bolt RFQ Proposal_Foxlink_ (Pricing Summary) 2 25 2011 5 2" xfId="30601"/>
    <cellStyle name="差_Creak Pearl Reliability Fixture RFQ_2009 04 24_Xl0000002_Leopard Lemur Squirrel UniBom-06.22.2010_EE cost _update_internal_Bolt RFQ_Foxlink_03.1 2011" xfId="30602"/>
    <cellStyle name="差_Creak Pearl Reliability Fixture RFQ_2009 04 24_Xl0000002_Leopard Lemur Squirrel UniBom-06.22.2010_EE cost _update_internal_Bolt RFQ_Foxlink_03.1 2011 2 3" xfId="30603"/>
    <cellStyle name="差_Creak Pearl Reliability Fixture RFQ_2009 04 24_Xl0000002_Leopard Lemur Squirrel UniBom-06.22.2010_EE cost _update_internal_Bolt RFQ_Foxlink_03.1 2011 4" xfId="30604"/>
    <cellStyle name="差_Creak Pearl Reliability Fixture RFQ_2009 04 24_Xl0000002_Leopard Lemur Squirrel UniBom-06.22.2010_EE cost _update_internal_Bolt RFQ_Foxlink_03.1 2011 5" xfId="30605"/>
    <cellStyle name="差_Creak Pearl Reliability Fixture RFQ_2009 04 24_Xl0000002_Leopard Lemur Squirrel UniBom-06.22.2010_EE cost _update_internal_Bolt RFQ_Foxlink_03.1 2011_nego meeting@MACH 2" xfId="30606"/>
    <cellStyle name="差_Creak Pearl Reliability Fixture RFQ_2009 04 24_Xl0000002_Leopard RFQ ME BOM Costs-0618 2 2 2" xfId="30607"/>
    <cellStyle name="差_Creak Pearl Reliability Fixture RFQ_2009 04 24_Xl0000002_Leopard RFQ ME BOM Costs-0618 3 2" xfId="30608"/>
    <cellStyle name="差_jupite r設備&amp;治工具LIST (總)_Flow Chart&amp;PQ分析(12-1)_Flow chart and Fixture(Jackson)_A1" xfId="30609"/>
    <cellStyle name="差_Creak Pearl Reliability Fixture RFQ_2009 04 24_Xl0000002_Leopard RFQ ME BOM Costs-0618 3 3" xfId="30610"/>
    <cellStyle name="差_Creak Pearl Reliability Fixture RFQ_2009 04 24_Xl0000002_Leopard RFQ ME BOM Costs-0618_Bolt RFQ Proposal_Foxlink_ (Pricing Summary) 2 25 2011" xfId="30611"/>
    <cellStyle name="差_Creak Pearl Reliability Fixture RFQ_2009 04 24_Xl0000002_Leopard RFQ ME BOM Costs-0618_Bolt RFQ Proposal_Foxlink_ (Pricing Summary) 2 25 2011 2" xfId="30612"/>
    <cellStyle name="差_Creak Pearl Reliability Fixture RFQ_2009 04 24_Xl0000002_Leopard RFQ ME BOM Costs-0618_Bolt RFQ Proposal_Foxlink_ (Pricing Summary) 2 25 2011 2 2" xfId="30613"/>
    <cellStyle name="差_Creak Pearl Reliability Fixture RFQ_2009 04 24_Xl0000002_Leopard RFQ ME BOM Costs-0618_Bolt RFQ Proposal_Foxlink_ (Pricing Summary) 2 25 2011 2 2 3" xfId="30614"/>
    <cellStyle name="差_Creak Pearl Reliability Fixture RFQ_2009 04 24_Xl0000002_Leopard RFQ ME BOM Costs-0618_Bolt RFQ Proposal_Foxlink_ (Pricing Summary) 2 25 2011 3" xfId="30615"/>
    <cellStyle name="差_Creak Pearl Reliability Fixture RFQ_2009 04 24_Xl0000002_Leopard RFQ ME BOM Costs-0618_Bolt RFQ Proposal_Foxlink_ (Pricing Summary) 2 25 2011 4" xfId="30616"/>
    <cellStyle name="差_Creak Pearl Reliability Fixture RFQ_2009 04 24_Xl0000002_Leopard RFQ ME BOM Costs-0618_Bolt RFQ Proposal_Foxlink_ (Pricing Summary) 2 25 2011 4 3" xfId="30617"/>
    <cellStyle name="差_Creak Pearl Reliability Fixture RFQ_2009 04 24_Xl0000002_Leopard RFQ ME BOM Costs-0618_Bolt RFQ_Foxlink_03.1 2011 5" xfId="30618"/>
    <cellStyle name="差_Creak Pearl Reliability Fixture RFQ_2009 04 24_Xl0000002_Leopard RFQ ME BOM Costs-0618_Bolt RFQ_Foxlink_03.1 2011_nego meeting@MACH" xfId="30619"/>
    <cellStyle name="差_Creak Pearl Reliability Fixture RFQ_2009 04 24_Xl0000002_Leopard RFQ ME BOM Costs-0618_Bolt RFQ_Foxlink_03.1 2011_nego meeting@MACH 2 2" xfId="30620"/>
    <cellStyle name="差_Creak Pearl Reliability Fixture RFQ_2009 04 24_Xl0000002_Leopard RFQ ME BOM Costs-0618_Bolt RFQ_Foxlink_03.1 2011_nego meeting@MACH 3" xfId="30621"/>
    <cellStyle name="差_Creak Pearl Reliability Fixture RFQ_2009 04 24_Xl0000002_Leopard RFQ ME BOM Costs-0618_Bolt RFQ_Foxlink_03.1 2011_nego meeting@MACH 3 2" xfId="30622"/>
    <cellStyle name="差_Creak Pearl Reliability Fixture RFQ_2009 04 24_Xl0000002_Leopard RFQ ME BOM Costs-0618_Bolt RFQ_Foxlink_03.1 2011_nego meeting@MACH 5" xfId="30623"/>
    <cellStyle name="差_Creak Pearl Reliability Fixture RFQ_2009 04 24_Xl0000002_Leopard RFQ ME BOM Costs-0618-2 2 2 2" xfId="30624"/>
    <cellStyle name="差_Creak Pearl Reliability Fixture RFQ_2009 04 24_Xl0000002_Leopard RFQ ME BOM Costs-0618-2 2 2 3" xfId="30625"/>
    <cellStyle name="差_Creak Pearl Reliability Fixture RFQ_2009 04 24_Xl0000002_Leopard RFQ ME BOM Costs-0618-2 2 3" xfId="30626"/>
    <cellStyle name="差_Creak Pearl Reliability Fixture RFQ_2009 04 24_Xl0000002_Leopard RFQ ME BOM Costs-0618-2 2 4" xfId="30627"/>
    <cellStyle name="差_Creak Pearl Reliability Fixture RFQ_2009 04 24_Xl0000002_Leopard RFQ ME BOM Costs-0618-2 3 2" xfId="30628"/>
    <cellStyle name="差_Creak Pearl Reliability Fixture RFQ_2009 04 24_Xl0000002_Leopard RFQ ME BOM Costs-0618-2_Bolt RFQ Proposal_Foxlink_ (Pricing Summary) 2 25 2011 2" xfId="30629"/>
    <cellStyle name="差_Creak Pearl Reliability Fixture RFQ_2009 04 24_Xl0000002_Leopard RFQ ME BOM Costs-0618-2_Bolt RFQ Proposal_Foxlink_ (Pricing Summary) 2 25 2011 2 2 2" xfId="30630"/>
    <cellStyle name="差_Creak Pearl Reliability Fixture RFQ_2009 04 24_Xl0000002_Leopard RFQ ME BOM Costs-0618-2_Bolt RFQ Proposal_Foxlink_ (Pricing Summary) 2 25 2011 2 2 3" xfId="30631"/>
    <cellStyle name="差_Creak Pearl Reliability Fixture RFQ_2009 04 24_Xl0000002_Leopard RFQ ME BOM Costs-0618-2_Bolt RFQ Proposal_Foxlink_ (Pricing Summary) 2 25 2011 2 3" xfId="30632"/>
    <cellStyle name="差_Creak Pearl Reliability Fixture RFQ_2009 04 24_Xl0000002_Leopard RFQ ME BOM Costs-0618-2_Bolt RFQ Proposal_Foxlink_ (Pricing Summary) 2 25 2011 2 4" xfId="30633"/>
    <cellStyle name="差_Creak Pearl Reliability Fixture RFQ_2009 04 24_Xl0000002_Leopard RFQ ME BOM Costs-0618-2_Bolt RFQ Proposal_Foxlink_ (Pricing Summary) 2 25 2011 3" xfId="30634"/>
    <cellStyle name="差_Creak Pearl Reliability Fixture RFQ_2009 04 24_Xl0000002_Squirrel UniBom-06.23.2010_update_internal" xfId="30635"/>
    <cellStyle name="差_Creak Pearl Reliability Fixture RFQ_2009 04 24_Xl0000002_Leopard RFQ ME BOM Costs-0618-2_Bolt RFQ Proposal_Foxlink_ (Pricing Summary) 2 25 2011 3 2" xfId="30636"/>
    <cellStyle name="差_Creak Pearl Reliability Fixture RFQ_2009 04 24_Xl0000002_Leopard RFQ ME BOM Costs-0618-2_Bolt RFQ Proposal_Foxlink_ (Pricing Summary) 2 25 2011 4" xfId="30637"/>
    <cellStyle name="差_Creak Pearl Reliability Fixture RFQ_2009 04 24_Xl0000002_Leopard RFQ ME BOM Costs-0618-2_Bolt RFQ Proposal_Foxlink_ (Pricing Summary) 2 25 2011 4 3" xfId="30638"/>
    <cellStyle name="差_Creak Pearl Reliability Fixture RFQ_2009 04 24_Xl0000002_Leopard RFQ ME BOM Costs-0618-2_Bolt RFQ Proposal_Foxlink_ (Pricing Summary) 2 25 2011 5" xfId="30639"/>
    <cellStyle name="差_Creak Pearl Reliability Fixture RFQ_2009 04 24_Xl0000002_Leopard RFQ ME BOM Costs-0618-2_Bolt RFQ Proposal_Foxlink_ (Pricing Summary) 2 25 2011 5 3" xfId="30640"/>
    <cellStyle name="壞_Creek Assembly Fixture  Test Equipment RFQ_20090427_Xl0000002_Leopard_UniBOM_ME_0602-1_Bolt RFQ Proposal_Foxlink_ (Pricing Summary) 2 25 2011 3" xfId="30641"/>
    <cellStyle name="差_Creak Pearl Reliability Fixture RFQ_2009 04 24_Xl0000002_Leopard RFQ ME BOM Costs-0618-2_Bolt RFQ Proposal_Foxlink_ (Pricing Summary) 2 25 2011 7" xfId="30642"/>
    <cellStyle name="差_MB9月管審誤判超標 8D 2 3 2" xfId="30643"/>
    <cellStyle name="差_Creak Pearl Reliability Fixture RFQ_2009 04 24_Xl0000002_Leopard RFQ ME BOM Costs-0618-2_Bolt RFQ_Foxlink_03.1 2011" xfId="30644"/>
    <cellStyle name="差_Creak Pearl Reliability Fixture RFQ_2009 04 24_Xl0000002_Leopard RFQ ME BOM Costs-0618-2_Bolt RFQ_Foxlink_03.1 2011 2" xfId="30645"/>
    <cellStyle name="差_Creak Pearl Reliability Fixture RFQ_2009 04 24_Xl0000002_Leopard RFQ ME BOM Costs-0618-2_Bolt RFQ_Foxlink_03.1 2011 2 2" xfId="30646"/>
    <cellStyle name="差_Creak Pearl Reliability Fixture RFQ_2009 04 24_Xl0000002_Leopard RFQ ME BOM Costs-0618-2_Bolt RFQ_Foxlink_03.1 2011 3" xfId="30647"/>
    <cellStyle name="差_Creak Pearl Reliability Fixture RFQ_2009 04 24_Xl0000002_Leopard RFQ ME BOM Costs-0618-2_Bolt RFQ_Foxlink_03.1 2011 3 2" xfId="30648"/>
    <cellStyle name="差_Creak Pearl Reliability Fixture RFQ_2009 04 24_Xl0000002_Leopard RFQ ME BOM Costs-0618-2_Bolt RFQ_Foxlink_03.1 2011 3 3" xfId="30649"/>
    <cellStyle name="差_Erie mouse 效益分析( 11-19 A1)_~5631336_Jackson 效益分析 (2-1 B0 上系統)" xfId="30650"/>
    <cellStyle name="差_Creak Pearl Reliability Fixture RFQ_2009 04 24_Xl0000002_Leopard RFQ ME BOM Costs-0618-2_Bolt RFQ_Foxlink_03.1 2011 4" xfId="30651"/>
    <cellStyle name="差_Creak Pearl Reliability Fixture RFQ_2009 04 24_Xl0000002_Leopard RFQ ME BOM Costs-0618-2_Bolt RFQ_Foxlink_03.1 2011_nego meeting@MACH 3" xfId="30652"/>
    <cellStyle name="差_Creak Pearl Reliability Fixture RFQ_2009 04 24_Xl0000002_Leopard RFQ ME BOM Costs-0618-2_Bolt RFQ_Foxlink_03.1 2011_nego meeting@MACH 3 2" xfId="30653"/>
    <cellStyle name="差_治具工程課2009年KPI_KPI 1006 6 2" xfId="30654"/>
    <cellStyle name="差_Creak Pearl Reliability Fixture RFQ_2009 04 24_Xl0000002_Leopard RFQ ME BOM Costs-0618-2_Bolt RFQ_Foxlink_03.1 2011_nego meeting@MACH 4" xfId="30655"/>
    <cellStyle name="差_治具工程課2009年KPI_KPI 1006 6 3" xfId="30656"/>
    <cellStyle name="差_Creak Pearl Reliability Fixture RFQ_2009 04 24_Xl0000002_Leopard RFQ ME BOM Costs-0618-2_Bolt RFQ_Foxlink_03.1 2011_nego meeting@MACH 5" xfId="30657"/>
    <cellStyle name="差_HP  專案(設備&amp;治工具需夠買)update_M1 SuedeFixtureEquipment Cost_A0_2010_10_15_Bolt RFQ Proposal_Foxlink_ (Pricing Summary) 2 25 2011 3 3" xfId="30658"/>
    <cellStyle name="差_Creak Pearl Reliability Fixture RFQ_2009 04 24_Xl0000002_Leopard UniBom_Foxlink_12092010 RevD-jen" xfId="30659"/>
    <cellStyle name="差_Creak Pearl Reliability Fixture RFQ_2009 04 24_Xl0000002_Leopard UniBom_Foxlink_6 21 2010-ME_nego 2 2" xfId="30660"/>
    <cellStyle name="差_Creak Pearl Reliability Fixture RFQ_2009 04 24_Xl0000002_Leopard UniBom_Foxlink_6 21 2010-ME_nego 2 2 2" xfId="30661"/>
    <cellStyle name="差_dallas產能評估_Dallas flow chart&amp;設備&amp;治工具清單(12-8 A0)_Flow chart and Fixture(Jackson)_A1_Jackson 效益分析 (2-1 B0 上系統)" xfId="30662"/>
    <cellStyle name="差_Creak Pearl Reliability Fixture RFQ_2009 04 24_Xl0000002_Leopard UniBom_Foxlink_6 21 2010-ME_nego 2 2 3" xfId="30663"/>
    <cellStyle name="差_Creak Pearl Reliability Fixture RFQ_2009 04 24_Xl0000002_Leopard UniBom_Foxlink_6 21 2010-ME_nego 2 3" xfId="30664"/>
    <cellStyle name="差_Creak Pearl Reliability Fixture RFQ_2009 04 24_Xl0000002_Leopard UniBom_Foxlink_6 21 2010-ME_nego_Bolt RFQ Proposal_Foxlink_ (Pricing Summary) 2 25 2011 2 2 3" xfId="30665"/>
    <cellStyle name="差_Creak Pearl Reliability Fixture RFQ_2009 04 24_Xl0000002_Leopard UniBom_Foxlink_6 21 2010-ME_nego_Bolt RFQ Proposal_Foxlink_ (Pricing Summary) 2 25 2011 2 3" xfId="30666"/>
    <cellStyle name="差_Creak Pearl Reliability Fixture RFQ_2009 04 24_Xl0000002_Leopard UniBom_Foxlink_6 21 2010-ME_nego_Bolt RFQ Proposal_Foxlink_ (Pricing Summary) 2 25 2011 2 4" xfId="30667"/>
    <cellStyle name="差_Creak Pearl Reliability Fixture RFQ_2009 04 24_Xl0000002_Leopard UniBom_Foxlink_6 21 2010-ME_nego_Bolt RFQ Proposal_Foxlink_ (Pricing Summary) 2 25 2011 3 3" xfId="30668"/>
    <cellStyle name="差_Creak Pearl Reliability Fixture RFQ_2009 04 24_Xl0000002_Leopard UniBom_Foxlink_6 21 2010-ME_nego_Bolt RFQ Proposal_Foxlink_ (Pricing Summary) 2 25 2011 4" xfId="30669"/>
    <cellStyle name="差_Creak Pearl Reliability Fixture RFQ_2009 04 24_Xl0000002_Leopard UniBom_Foxlink_6 21 2010-ME_nego_Bolt RFQ Proposal_Foxlink_ (Pricing Summary) 2 25 2011 4 3" xfId="30670"/>
    <cellStyle name="差_Creak Pearl Reliability Fixture RFQ_2009 04 24_Xl0000002_Leopard UniBom_Foxlink_6 21 2010-ME_nego_Bolt RFQ Proposal_Foxlink_ (Pricing Summary) 2 25 2011 5 2" xfId="30671"/>
    <cellStyle name="差_Creak Pearl Reliability Fixture RFQ_2009 04 24_Xl0000002_Leopard UniBom_Foxlink_6 21 2010-ME_nego_Bolt RFQ_Foxlink_03.1 2011" xfId="30672"/>
    <cellStyle name="差_Creak Pearl Reliability Fixture RFQ_2009 04 24_Xl0000002_Leopard UniBom_Foxlink_6 21 2010-ME_nego_Bolt RFQ_Foxlink_03.1 2011 2" xfId="30673"/>
    <cellStyle name="差_Creak Pearl Reliability Fixture RFQ_2009 04 24_Xl0000002_Leopard UniBom_Foxlink_6 21 2010-ME_nego_Bolt RFQ_Foxlink_03.1 2011 2 2" xfId="30674"/>
    <cellStyle name="差_Creak Pearl Reliability Fixture RFQ_2009 04 24_Xl0000002_Leopard UniBom_Foxlink_6 21 2010-ME_nego_Bolt RFQ_Foxlink_03.1 2011 2 3" xfId="30675"/>
    <cellStyle name="差_Creak Pearl Reliability Fixture RFQ_2009 04 24_Xl0000002_Leopard UniBom_Foxlink_6 21 2010-ME_nego_Bolt RFQ_Foxlink_03.1 2011 4" xfId="30676"/>
    <cellStyle name="差_Creak Pearl Reliability Fixture RFQ_2009 04 24_Xl0000002_Leopard UniBom_Foxlink_6 21 2010-ME_nego_Bolt RFQ_Foxlink_03.1 2011_nego meeting@MACH 2 2" xfId="30677"/>
    <cellStyle name="差_Creak Pearl Reliability Fixture RFQ_2009 04 24_Xl0000002_Leopard UniBom_Foxlink_6 21 2010-ME_nego_Bolt RFQ_Foxlink_03.1 2011_nego meeting@MACH 2 3" xfId="30678"/>
    <cellStyle name="差_Creak Pearl Reliability Fixture RFQ_2009 04 24_Xl0000002_Leopard UniBom_Foxlink_6 21 2010-ME_nego_Bolt RFQ_Foxlink_03.1 2011_nego meeting@MACH 3" xfId="30679"/>
    <cellStyle name="差_Creak Pearl Reliability Fixture RFQ_2009 04 24_Xl0000002_Leopard UniBom_Foxlink_6 21 2010-ME_nego_Bolt RFQ_Foxlink_03.1 2011_nego meeting@MACH 3 3" xfId="30680"/>
    <cellStyle name="差_Creak Pearl Reliability Fixture RFQ_2009 04 24_Xl0000002_Leopard UniBom_Foxlink_6 21 2010-ME_nego_Bolt RFQ_Foxlink_03.1 2011_nego meeting@MACH 4" xfId="30681"/>
    <cellStyle name="差_Creak Pearl Reliability Fixture RFQ_2009 04 24_Xl0000002_Leopard UniBom_Foxlink_6 21 2010-ME_nego_Bolt RFQ_Foxlink_03.1 2011_nego meeting@MACH 5" xfId="30682"/>
    <cellStyle name="差_Creak Pearl Reliability Fixture RFQ_2009 04 24_Xl0000002_Leopard UniBom_Foxlink_6 21 2010-nego" xfId="30683"/>
    <cellStyle name="差_HP  專案(設備&amp;治工具需夠買)update_Bolt RFQ Proposal_Foxlink_ (Pricing Summary) 2 25 2011 2 4" xfId="30684"/>
    <cellStyle name="差_Creak Pearl Reliability Fixture RFQ_2009 04 24_Xl0000002_Leopard UniBom_true cost_6.23.2010" xfId="30685"/>
    <cellStyle name="差_HP Mouse 產能評估(上系統)_Erie 效益分析(8-27)" xfId="30686"/>
    <cellStyle name="差_Creak Pearl Reliability Fixture RFQ_2009 04 24_Xl0000002_Leopard_UniBOM_ME_0531 2" xfId="30687"/>
    <cellStyle name="差_Creak Pearl Reliability Fixture RFQ_2009 04 24_Xl0000002_Leopard_UniBOM_ME_0531 2 2" xfId="30688"/>
    <cellStyle name="差_Creak Pearl Reliability Fixture RFQ_2009 04 24_Xl0000002_Leopard_UniBOM_ME_0531 2 2 2" xfId="30689"/>
    <cellStyle name="差_Creak Pearl Reliability Fixture RFQ_2009 04 24_Xl0000002_Leopard_UniBOM_ME_0531 2 3" xfId="30690"/>
    <cellStyle name="差_Creak Pearl Reliability Fixture RFQ_2009 04 24_Xl0000002_Leopard_UniBOM_ME_0531 3 2" xfId="30691"/>
    <cellStyle name="差_Creak Pearl Reliability Fixture RFQ_2009 04 24_Xl0000002_Leopard_UniBOM_ME_0531_Bolt RFQ Proposal_Foxlink_ (Pricing Summary) 2 25 2011" xfId="30692"/>
    <cellStyle name="差_Creak Pearl Reliability Fixture RFQ_2009 04 24_Xl0000002_Leopard_UniBOM_ME_0531_Bolt RFQ Proposal_Foxlink_ (Pricing Summary) 2 25 2011 2" xfId="30693"/>
    <cellStyle name="差_Creak Pearl Reliability Fixture RFQ_2009 04 24_Xl0000002_Leopard_UniBOM_ME_0531_Bolt RFQ Proposal_Foxlink_ (Pricing Summary) 2 25 2011 2 2 3" xfId="30694"/>
    <cellStyle name="差_Creak Pearl Reliability Fixture RFQ_2009 04 24_Xl0000002_Leopard_UniBOM_ME_0531_Bolt RFQ Proposal_Foxlink_ (Pricing Summary) 2 25 2011 2 4" xfId="30695"/>
    <cellStyle name="差_Creak Pearl Reliability Fixture RFQ_2009 04 24_Xl0000002_Leopard_UniBOM_ME_0531_Bolt RFQ Proposal_Foxlink_ (Pricing Summary) 2 25 2011 3" xfId="30696"/>
    <cellStyle name="差_Creak Pearl Reliability Fixture RFQ_2009 04 24_Xl0000002_Leopard_UniBOM_ME_0531_Bolt RFQ Proposal_Foxlink_ (Pricing Summary) 2 25 2011 3 2" xfId="30697"/>
    <cellStyle name="差_Creak Pearl Reliability Fixture RFQ_2009 04 24_Xl0000002_Leopard_UniBOM_ME_0531_Bolt RFQ Proposal_Foxlink_ (Pricing Summary) 2 25 2011 3 3" xfId="30698"/>
    <cellStyle name="差_Creak Pearl Reliability Fixture RFQ_2009 04 24_Xl0000002_Leopard_UniBOM_ME_0531_Bolt RFQ Proposal_Foxlink_ (Pricing Summary) 2 25 2011 4" xfId="30699"/>
    <cellStyle name="差_F3   SMT設備明細_jupite r設備&amp;治工具LIST (總)_pq_Flow chart and Fixture(1-4)_Jackson 效益分析 (2-1 B0 上系統)_Leopard Flowchart &amp; 產能評估" xfId="30700"/>
    <cellStyle name="差_Creak Pearl Reliability Fixture RFQ_2009 04 24_Xl0000002_Leopard_UniBOM_ME_0531_Bolt RFQ Proposal_Foxlink_ (Pricing Summary) 2 25 2011 4 2" xfId="30701"/>
    <cellStyle name="差_Creak Pearl Reliability Fixture RFQ_2009 04 24_Xl0000002_Leopard_UniBOM_ME_0531_Bolt RFQ Proposal_Foxlink_ (Pricing Summary) 2 25 2011 4 3" xfId="30702"/>
    <cellStyle name="差_Creak Pearl Reliability Fixture RFQ_2009 04 24_Xl0000002_Leopard_UniBOM_ME_0531_Bolt RFQ Proposal_Foxlink_ (Pricing Summary) 2 25 2011 5" xfId="30703"/>
    <cellStyle name="差_Creak Pearl Reliability Fixture RFQ_2009 04 24_Xl0000002_Leopard_UniBOM_ME_0531_Bolt RFQ Proposal_Foxlink_ (Pricing Summary) 2 25 2011 6" xfId="30704"/>
    <cellStyle name="差_Creak Pearl Reliability Fixture RFQ_2009 04 24_Xl0000002_Leopard_UniBOM_ME_0531_Bolt RFQ_Foxlink_03.1 2011 2" xfId="30705"/>
    <cellStyle name="差_HP Mouse 產能評估(上系統)_M1 SuedeFixtureEquipment Cost_A0_2010_10_15_Bolt RFQ Proposal_Foxlink_ (Pricing Summary) 2 25 2011 2 2 3" xfId="30706"/>
    <cellStyle name="差_Creak Pearl Reliability Fixture RFQ_2009 04 24_Xl0000002_Leopard_UniBOM_ME_0531_Bolt RFQ_Foxlink_03.1 2011 2 2" xfId="30707"/>
    <cellStyle name="똿뗦먛귟 [0.00]_laroux" xfId="30708"/>
    <cellStyle name="差_Creak Pearl Reliability Fixture RFQ_2009 04 24_Xl0000002_Leopard_UniBOM_ME_0531_Bolt RFQ_Foxlink_03.1 2011 2 3" xfId="30709"/>
    <cellStyle name="差_Creak Pearl Reliability Fixture RFQ_2009 04 24_Xl0000002_Leopard_UniBOM_ME_0531_Bolt RFQ_Foxlink_03.1 2011 3" xfId="30710"/>
    <cellStyle name="差_HP Mouse 產能評估(Forecast更改後)_Bolt RFQ_Foxlink_03.1 2011 4" xfId="30711"/>
    <cellStyle name="差_Creak Pearl Reliability Fixture RFQ_2009 04 24_Xl0000002_Leopard_UniBOM_ME_0531_Bolt RFQ_Foxlink_03.1 2011 3 2" xfId="30712"/>
    <cellStyle name="差_Creak Pearl Reliability Fixture RFQ_2009 04 24_Xl0000002_Leopard_UniBOM_ME_0531_Bolt RFQ_Foxlink_03.1 2011 4" xfId="30713"/>
    <cellStyle name="差_Creak Pearl Reliability Fixture RFQ_2009 04 24_Xl0000002_Leopard_UniBOM_ME_0531_Bolt RFQ_Foxlink_03.1 2011_nego meeting@MACH 2 2" xfId="30714"/>
    <cellStyle name="差_Creak Pearl Reliability Fixture RFQ_2009 04 24_Xl0000002_Leopard_UniBOM_ME_0531_Bolt RFQ_Foxlink_03.1 2011_nego meeting@MACH 3" xfId="30715"/>
    <cellStyle name="差_Creak Pearl Reliability Fixture RFQ_2009 04 24_Xl0000002_Leopard_UniBOM_ME_0602" xfId="30716"/>
    <cellStyle name="差_Creek RFQ feedback 04_28_2009_FD Update_Squirrel RFQ ME BOM Costs-0623_Bolt RFQ Proposal_Foxlink_ (Pricing Summary) 2 25 2011" xfId="30717"/>
    <cellStyle name="差_Creak Pearl Reliability Fixture RFQ_2009 04 24_Xl0000002_Leopard_UniBOM_ME_0602 2 2" xfId="30718"/>
    <cellStyle name="差_Creek RFQ feedback 04_28_2009_FD Update_Squirrel RFQ ME BOM Costs-0623_Bolt RFQ Proposal_Foxlink_ (Pricing Summary) 2 25 2011 2" xfId="30719"/>
    <cellStyle name="差_Creak Pearl Reliability Fixture RFQ_2009 04 24_Xl0000002_Leopard_UniBOM_ME_0602 2 2 2" xfId="30720"/>
    <cellStyle name="差_Creek RFQ feedback 04_28_2009_FD Update_Squirrel RFQ ME BOM Costs-0623_Bolt RFQ Proposal_Foxlink_ (Pricing Summary) 2 25 2011 3" xfId="30721"/>
    <cellStyle name="差_Creak Pearl Reliability Fixture RFQ_2009 04 24_Xl0000002_Leopard_UniBOM_ME_0602 2 2 3" xfId="30722"/>
    <cellStyle name="差_Creak Pearl Reliability Fixture RFQ_2009 04 24_Xl0000002_Leopard_UniBOM_ME_0602 2 3" xfId="30723"/>
    <cellStyle name="差_Creak Pearl Reliability Fixture RFQ_2009 04 24_Xl0000002_Leopard_UniBOM_ME_0602 2 4" xfId="30724"/>
    <cellStyle name="差_Creak Pearl Reliability Fixture RFQ_2009 04 24_Xl0000002_Leopard_UniBOM_ME_0602 3 2" xfId="30725"/>
    <cellStyle name="差_Creak Pearl Reliability Fixture RFQ_2009 04 24_Xl0000002_Leopard_UniBOM_ME_0602 3 3" xfId="30726"/>
    <cellStyle name="差_Creak Pearl Reliability Fixture RFQ_2009 04 24_Xl0000002_Leopard_UniBOM_ME_0602_Bolt RFQ Proposal_Foxlink_ (Pricing Summary) 2 25 2011 2" xfId="30727"/>
    <cellStyle name="差_Creak Pearl Reliability Fixture RFQ_2009 04 24_Xl0000002_Leopard_UniBOM_ME_0602_Bolt RFQ Proposal_Foxlink_ (Pricing Summary) 2 25 2011 2 2" xfId="30728"/>
    <cellStyle name="差_F3   SMT設備明細_效益分析_~5631336_Jackson 效益分析 (2-1 B0 上系統)_Leopard效益分析08-17" xfId="30729"/>
    <cellStyle name="差_Creak Pearl Reliability Fixture RFQ_2009 04 24_Xl0000002_Leopard_UniBOM_ME_0602_Bolt RFQ Proposal_Foxlink_ (Pricing Summary) 2 25 2011 2 2 2" xfId="30730"/>
    <cellStyle name="差_Creak Pearl Reliability Fixture RFQ_2009 04 24_Xl0000002_Leopard_UniBOM_ME_0602_Bolt RFQ Proposal_Foxlink_ (Pricing Summary) 2 25 2011 2 2 3" xfId="30731"/>
    <cellStyle name="差_Creak Pearl Reliability Fixture RFQ_2009 04 24_Xl0000002_Leopard_UniBOM_ME_0602_Bolt RFQ Proposal_Foxlink_ (Pricing Summary) 2 25 2011 2 3" xfId="30732"/>
    <cellStyle name="差_Creak Pearl Reliability Fixture RFQ_2009 04 24_Xl0000002_Leopard_UniBOM_ME_0602_Bolt RFQ Proposal_Foxlink_ (Pricing Summary) 2 25 2011 3" xfId="30733"/>
    <cellStyle name="差_Creak Pearl Reliability Fixture RFQ_2009 04 24_Xl0000002_Leopard_UniBOM_ME_0602_Bolt RFQ Proposal_Foxlink_ (Pricing Summary) 2 25 2011 3 2" xfId="30734"/>
    <cellStyle name="差_Creak Pearl Reliability Fixture RFQ_2009 04 24_Xl0000002_Leopard_UniBOM_ME_0602_Bolt RFQ Proposal_Foxlink_ (Pricing Summary) 2 25 2011 4" xfId="30735"/>
    <cellStyle name="差_Creak Pearl Reliability Fixture RFQ_2009 04 24_Xl0000002_Leopard_UniBOM_ME_0602_Bolt RFQ Proposal_Foxlink_ (Pricing Summary) 2 25 2011 4 2" xfId="30736"/>
    <cellStyle name="差_Creak Pearl Reliability Fixture RFQ_2009 04 24_Xl0000002_Leopard_UniBOM_ME_0602_Bolt RFQ Proposal_Foxlink_ (Pricing Summary) 2 25 2011 6" xfId="30737"/>
    <cellStyle name="差_Creak Pearl Reliability Fixture RFQ_2009 04 24_Xl0000002_Leopard_UniBOM_ME_0602_Bolt RFQ Proposal_Foxlink_ (Pricing Summary) 2 25 2011 7" xfId="30738"/>
    <cellStyle name="差_F3   SMT設備明細_效益分析_Dallas效益分析&amp;投資回收期 (12-2 A1)_Flow Chart&amp;設備治工具清單 _Leopard效益分析08-17" xfId="30739"/>
    <cellStyle name="差_Creak Pearl Reliability Fixture RFQ_2009 04 24_Xl0000002_Leopard_UniBOM_ME_0602_Bolt RFQ_Foxlink_03.1 2011" xfId="30740"/>
    <cellStyle name="差_Creak Pearl Reliability Fixture RFQ_2009 04 24_Xl0000002_Leopard_UniBOM_ME_0602_Bolt RFQ_Foxlink_03.1 2011 2" xfId="30741"/>
    <cellStyle name="差_Creak Pearl Reliability Fixture RFQ_2009 04 24_Xl0000002_Leopard_UniBOM_ME_0602_Bolt RFQ_Foxlink_03.1 2011 2 2" xfId="30742"/>
    <cellStyle name="差_Creak Pearl Reliability Fixture RFQ_2009 04 24_Xl0000002_Leopard_UniBOM_ME_0602_Bolt RFQ_Foxlink_03.1 2011 2 3" xfId="30743"/>
    <cellStyle name="差_Creak Pearl Reliability Fixture RFQ_2009 04 24_Xl0000002_Leopard_UniBOM_ME_0602_Bolt RFQ_Foxlink_03.1 2011 3" xfId="30744"/>
    <cellStyle name="差_Creak Pearl Reliability Fixture RFQ_2009 04 24_Xl0000002_Leopard_UniBOM_ME_0602_Bolt RFQ_Foxlink_03.1 2011 3 3" xfId="30745"/>
    <cellStyle name="差_Creak Pearl Reliability Fixture RFQ_2009 04 24_Xl0000002_Leopard_UniBOM_ME_0602_Bolt RFQ_Foxlink_03.1 2011 4" xfId="30746"/>
    <cellStyle name="差_Creak Pearl Reliability Fixture RFQ_2009 04 24_Xl0000002_Leopard_UniBOM_ME_0602_Bolt RFQ_Foxlink_03.1 2011_nego meeting@MACH 3 3" xfId="30747"/>
    <cellStyle name="差_HP Mouse 產能評估(上系統)_Erie 效益分析 (Update)_效益分析(總 12-28 Update)_Jackson 效益分析 (2-1 B0 上系統)_Leopard效益分析08-17" xfId="30748"/>
    <cellStyle name="差_Creak Pearl Reliability Fixture RFQ_2009 04 24_Xl0000002_Leopard_UniBOM_ME_0602_Bolt RFQ_Foxlink_03.1 2011_nego meeting@MACH 4" xfId="30749"/>
    <cellStyle name="差_Creak Pearl Reliability Fixture RFQ_2009 04 24_Xl0000002_Leopard_UniBOM_ME_0602_Bolt RFQ_Foxlink_03.1 2011_nego meeting@MACH 5" xfId="30750"/>
    <cellStyle name="差_Creak Pearl Reliability Fixture RFQ_2009 04 24_Xl0000002_Leopard_UniBOM_ME_0602-1 2" xfId="30751"/>
    <cellStyle name="差_Creak Pearl Reliability Fixture RFQ_2009 04 24_Xl0000002_Leopard_UniBOM_ME_0602-1 2 2 3" xfId="30752"/>
    <cellStyle name="差_Creak Pearl Reliability Fixture RFQ_2009 04 24_Xl0000002_Leopard_UniBOM_ME_0602-1 3" xfId="30753"/>
    <cellStyle name="差_Creak Pearl Reliability Fixture RFQ_2009 04 24_Xl0000002_Leopard_UniBOM_ME_0602-1 3 2" xfId="30754"/>
    <cellStyle name="差_Creak Pearl Reliability Fixture RFQ_2009 04 24_Xl0000002_Leopard_UniBOM_ME_0602-1_Bolt RFQ Proposal_Foxlink_ (Pricing Summary) 2 25 2011 2" xfId="30755"/>
    <cellStyle name="差_Creak Pearl Reliability Fixture RFQ_2009 04 24_Xl0000002_Leopard_UniBOM_ME_0602-1_Bolt RFQ Proposal_Foxlink_ (Pricing Summary) 2 25 2011 2 3" xfId="30756"/>
    <cellStyle name="差_Creak Pearl Reliability Fixture RFQ_2009 04 24_Xl0000002_Leopard_UniBOM_ME_0602-1_Bolt RFQ Proposal_Foxlink_ (Pricing Summary) 2 25 2011 3" xfId="30757"/>
    <cellStyle name="差_Creak Pearl Reliability Fixture RFQ_2009 04 24_Xl0000002_Leopard_UniBOM_ME_0602-1_Bolt RFQ Proposal_Foxlink_ (Pricing Summary) 2 25 2011 3 3" xfId="30758"/>
    <cellStyle name="差_Creak Pearl Reliability Fixture RFQ_2009 04 24_Xl0000002_Leopard_UniBOM_ME_0602-1_Bolt RFQ Proposal_Foxlink_ (Pricing Summary) 2 25 2011 4 2" xfId="30759"/>
    <cellStyle name="差_Creak Pearl Reliability Fixture RFQ_2009 04 24_Xl0000002_Leopard_UniBOM_ME_0602-1_Bolt RFQ Proposal_Foxlink_ (Pricing Summary) 2 25 2011 4 3" xfId="30760"/>
    <cellStyle name="差_F3   SMT設備明細 2 2" xfId="30761"/>
    <cellStyle name="差_Creak Pearl Reliability Fixture RFQ_2009 04 24_Xl0000002_Leopard_UniBOM_ME_0602-1_Bolt RFQ Proposal_Foxlink_ (Pricing Summary) 2 25 2011 5" xfId="30762"/>
    <cellStyle name="差_F3   SMT設備明細 2 2 3" xfId="30763"/>
    <cellStyle name="差_Creak Pearl Reliability Fixture RFQ_2009 04 24_Xl0000002_Leopard_UniBOM_ME_0602-1_Bolt RFQ Proposal_Foxlink_ (Pricing Summary) 2 25 2011 5 3" xfId="30764"/>
    <cellStyle name="差_F3   SMT設備明細 2 3" xfId="30765"/>
    <cellStyle name="差_Creak Pearl Reliability Fixture RFQ_2009 04 24_Xl0000002_Leopard_UniBOM_ME_0602-1_Bolt RFQ Proposal_Foxlink_ (Pricing Summary) 2 25 2011 6" xfId="30766"/>
    <cellStyle name="差_Creak Pearl Reliability Fixture RFQ_2009 04 24_Xl0000002_Leopard_UniBOM_ME_0602-1_Bolt RFQ_Foxlink_03.1 2011" xfId="30767"/>
    <cellStyle name="差_Creak Pearl Reliability Fixture RFQ_2009 04 24_Xl0000002_Leopard_UniBOM_ME_0602-1_Bolt RFQ_Foxlink_03.1 2011 2 3" xfId="30768"/>
    <cellStyle name="差_Xl0000002_Leopard_UniBOM_ME_0603-2 2 2 2" xfId="30769"/>
    <cellStyle name="差_Creak Pearl Reliability Fixture RFQ_2009 04 24_Xl0000002_Leopard_UniBOM_ME_0602-1_Bolt RFQ_Foxlink_03.1 2011 3" xfId="30770"/>
    <cellStyle name="差_Creak Pearl Reliability Fixture RFQ_2009 04 24_Xl0000002_Leopard_UniBOM_ME_0602-1_Bolt RFQ_Foxlink_03.1 2011 3 2" xfId="30771"/>
    <cellStyle name="差_Creak Pearl Reliability Fixture RFQ_2009 04 24_Xl0000002_Leopard_UniBOM_ME_0602-1_Bolt RFQ_Foxlink_03.1 2011_nego meeting@MACH" xfId="30772"/>
    <cellStyle name="差_Creak Pearl Reliability Fixture RFQ_2009 04 24_Xl0000002_Leopard_UniBOM_ME_0602-1_Bolt RFQ_Foxlink_03.1 2011_nego meeting@MACH 2 2" xfId="30773"/>
    <cellStyle name="差_Creak Pearl Reliability Fixture RFQ_2009 04 24_Xl0000002_Leopard_UniBOM_ME_0602-1_Bolt RFQ_Foxlink_03.1 2011_nego meeting@MACH 2 3" xfId="30774"/>
    <cellStyle name="差_Creak Pearl Reliability Fixture RFQ_2009 04 24_Xl0000002_Leopard_UniBOM_ME_0602-1_Bolt RFQ_Foxlink_03.1 2011_nego meeting@MACH 3 2" xfId="30775"/>
    <cellStyle name="差_Creak Pearl Reliability Fixture RFQ_2009 04 24_Xl0000002_Leopard_UniBOM_ME_0602-1_Bolt RFQ_Foxlink_03.1 2011_nego meeting@MACH 3 3" xfId="30776"/>
    <cellStyle name="差_Creak Pearl Reliability Fixture RFQ_2009 04 24_Xl0000002_Leopard_UniBOM_ME_0602-1_Bolt RFQ_Foxlink_03.1 2011_nego meeting@MACH 5" xfId="30777"/>
    <cellStyle name="差_Creak Pearl Reliability Fixture RFQ_2009 04 24_Xl0000002_Leopard_UniBOM_ME_0603-2" xfId="30778"/>
    <cellStyle name="差_Creak Pearl Reliability Fixture RFQ_2009 04 24_Xl0000002_Leopard_UniBOM_ME_0603-2 2 3" xfId="30779"/>
    <cellStyle name="差_Creak Pearl Reliability Fixture RFQ_2009 04 24_Xl0000002_Leopard_UniBOM_ME_0603-2_Bolt RFQ Proposal_Foxlink_ (Pricing Summary) 2 25 2011" xfId="30780"/>
    <cellStyle name="差_Creak Pearl Reliability Fixture RFQ_2009 04 24_Xl0000002_Leopard_UniBOM_ME_0603-2_Bolt RFQ Proposal_Foxlink_ (Pricing Summary) 2 25 2011 2 2" xfId="30781"/>
    <cellStyle name="差_Creak Pearl Reliability Fixture RFQ_2009 04 24_Xl0000002_Leopard_UniBOM_ME_0603-2_Bolt RFQ Proposal_Foxlink_ (Pricing Summary) 2 25 2011 2 2 3" xfId="30782"/>
    <cellStyle name="差_Creak Pearl Reliability Fixture RFQ_2009 04 24_Xl0000002_Leopard_UniBOM_ME_0603-2_Bolt RFQ Proposal_Foxlink_ (Pricing Summary) 2 25 2011 2 3" xfId="30783"/>
    <cellStyle name="差_jupite r設備&amp;治工具LIST (總)_Flow Chart&amp;PQ分析(12-1)_Leopard效益分析08-17" xfId="30784"/>
    <cellStyle name="差_Creak Pearl Reliability Fixture RFQ_2009 04 24_Xl0000002_Leopard_UniBOM_ME_0603-2_Bolt RFQ Proposal_Foxlink_ (Pricing Summary) 2 25 2011 3 2" xfId="30785"/>
    <cellStyle name="差_Creak Pearl Reliability Fixture RFQ_2009 04 24_Xl0000002_Leopard_UniBOM_ME_0603-2_Bolt RFQ Proposal_Foxlink_ (Pricing Summary) 2 25 2011 4" xfId="30786"/>
    <cellStyle name="差_dallas產能評估_Flow Chart(shadow)-b (1-4 Update)_Jackson 效益分析 (2-1 B0 上系統)_Leopard Flowchart &amp; 產能評估" xfId="30787"/>
    <cellStyle name="差_Creak Pearl Reliability Fixture RFQ_2009 04 24_Xl0000002_Leopard_UniBOM_ME_0603-2_Bolt RFQ Proposal_Foxlink_ (Pricing Summary) 2 25 2011 4 3" xfId="30788"/>
    <cellStyle name="差_Creak Pearl Reliability Fixture RFQ_2009 04 24_Xl0000002_Leopard_UniBOM_ME_0603-2_Bolt RFQ Proposal_Foxlink_ (Pricing Summary) 2 25 2011 5" xfId="30789"/>
    <cellStyle name="差_Creak Pearl Reliability Fixture RFQ_2009 04 24_Xl0000002_Leopard_UniBOM_ME_0603-2_Bolt RFQ Proposal_Foxlink_ (Pricing Summary) 2 25 2011 5 2" xfId="30790"/>
    <cellStyle name="差_HP  專案(設備&amp;治工具需夠買)update_Erie 效益分析 (Update)_Jackson 效益分析 (2-1 B0 上系統)_Leopard Flowchart &amp; 產能評估" xfId="30791"/>
    <cellStyle name="差_Creak Pearl Reliability Fixture RFQ_2009 04 24_Xl0000002_Leopard_UniBOM_ME_0603-2_Bolt RFQ Proposal_Foxlink_ (Pricing Summary) 2 25 2011 5 3" xfId="30792"/>
    <cellStyle name="差_Creak Pearl Reliability Fixture RFQ_2009 04 24_Xl0000002_Leopard_UniBOM_ME_0603-2_Bolt RFQ Proposal_Foxlink_ (Pricing Summary) 2 25 2011 6" xfId="30793"/>
    <cellStyle name="差_Creak Pearl Reliability Fixture RFQ_2009 04 24_Xl0000002_Leopard_UniBOM_ME_0603-2_Bolt RFQ Proposal_Foxlink_ (Pricing Summary) 2 25 2011 7" xfId="30794"/>
    <cellStyle name="差_Creak Pearl Reliability Fixture RFQ_2009 04 24_Xl0000002_Leopard_UniBOM_ME_0603-2_Bolt RFQ_Foxlink_03.1 2011 3" xfId="30795"/>
    <cellStyle name="差_Creak Pearl Reliability Fixture RFQ_2009 04 24_Xl0000002_Leopard_UniBOM_ME_0603-2_Bolt RFQ_Foxlink_03.1 2011 3 2" xfId="30796"/>
    <cellStyle name="差_Creak Pearl Reliability Fixture RFQ_2009 04 24_Xl0000002_Leopard_UniBOM_ME_0603-2_Bolt RFQ_Foxlink_03.1 2011 3 3" xfId="30797"/>
    <cellStyle name="差_Creak Pearl Reliability Fixture RFQ_2009 04 24_Xl0000002_Leopard_UniBOM_ME_0603-2_Bolt RFQ_Foxlink_03.1 2011 5" xfId="30798"/>
    <cellStyle name="差_F3   SMT設備明細_Erie 效益分析 (Update)_Flow Chart&amp;設備治工具清單 " xfId="30799"/>
    <cellStyle name="差_Creak Pearl Reliability Fixture RFQ_2009 04 24_Xl0000002_Leopard_UniBOM_ME_0603-2_Bolt RFQ_Foxlink_03.1 2011_nego meeting@MACH 3 3" xfId="30800"/>
    <cellStyle name="差_Creak Pearl Reliability Fixture RFQ_2009 04 24_Xl0000002_Squirrel RFQ ME BOM Costs-0623" xfId="30801"/>
    <cellStyle name="差_Creak Pearl Reliability Fixture RFQ_2009 04 24_Xl0000002_Squirrel RFQ ME BOM Costs-0623 2 2" xfId="30802"/>
    <cellStyle name="差_Creak Pearl Reliability Fixture RFQ_2009 04 24_Xl0000002_Squirrel RFQ ME BOM Costs-0623 2 2 3" xfId="30803"/>
    <cellStyle name="差_F3   SMT設備明細_Flow chart and Fixture(1-4)_Jackson 效益分析 (2-1 B0 上系統)_Leopard Flowchart &amp; 產能評估" xfId="30804"/>
    <cellStyle name="差_Creak Pearl Reliability Fixture RFQ_2009 04 24_Xl0000002_Squirrel RFQ ME BOM Costs-0623 2 4" xfId="30805"/>
    <cellStyle name="差_Creak Pearl Reliability Fixture RFQ_2009 04 24_Xl0000002_Squirrel RFQ ME BOM Costs-0623_Bolt RFQ Proposal_Foxlink_ (Pricing Summary) 2 25 2011 3 2" xfId="30806"/>
    <cellStyle name="差_jupite r設備&amp;治工具LIST (總)_pq_Jackson 效益分析 (2-1 B0 上系統)_Leopard效益分析08-17" xfId="30807"/>
    <cellStyle name="差_Creak Pearl Reliability Fixture RFQ_2009 04 24_Xl0000002_Squirrel RFQ ME BOM Costs-0623_Bolt RFQ Proposal_Foxlink_ (Pricing Summary) 2 25 2011 3 3" xfId="30808"/>
    <cellStyle name="差_Creak Pearl Reliability Fixture RFQ_2009 04 24_Xl0000002_Squirrel RFQ ME BOM Costs-0623_Bolt RFQ Proposal_Foxlink_ (Pricing Summary) 2 25 2011 4 3" xfId="30809"/>
    <cellStyle name="差_Creak Pearl Reliability Fixture RFQ_2009 04 24_Xl0000002_Squirrel RFQ ME BOM Costs-0623_Bolt RFQ Proposal_Foxlink_ (Pricing Summary) 2 25 2011 5" xfId="30810"/>
    <cellStyle name="差_HP Mouse 產能評估(Forecast更改後)_Erie 效益分析 (Update)_Flow Chart&amp;設備治工具清單 _Jackson 效益分析 (2-1 B0 上系統)_Leopard效益分析08-17" xfId="30811"/>
    <cellStyle name="差_Creak Pearl Reliability Fixture RFQ_2009 04 24_Xl0000002_Squirrel RFQ ME BOM Costs-0623_Bolt RFQ Proposal_Foxlink_ (Pricing Summary) 2 25 2011 5 2" xfId="30812"/>
    <cellStyle name="差_Creak Pearl Reliability Fixture RFQ_2009 04 24_Xl0000002_Squirrel RFQ ME BOM Costs-0623_Bolt RFQ Proposal_Foxlink_ (Pricing Summary) 2 25 2011 5 3" xfId="30813"/>
    <cellStyle name="差_Creek RFQ feedback 04_28_2009_FD Update_Leopard RFQ ME BOM Costs-0618-2" xfId="30814"/>
    <cellStyle name="差_Creak Pearl Reliability Fixture RFQ_2009 04 24_Xl0000002_Squirrel RFQ ME BOM Costs-0623_Bolt RFQ Proposal_Foxlink_ (Pricing Summary) 2 25 2011 7" xfId="30815"/>
    <cellStyle name="差_Xl0000002_Leopard UniBom_Foxlink_6 21 2010-ME_nego_Bolt RFQ_Foxlink_03.1 2011 2 2" xfId="30816"/>
    <cellStyle name="差_Creak Pearl Reliability Fixture RFQ_2009 04 24_Xl0000002_Squirrel RFQ ME BOM Costs-0623_Bolt RFQ_Foxlink_03.1 2011_nego meeting@MACH 2 2" xfId="30817"/>
    <cellStyle name="差_Creak Pearl Reliability Fixture RFQ_2009 04 24_Xl0000002_Squirrel RFQ ME BOM Costs-0623_Bolt RFQ_Foxlink_03.1 2011_nego meeting@MACH 3" xfId="30818"/>
    <cellStyle name="差_Xl0000002_Leopard_UniBOM_ME_0602-1_Bolt RFQ_Foxlink_03.1 2011 2" xfId="30819"/>
    <cellStyle name="差_Xl0000002_Leopard UniBom_Foxlink_6 21 2010-ME_nego_Bolt RFQ_Foxlink_03.1 2011 3" xfId="30820"/>
    <cellStyle name="差_Creak Pearl Reliability Fixture RFQ_2009 04 24_Xl0000002_Squirrel RFQ ME BOM Costs-0623_Bolt RFQ_Foxlink_03.1 2011_nego meeting@MACH 3 2" xfId="30821"/>
    <cellStyle name="差_Xl0000002_Leopard_UniBOM_ME_0602-1_Bolt RFQ_Foxlink_03.1 2011 2 2" xfId="30822"/>
    <cellStyle name="差_Xl0000002_Leopard UniBom_Foxlink_6 21 2010-ME_nego_Bolt RFQ_Foxlink_03.1 2011 3 2" xfId="30823"/>
    <cellStyle name="差_Creak Pearl Reliability Fixture RFQ_2009 04 24_Xl0000002_Squirrel RFQ ME BOM Costs-0623_Bolt RFQ_Foxlink_03.1 2011_nego meeting@MACH 3 3" xfId="30824"/>
    <cellStyle name="差_Xl0000002_Leopard_UniBOM_ME_0602-1_Bolt RFQ_Foxlink_03.1 2011 2 3" xfId="30825"/>
    <cellStyle name="差_Xl0000002_Leopard UniBom_Foxlink_6 21 2010-ME_nego_Bolt RFQ_Foxlink_03.1 2011 3 3" xfId="30826"/>
    <cellStyle name="差_Creak Pearl Reliability Fixture RFQ_2009 04 24_Xl0000002_Squirrel RFQ ME BOM Costs-0623_Bolt RFQ_Foxlink_03.1 2011_nego meeting@MACH 4" xfId="30827"/>
    <cellStyle name="差_Xl0000002_Leopard_UniBOM_ME_0602-1_Bolt RFQ_Foxlink_03.1 2011 3" xfId="30828"/>
    <cellStyle name="差_Xl0000002_Leopard UniBom_Foxlink_6 21 2010-ME_nego_Bolt RFQ_Foxlink_03.1 2011 4" xfId="30829"/>
    <cellStyle name="差_Creak Pearl Reliability Fixture RFQ_2009 04 24_Xl0000002_Squirrel UniBom-06.23.2010_update_internal 2 2 3" xfId="30830"/>
    <cellStyle name="差_Creak Pearl Reliability Fixture RFQ_2009 04 24_Xl0000002_Squirrel UniBom-06.23.2010_update_internal 2 3" xfId="30831"/>
    <cellStyle name="差_Creak Pearl Reliability Fixture RFQ_2009 04 24_Xl0000002_Squirrel UniBom-06.23.2010_update_internal 3 3" xfId="30832"/>
    <cellStyle name="差_Creak Pearl Reliability Fixture RFQ_2009 04 24_Xl0000002_Squirrel UniBom-06.23.2010_update_internal 4" xfId="30833"/>
    <cellStyle name="差_Creak Pearl Reliability Fixture RFQ_2009 04 24_Xl0000002_Squirrel UniBom-06.23.2010_update_internal_Bolt RFQ Proposal_Foxlink_ (Pricing Summary) 2 25 2011 2 2 3" xfId="30834"/>
    <cellStyle name="差_Creak Pearl Reliability Fixture RFQ_2009 04 24_Xl0000002_Squirrel UniBom-06.23.2010_update_internal_Bolt RFQ Proposal_Foxlink_ (Pricing Summary) 2 25 2011 3 2" xfId="30835"/>
    <cellStyle name="差_F3   SMT設備明細_M1 Lemur Capacity planFixtureEquipment Cost_A2_06192010_Leopard UniBom_Foxlink_12272010 RevF_shirley" xfId="30836"/>
    <cellStyle name="差_Creak Pearl Reliability Fixture RFQ_2009 04 24_Xl0000002_Squirrel UniBom-06.23.2010_update_internal_Bolt RFQ Proposal_Foxlink_ (Pricing Summary) 2 25 2011 3 3" xfId="30837"/>
    <cellStyle name="差_Creak Pearl Reliability Fixture RFQ_2009 04 24_Xl0000002_Squirrel UniBom-06.23.2010_update_internal_Bolt RFQ Proposal_Foxlink_ (Pricing Summary) 2 25 2011 4" xfId="30838"/>
    <cellStyle name="差_Creak Pearl Reliability Fixture RFQ_2009 04 24_Xl0000002_Squirrel UniBom-06.23.2010_update_internal_Bolt RFQ Proposal_Foxlink_ (Pricing Summary) 2 25 2011 5" xfId="30839"/>
    <cellStyle name="差_Creak Pearl Reliability Fixture RFQ_2009 04 24_Xl0000002_Squirrel UniBom-06.23.2010_update_internal_Bolt RFQ Proposal_Foxlink_ (Pricing Summary) 2 25 2011 6" xfId="30840"/>
    <cellStyle name="差_Creak Pearl Reliability Fixture RFQ_2009 04 24_Xl0000002_Squirrel UniBom-06.23.2010_update_internal_Bolt RFQ Proposal_Foxlink_ (Pricing Summary) 2 25 2011 7" xfId="30841"/>
    <cellStyle name="差_Creak Pearl Reliability Fixture RFQ_2009 04 24_Xl0000002_Squirrel UniBom-06.23.2010_update_internal_Bolt RFQ_Foxlink_03.1 2011" xfId="30842"/>
    <cellStyle name="差_Creak Pearl Reliability Fixture RFQ_2009 04 24_Xl0000002_Squirrel UniBom-06.23.2010_update_internal_Bolt RFQ_Foxlink_03.1 2011 2" xfId="30843"/>
    <cellStyle name="差_Creak Pearl Reliability Fixture RFQ_2009 04 24_Xl0000002_Squirrel UniBom-06.23.2010_update_internal_Bolt RFQ_Foxlink_03.1 2011 2 2" xfId="30844"/>
    <cellStyle name="差_Creak Pearl Reliability Fixture RFQ_2009 04 24_Xl0000002_Squirrel UniBom-06.23.2010_update_internal_Bolt RFQ_Foxlink_03.1 2011 4" xfId="30845"/>
    <cellStyle name="差_Creak Pearl Reliability Fixture RFQ_2009 04 24_Xl0000002_Squirrel UniBom-06.23.2010_update_internal_Bolt RFQ_Foxlink_03.1 2011 5" xfId="30846"/>
    <cellStyle name="差_Creak Pearl Reliability Fixture RFQ_2009 04 24_Xl0000002_Squirrel UniBom-06.23.2010_update_internal_Bolt RFQ_Foxlink_03.1 2011_nego meeting@MACH" xfId="30847"/>
    <cellStyle name="差_Creak Pearl Reliability Fixture RFQ_2009 04 24_Xl0000002_Squirrel UniBom-06.23.2010_update_internal_Bolt RFQ_Foxlink_03.1 2011_nego meeting@MACH 2 3" xfId="30848"/>
    <cellStyle name="差_Creak Pearl Reliability Fixture RFQ_2009 04 24_Xl0000002_Squirrel UniBom-06.23.2010_update_internal_Bolt RFQ_Foxlink_03.1 2011_nego meeting@MACH 3" xfId="30849"/>
    <cellStyle name="差_Creak Pearl Reliability Fixture RFQ_2009 04 24_Xl0000002_Squirrel UniBom-06.23.2010_update_internal_Bolt RFQ_Foxlink_03.1 2011_nego meeting@MACH 3 2" xfId="30850"/>
    <cellStyle name="差_Creak Pearl Reliability Fixture RFQ_2009 04 24_Xl0000002_Squirrel UniBom-06.23.2010_update_internal_Bolt RFQ_Foxlink_03.1 2011_nego meeting@MACH 3 3" xfId="30851"/>
    <cellStyle name="差_Creak Pearl Reliability Fixture RFQ_2009 04 24_Xl0000002_Squirrel UniBom-06.23.2010_update_internal_Bolt RFQ_Foxlink_03.1 2011_nego meeting@MACH 4" xfId="30852"/>
    <cellStyle name="差_Creak Pearl Reliability Fixture RFQ_2009 04 24_Xl0000002_Squirrel UniBom-06.23.2010_update_internal_Bolt RFQ_Foxlink_03.1 2011_nego meeting@MACH 5" xfId="30853"/>
    <cellStyle name="差_Creek RFQ feedback 04_28_2009_FD Update" xfId="30854"/>
    <cellStyle name="差_Creek RFQ feedback 04_28_2009_FD Update 2" xfId="30855"/>
    <cellStyle name="差_Creek RFQ feedback 04_28_2009_FD Update 2 2" xfId="30856"/>
    <cellStyle name="差_Creek RFQ feedback 04_28_2009_FD Update 2 2 2" xfId="30857"/>
    <cellStyle name="差_Creek RFQ feedback 04_28_2009_FD Update 2 2 3" xfId="30858"/>
    <cellStyle name="差_Creek RFQ feedback 04_28_2009_FD Update 2 4" xfId="30859"/>
    <cellStyle name="差_Creek RFQ feedback 04_28_2009_FD Update 3" xfId="30860"/>
    <cellStyle name="差_F3   SMT設備明細_jupite r設備&amp;治工具LIST (總)_flow chart 2009.12.12_Flow Chart&amp;設備治工具清單 _squirrel效益分析08-17" xfId="30861"/>
    <cellStyle name="差_Creek RFQ feedback 04_28_2009_FD Update 3 2" xfId="30862"/>
    <cellStyle name="差_Creek RFQ feedback 04_28_2009_FD Update 3 3" xfId="30863"/>
    <cellStyle name="差_Creek RFQ feedback 04_28_2009_FD Update 4" xfId="30864"/>
    <cellStyle name="差_Creek RFQ feedback 04_28_2009_FD Update 5" xfId="30865"/>
    <cellStyle name="差_Creek RFQ feedback 04_28_2009_FD Update_Bolt RFQ Proposal_Foxlink_ (Pricing Summary) 2 25 2011 2" xfId="30866"/>
    <cellStyle name="差_Creek RFQ feedback 04_28_2009_FD Update_Bolt RFQ Proposal_Foxlink_ (Pricing Summary) 2 25 2011 2 4" xfId="30867"/>
    <cellStyle name="差_Creek RFQ feedback 04_28_2009_FD Update_Bolt RFQ Proposal_Foxlink_ (Pricing Summary) 2 25 2011 3" xfId="30868"/>
    <cellStyle name="差_Creek RFQ feedback 04_28_2009_FD Update_Bolt RFQ Proposal_Foxlink_ (Pricing Summary) 2 25 2011 3 2" xfId="30869"/>
    <cellStyle name="差_Creek RFQ feedback 04_28_2009_FD Update_Bolt RFQ Proposal_Foxlink_ (Pricing Summary) 2 25 2011 3 3" xfId="30870"/>
    <cellStyle name="差_Creek RFQ feedback 04_28_2009_FD Update_Bolt RFQ Proposal_Foxlink_ (Pricing Summary) 2 25 2011 4" xfId="30871"/>
    <cellStyle name="差_Creek RFQ feedback 04_28_2009_FD Update_Bolt RFQ Proposal_Foxlink_ (Pricing Summary) 2 25 2011 5" xfId="30872"/>
    <cellStyle name="差_Creek RFQ feedback 04_28_2009_FD Update_Bolt RFQ_Foxlink_03.1 2011 2 2" xfId="30873"/>
    <cellStyle name="差_Creek RFQ feedback 04_28_2009_FD Update_Bolt RFQ_Foxlink_03.1 2011 2 3" xfId="30874"/>
    <cellStyle name="差_Creek RFQ feedback 04_28_2009_FD Update_Bolt RFQ_Foxlink_03.1 2011 3 2" xfId="30875"/>
    <cellStyle name="差_Creek RFQ feedback 04_28_2009_FD Update_Bolt RFQ_Foxlink_03.1 2011 3 3" xfId="30876"/>
    <cellStyle name="差_Creek RFQ feedback 04_28_2009_FD Update_Bolt RFQ_Foxlink_03.1 2011 5" xfId="30877"/>
    <cellStyle name="差_Creek RFQ feedback 04_28_2009_FD Update_Bolt RFQ_Foxlink_03.1 2011_nego meeting@MACH" xfId="30878"/>
    <cellStyle name="差_Creek RFQ feedback 04_28_2009_FD Update_Bolt RFQ_Foxlink_03.1 2011_nego meeting@MACH 2 2" xfId="30879"/>
    <cellStyle name="差_Creek RFQ feedback 04_28_2009_FD Update_Bolt RFQ_Foxlink_03.1 2011_nego meeting@MACH 2 3" xfId="30880"/>
    <cellStyle name="差_Creek RFQ feedback 04_28_2009_FD Update_Bolt RFQ_Foxlink_03.1 2011_nego meeting@MACH 3 2" xfId="30881"/>
    <cellStyle name="差_Creek RFQ feedback 04_28_2009_FD Update_Bolt RFQ_Foxlink_03.1 2011_nego meeting@MACH 3 3" xfId="30882"/>
    <cellStyle name="差_Creek RFQ feedback 04_28_2009_FD Update_Bolt RFQ_Foxlink_03.1 2011_nego meeting@MACH 4" xfId="30883"/>
    <cellStyle name="差_Creek RFQ feedback 04_28_2009_FD Update_Bolt RFQ_Foxlink_03.1 2011_nego meeting@MACH 5" xfId="30884"/>
    <cellStyle name="差_Creek RFQ feedback 04_28_2009_FD Update_Foxlink_Shadow RFQ NREUni BOM_12032009 2 2" xfId="30885"/>
    <cellStyle name="差_Creek RFQ feedback 04_28_2009_FD Update_Foxlink_Shadow RFQ NREUni BOM_12032009 2 2 2" xfId="30886"/>
    <cellStyle name="差_Creek RFQ feedback 04_28_2009_FD Update_Foxlink_Shadow RFQ NREUni BOM_12032009 2 3" xfId="30887"/>
    <cellStyle name="差_Creek RFQ feedback 04_28_2009_FD Update_Foxlink_Shadow RFQ NREUni BOM_12032009 3" xfId="30888"/>
    <cellStyle name="差_Creek RFQ feedback 04_28_2009_FD Update_Foxlink_Shadow RFQ NREUni BOM_12032009 3 2" xfId="30889"/>
    <cellStyle name="差_Creek RFQ feedback 04_28_2009_FD Update_Foxlink_Shadow RFQ NREUni BOM_12032009 3 3" xfId="30890"/>
    <cellStyle name="差_Creek RFQ feedback 04_28_2009_FD Update_Foxlink_Shadow RFQ NREUni BOM_12032009_Bolt RFQ Proposal_Foxlink_ (Pricing Summary) 2 25 2011 2 2 3" xfId="30891"/>
    <cellStyle name="差_Creek RFQ feedback 04_28_2009_FD Update_Leopard_UniBOM_ME_0531_Bolt RFQ Proposal_Foxlink_ (Pricing Summary) 2 25 2011 2 3" xfId="30892"/>
    <cellStyle name="差_Creek RFQ feedback 04_28_2009_FD Update_Foxlink_Shadow RFQ NREUni BOM_12032009_Bolt RFQ Proposal_Foxlink_ (Pricing Summary) 2 25 2011 3 3" xfId="30893"/>
    <cellStyle name="差_Creek RFQ feedback 04_28_2009_FD Update_Leopard_UniBOM_ME_0531_Bolt RFQ Proposal_Foxlink_ (Pricing Summary) 2 25 2011 3" xfId="30894"/>
    <cellStyle name="差_Creek RFQ feedback 04_28_2009_FD Update_Foxlink_Shadow RFQ NREUni BOM_12032009_Bolt RFQ Proposal_Foxlink_ (Pricing Summary) 2 25 2011 4" xfId="30895"/>
    <cellStyle name="差_Creek RFQ feedback 04_28_2009_FD Update_Leopard_UniBOM_ME_0531_Bolt RFQ Proposal_Foxlink_ (Pricing Summary) 2 25 2011 3 3" xfId="30896"/>
    <cellStyle name="差_Creek RFQ feedback 04_28_2009_FD Update_Foxlink_Shadow RFQ NREUni BOM_12032009_Bolt RFQ Proposal_Foxlink_ (Pricing Summary) 2 25 2011 4 3" xfId="30897"/>
    <cellStyle name="差_Creek RFQ feedback 04_28_2009_FD Update_Leopard_UniBOM_ME_0531_Bolt RFQ Proposal_Foxlink_ (Pricing Summary) 2 25 2011 4" xfId="30898"/>
    <cellStyle name="差_Creek RFQ feedback 04_28_2009_FD Update_Foxlink_Shadow RFQ NREUni BOM_12032009_Bolt RFQ Proposal_Foxlink_ (Pricing Summary) 2 25 2011 5" xfId="30899"/>
    <cellStyle name="差_Creek RFQ feedback 04_28_2009_FD Update_Leopard_UniBOM_ME_0531_Bolt RFQ Proposal_Foxlink_ (Pricing Summary) 2 25 2011 4 3" xfId="30900"/>
    <cellStyle name="差_Creek RFQ feedback 04_28_2009_FD Update_Foxlink_Shadow RFQ NREUni BOM_12032009_Bolt RFQ Proposal_Foxlink_ (Pricing Summary) 2 25 2011 5 3" xfId="30901"/>
    <cellStyle name="差_Creek RFQ feedback 04_28_2009_FD Update_Leopard_UniBOM_ME_0531_Bolt RFQ Proposal_Foxlink_ (Pricing Summary) 2 25 2011 5" xfId="30902"/>
    <cellStyle name="差_Creek RFQ feedback 04_28_2009_FD Update_Foxlink_Shadow RFQ NREUni BOM_12032009_Bolt RFQ Proposal_Foxlink_ (Pricing Summary) 2 25 2011 6" xfId="30903"/>
    <cellStyle name="差_Creek RFQ feedback 04_28_2009_FD Update_Leopard_UniBOM_ME_0531_Bolt RFQ Proposal_Foxlink_ (Pricing Summary) 2 25 2011 6" xfId="30904"/>
    <cellStyle name="差_Creek RFQ feedback 04_28_2009_FD Update_Foxlink_Shadow RFQ NREUni BOM_12032009_Bolt RFQ Proposal_Foxlink_ (Pricing Summary) 2 25 2011 7" xfId="30905"/>
    <cellStyle name="差_Creek RFQ feedback 04_28_2009_FD Update_Foxlink_Shadow RFQ NREUni BOM_12032009_Bolt RFQ_Foxlink_03.1 2011 3 2" xfId="30906"/>
    <cellStyle name="差_Creek RFQ feedback 04_28_2009_FD Update_Foxlink_Shadow RFQ NREUni BOM_12032009_Bolt RFQ_Foxlink_03.1 2011 3 3" xfId="30907"/>
    <cellStyle name="差_Creek RFQ feedback 04_28_2009_FD Update_Foxlink_Shadow RFQ NREUni BOM_12032009_Bolt RFQ_Foxlink_03.1 2011 4" xfId="30908"/>
    <cellStyle name="差_Creek RFQ feedback 04_28_2009_FD Update_Foxlink_Shadow RFQ NREUni BOM_12032009_Bolt RFQ_Foxlink_03.1 2011_nego meeting@MACH 3 2" xfId="30909"/>
    <cellStyle name="差_Creek RFQ feedback 04_28_2009_FD Update_Foxlink_Shadow RFQ NREUni BOM_12032009_Bolt RFQ_Foxlink_03.1 2011_nego meeting@MACH 3 3" xfId="30910"/>
    <cellStyle name="差_Xl0000000_Leopard_UniBOM_ME_0603-2_Bolt RFQ_Foxlink_03.1 2011_nego meeting@MACH 2 3" xfId="30911"/>
    <cellStyle name="差_Creek RFQ feedback 04_28_2009_FD Update_Jackson and Shadow BOM cost_mainfile_2010 0324 rev.1" xfId="30912"/>
    <cellStyle name="差_Creek RFQ feedback 04_28_2009_FD Update_Jackson and Shadow BOM cost_mainfile_2010 0324 rev.1_Leopard UniBom_Foxlink_12092010 RevD-jen" xfId="30913"/>
    <cellStyle name="差_Creek RFQ feedback 04_28_2009_FD Update_Leopard Lemur Squirrel UniBom-06.22.2010_EE cost _update_internal 2 2" xfId="30914"/>
    <cellStyle name="差_Creek RFQ feedback 04_28_2009_FD Update_Leopard Lemur Squirrel UniBom-06.22.2010_EE cost _update_internal 2 4" xfId="30915"/>
    <cellStyle name="差_Creek RFQ feedback 04_28_2009_FD Update_Leopard Lemur Squirrel UniBom-06.22.2010_EE cost _update_internal 3" xfId="30916"/>
    <cellStyle name="差_Creek RFQ feedback 04_28_2009_FD Update_Leopard Lemur Squirrel UniBom-06.22.2010_EE cost _update_internal 3 2" xfId="30917"/>
    <cellStyle name="差_Creek RFQ feedback 04_28_2009_FD Update_Leopard Lemur Squirrel UniBom-06.22.2010_EE cost _update_internal 3 3" xfId="30918"/>
    <cellStyle name="差_dallas產能評估_Flow Chart(shadow)-b (1-4 Update)_Jackson 效益分析 (2-1 B0 上系統)" xfId="30919"/>
    <cellStyle name="差_Creek RFQ feedback 04_28_2009_FD Update_Leopard Lemur Squirrel UniBom-06.22.2010_EE cost _update_internal_Bolt RFQ Proposal_Foxlink_ (Pricing Summary) 2 25 2011 2 2 2" xfId="30920"/>
    <cellStyle name="差_Creek RFQ feedback 04_28_2009_FD Update_Leopard Lemur Squirrel UniBom-06.22.2010_EE cost _update_internal_Bolt RFQ Proposal_Foxlink_ (Pricing Summary) 2 25 2011 2 2 3" xfId="30921"/>
    <cellStyle name="差_Creek RFQ feedback 04_28_2009_FD Update_Leopard Lemur Squirrel UniBom-06.22.2010_EE cost _update_internal_Bolt RFQ Proposal_Foxlink_ (Pricing Summary) 2 25 2011 2 3" xfId="30922"/>
    <cellStyle name="差_Creek RFQ feedback 04_28_2009_FD Update_Leopard Lemur Squirrel UniBom-06.22.2010_EE cost _update_internal_Bolt RFQ Proposal_Foxlink_ (Pricing Summary) 2 25 2011 2 4" xfId="30923"/>
    <cellStyle name="差_Creek RFQ feedback 04_28_2009_FD Update_Leopard Lemur Squirrel UniBom-06.22.2010_EE cost _update_internal_Bolt RFQ Proposal_Foxlink_ (Pricing Summary) 2 25 2011 3" xfId="30924"/>
    <cellStyle name="差_Creek RFQ feedback 04_28_2009_FD Update_Leopard Lemur Squirrel UniBom-06.22.2010_EE cost _update_internal_Bolt RFQ Proposal_Foxlink_ (Pricing Summary) 2 25 2011 3 2" xfId="30925"/>
    <cellStyle name="差_Creek RFQ feedback 04_28_2009_FD Update_Leopard Lemur Squirrel UniBom-06.22.2010_EE cost _update_internal_Bolt RFQ Proposal_Foxlink_ (Pricing Summary) 2 25 2011 3 3" xfId="30926"/>
    <cellStyle name="差_Creek RFQ feedback 04_28_2009_FD Update_Leopard Lemur Squirrel UniBom-06.22.2010_EE cost _update_internal_Bolt RFQ Proposal_Foxlink_ (Pricing Summary) 2 25 2011 4 2" xfId="30927"/>
    <cellStyle name="差_Creek RFQ feedback 04_28_2009_FD Update_Leopard Lemur Squirrel UniBom-06.22.2010_EE cost _update_internal_Bolt RFQ Proposal_Foxlink_ (Pricing Summary) 2 25 2011 4 3" xfId="30928"/>
    <cellStyle name="差_Creek RFQ feedback 04_28_2009_FD Update_Leopard Lemur Squirrel UniBom-06.22.2010_EE cost _update_internal_Bolt RFQ_Foxlink_03.1 2011 2" xfId="30929"/>
    <cellStyle name="差_Creek RFQ feedback 04_28_2009_FD Update_Leopard Lemur Squirrel UniBom-06.22.2010_EE cost _update_internal_Bolt RFQ_Foxlink_03.1 2011 3 2" xfId="30930"/>
    <cellStyle name="差_Creek RFQ feedback 04_28_2009_FD Update_Leopard Lemur Squirrel UniBom-06.22.2010_EE cost _update_internal_Bolt RFQ_Foxlink_03.1 2011 3 3" xfId="30931"/>
    <cellStyle name="差_Creek RFQ feedback 04_28_2009_FD Update_Leopard Lemur Squirrel UniBom-06.22.2010_EE cost _update_internal_Bolt RFQ_Foxlink_03.1 2011_nego meeting@MACH" xfId="30932"/>
    <cellStyle name="差_Creek RFQ feedback 04_28_2009_FD Update_Leopard Lemur Squirrel UniBom-06.22.2010_EE cost _update_internal_Bolt RFQ_Foxlink_03.1 2011_nego meeting@MACH 2" xfId="30933"/>
    <cellStyle name="差_Creek RFQ feedback 04_28_2009_FD Update_Leopard Lemur Squirrel UniBom-06.22.2010_EE cost _update_internal_Bolt RFQ_Foxlink_03.1 2011_nego meeting@MACH 2 2" xfId="30934"/>
    <cellStyle name="差_Creek RFQ feedback 04_28_2009_FD Update_Leopard Lemur Squirrel UniBom-06.22.2010_EE cost _update_internal_Bolt RFQ_Foxlink_03.1 2011_nego meeting@MACH 2 3" xfId="30935"/>
    <cellStyle name="差_Creek RFQ feedback 04_28_2009_FD Update_Leopard Lemur Squirrel UniBom-06.22.2010_EE cost _update_internal_Bolt RFQ_Foxlink_03.1 2011_nego meeting@MACH 3" xfId="30936"/>
    <cellStyle name="差_Xl0000000_Leopard_UniBOM_ME_0602_Bolt RFQ_Foxlink_03.1 2011 5" xfId="30937"/>
    <cellStyle name="差_Creek RFQ feedback 04_28_2009_FD Update_Leopard Lemur Squirrel UniBom-06.22.2010_EE cost _update_internal_Bolt RFQ_Foxlink_03.1 2011_nego meeting@MACH 3 2" xfId="30938"/>
    <cellStyle name="差_Creek RFQ feedback 04_28_2009_FD Update_Leopard Lemur Squirrel UniBom-06.22.2010_EE cost _update_internal_Bolt RFQ_Foxlink_03.1 2011_nego meeting@MACH 3 3" xfId="30939"/>
    <cellStyle name="差_Creek RFQ feedback 04_28_2009_FD Update_Leopard Lemur Squirrel UniBom-06.22.2010_EE cost _update_internal_Bolt RFQ_Foxlink_03.1 2011_nego meeting@MACH 4" xfId="30940"/>
    <cellStyle name="差_Creek RFQ feedback 04_28_2009_FD Update_Leopard Lemur Squirrel UniBom-06.22.2010_EE cost _update_internal_Bolt RFQ_Foxlink_03.1 2011_nego meeting@MACH 5" xfId="30941"/>
    <cellStyle name="差_Creek RFQ feedback 04_28_2009_FD Update_Leopard RFQ ME BOM Costs-0618" xfId="30942"/>
    <cellStyle name="差_Creek RFQ feedback 04_28_2009_FD Update_Leopard RFQ ME BOM Costs-0623" xfId="30943"/>
    <cellStyle name="差_Creek RFQ feedback 04_28_2009_FD Update_Leopard RFQ ME BOM Costs-0618 2 2 3" xfId="30944"/>
    <cellStyle name="差_Creek RFQ feedback 04_28_2009_FD Update_Leopard RFQ ME BOM Costs-0618 3" xfId="30945"/>
    <cellStyle name="差_Creek RFQ feedback 04_28_2009_FD Update_Leopard RFQ ME BOM Costs-0618 3 2" xfId="30946"/>
    <cellStyle name="差_Creek RFQ feedback 04_28_2009_FD Update_Leopard RFQ ME BOM Costs-0618_Bolt RFQ Proposal_Foxlink_ (Pricing Summary) 2 25 2011 2" xfId="30947"/>
    <cellStyle name="差_Xl0000000_Leopard UniBom-06 22 2010_update_internal" xfId="30948"/>
    <cellStyle name="差_Creek RFQ feedback 04_28_2009_FD Update_Leopard RFQ ME BOM Costs-0618_Bolt RFQ Proposal_Foxlink_ (Pricing Summary) 2 25 2011 2 2" xfId="30949"/>
    <cellStyle name="差_Jackson NRE Uni BOM_update _05072010 rev K_Leopard UniBom_Foxlink_12272010 RevF_shirley" xfId="30950"/>
    <cellStyle name="差_Creek RFQ feedback 04_28_2009_FD Update_Leopard RFQ ME BOM Costs-0618_Bolt RFQ Proposal_Foxlink_ (Pricing Summary) 2 25 2011 2 2 2" xfId="30951"/>
    <cellStyle name="差_Creek RFQ feedback 04_28_2009_FD Update_Leopard RFQ ME BOM Costs-0618_Bolt RFQ Proposal_Foxlink_ (Pricing Summary) 2 25 2011 2 3" xfId="30952"/>
    <cellStyle name="差_Creek RFQ feedback 04_28_2009_FD Update_Leopard RFQ ME BOM Costs-0618_Bolt RFQ Proposal_Foxlink_ (Pricing Summary) 2 25 2011 2 4" xfId="30953"/>
    <cellStyle name="壞_Creek EE BOM cost_20090425_Creek RFQ feedback 04_28_2009_FD Update_Leopard Lemur Squirrel UniBom-06.22.2010_EE cost _update_internal_Bolt RFQ Proposal_Foxlink_ (Pricing Summary) 2 25 2011 2" xfId="30954"/>
    <cellStyle name="差_Creek RFQ feedback 04_28_2009_FD Update_Leopard RFQ ME BOM Costs-0618_Bolt RFQ_Foxlink_03.1 2011 2" xfId="30955"/>
    <cellStyle name="壞_Creek EE BOM cost_20090425_Creek RFQ feedback 04_28_2009_FD Update_Leopard Lemur Squirrel UniBom-06.22.2010_EE cost _update_internal_Bolt RFQ Proposal_Foxlink_ (Pricing Summary) 2 25 2011 2 2" xfId="30956"/>
    <cellStyle name="差_Creek RFQ feedback 04_28_2009_FD Update_Leopard RFQ ME BOM Costs-0618_Bolt RFQ_Foxlink_03.1 2011 2 2" xfId="30957"/>
    <cellStyle name="壞_Creek EE BOM cost_20090425_Creek RFQ feedback 04_28_2009_FD Update_Leopard Lemur Squirrel UniBom-06.22.2010_EE cost _update_internal_Bolt RFQ Proposal_Foxlink_ (Pricing Summary) 2 25 2011 2 3" xfId="30958"/>
    <cellStyle name="差_Creek RFQ feedback 04_28_2009_FD Update_Leopard RFQ ME BOM Costs-0618_Bolt RFQ_Foxlink_03.1 2011 2 3" xfId="30959"/>
    <cellStyle name="壞_Creek EE BOM cost_20090425_Creek RFQ feedback 04_28_2009_FD Update_Leopard Lemur Squirrel UniBom-06.22.2010_EE cost _update_internal_Bolt RFQ Proposal_Foxlink_ (Pricing Summary) 2 25 2011 4" xfId="30960"/>
    <cellStyle name="差_Creek RFQ feedback 04_28_2009_FD Update_Leopard RFQ ME BOM Costs-0618_Bolt RFQ_Foxlink_03.1 2011 4" xfId="30961"/>
    <cellStyle name="差_Creek RFQ feedback 04_28_2009_FD Update_Leopard RFQ ME BOM Costs-0618_Bolt RFQ_Foxlink_03.1 2011_nego meeting@MACH 2" xfId="30962"/>
    <cellStyle name="差_Creek RFQ feedback 04_28_2009_FD Update_Leopard RFQ ME BOM Costs-0618_Bolt RFQ_Foxlink_03.1 2011_nego meeting@MACH 2 2" xfId="30963"/>
    <cellStyle name="差_Creek RFQ feedback 04_28_2009_FD Update_Leopard RFQ ME BOM Costs-0618_Bolt RFQ_Foxlink_03.1 2011_nego meeting@MACH 3" xfId="30964"/>
    <cellStyle name="差_jupite r設備&amp;治工具LIST (總)_效益分析 (12-9 A1)_Jackson 效益分析 (2-1 B0 上系統)_Leopard Flowchart &amp; 產能評估" xfId="30965"/>
    <cellStyle name="差_Creek RFQ feedback 04_28_2009_FD Update_Leopard RFQ ME BOM Costs-0618_Bolt RFQ_Foxlink_03.1 2011_nego meeting@MACH 3 3" xfId="30966"/>
    <cellStyle name="差_Creek RFQ feedback 04_28_2009_FD Update_Leopard RFQ ME BOM Costs-0618-2 2 4" xfId="30967"/>
    <cellStyle name="差_Creek RFQ feedback 04_28_2009_FD Update_Leopard RFQ ME BOM Costs-0618-2_Bolt RFQ Proposal_Foxlink_ (Pricing Summary) 2 25 2011 2 2 2" xfId="30968"/>
    <cellStyle name="差_Creek RFQ feedback 04_28_2009_FD Update_Leopard RFQ ME BOM Costs-0618-2_Bolt RFQ Proposal_Foxlink_ (Pricing Summary) 2 25 2011 2 4" xfId="30969"/>
    <cellStyle name="差_Creek RFQ feedback 04_28_2009_FD Update_Leopard RFQ ME BOM Costs-0618-2_Bolt RFQ Proposal_Foxlink_ (Pricing Summary) 2 25 2011 7" xfId="30970"/>
    <cellStyle name="差_Creek RFQ feedback 04_28_2009_FD Update_Leopard RFQ ME BOM Costs-0618-2_Bolt RFQ_Foxlink_03.1 2011 2 3" xfId="30971"/>
    <cellStyle name="差_Creek RFQ feedback 04_28_2009_FD Update_Leopard RFQ ME BOM Costs-0618-2_Bolt RFQ_Foxlink_03.1 2011 3" xfId="30972"/>
    <cellStyle name="差_Creek RFQ feedback 04_28_2009_FD Update_Leopard RFQ ME BOM Costs-0618-2_Bolt RFQ_Foxlink_03.1 2011 4" xfId="30973"/>
    <cellStyle name="差_Creek RFQ feedback 04_28_2009_FD Update_Leopard RFQ ME BOM Costs-0618-2_Bolt RFQ_Foxlink_03.1 2011 5" xfId="30974"/>
    <cellStyle name="差_Creek RFQ feedback 04_28_2009_FD Update_Leopard RFQ ME BOM Costs-0618-2_Bolt RFQ_Foxlink_03.1 2011_nego meeting@MACH" xfId="30975"/>
    <cellStyle name="差_Creek RFQ feedback 04_28_2009_FD Update_Leopard RFQ ME BOM Costs-0618-2_Bolt RFQ_Foxlink_03.1 2011_nego meeting@MACH 2 2" xfId="30976"/>
    <cellStyle name="差_Creek RFQ feedback 04_28_2009_FD Update_Leopard RFQ ME BOM Costs-0618-2_Bolt RFQ_Foxlink_03.1 2011_nego meeting@MACH 2 3" xfId="30977"/>
    <cellStyle name="差_Creek RFQ feedback 04_28_2009_FD Update_Leopard RFQ ME BOM Costs-0618-2_Bolt RFQ_Foxlink_03.1 2011_nego meeting@MACH 3" xfId="30978"/>
    <cellStyle name="差_Creek RFQ feedback 04_28_2009_FD Update_Leopard RFQ ME BOM Costs-0618-2_Bolt RFQ_Foxlink_03.1 2011_nego meeting@MACH 3 2" xfId="30979"/>
    <cellStyle name="差_Creek RFQ feedback 04_28_2009_FD Update_Leopard RFQ ME BOM Costs-0618-2_Bolt RFQ_Foxlink_03.1 2011_nego meeting@MACH 3 3" xfId="30980"/>
    <cellStyle name="差_jupite r設備&amp;治工具LIST (總)_flow chart 2009.12.12_效益分析(總 12-28 Update)_~1159284" xfId="30981"/>
    <cellStyle name="差_Creek RFQ feedback 04_28_2009_FD Update_Leopard RFQ ME BOM Costs-0618-2_Bolt RFQ_Foxlink_03.1 2011_nego meeting@MACH 4" xfId="30982"/>
    <cellStyle name="差_Creek RFQ feedback 04_28_2009_FD Update_Leopard UniBom_Foxlink_12272010 RevF_shirley" xfId="30983"/>
    <cellStyle name="差_Creek RFQ feedback 04_28_2009_FD Update_Leopard UniBom_Foxlink_6 21 2010-ME_nego" xfId="30984"/>
    <cellStyle name="差_Creek RFQ feedback 04_28_2009_FD Update_Leopard UniBom_Foxlink_6 21 2010-ME_nego 2" xfId="30985"/>
    <cellStyle name="差_Creek RFQ feedback 04_28_2009_FD Update_Leopard UniBom_Foxlink_6 21 2010-ME_nego 2 2 2" xfId="30986"/>
    <cellStyle name="差_Creek RFQ feedback 04_28_2009_FD Update_Leopard UniBom_Foxlink_6 21 2010-ME_nego 2 2 3" xfId="30987"/>
    <cellStyle name="差_Creek RFQ feedback 04_28_2009_FD Update_Leopard UniBom_Foxlink_6 21 2010-ME_nego 2 4" xfId="30988"/>
    <cellStyle name="差_Creek RFQ feedback 04_28_2009_FD Update_Leopard UniBom_Foxlink_6 21 2010-ME_nego_Bolt RFQ Proposal_Foxlink_ (Pricing Summary) 2 25 2011 2 2 2" xfId="30989"/>
    <cellStyle name="差_Creek RFQ feedback 04_28_2009_FD Update_Leopard UniBom_Foxlink_6 21 2010-ME_nego_Bolt RFQ Proposal_Foxlink_ (Pricing Summary) 2 25 2011 4" xfId="30990"/>
    <cellStyle name="差_F3   SMT設備明細_M1 Bolt wireless mouse FixtureEquipment Cost_A2_2010_12_07_Bolt RFQ Proposal_Foxlink_ (Pricing Summary) 2 25 2011 2 2 3" xfId="30991"/>
    <cellStyle name="差_Creek RFQ feedback 04_28_2009_FD Update_Leopard UniBom_Foxlink_6 21 2010-ME_nego_Bolt RFQ Proposal_Foxlink_ (Pricing Summary) 2 25 2011 6" xfId="30992"/>
    <cellStyle name="差_Creek RFQ feedback 04_28_2009_FD Update_Leopard UniBom_Foxlink_6 21 2010-ME_nego_Bolt RFQ_Foxlink_03.1 2011 2" xfId="30993"/>
    <cellStyle name="差_Creek RFQ feedback 04_28_2009_FD Update_Leopard UniBom_Foxlink_6 21 2010-ME_nego_Bolt RFQ_Foxlink_03.1 2011 3" xfId="30994"/>
    <cellStyle name="差_Creek RFQ feedback 04_28_2009_FD Update_Leopard UniBom_Foxlink_6 21 2010-ME_nego_Bolt RFQ_Foxlink_03.1 2011 3 2" xfId="30995"/>
    <cellStyle name="差_Creek RFQ feedback 04_28_2009_FD Update_Leopard UniBom_Foxlink_6 21 2010-ME_nego_Bolt RFQ_Foxlink_03.1 2011 4" xfId="30996"/>
    <cellStyle name="差_Creek RFQ feedback 04_28_2009_FD Update_Leopard UniBom_Foxlink_6 21 2010-ME_nego_Bolt RFQ_Foxlink_03.1 2011_nego meeting@MACH" xfId="30997"/>
    <cellStyle name="差_Creek RFQ feedback 04_28_2009_FD Update_Leopard UniBom_Foxlink_6 21 2010-ME_nego_Bolt RFQ_Foxlink_03.1 2011_nego meeting@MACH 2" xfId="30998"/>
    <cellStyle name="差_Creek RFQ feedback 04_28_2009_FD Update_Leopard UniBom_Foxlink_6 21 2010-ME_nego_Bolt RFQ_Foxlink_03.1 2011_nego meeting@MACH 2 2" xfId="30999"/>
    <cellStyle name="差_Xl0000000_Leopard_UniBOM_ME_0602-1_Bolt RFQ Proposal_Foxlink_ (Pricing Summary) 2 25 2011 3" xfId="31000"/>
    <cellStyle name="差_Creek RFQ feedback 04_28_2009_FD Update_Leopard UniBom_Foxlink_6 21 2010-nego" xfId="31001"/>
    <cellStyle name="差_Creek RFQ feedback 04_28_2009_FD Update_Leopard UniBom_true cost_6.23.2010" xfId="31002"/>
    <cellStyle name="差_Creek RFQ feedback 04_28_2009_FD Update_Leopard_UniBOM_ME_0531" xfId="31003"/>
    <cellStyle name="差_Creek RFQ feedback 04_28_2009_FD Update_Leopard_UniBOM_ME_0531 2" xfId="31004"/>
    <cellStyle name="差_Creek RFQ feedback 04_28_2009_FD Update_Leopard_UniBOM_ME_0531 2 3" xfId="31005"/>
    <cellStyle name="壞_Creek Assembly Fixture  Test Equipment RFQ_20090427_Leopard RFQ ME BOM Costs-0618-2_Bolt RFQ_Foxlink_03.1 2011_nego meeting@MACH 3 2" xfId="31006"/>
    <cellStyle name="差_Creek RFQ feedback 04_28_2009_FD Update_Leopard_UniBOM_ME_0531 3" xfId="31007"/>
    <cellStyle name="差_F3   SMT設備明細_jupite r設備&amp;治工具LIST (總)_Dallas效益分析&amp;投資回收期 (12-2 A1)_Flow Chart&amp;設備治工具清單 _Jackson 效益分析 (2-1 B0 上系統)_squirrel效益分析08-17" xfId="31008"/>
    <cellStyle name="差_Creek RFQ feedback 04_28_2009_FD Update_Leopard_UniBOM_ME_0531 3 3" xfId="31009"/>
    <cellStyle name="差_Xl0000000_Leopard Lemur Squirrel UniBom-06.22.2010_EE cost _update_internal_Bolt RFQ_Foxlink_03.1 2011_nego meeting@MACH 3" xfId="31010"/>
    <cellStyle name="差_Creek RFQ feedback 04_28_2009_FD Update_Leopard_UniBOM_ME_0531_Bolt RFQ Proposal_Foxlink_ (Pricing Summary) 2 25 2011 2 2 2" xfId="31011"/>
    <cellStyle name="差_Creek RFQ feedback 04_28_2009_FD Update_Leopard_UniBOM_ME_0531_Bolt RFQ Proposal_Foxlink_ (Pricing Summary) 2 25 2011 2 4" xfId="31012"/>
    <cellStyle name="差_Creek RFQ feedback 04_28_2009_FD Update_Leopard_UniBOM_ME_0531_Bolt RFQ Proposal_Foxlink_ (Pricing Summary) 2 25 2011 5 3" xfId="31013"/>
    <cellStyle name="差_Creek RFQ feedback 04_28_2009_FD Update_Leopard_UniBOM_ME_0531_Bolt RFQ Proposal_Foxlink_ (Pricing Summary) 2 25 2011 7" xfId="31014"/>
    <cellStyle name="差_Creek RFQ feedback 04_28_2009_FD Update_Leopard_UniBOM_ME_0531_Bolt RFQ_Foxlink_03.1 2011 2 2" xfId="31015"/>
    <cellStyle name="差_Creek RFQ feedback 04_28_2009_FD Update_Leopard_UniBOM_ME_0531_Bolt RFQ_Foxlink_03.1 2011 3 3" xfId="31016"/>
    <cellStyle name="差_Creek RFQ feedback 04_28_2009_FD Update_Leopard_UniBOM_ME_0531_Bolt RFQ_Foxlink_03.1 2011 4" xfId="31017"/>
    <cellStyle name="差_Creek RFQ feedback 04_28_2009_FD Update_Leopard_UniBOM_ME_0531_Bolt RFQ_Foxlink_03.1 2011_nego meeting@MACH" xfId="31018"/>
    <cellStyle name="差_Creek RFQ feedback 04_28_2009_FD Update_Leopard_UniBOM_ME_0531_Bolt RFQ_Foxlink_03.1 2011_nego meeting@MACH 3 2" xfId="31019"/>
    <cellStyle name="差_Creek RFQ feedback 04_28_2009_FD Update_Leopard_UniBOM_ME_0531_Bolt RFQ_Foxlink_03.1 2011_nego meeting@MACH 3 3" xfId="31020"/>
    <cellStyle name="差_Creek RFQ feedback 04_28_2009_FD Update_Leopard_UniBOM_ME_0531_Bolt RFQ_Foxlink_03.1 2011_nego meeting@MACH 5" xfId="31021"/>
    <cellStyle name="差_Creek RFQ feedback 04_28_2009_FD Update_Leopard_UniBOM_ME_0602" xfId="31022"/>
    <cellStyle name="差_Creek RFQ feedback 04_28_2009_FD Update_Leopard_UniBOM_ME_0602 2" xfId="31023"/>
    <cellStyle name="差_Creek RFQ feedback 04_28_2009_FD Update_Leopard_UniBOM_ME_0602 2 2 2" xfId="31024"/>
    <cellStyle name="差_Creek RFQ feedback 04_28_2009_FD Update_Leopard_UniBOM_ME_0602 3" xfId="31025"/>
    <cellStyle name="差_效益分析&amp;產能評估_M1 Bolt wireless mouse FixtureEquipment Cost_A2_2010_12_07_Bolt RFQ Proposal_Foxlink_ (Pricing Summary) 2 25 2011 6" xfId="31026"/>
    <cellStyle name="差_Creek RFQ feedback 04_28_2009_FD Update_Leopard_UniBOM_ME_0602 3 2" xfId="31027"/>
    <cellStyle name="差_Creek RFQ feedback 04_28_2009_FD Update_Leopard_UniBOM_ME_0602_Bolt RFQ Proposal_Foxlink_ (Pricing Summary) 2 25 2011 2 2" xfId="31028"/>
    <cellStyle name="差_Creek RFQ feedback 04_28_2009_FD Update_Leopard_UniBOM_ME_0602_Bolt RFQ Proposal_Foxlink_ (Pricing Summary) 2 25 2011 2 2 2" xfId="31029"/>
    <cellStyle name="差_Creek RFQ feedback 04_28_2009_FD Update_Leopard_UniBOM_ME_0602_Bolt RFQ Proposal_Foxlink_ (Pricing Summary) 2 25 2011 2 3" xfId="31030"/>
    <cellStyle name="差_Creek RFQ feedback 04_28_2009_FD Update_Leopard_UniBOM_ME_0602_Bolt RFQ Proposal_Foxlink_ (Pricing Summary) 2 25 2011 2 4" xfId="31031"/>
    <cellStyle name="差_Creek RFQ feedback 04_28_2009_FD Update_Leopard_UniBOM_ME_0602_Bolt RFQ Proposal_Foxlink_ (Pricing Summary) 2 25 2011 3 2" xfId="31032"/>
    <cellStyle name="差_Creek RFQ feedback 04_28_2009_FD Update_Leopard_UniBOM_ME_0602_Bolt RFQ Proposal_Foxlink_ (Pricing Summary) 2 25 2011 3 3" xfId="31033"/>
    <cellStyle name="差_Creek RFQ feedback 04_28_2009_FD Update_Leopard_UniBOM_ME_0602_Bolt RFQ Proposal_Foxlink_ (Pricing Summary) 2 25 2011 4" xfId="31034"/>
    <cellStyle name="差_Creek RFQ feedback 04_28_2009_FD Update_Leopard_UniBOM_ME_0602_Bolt RFQ Proposal_Foxlink_ (Pricing Summary) 2 25 2011 4 2" xfId="31035"/>
    <cellStyle name="差_Creek RFQ feedback 04_28_2009_FD Update_Leopard_UniBOM_ME_0602_Bolt RFQ Proposal_Foxlink_ (Pricing Summary) 2 25 2011 4 3" xfId="31036"/>
    <cellStyle name="差_Xl0000002_Leopard UniBom_Foxlink_6 21 2010-ME_nego 3 2" xfId="31037"/>
    <cellStyle name="差_Creek RFQ feedback 04_28_2009_FD Update_Leopard_UniBOM_ME_0602_Bolt RFQ Proposal_Foxlink_ (Pricing Summary) 2 25 2011 7" xfId="31038"/>
    <cellStyle name="差_Creek RFQ feedback 04_28_2009_FD Update_Leopard_UniBOM_ME_0602_Bolt RFQ_Foxlink_03.1 2011" xfId="31039"/>
    <cellStyle name="差_Creek RFQ feedback 04_28_2009_FD Update_Leopard_UniBOM_ME_0602_Bolt RFQ_Foxlink_03.1 2011 2 2" xfId="31040"/>
    <cellStyle name="差_Creek RFQ feedback 04_28_2009_FD Update_Leopard_UniBOM_ME_0602_Bolt RFQ_Foxlink_03.1 2011 2 3" xfId="31041"/>
    <cellStyle name="差_Creek RFQ feedback 04_28_2009_FD Update_Leopard_UniBOM_ME_0602_Bolt RFQ_Foxlink_03.1 2011 3" xfId="31042"/>
    <cellStyle name="差_Creek RFQ feedback 04_28_2009_FD Update_Leopard_UniBOM_ME_0602_Bolt RFQ_Foxlink_03.1 2011 5" xfId="31043"/>
    <cellStyle name="差_Creek RFQ feedback 04_28_2009_FD Update_Leopard_UniBOM_ME_0602_Bolt RFQ_Foxlink_03.1 2011_nego meeting@MACH 2 2" xfId="31044"/>
    <cellStyle name="差_Creek RFQ feedback 04_28_2009_FD Update_Leopard_UniBOM_ME_0602_Bolt RFQ_Foxlink_03.1 2011_nego meeting@MACH 2 3" xfId="31045"/>
    <cellStyle name="差_Creek RFQ feedback 04_28_2009_FD Update_Leopard_UniBOM_ME_0602_Bolt RFQ_Foxlink_03.1 2011_nego meeting@MACH 3" xfId="31046"/>
    <cellStyle name="差_Creek RFQ feedback 04_28_2009_FD Update_Leopard_UniBOM_ME_0602_Bolt RFQ_Foxlink_03.1 2011_nego meeting@MACH 4" xfId="31047"/>
    <cellStyle name="差_Creek RFQ feedback 04_28_2009_FD Update_Leopard_UniBOM_ME_0602-1 2" xfId="31048"/>
    <cellStyle name="差_Creek RFQ feedback 04_28_2009_FD Update_Leopard_UniBOM_ME_0602-1 2 2" xfId="31049"/>
    <cellStyle name="差_Creek RFQ feedback 04_28_2009_FD Update_Leopard_UniBOM_ME_0602-1 2 2 2" xfId="31050"/>
    <cellStyle name="差_Creek RFQ feedback 04_28_2009_FD Update_Leopard_UniBOM_ME_0602-1 2 2 3" xfId="31051"/>
    <cellStyle name="差_Creek RFQ feedback 04_28_2009_FD Update_Leopard_UniBOM_ME_0602-1 2 3" xfId="31052"/>
    <cellStyle name="差_Creek RFQ feedback 04_28_2009_FD Update_Leopard_UniBOM_ME_0602-1 3 2" xfId="31053"/>
    <cellStyle name="差_Creek RFQ feedback 04_28_2009_FD Update_Leopard_UniBOM_ME_0602-1_Bolt RFQ Proposal_Foxlink_ (Pricing Summary) 2 25 2011 2 2" xfId="31054"/>
    <cellStyle name="差_Creek RFQ feedback 04_28_2009_FD Update_Leopard_UniBOM_ME_0602-1_Bolt RFQ Proposal_Foxlink_ (Pricing Summary) 2 25 2011 2 2 3" xfId="31055"/>
    <cellStyle name="差_Creek RFQ feedback 04_28_2009_FD Update_Leopard_UniBOM_ME_0602-1_Bolt RFQ Proposal_Foxlink_ (Pricing Summary) 2 25 2011 2 3" xfId="31056"/>
    <cellStyle name="差_Creek RFQ feedback 04_28_2009_FD Update_Leopard_UniBOM_ME_0602-1_Bolt RFQ Proposal_Foxlink_ (Pricing Summary) 2 25 2011 2 4" xfId="31057"/>
    <cellStyle name="差_Creek RFQ feedback 04_28_2009_FD Update_Leopard_UniBOM_ME_0602-1_Bolt RFQ Proposal_Foxlink_ (Pricing Summary) 2 25 2011 3 2" xfId="31058"/>
    <cellStyle name="差_Creek RFQ feedback 04_28_2009_FD Update_Leopard_UniBOM_ME_0602-1_Bolt RFQ Proposal_Foxlink_ (Pricing Summary) 2 25 2011 4 2" xfId="31059"/>
    <cellStyle name="差_Creek RFQ feedback 04_28_2009_FD Update_Leopard_UniBOM_ME_0602-1_Bolt RFQ_Foxlink_03.1 2011" xfId="31060"/>
    <cellStyle name="差_Creek RFQ feedback 04_28_2009_FD Update_Leopard_UniBOM_ME_0602-1_Bolt RFQ_Foxlink_03.1 2011 2" xfId="31061"/>
    <cellStyle name="差_Creek RFQ feedback 04_28_2009_FD Update_Leopard_UniBOM_ME_0602-1_Bolt RFQ_Foxlink_03.1 2011 2 3" xfId="31062"/>
    <cellStyle name="差_Creek RFQ feedback 04_28_2009_FD Update_Leopard_UniBOM_ME_0602-1_Bolt RFQ_Foxlink_03.1 2011 3 3" xfId="31063"/>
    <cellStyle name="差_Creek RFQ feedback 04_28_2009_FD Update_Leopard_UniBOM_ME_0602-1_Bolt RFQ_Foxlink_03.1 2011 4" xfId="31064"/>
    <cellStyle name="差_Creek RFQ feedback 04_28_2009_FD Update_Leopard_UniBOM_ME_0602-1_Bolt RFQ_Foxlink_03.1 2011 5" xfId="31065"/>
    <cellStyle name="差_Creek RFQ feedback 04_28_2009_FD Update_Leopard_UniBOM_ME_0602-1_Bolt RFQ_Foxlink_03.1 2011_nego meeting@MACH 3 2" xfId="31066"/>
    <cellStyle name="差_Creek RFQ feedback 04_28_2009_FD Update_Leopard_UniBOM_ME_0602-1_Bolt RFQ_Foxlink_03.1 2011_nego meeting@MACH 5" xfId="31067"/>
    <cellStyle name="差_Creek RFQ feedback 04_28_2009_FD Update_Leopard_UniBOM_ME_0603-2 2 2" xfId="31068"/>
    <cellStyle name="差_Creek RFQ feedback 04_28_2009_FD Update_Leopard_UniBOM_ME_0603-2 2 4" xfId="31069"/>
    <cellStyle name="差_Creek RFQ feedback 04_28_2009_FD Update_Leopard_UniBOM_ME_0603-2 3" xfId="31070"/>
    <cellStyle name="壞_Creek Assembly Fixture  Test Equipment RFQ_20090427_Leopard UniBom_Foxlink_6 21 2010-ME_nego_Bolt RFQ_Foxlink_03.1 2011 2 2" xfId="31071"/>
    <cellStyle name="差_Creek RFQ feedback 04_28_2009_FD Update_Leopard_UniBOM_ME_0603-2_Bolt RFQ Proposal_Foxlink_ (Pricing Summary) 2 25 2011 3 2" xfId="31072"/>
    <cellStyle name="壞_Creek Assembly Fixture  Test Equipment RFQ_20090427_Leopard UniBom_Foxlink_6 21 2010-ME_nego_Bolt RFQ_Foxlink_03.1 2011 2 3" xfId="31073"/>
    <cellStyle name="差_Creek RFQ feedback 04_28_2009_FD Update_Leopard_UniBOM_ME_0603-2_Bolt RFQ Proposal_Foxlink_ (Pricing Summary) 2 25 2011 3 3" xfId="31074"/>
    <cellStyle name="壞_Creek Assembly Fixture  Test Equipment RFQ_20090427_Leopard UniBom_Foxlink_6 21 2010-ME_nego_Bolt RFQ_Foxlink_03.1 2011 3 2" xfId="31075"/>
    <cellStyle name="差_Creek RFQ feedback 04_28_2009_FD Update_Leopard_UniBOM_ME_0603-2_Bolt RFQ Proposal_Foxlink_ (Pricing Summary) 2 25 2011 4 2" xfId="31076"/>
    <cellStyle name="壞_Creek Assembly Fixture  Test Equipment RFQ_20090427_Leopard UniBom_Foxlink_6 21 2010-ME_nego_Bolt RFQ_Foxlink_03.1 2011 4" xfId="31077"/>
    <cellStyle name="差_Creek RFQ feedback 04_28_2009_FD Update_Leopard_UniBOM_ME_0603-2_Bolt RFQ Proposal_Foxlink_ (Pricing Summary) 2 25 2011 5" xfId="31078"/>
    <cellStyle name="差_Creek RFQ feedback 04_28_2009_FD Update_Leopard_UniBOM_ME_0603-2_Bolt RFQ Proposal_Foxlink_ (Pricing Summary) 2 25 2011 5 3" xfId="31079"/>
    <cellStyle name="壞_Creek Assembly Fixture  Test Equipment RFQ_20090427_Leopard UniBom_Foxlink_6 21 2010-ME_nego_Bolt RFQ_Foxlink_03.1 2011 5" xfId="31080"/>
    <cellStyle name="差_Creek RFQ feedback 04_28_2009_FD Update_Leopard_UniBOM_ME_0603-2_Bolt RFQ Proposal_Foxlink_ (Pricing Summary) 2 25 2011 6" xfId="31081"/>
    <cellStyle name="差_Creek RFQ feedback 04_28_2009_FD Update_Leopard_UniBOM_ME_0603-2_Bolt RFQ_Foxlink_03.1 2011 2 3" xfId="31082"/>
    <cellStyle name="差_Creek RFQ feedback 04_28_2009_FD Update_Leopard_UniBOM_ME_0603-2_Bolt RFQ_Foxlink_03.1 2011 3" xfId="31083"/>
    <cellStyle name="差_Creek RFQ feedback 04_28_2009_FD Update_Leopard_UniBOM_ME_0603-2_Bolt RFQ_Foxlink_03.1 2011 3 3" xfId="31084"/>
    <cellStyle name="差_Creek RFQ feedback 04_28_2009_FD Update_Leopard_UniBOM_ME_0603-2_Bolt RFQ_Foxlink_03.1 2011 5" xfId="31085"/>
    <cellStyle name="差_HP Mouse 產能評估(上系統)_Erie 效益分析 (Update)_Flow chart and Fixture(1-4)" xfId="31086"/>
    <cellStyle name="差_Creek RFQ feedback 04_28_2009_FD Update_Leopard_UniBOM_ME_0603-2_Bolt RFQ_Foxlink_03.1 2011_nego meeting@MACH 2" xfId="31087"/>
    <cellStyle name="差_Creek RFQ feedback 04_28_2009_FD Update_Leopard_UniBOM_ME_0603-2_Bolt RFQ_Foxlink_03.1 2011_nego meeting@MACH 2 2" xfId="31088"/>
    <cellStyle name="差_Creek RFQ feedback 04_28_2009_FD Update_Leopard_UniBOM_ME_0603-2_Bolt RFQ_Foxlink_03.1 2011_nego meeting@MACH 2 3" xfId="31089"/>
    <cellStyle name="差_Creek RFQ feedback 04_28_2009_FD Update_Leopard_UniBOM_ME_0603-2_Bolt RFQ_Foxlink_03.1 2011_nego meeting@MACH 3 2" xfId="31090"/>
    <cellStyle name="差_Creek RFQ feedback 04_28_2009_FD Update_Leopard_UniBOM_ME_0603-2_Bolt RFQ_Foxlink_03.1 2011_nego meeting@MACH 3 3" xfId="31091"/>
    <cellStyle name="差_Creek RFQ feedback 04_28_2009_FD Update_Leopard_UniBOM_ME_0603-2_Bolt RFQ_Foxlink_03.1 2011_nego meeting@MACH 5" xfId="31092"/>
    <cellStyle name="差_Creek RFQ feedback 04_28_2009_FD Update_Squirrel RFQ ME BOM Costs-0623" xfId="31093"/>
    <cellStyle name="差_治具工程課2009年KPI_2009MB KPI-0205 5 3" xfId="31094"/>
    <cellStyle name="差_Creek RFQ feedback 04_28_2009_FD Update_Squirrel RFQ ME BOM Costs-0623 2 2 2" xfId="31095"/>
    <cellStyle name="差_Creek RFQ feedback 04_28_2009_FD Update_Squirrel RFQ ME BOM Costs-0623 2 3" xfId="31096"/>
    <cellStyle name="差_Creek RFQ feedback 04_28_2009_FD Update_Squirrel RFQ ME BOM Costs-0623 2 4" xfId="31097"/>
    <cellStyle name="差_Creek RFQ feedback 04_28_2009_FD Update_Squirrel RFQ ME BOM Costs-0623 3 3" xfId="31098"/>
    <cellStyle name="差_Creek RFQ feedback 04_28_2009_FD Update_Squirrel RFQ ME BOM Costs-0623_Bolt RFQ Proposal_Foxlink_ (Pricing Summary) 2 25 2011 2 2" xfId="31099"/>
    <cellStyle name="差_dallas產能評估_flow chart 2009.12.12_~5631336_Jackson 效益分析 (2-1 B0 上系統)_Leopard效益分析08-17" xfId="31100"/>
    <cellStyle name="差_Creek RFQ feedback 04_28_2009_FD Update_Squirrel RFQ ME BOM Costs-0623_Bolt RFQ Proposal_Foxlink_ (Pricing Summary) 2 25 2011 2 2 3" xfId="31101"/>
    <cellStyle name="差_Creek RFQ feedback 04_28_2009_FD Update_Squirrel RFQ ME BOM Costs-0623_Bolt RFQ Proposal_Foxlink_ (Pricing Summary) 2 25 2011 2 3" xfId="31102"/>
    <cellStyle name="差_Creek RFQ feedback 04_28_2009_FD Update_Squirrel RFQ ME BOM Costs-0623_Bolt RFQ Proposal_Foxlink_ (Pricing Summary) 2 25 2011 2 4" xfId="31103"/>
    <cellStyle name="差_Creek RFQ feedback 04_28_2009_FD Update_Squirrel RFQ ME BOM Costs-0623_Bolt RFQ Proposal_Foxlink_ (Pricing Summary) 2 25 2011 4" xfId="31104"/>
    <cellStyle name="差_Creek RFQ feedback 04_28_2009_FD Update_Squirrel RFQ ME BOM Costs-0623_Bolt RFQ Proposal_Foxlink_ (Pricing Summary) 2 25 2011 4 2" xfId="31105"/>
    <cellStyle name="差_Creek RFQ feedback 04_28_2009_FD Update_Squirrel RFQ ME BOM Costs-0623_Bolt RFQ Proposal_Foxlink_ (Pricing Summary) 2 25 2011 4 3" xfId="31106"/>
    <cellStyle name="差_Creek RFQ feedback 04_28_2009_FD Update_Squirrel RFQ ME BOM Costs-0623_Bolt RFQ Proposal_Foxlink_ (Pricing Summary) 2 25 2011 5 2" xfId="31107"/>
    <cellStyle name="差_Creek RFQ feedback 04_28_2009_FD Update_Squirrel RFQ ME BOM Costs-0623_Bolt RFQ Proposal_Foxlink_ (Pricing Summary) 2 25 2011 5 3" xfId="31108"/>
    <cellStyle name="差_Creek RFQ feedback 04_28_2009_FD Update_Squirrel RFQ ME BOM Costs-0623_Bolt RFQ Proposal_Foxlink_ (Pricing Summary) 2 25 2011 7" xfId="31109"/>
    <cellStyle name="差_Creek RFQ feedback 04_28_2009_FD Update_Squirrel RFQ ME BOM Costs-0623_Bolt RFQ_Foxlink_03.1 2011" xfId="31110"/>
    <cellStyle name="差_Creek RFQ feedback 04_28_2009_FD Update_Squirrel RFQ ME BOM Costs-0623_Bolt RFQ_Foxlink_03.1 2011 2 2" xfId="31111"/>
    <cellStyle name="差_Creek RFQ feedback 04_28_2009_FD Update_Squirrel RFQ ME BOM Costs-0623_Bolt RFQ_Foxlink_03.1 2011 2 3" xfId="31112"/>
    <cellStyle name="差_HP  專案(設備&amp;治工具需夠買)update_M1 Lemur Capacity planFixtureEquipment Cost_A2_06192010_Bristol UniBom_Foxlink_02082011 RevA" xfId="31113"/>
    <cellStyle name="差_Creek RFQ feedback 04_28_2009_FD Update_Squirrel RFQ ME BOM Costs-0623_Bolt RFQ_Foxlink_03.1 2011 4" xfId="31114"/>
    <cellStyle name="差_Creek RFQ feedback 04_28_2009_FD Update_Squirrel RFQ ME BOM Costs-0623_Bolt RFQ_Foxlink_03.1 2011_nego meeting@MACH 2" xfId="31115"/>
    <cellStyle name="差_F3   SMT設備明細_jupite r設備&amp;治工具LIST (總)_pq_Leopard Flowchart &amp; 產能評估" xfId="31116"/>
    <cellStyle name="差_Creek RFQ feedback 04_28_2009_FD Update_Squirrel RFQ ME BOM Costs-0623_Bolt RFQ_Foxlink_03.1 2011_nego meeting@MACH 3" xfId="31117"/>
    <cellStyle name="差_Creek RFQ feedback 04_28_2009_FD Update_Squirrel RFQ ME BOM Costs-0623_Bolt RFQ_Foxlink_03.1 2011_nego meeting@MACH 3 3" xfId="31118"/>
    <cellStyle name="差_Creek RFQ feedback 04_28_2009_FD Update_Squirrel UniBom-06.23.2010_update_internal" xfId="31119"/>
    <cellStyle name="差_Creek RFQ feedback 04_28_2009_FD Update_Squirrel UniBom-06.23.2010_update_internal 2" xfId="31120"/>
    <cellStyle name="差_Creek RFQ feedback 04_28_2009_FD Update_Squirrel UniBom-06.23.2010_update_internal 2 2" xfId="31121"/>
    <cellStyle name="差_Creek RFQ feedback 04_28_2009_FD Update_Squirrel UniBom-06.23.2010_update_internal 2 2 2" xfId="31122"/>
    <cellStyle name="差_HP Mouse 產能評估(上系統)_Bolt RFQ Proposal_Foxlink_ (Pricing Summary) 2 25 2011 7" xfId="31123"/>
    <cellStyle name="差_Creek RFQ feedback 04_28_2009_FD Update_Squirrel UniBom-06.23.2010_update_internal 3 2" xfId="31124"/>
    <cellStyle name="差_Creek RFQ feedback 04_28_2009_FD Update_Squirrel UniBom-06.23.2010_update_internal 3 3" xfId="31125"/>
    <cellStyle name="差_HP Mouse 產能評估(Forecast更改後)_Erie 效益分析 (Update)_~5631336" xfId="31126"/>
    <cellStyle name="差_Creek RFQ feedback 04_28_2009_FD Update_Squirrel UniBom-06.23.2010_update_internal_Bolt RFQ Proposal_Foxlink_ (Pricing Summary) 2 25 2011" xfId="31127"/>
    <cellStyle name="差_Creek RFQ feedback 04_28_2009_FD Update_Squirrel UniBom-06.23.2010_update_internal_Bolt RFQ Proposal_Foxlink_ (Pricing Summary) 2 25 2011 2" xfId="31128"/>
    <cellStyle name="差_Creek RFQ feedback 04_28_2009_FD Update_Squirrel UniBom-06.23.2010_update_internal_Bolt RFQ Proposal_Foxlink_ (Pricing Summary) 2 25 2011 2 2" xfId="31129"/>
    <cellStyle name="差_Creek RFQ feedback 04_28_2009_FD Update_Squirrel UniBom-06.23.2010_update_internal_Bolt RFQ Proposal_Foxlink_ (Pricing Summary) 2 25 2011 2 2 3" xfId="31130"/>
    <cellStyle name="差_Creek RFQ feedback 04_28_2009_FD Update_Squirrel UniBom-06.23.2010_update_internal_Bolt RFQ Proposal_Foxlink_ (Pricing Summary) 2 25 2011 2 3" xfId="31131"/>
    <cellStyle name="差_Creek RFQ feedback 04_28_2009_FD Update_Squirrel UniBom-06.23.2010_update_internal_Bolt RFQ Proposal_Foxlink_ (Pricing Summary) 2 25 2011 2 4" xfId="31132"/>
    <cellStyle name="差_Creek RFQ feedback 04_28_2009_FD Update_Squirrel UniBom-06.23.2010_update_internal_Bolt RFQ Proposal_Foxlink_ (Pricing Summary) 2 25 2011 3" xfId="31133"/>
    <cellStyle name="差_Creek RFQ feedback 04_28_2009_FD Update_Squirrel UniBom-06.23.2010_update_internal_Bolt RFQ Proposal_Foxlink_ (Pricing Summary) 2 25 2011 3 2" xfId="31134"/>
    <cellStyle name="差_Creek RFQ feedback 04_28_2009_FD Update_Squirrel UniBom-06.23.2010_update_internal_Bolt RFQ Proposal_Foxlink_ (Pricing Summary) 2 25 2011 5 2" xfId="31135"/>
    <cellStyle name="差_Creek RFQ feedback 04_28_2009_FD Update_Squirrel UniBom-06.23.2010_update_internal_Bolt RFQ Proposal_Foxlink_ (Pricing Summary) 2 25 2011 7" xfId="31136"/>
    <cellStyle name="差_Creek RFQ feedback 04_28_2009_FD Update_Squirrel UniBom-06.23.2010_update_internal_Bolt RFQ_Foxlink_03.1 2011" xfId="31137"/>
    <cellStyle name="差_Creek RFQ feedback 04_28_2009_FD Update_Squirrel UniBom-06.23.2010_update_internal_Bolt RFQ_Foxlink_03.1 2011 2" xfId="31138"/>
    <cellStyle name="差_Creek RFQ feedback 04_28_2009_FD Update_Squirrel UniBom-06.23.2010_update_internal_Bolt RFQ_Foxlink_03.1 2011 2 2" xfId="31139"/>
    <cellStyle name="差_Creek RFQ feedback 04_28_2009_FD Update_Squirrel UniBom-06.23.2010_update_internal_Bolt RFQ_Foxlink_03.1 2011 2 3" xfId="31140"/>
    <cellStyle name="差_Creek RFQ feedback 04_28_2009_FD Update_Squirrel UniBom-06.23.2010_update_internal_Bolt RFQ_Foxlink_03.1 2011 3" xfId="31141"/>
    <cellStyle name="差_Creek RFQ feedback 04_28_2009_FD Update_Squirrel UniBom-06.23.2010_update_internal_Bolt RFQ_Foxlink_03.1 2011 3 2" xfId="31142"/>
    <cellStyle name="差_Creek RFQ feedback 04_28_2009_FD Update_Squirrel UniBom-06.23.2010_update_internal_Bolt RFQ_Foxlink_03.1 2011 4" xfId="31143"/>
    <cellStyle name="差_Creek RFQ feedback 04_28_2009_FD Update_Squirrel UniBom-06.23.2010_update_internal_Bolt RFQ_Foxlink_03.1 2011 5" xfId="31144"/>
    <cellStyle name="差_Creek RFQ feedback 04_28_2009_FD Update_Squirrel UniBom-06.23.2010_update_internal_Bolt RFQ_Foxlink_03.1 2011_nego meeting@MACH" xfId="31145"/>
    <cellStyle name="差_Creek RFQ feedback 04_28_2009_FD Update_Squirrel UniBom-06.23.2010_update_internal_Bolt RFQ_Foxlink_03.1 2011_nego meeting@MACH 2 2" xfId="31146"/>
    <cellStyle name="差_Creek RFQ feedback 04_28_2009_FD Update_Squirrel UniBom-06.23.2010_update_internal_Bolt RFQ_Foxlink_03.1 2011_nego meeting@MACH 2 3" xfId="31147"/>
    <cellStyle name="差_Creek RFQ feedback 04_28_2009_FD Update_Squirrel UniBom-06.23.2010_update_internal_Bolt RFQ_Foxlink_03.1 2011_nego meeting@MACH 3" xfId="31148"/>
    <cellStyle name="差_Creek RFQ feedback 04_28_2009_FD Update_Squirrel UniBom-06.23.2010_update_internal_Bolt RFQ_Foxlink_03.1 2011_nego meeting@MACH 3 2" xfId="31149"/>
    <cellStyle name="差_Creek RFQ feedback 04_28_2009_FD Update_Squirrel UniBom-06.23.2010_update_internal_Bolt RFQ_Foxlink_03.1 2011_nego meeting@MACH 3 3" xfId="31150"/>
    <cellStyle name="差_jupite r設備&amp;治工具LIST (總)_~3106354_Jackson 效益分析 (2-1 B0 上系統)_squirrel效益分析08-17" xfId="31151"/>
    <cellStyle name="差_Creek RFQ feedback 04_28_2009_FD Update_Squirrel UniBom-06.23.2010_update_internal_Bolt RFQ_Foxlink_03.1 2011_nego meeting@MACH 5" xfId="31152"/>
    <cellStyle name="差_MB9月管審換線超時8d_2009MB KPI_MBO3F製造部hp0209-01 2 4" xfId="31153"/>
    <cellStyle name="差_dallas產能評估" xfId="31154"/>
    <cellStyle name="差_dallas產能評估_~1159284" xfId="31155"/>
    <cellStyle name="差_dallas產能評估_~3106354" xfId="31156"/>
    <cellStyle name="差_dallas產能評估_~3106354_~1159284" xfId="31157"/>
    <cellStyle name="差_dallas產能評估_~3106354_Jackson 效益分析 (2-1 B0 上系統)_Leopard效益分析08-17" xfId="31158"/>
    <cellStyle name="差_dallas產能評估_~3106354_Leopard Flowchart &amp; 產能評估" xfId="31159"/>
    <cellStyle name="差_dallas產能評估_~3106354_Leopard效益分析08-17" xfId="31160"/>
    <cellStyle name="差_dallas產能評估_~5631336" xfId="31161"/>
    <cellStyle name="差_dallas產能評估_~5631336_Jackson 效益分析 (2-1 B0 上系統)_Leopard效益分析08-17" xfId="31162"/>
    <cellStyle name="差_dallas產能評估_~8644671_Jackson 效益分析 (2-1 B0 上系統)" xfId="31163"/>
    <cellStyle name="差_MB9月管審換線超時8d 3 4" xfId="31164"/>
    <cellStyle name="差_dallas產能評估_~8644671_Jackson 效益分析 (2-1 B0 上系統)_Leopard Flowchart &amp; 產能評估" xfId="31165"/>
    <cellStyle name="差_dallas產能評估_Jackson 效益分析 testing update_16th Jan1_Jackson 效益分析 (2-1 B0 上系統)_squirrel效益分析08-17" xfId="31166"/>
    <cellStyle name="差_dallas產能評估_~8644671_Jackson 效益分析 (2-1 B0 上系統)_Leopard效益分析08-17" xfId="31167"/>
    <cellStyle name="差_dallas產能評估_Dallas flow chart&amp;設備&amp;治工具清單(12-8 A0)" xfId="31168"/>
    <cellStyle name="差_dallas產能評估_Dallas flow chart&amp;設備&amp;治工具清單(12-8 A0)_~1159284" xfId="31169"/>
    <cellStyle name="差_dallas產能評估_Dallas flow chart&amp;設備&amp;治工具清單(12-8 A0)_~5631336_Jackson 效益分析 (2-1 B0 上系統)" xfId="31170"/>
    <cellStyle name="差_dallas產能評估_Dallas flow chart&amp;設備&amp;治工具清單(12-8 A0)_Flow chart and Fixture(1-4)" xfId="31171"/>
    <cellStyle name="差_dallas產能評估_Dallas flow chart&amp;設備&amp;治工具清單(12-8 A0)_Flow chart and Fixture(Jackson)_A1" xfId="31172"/>
    <cellStyle name="差_dallas產能評估_Dallas flow chart&amp;設備&amp;治工具清單(12-8 A0)_Flow chart and Fixture(Jackson)_A1_Jackson 效益分析 (2-1 B0 上系統)_Leopard效益分析08-17" xfId="31173"/>
    <cellStyle name="差_dallas產能評估_Dallas flow chart&amp;設備&amp;治工具清單(12-8 A0)_Flow Chart&amp;設備治工具清單 " xfId="31174"/>
    <cellStyle name="差_dallas產能評估_Dallas flow chart&amp;設備&amp;治工具清單(12-8 A0)_Flow Chart&amp;設備治工具清單 _~1159284" xfId="31175"/>
    <cellStyle name="差_dallas產能評估_Dallas flow chart&amp;設備&amp;治工具清單(12-8 A0)_Flow Chart&amp;設備治工具清單 _Jackson 效益分析 (2-1 B0 上系統)" xfId="31176"/>
    <cellStyle name="差_Xl0000000_Squirrel RFQ ME BOM Costs-0623 2 3" xfId="31177"/>
    <cellStyle name="差_dallas產能評估_Dallas flow chart&amp;設備&amp;治工具清單(12-8 A0)_Flow Chart&amp;設備治工具清單 _Jackson 效益分析 (2-1 B0 上系統)_Leopard效益分析08-17" xfId="31178"/>
    <cellStyle name="差_dallas產能評估_Dallas flow chart&amp;設備&amp;治工具清單(12-8 A0)_Flow Chart&amp;設備治工具清單 _Leopard Flowchart &amp; 產能評估" xfId="31179"/>
    <cellStyle name="差_dallas產能評估_Dallas flow chart&amp;設備&amp;治工具清單(12-8 A0)_Flow Chart&amp;設備治工具清單 _Leopard效益分析08-17" xfId="31180"/>
    <cellStyle name="差_dallas產能評估_Dallas flow chart&amp;設備&amp;治工具清單(12-8 A0)_Flow Chart&amp;設備治工具清單 _squirrel效益分析08-17" xfId="31181"/>
    <cellStyle name="差_dallas產能評估_Dallas flow chart&amp;設備&amp;治工具清單(12-8 A0)_Jackson 效益分析 testing update_16th Jan1_Jackson 效益分析 (2-1 B0 上系統)_Leopard Flowchart &amp; 產能評估" xfId="31182"/>
    <cellStyle name="差_dallas產能評估_Dallas flow chart&amp;設備&amp;治工具清單(12-8 A0)_Jackson 效益分析 testing update_16th Jan1_Jackson 效益分析 (2-1 B0 上系統)_Leopard效益分析08-17" xfId="31183"/>
    <cellStyle name="差_RIO Trial run (Pre-PV 100PCS) QA Report-0610_Rio QA Report-8.27_Dolce   QA Report 2010_0902_~7519239" xfId="31184"/>
    <cellStyle name="差_dallas產能評估_Dallas flow chart&amp;設備&amp;治工具清單(12-8 A0)_Jackson 效益分析 testing update_16th Jan111" xfId="31185"/>
    <cellStyle name="差_dallas產能評估_Dallas flow chart&amp;設備&amp;治工具清單(12-8 A0)_Jackson 效益分析 testing update_16th Jan111_Jackson 效益分析 (2-1 B0 上系統)_Leopard效益分析08-17" xfId="31186"/>
    <cellStyle name="差_HP  專案(設備&amp;治工具需夠買)update 3 3" xfId="31187"/>
    <cellStyle name="差_F3   SMT設備明細_jupite r設備&amp;治工具LIST (總)" xfId="31188"/>
    <cellStyle name="差_dallas產能評估_Dallas flow chart&amp;設備&amp;治工具清單(12-8 A0)_Leopard效益分析08-17" xfId="31189"/>
    <cellStyle name="差_dallas產能評估_Dallas flow chart&amp;設備&amp;治工具清單(12-8 A0)_效益分析(總 12-28 Update)_~1159284" xfId="31190"/>
    <cellStyle name="差_dallas產能評估_Dallas flow chart&amp;設備&amp;治工具清單(12-8 A0)_效益分析(總 12-28 Update)_Jackson 效益分析 (2-1 B0 上系統)" xfId="31191"/>
    <cellStyle name="差_dallas產能評估_Dallas flow chart&amp;設備&amp;治工具清單(12-8 A0)_效益分析(總 12-28 Update)_Jackson 效益分析 (2-1 B0 上系統)_Leopard Flowchart &amp; 產能評估" xfId="31192"/>
    <cellStyle name="差_dallas產能評估_Dallas flow chart&amp;設備&amp;治工具清單(12-8 A0)_效益分析(總 12-28 Update)_Jackson 效益分析 (2-1 B0 上系統)_Leopard效益分析08-17" xfId="31193"/>
    <cellStyle name="差_dallas產能評估_Dallas flow chart&amp;設備&amp;治工具清單(12-8 A0)_效益分析(總 12-28 Update)_Leopard Flowchart &amp; 產能評估" xfId="31194"/>
    <cellStyle name="差_dallas產能評估_Dallas效益分析&amp;投資回收期 (12-2 A1)_~1159284" xfId="31195"/>
    <cellStyle name="差_dallas產能評估_Dallas效益分析&amp;投資回收期 (12-2 A1)_~5631336_Jackson 效益分析 (2-1 B0 上系統)" xfId="31196"/>
    <cellStyle name="差_dallas產能評估_Dallas效益分析&amp;投資回收期 (12-2 A1)_~5631336_Jackson 效益分析 (2-1 B0 上系統)_squirrel效益分析08-17" xfId="31197"/>
    <cellStyle name="差_dallas產能評估_Dallas效益分析&amp;投資回收期 (12-2 A1)_Flow chart and Fixture(1-4)_Jackson 效益分析 (2-1 B0 上系統)" xfId="31198"/>
    <cellStyle name="差_dallas產能評估_Dallas效益分析&amp;投資回收期 (12-2 A1)_Flow chart and Fixture(1-4)_Jackson 效益分析 (2-1 B0 上系統)_Leopard Flowchart &amp; 產能評估" xfId="31199"/>
    <cellStyle name="差_dallas產能評估_Dallas效益分析&amp;投資回收期 (12-2 A1)_Flow chart and Fixture(1-4)_Jackson 效益分析 (2-1 B0 上系統)_squirrel效益分析08-17" xfId="31200"/>
    <cellStyle name="差_dallas產能評估_Dallas效益分析&amp;投資回收期 (12-2 A1)_Flow chart and Fixture(Jackson)_A1" xfId="31201"/>
    <cellStyle name="差_HP Mouse 產能評估(上系統)_Erie 效益分析 (Update)_Flow chart and Fixture(1-4)_Jackson 效益分析 (2-1 B0 上系統)_Leopard Flowchart &amp; 產能評估" xfId="31202"/>
    <cellStyle name="差_dallas產能評估_Dallas效益分析&amp;投資回收期 (12-2 A1)_Flow chart and Fixture(Jackson)_A1_Jackson 效益分析 (2-1 B0 上系統)_squirrel效益分析08-17" xfId="31203"/>
    <cellStyle name="差_dallas產能評估_Dallas效益分析&amp;投資回收期 (12-2 A1)_Flow Chart&amp;設備治工具清單 _~1159284" xfId="31204"/>
    <cellStyle name="差_dallas產能評估_Dallas效益分析&amp;投資回收期 (12-2 A1)_Flow Chart&amp;設備治工具清單 _Jackson 效益分析 (2-1 B0 上系統)_Leopard效益分析08-17" xfId="31205"/>
    <cellStyle name="差_dallas產能評估_Dallas效益分析&amp;投資回收期 (12-2 A1)_Flow Chart&amp;設備治工具清單 _Leopard Flowchart &amp; 產能評估" xfId="31206"/>
    <cellStyle name="差_dallas產能評估_Dallas效益分析&amp;投資回收期 (12-2 A1)_Flow Chart&amp;設備治工具清單 _squirrel效益分析08-17" xfId="31207"/>
    <cellStyle name="差_dallas產能評估_Dallas效益分析&amp;投資回收期 (12-2 A1)_Jackson 效益分析 (1-18 A7)" xfId="31208"/>
    <cellStyle name="差_dallas產能評估_Dallas效益分析&amp;投資回收期 (12-2 A1)_Jackson 效益分析 testing update_16th Jan1_Jackson 效益分析 (2-1 B0 上系統)" xfId="31209"/>
    <cellStyle name="差_dallas產能評估_Dallas效益分析&amp;投資回收期 (12-2 A1)_Jackson 效益分析 testing update_16th Jan1_Jackson 效益分析 (2-1 B0 上系統)_Leopard Flowchart &amp; 產能評估" xfId="31210"/>
    <cellStyle name="壞_Creek Assembly Fixture  Test Equipment RFQ_20090427_Leopard_UniBOM_ME_0603-2_Bolt RFQ_Foxlink_03.1 2011 4" xfId="31211"/>
    <cellStyle name="差_dallas產能評估_Dallas效益分析&amp;投資回收期 (12-2 A1)_Jackson 效益分析 testing update_16th Jan1_Jackson 效益分析 (2-1 B0 上系統)_squirrel效益分析08-17" xfId="31212"/>
    <cellStyle name="差_HP Mouse 產能評估(Forecast更改後)_M1 SuedeFixtureEquipment Cost_A0_2010_10_15_Bolt RFQ_Foxlink_03.1 2011 2" xfId="31213"/>
    <cellStyle name="差_dallas產能評估_Dallas效益分析&amp;投資回收期 (12-2 A1)_Jackson 效益分析 testing update_16th Jan111_Jackson 效益分析 (2-1 B0 上系統)_squirrel效益分析08-17" xfId="31214"/>
    <cellStyle name="差_dallas產能評估_Dallas效益分析&amp;投資回收期 (12-2 A1)_效益分析(總 12-28 Update)" xfId="31215"/>
    <cellStyle name="差_dallas產能評估_Dallas效益分析&amp;投資回收期 (12-2 A1)_效益分析(總 12-28 Update)_~1159284" xfId="31216"/>
    <cellStyle name="差_dallas產能評估_Dallas效益分析&amp;投資回收期 (12-2 A1)_效益分析(總 12-28 Update)_Jackson 效益分析 (2-1 B0 上系統)" xfId="31217"/>
    <cellStyle name="差_dallas產能評估_Dallas效益分析&amp;投資回收期 (12-2 A1)_效益分析(總 12-28 Update)_Jackson 效益分析 (2-1 B0 上系統)_Leopard效益分析08-17" xfId="31218"/>
    <cellStyle name="差_dallas產能評估_Dallas效益分析&amp;投資回收期 (12-2 A1)_效益分析(總 12-28 Update)_Jackson 效益分析 (2-1 B0 上系統)_squirrel效益分析08-17" xfId="31219"/>
    <cellStyle name="差_dallas產能評估_Dallas效益分析&amp;投資回收期 (12-2 A1)_效益分析(總 12-28 Update)_Leopard Flowchart &amp; 產能評估" xfId="31220"/>
    <cellStyle name="差_HP Mouse 產能評估(Forecast更改後)_M1 SuedeFixtureEquipment Cost_A0_2010_10_15_Bolt RFQ Proposal_Foxlink_ (Pricing Summary) 2 25 2011 2 2" xfId="31221"/>
    <cellStyle name="差_dallas產能評估_flow chart 2009.12.12_~1159284" xfId="31222"/>
    <cellStyle name="差_dallas產能評估_flow chart 2009.12.12_~5631336_Jackson 效益分析 (2-1 B0 上系統)_Leopard Flowchart &amp; 產能評估" xfId="31223"/>
    <cellStyle name="差_dallas產能評估_flow chart 2009.12.12_~5631336_Jackson 效益分析 (2-1 B0 上系統)_squirrel效益分析08-17" xfId="31224"/>
    <cellStyle name="差_dallas產能評估_flow chart 2009.12.12_Flow chart and Fixture(1-4)_Jackson 效益分析 (2-1 B0 上系統)" xfId="31225"/>
    <cellStyle name="差_dallas產能評估_flow chart 2009.12.12_Flow chart and Fixture(1-4)_Jackson 效益分析 (2-1 B0 上系統)_squirrel效益分析08-17" xfId="31226"/>
    <cellStyle name="差_dallas產能評估_flow chart 2009.12.12_Flow chart and Fixture(Jackson)_A1" xfId="31227"/>
    <cellStyle name="差_dallas產能評估_flow chart 2009.12.12_Flow chart and Fixture(Jackson)_A1_Jackson 效益分析 (2-1 B0 上系統)" xfId="31228"/>
    <cellStyle name="差_dallas產能評估_flow chart 2009.12.12_Flow chart and Fixture(Jackson)_A1_Jackson 效益分析 (2-1 B0 上系統)_Leopard Flowchart &amp; 產能評估" xfId="31229"/>
    <cellStyle name="差_dallas產能評估_flow chart 2009.12.12_Flow chart and Fixture(Jackson)_A1_Jackson 效益分析 (2-1 B0 上系統)_Leopard效益分析08-17" xfId="31230"/>
    <cellStyle name="差_dallas產能評估_flow chart 2009.12.12_Flow Chart&amp;設備治工具清單 _Jackson 效益分析 (2-1 B0 上系統)" xfId="31231"/>
    <cellStyle name="差_dallas產能評估_flow chart 2009.12.12_Flow Chart&amp;設備治工具清單 _squirrel效益分析08-17" xfId="31232"/>
    <cellStyle name="差_dallas產能評估_flow chart 2009.12.12_Jackson 效益分析 (1-18 A7)" xfId="31233"/>
    <cellStyle name="差_dallas產能評估_flow chart 2009.12.12_Jackson 效益分析 (2-1 B0 上系統)_Leopard效益分析08-17" xfId="31234"/>
    <cellStyle name="差_dallas產能評估_flow chart 2009.12.12_Jackson 效益分析 (2-1 B0 上系統)_squirrel效益分析08-17" xfId="31235"/>
    <cellStyle name="差_dallas產能評估_flow chart 2009.12.12_Jackson 效益分析 testing update_16th Jan1_Jackson 效益分析 (2-1 B0 上系統)_Leopard效益分析08-17" xfId="31236"/>
    <cellStyle name="差_dallas產能評估_flow chart 2009.12.12_Jackson 效益分析 testing update_16th Jan1_Jackson 效益分析 (2-1 B0 上系統)_squirrel效益分析08-17" xfId="31237"/>
    <cellStyle name="差_HP Mouse 產能評估(上系統)_M1 SuedeFixtureEquipment Cost_A0_2010_10_15_Bolt RFQ Proposal_Foxlink_ (Pricing Summary) 2 25 2011 2 2 2" xfId="31238"/>
    <cellStyle name="差_dallas產能評估_flow chart 2009.12.12_Jackson 效益分析 testing update_16th Jan111" xfId="31239"/>
    <cellStyle name="差_dallas產能評估_flow chart 2009.12.12_Jackson 效益分析 testing update_16th Jan111_Jackson 效益分析 (2-1 B0 上系統)_squirrel效益分析08-17" xfId="31240"/>
    <cellStyle name="差_dallas產能評估_flow chart 2009.12.12_Leopard Flowchart &amp; 產能評估" xfId="31241"/>
    <cellStyle name="差_dallas產能評估_flow chart 2009.12.12_Leopard效益分析08-17" xfId="31242"/>
    <cellStyle name="差_dallas產能評估_flow chart 2009.12.12_squirrel效益分析08-17" xfId="31243"/>
    <cellStyle name="差_dallas產能評估_flow chart 2009.12.12_效益分析(總 12-28 Update)_~1159284" xfId="31244"/>
    <cellStyle name="差_dallas產能評估_flow chart 2009.12.12_效益分析(總 12-28 Update)_Jackson 效益分析 (2-1 B0 上系統)" xfId="31245"/>
    <cellStyle name="差_dallas產能評估_flow chart 2009.12.12_效益分析(總 12-28 Update)_Jackson 效益分析 (2-1 B0 上系統)_Leopard Flowchart &amp; 產能評估" xfId="31246"/>
    <cellStyle name="差_dallas產能評估_flow chart 2009.12.12_效益分析(總 12-28 Update)_Jackson 效益分析 (2-1 B0 上系統)_Leopard效益分析08-17" xfId="31247"/>
    <cellStyle name="壞_Creek EE BOM cost_20090425_Creek RFQ feedback 04_28_2009_FD Update_Leopard_UniBOM_ME_0531 4 3" xfId="31248"/>
    <cellStyle name="差_dallas產能評估_flow chart 2009.12.12_效益分析(總 12-28 Update)_Jackson 效益分析 (2-1 B0 上系統)_squirrel效益分析08-17" xfId="31249"/>
    <cellStyle name="差_F3   SMT設備明細_M1 Bolt wireless mouse FixtureEquipment Cost_A2_2010_12_07 5" xfId="31250"/>
    <cellStyle name="差_dallas產能評估_flow chart 2009.12.12_效益分析(總 12-28 Update)_Leopard Flowchart &amp; 產能評估" xfId="31251"/>
    <cellStyle name="差_dallas產能評估_flow chart 2009.12.12_效益分析(總 12-28 Update)_Leopard效益分析08-17" xfId="31252"/>
    <cellStyle name="差_dallas產能評估_Flow chart and Fixture(1-4)" xfId="31253"/>
    <cellStyle name="差_dallas產能評估_Flow chart and Fixture(1-4)_Jackson 效益分析 (2-1 B0 上系統)" xfId="31254"/>
    <cellStyle name="差_dallas產能評估_Flow chart and Fixture(Jackson)_A1" xfId="31255"/>
    <cellStyle name="差_dallas產能評估_Flow chart and Fixture(Jackson)_A1_Jackson 效益分析 (2-1 B0 上系統)" xfId="31256"/>
    <cellStyle name="差_Xl0000002_Leopard_UniBOM_ME_0531_Bolt RFQ_Foxlink_03.1 2011 3 2" xfId="31257"/>
    <cellStyle name="差_dallas產能評估_Flow Chart&amp;設備治工具清單 _~1159284" xfId="31258"/>
    <cellStyle name="差_dallas產能評估_Flow Chart&amp;設備治工具清單 _Jackson 效益分析 (2-1 B0 上系統)_Leopard Flowchart &amp; 產能評估" xfId="31259"/>
    <cellStyle name="壞_Creek EE BOM cost_20090425_Creek RFQ feedback 04_28_2009_FD Update_Bristol UniBom_Foxlink_02082011 RevA" xfId="31260"/>
    <cellStyle name="差_dallas產能評估_Flow Chart&amp;設備治工具清單 _squirrel效益分析08-17" xfId="31261"/>
    <cellStyle name="差_dallas產能評估_Flow Chart(shadow) A3 _~1159284" xfId="31262"/>
    <cellStyle name="差_dallas產能評估_Flow Chart(shadow) A3 _Jackson 效益分析 (2-1 B0 上系統)" xfId="31263"/>
    <cellStyle name="差_dallas產能評估_Flow Chart(shadow) A3 _Jackson 效益分析 (2-1 B0 上系統)_Leopard Flowchart &amp; 產能評估" xfId="31264"/>
    <cellStyle name="差_dallas產能評估_Flow Chart(shadow) A3 _Jackson 效益分析 (2-1 B0 上系統)_Leopard效益分析08-17" xfId="31265"/>
    <cellStyle name="差_dallas產能評估_Flow Chart(shadow) A3 _Leopard效益分析08-17" xfId="31266"/>
    <cellStyle name="差_dallas產能評估_Flow Chart(shadow)-b (1-4 Update)_~1159284" xfId="31267"/>
    <cellStyle name="差_dallas產能評估_Flow Chart(shadow)-b (1-4 Update)_Jackson 效益分析 (2-1 B0 上系統)_squirrel效益分析08-17" xfId="31268"/>
    <cellStyle name="差_dallas產能評估_Jackson 效益分析 (2-1 B0 上系統)" xfId="31269"/>
    <cellStyle name="差_dallas產能評估_Jackson 效益分析 (2-1 B0 上系統)_Leopard Flowchart &amp; 產能評估" xfId="31270"/>
    <cellStyle name="差_dallas產能評估_Jackson 效益分析 (2-1 B0 上系統)_Leopard效益分析08-17" xfId="31271"/>
    <cellStyle name="差_dallas產能評估_Jackson 效益分析 (2-1 B0 上系統)_squirrel效益分析08-17" xfId="31272"/>
    <cellStyle name="差_dallas產能評估_Jackson 效益分析 testing update_16th Jan1_Jackson 效益分析 (2-1 B0 上系統)" xfId="31273"/>
    <cellStyle name="差_dallas產能評估_Jackson 效益分析 testing update_16th Jan111" xfId="31274"/>
    <cellStyle name="差_dallas產能評估_Jackson 效益分析 testing update_16th Jan111_Jackson 效益分析 (2-1 B0 上系統)_Leopard Flowchart &amp; 產能評估" xfId="31275"/>
    <cellStyle name="差_dallas產能評估_Jackson 效益分析 testing update_16th Jan111_Jackson 效益分析 (2-1 B0 上系統)_squirrel效益分析08-17" xfId="31276"/>
    <cellStyle name="差_Xl0000002_Leopard Lemur Squirrel UniBom-06.22.2010_EE cost _update_internal_Bolt RFQ_Foxlink_03.1 2011 2 2" xfId="31277"/>
    <cellStyle name="差_dallas產能評估_效益分析(總 12-28 Update)_Jackson 效益分析 (2-1 B0 上系統)" xfId="31278"/>
    <cellStyle name="差_MB9月管審換線超時8d_2009MB KPI_MBO3F製造部hp0209-01 2 3 2" xfId="31279"/>
    <cellStyle name="差_dallas產能評估_效益分析(總 12-28 Update)_Jackson 效益分析 (2-1 B0 上系統)_Leopard Flowchart &amp; 產能評估" xfId="31280"/>
    <cellStyle name="差_dallas產能評估_效益分析(總 12-28 Update)_Jackson 效益分析 (2-1 B0 上系統)_squirrel效益分析08-17" xfId="31281"/>
    <cellStyle name="差_dallas產能評估_效益分析(總 12-28 Update)_Leopard Flowchart &amp; 產能評估" xfId="31282"/>
    <cellStyle name="差_dallas產能評估_效益分析(總 12-28 Update)_squirrel效益分析08-17" xfId="31283"/>
    <cellStyle name="差_Dolce build QA daily report_ 2011.2.21_Suede QA report for EV2.1 _20110301_Update" xfId="31284"/>
    <cellStyle name="差_Dolce build QA daily report_ 2011.2.22_Suede QA report for EV2.1 _20110301_Update" xfId="31285"/>
    <cellStyle name="差_Dolce IE 產能評估表_(12-1 Update)_Jackson 效益分析 (2-1 B0 上系統)_Leopard Flowchart &amp; 產能評估" xfId="31286"/>
    <cellStyle name="差_Dolce IE 產能評估表_(12-1 Update)_Leopard Flowchart &amp; 產能評估" xfId="31287"/>
    <cellStyle name="差_Dolce IE 產能評估表_(12-1 Update)_Leopard效益分析08-17" xfId="31288"/>
    <cellStyle name="差_Dolce IE 產能評估表_(12-1 Update)_squirrel效益分析08-17" xfId="31289"/>
    <cellStyle name="差_F3   SMT設備明細_jupite r設備&amp;治工具LIST (總)_Dallas flow chart&amp;設備&amp;治工具清單(12-8 A0)_Jackson 效益分析 testing update_16th Jan1" xfId="31290"/>
    <cellStyle name="差_Erie mouse 效益分析( 11-19 A1)_~1159284" xfId="31291"/>
    <cellStyle name="差_Erie mouse 效益分析( 11-19 A1)_~5631336" xfId="31292"/>
    <cellStyle name="差_Erie mouse 效益分析( 11-19 A1)_Flow chart and Fixture(1-4)" xfId="31293"/>
    <cellStyle name="差_Erie mouse 效益分析( 11-19 A1)_Flow chart and Fixture(1-4)_Jackson 效益分析 (2-1 B0 上系統)_Leopard效益分析08-17" xfId="31294"/>
    <cellStyle name="差_Erie mouse 效益分析( 11-19 A1)_Flow chart and Fixture(Jackson)_A1" xfId="31295"/>
    <cellStyle name="差_Erie mouse 效益分析( 11-19 A1)_Flow chart and Fixture(Jackson)_A1_Jackson 效益分析 (2-1 B0 上系統)_Leopard Flowchart &amp; 產能評估" xfId="31296"/>
    <cellStyle name="差_Erie mouse 效益分析( 11-19 A1)_Flow chart and Fixture(Jackson)_A1_Jackson 效益分析 (2-1 B0 上系統)_squirrel效益分析08-17" xfId="31297"/>
    <cellStyle name="差_Erie mouse 效益分析( 11-19 A1)_Flow Chart&amp;設備治工具清單 _Jackson 效益分析 (2-1 B0 上系統)" xfId="31298"/>
    <cellStyle name="差_Erie mouse 效益分析( 11-19 A1)_Flow Chart&amp;設備治工具清單 _Jackson 效益分析 (2-1 B0 上系統)_squirrel效益分析08-17" xfId="31299"/>
    <cellStyle name="差_Erie mouse 效益分析( 11-19 A1)_Flow Chart&amp;設備治工具清單 _Leopard效益分析08-17" xfId="31300"/>
    <cellStyle name="差_Erie mouse 效益分析( 11-19 A1)_Flow Chart&amp;設備治工具清單 _squirrel效益分析08-17" xfId="31301"/>
    <cellStyle name="差_Erie mouse 效益分析( 11-19 A1)_Jackson 效益分析 (2-1 B0 上系統)_Leopard Flowchart &amp; 產能評估" xfId="31302"/>
    <cellStyle name="差_Erie mouse 效益分析( 11-19 A1)_Jackson 效益分析 (2-1 B0 上系統)_Leopard效益分析08-17" xfId="31303"/>
    <cellStyle name="差_Erie mouse 效益分析( 11-19 A1)_Jackson 效益分析 testing update_16th Jan1" xfId="31304"/>
    <cellStyle name="差_治具工程課2009年KPI_HP 5 4" xfId="31305"/>
    <cellStyle name="差_Erie mouse 效益分析( 11-19 A1)_Jackson 效益分析 testing update_16th Jan1_Jackson 效益分析 (2-1 B0 上系統)_squirrel效益分析08-17" xfId="31306"/>
    <cellStyle name="差_HP  專案(設備&amp;治工具需夠買)update_Bolt RFQ_Foxlink_03.1 2011 5" xfId="31307"/>
    <cellStyle name="差_Erie mouse 效益分析( 11-19 A1)_Jackson 效益分析 testing update_16th Jan111_Jackson 效益分析 (2-1 B0 上系統)" xfId="31308"/>
    <cellStyle name="差_Erie mouse 效益分析( 11-19 A1)_Jackson 效益分析 testing update_16th Jan111_Jackson 效益分析 (2-1 B0 上系統)_Leopard效益分析08-17" xfId="31309"/>
    <cellStyle name="差_Erie mouse 效益分析( 11-19 A1)_Leopard效益分析08-17" xfId="31310"/>
    <cellStyle name="差_效益分析&amp;產能評估_Bolt RFQ_Foxlink_03.1 2011_nego meeting@MACH 4" xfId="31311"/>
    <cellStyle name="差_Erie mouse 效益分析( 11-19 A1)_效益分析(總 12-28 Update)_Jackson 效益分析 (2-1 B0 上系統)_squirrel效益分析08-17" xfId="31312"/>
    <cellStyle name="差_Erie mouse 效益分析( 11-19 A1)_效益分析(總 12-28 Update)_Leopard Flowchart &amp; 產能評估" xfId="31313"/>
    <cellStyle name="差_HP Mouse 產能評估(上系統)_Erie 效益分析 (Update)_Flow chart and Fixture(Jackson)_A1_Jackson 效益分析 (2-1 B0 上系統)" xfId="31314"/>
    <cellStyle name="差_Erie mouse 效益分析( 11-19 A1)_效益分析(總 12-28 Update)_Leopard效益分析08-17" xfId="31315"/>
    <cellStyle name="差_Erie Trial run  QA Report-1103" xfId="31316"/>
    <cellStyle name="差_Erie Trial run  QA Report-1103_Dolce   QA Report 2010_0902 (A3)" xfId="31317"/>
    <cellStyle name="差_Erie Trial run  QA Report-1103_Dolce   QA Report 2010_0902_~7519239" xfId="31318"/>
    <cellStyle name="差_Erie Trial run  QA Report-1103_Xl0000010" xfId="31319"/>
    <cellStyle name="差_Erie Trial run  QA Report-1105" xfId="31320"/>
    <cellStyle name="差_Erie Trial run  QA Report-1105_Dolce   QA Report 2010_0902" xfId="31321"/>
    <cellStyle name="差_Erie Trial run  QA Report-1105_Dolce   QA Report 2010_0902_~7519239" xfId="31322"/>
    <cellStyle name="差_F3   SMT設備明細" xfId="31323"/>
    <cellStyle name="差_F3   SMT設備明細 2" xfId="31324"/>
    <cellStyle name="差_F3   SMT設備明細 3" xfId="31325"/>
    <cellStyle name="差_F3   SMT設備明細 3 3" xfId="31326"/>
    <cellStyle name="差_F3   SMT設備明細_~5631336_Jackson 效益分析 (2-1 B0 上系統)" xfId="31327"/>
    <cellStyle name="差_F3   SMT設備明細_Bolt RFQ Proposal_Foxlink_ (Pricing Summary) 2 25 2011 2 2 3" xfId="31328"/>
    <cellStyle name="差_F3   SMT設備明細_Bolt RFQ Proposal_Foxlink_ (Pricing Summary) 2 25 2011 3" xfId="31329"/>
    <cellStyle name="差_F3   SMT設備明細_Bolt RFQ Proposal_Foxlink_ (Pricing Summary) 2 25 2011 4" xfId="31330"/>
    <cellStyle name="差_F3   SMT設備明細_Bolt RFQ Proposal_Foxlink_ (Pricing Summary) 2 25 2011 5 2" xfId="31331"/>
    <cellStyle name="差_F3   SMT設備明細_Bolt RFQ Proposal_Foxlink_ (Pricing Summary) 2 25 2011 6" xfId="31332"/>
    <cellStyle name="差_F3   SMT設備明細_Bolt RFQ_Foxlink_03.1 2011" xfId="31333"/>
    <cellStyle name="差_F3   SMT設備明細_Bolt RFQ_Foxlink_03.1 2011_nego meeting@MACH 2 2" xfId="31334"/>
    <cellStyle name="差_F3   SMT設備明細_Bolt RFQ_Foxlink_03.1 2011_nego meeting@MACH 2 3" xfId="31335"/>
    <cellStyle name="差_F3   SMT設備明細_Bolt RFQ_Foxlink_03.1 2011_nego meeting@MACH 3 2" xfId="31336"/>
    <cellStyle name="差_F3   SMT設備明細_Bolt RFQ_Foxlink_03.1 2011_nego meeting@MACH 3 3" xfId="31337"/>
    <cellStyle name="差_F3   SMT設備明細_Erie mouse 效益分析( 11-19 A1)" xfId="31338"/>
    <cellStyle name="差_F3   SMT設備明細_Erie mouse 效益分析( 11-19 A1)_Jackson 效益分析 (2-1 B0 上系統)" xfId="31339"/>
    <cellStyle name="差_F3   SMT設備明細_Erie mouse 效益分析( 11-19 A1)_Jackson 效益分析 (2-1 B0 上系統)_Leopard Flowchart &amp; 產能評估" xfId="31340"/>
    <cellStyle name="差_F3   SMT設備明細_Erie 效益分析 (Update)_~5631336" xfId="31341"/>
    <cellStyle name="差_F3   SMT設備明細_Erie 效益分析 (Update)_~5631336_Jackson 效益分析 (2-1 B0 上系統)_Leopard Flowchart &amp; 產能評估" xfId="31342"/>
    <cellStyle name="差_F3   SMT設備明細_Erie 效益分析 (Update)_Flow chart and Fixture(1-4)" xfId="31343"/>
    <cellStyle name="差_MB9月管審換線超時8d_2009MB KPI_MBO3F製造部hp0209-01 6 2" xfId="31344"/>
    <cellStyle name="差_F3   SMT設備明細_Erie 效益分析 (Update)_Flow chart and Fixture(1-4)_Jackson 效益分析 (2-1 B0 上系統)_Leopard Flowchart &amp; 產能評估" xfId="31345"/>
    <cellStyle name="差_F3   SMT設備明細_Erie 效益分析 (Update)_Flow chart and Fixture(1-4)_Jackson 效益分析 (2-1 B0 上系統)_squirrel效益分析08-17" xfId="31346"/>
    <cellStyle name="差_F3   SMT設備明細_Erie 效益分析 (Update)_Flow chart and Fixture(Jackson)_A1" xfId="31347"/>
    <cellStyle name="差_F3   SMT設備明細_Erie 效益分析 (Update)_Flow chart and Fixture(Jackson)_A1_Jackson 效益分析 (2-1 B0 上系統)" xfId="31348"/>
    <cellStyle name="差_Xl0000000_Leopard_UniBOM_ME_0602_Bolt RFQ Proposal_Foxlink_ (Pricing Summary) 2 25 2011 4" xfId="31349"/>
    <cellStyle name="差_F3   SMT設備明細_Erie 效益分析 (Update)_Flow Chart&amp;設備治工具清單 _Jackson 效益分析 (2-1 B0 上系統)" xfId="31350"/>
    <cellStyle name="差_F3   SMT設備明細_Erie 效益分析 (Update)_Jackson 效益分析 (2-1 B0 上系統)_Leopard Flowchart &amp; 產能評估" xfId="31351"/>
    <cellStyle name="差_F3   SMT設備明細_Erie 效益分析 (Update)_Jackson 效益分析 (2-1 B0 上系統)_Leopard效益分析08-17" xfId="31352"/>
    <cellStyle name="差_HP Mouse 產能評估(上系統)_Erie 效益分析 (Update)_效益分析(總 12-28 Update)_~1159284" xfId="31353"/>
    <cellStyle name="差_F3   SMT設備明細_Erie 效益分析 (Update)_Jackson 效益分析 (2-1 B0 上系統)_squirrel效益分析08-17" xfId="31354"/>
    <cellStyle name="差_F3   SMT設備明細_Erie 效益分析 (Update)_Jackson 效益分析 testing update_16th Jan1_Jackson 效益分析 (2-1 B0 上系統)_Leopard效益分析08-17" xfId="31355"/>
    <cellStyle name="差_F3   SMT設備明細_Erie 效益分析 (Update)_Jackson 效益分析 testing update_16th Jan111_Jackson 效益分析 (2-1 B0 上系統)" xfId="31356"/>
    <cellStyle name="差_F3   SMT設備明細_Erie 效益分析 (Update)_Jackson 效益分析 testing update_16th Jan111_Jackson 效益分析 (2-1 B0 上系統)_Leopard Flowchart &amp; 產能評估" xfId="31357"/>
    <cellStyle name="差_F3   SMT設備明細_Erie 效益分析 (Update)_Jackson 效益分析 testing update_16th Jan111_Jackson 效益分析 (2-1 B0 上系統)_squirrel效益分析08-17" xfId="31358"/>
    <cellStyle name="差_Xl0000002_Leopard_UniBOM_ME_0603-2_Bolt RFQ_Foxlink_03.1 2011_nego meeting@MACH" xfId="31359"/>
    <cellStyle name="差_F3   SMT設備明細_Erie 效益分析 (Update)_Leopard Flowchart &amp; 產能評估" xfId="31360"/>
    <cellStyle name="差_F3   SMT設備明細_Erie 效益分析 (Update)_Leopard效益分析08-17" xfId="31361"/>
    <cellStyle name="差_F3   SMT設備明細_Erie 效益分析 (Update)_squirrel效益分析08-17" xfId="31362"/>
    <cellStyle name="差_F3   SMT設備明細_Erie 效益分析 (Update)_效益分析(總 12-28 Update)" xfId="31363"/>
    <cellStyle name="差_F3   SMT設備明細_Erie 效益分析 (Update)_效益分析(總 12-28 Update)_Jackson 效益分析 (2-1 B0 上系統)_Leopard Flowchart &amp; 產能評估" xfId="31364"/>
    <cellStyle name="差_F3   SMT設備明細_Erie 效益分析 (Update)_效益分析(總 12-28 Update)_Jackson 效益分析 (2-1 B0 上系統)_Leopard效益分析08-17" xfId="31365"/>
    <cellStyle name="差_F3   SMT設備明細_Erie 效益分析 (Update)_效益分析(總 12-28 Update)_Jackson 效益分析 (2-1 B0 上系統)_squirrel效益分析08-17" xfId="31366"/>
    <cellStyle name="差_F3   SMT設備明細_Erie 效益分析 (Update)_效益分析(總 12-28 Update)_squirrel效益分析08-17" xfId="31367"/>
    <cellStyle name="差_F3   SMT設備明細_Erie 效益分析(8-27)" xfId="31368"/>
    <cellStyle name="差_F3   SMT設備明細_Erie 效益分析(8-27)_~1159284" xfId="31369"/>
    <cellStyle name="差_F3   SMT設備明細_Erie 效益分析(8-27)_Jackson 效益分析 (2-1 B0 上系統)" xfId="31370"/>
    <cellStyle name="差_F3   SMT設備明細_Erie 效益分析(8-27)_Leopard Flowchart &amp; 產能評估" xfId="31371"/>
    <cellStyle name="差_F3   SMT設備明細_Erie 效益分析(8-27)_squirrel效益分析08-17" xfId="31372"/>
    <cellStyle name="差_F3   SMT設備明細_Flow chart and Fixture(1-4)_Jackson 效益分析 (2-1 B0 上系統)" xfId="31373"/>
    <cellStyle name="差_F3   SMT設備明細_Flow chart and Fixture(1-4)_Jackson 效益分析 (2-1 B0 上系統)_squirrel效益分析08-17" xfId="31374"/>
    <cellStyle name="差_F3   SMT設備明細_Flow chart and Fixture(Jackson)_A1" xfId="31375"/>
    <cellStyle name="差_F3   SMT設備明細_Flow chart and Fixture(Jackson)_A1_Jackson 效益分析 (2-1 B0 上系統)_Leopard Flowchart &amp; 產能評估" xfId="31376"/>
    <cellStyle name="差_F3   SMT設備明細_Flow chart and Fixture(Jackson)_A1_Jackson 效益分析 (2-1 B0 上系統)_squirrel效益分析08-17" xfId="31377"/>
    <cellStyle name="差_jupite r設備&amp;治工具LIST (總)_Flow Chart&amp;PQ分析(12-1)_Jackson 效益分析 testing update_16th Jan1_Jackson 效益分析 (2-1 B0 上系統)_Leopard Flowchart &amp; 產能評估" xfId="31378"/>
    <cellStyle name="差_F3   SMT設備明細_Flow Chart&amp;設備治工具清單 " xfId="31379"/>
    <cellStyle name="差_F3   SMT設備明細_Flow Chart&amp;設備治工具清單 _Leopard Flowchart &amp; 產能評估" xfId="31380"/>
    <cellStyle name="差_F3   SMT設備明細_Flow Chart&amp;設備治工具清單 _Leopard效益分析08-17" xfId="31381"/>
    <cellStyle name="差_F3   SMT設備明細_Jackson 效益分析 (1-18 A7)" xfId="31382"/>
    <cellStyle name="差_Squirrel UniBom-06.23.2010_update_internal_Bolt RFQ Proposal_Foxlink_ (Pricing Summary) 2 25 2011 4 2" xfId="31383"/>
    <cellStyle name="差_F3   SMT設備明細_Jackson 效益分析 testing update_16th Jan1_Jackson 效益分析 (2-1 B0 上系統)_squirrel效益分析08-17" xfId="31384"/>
    <cellStyle name="差_HP Mouse 產能評估(Forecast更改後)_M1 SuedeFixtureEquipment Cost_A0_2010_10_15_Bolt RFQ Proposal_Foxlink_ (Pricing Summary) 2 25 2011 5 3" xfId="31385"/>
    <cellStyle name="差_F3   SMT設備明細_Jackson 效益分析 testing update_16th Jan111" xfId="31386"/>
    <cellStyle name="差_F3   SMT設備明細_jupite r設備&amp;治工具LIST (總)_~3106354" xfId="31387"/>
    <cellStyle name="差_F3   SMT設備明細_jupite r設備&amp;治工具LIST (總)_~3106354_~1159284" xfId="31388"/>
    <cellStyle name="差_F3   SMT設備明細_jupite r設備&amp;治工具LIST (總)_~3106354_Jackson 效益分析 (2-1 B0 上系統)" xfId="31389"/>
    <cellStyle name="差_F3   SMT設備明細_jupite r設備&amp;治工具LIST (總)_~3106354_Jackson 效益分析 (2-1 B0 上系統)_Leopard Flowchart &amp; 產能評估" xfId="31390"/>
    <cellStyle name="差_F3   SMT設備明細_jupite r設備&amp;治工具LIST (總)_~3106354_Jackson 效益分析 (2-1 B0 上系統)_Leopard效益分析08-17" xfId="31391"/>
    <cellStyle name="差_F3   SMT設備明細_jupite r設備&amp;治工具LIST (總)_~3106354_squirrel效益分析08-17" xfId="31392"/>
    <cellStyle name="差_F3   SMT設備明細_jupite r設備&amp;治工具LIST (總)_~5631336" xfId="31393"/>
    <cellStyle name="差_Xl0000000_Squirrel UniBom-06.23.2010_update_internal_Bolt RFQ Proposal_Foxlink_ (Pricing Summary) 2 25 2011 3 3" xfId="31394"/>
    <cellStyle name="差_F3   SMT設備明細_jupite r設備&amp;治工具LIST (總)_~5631336_Jackson 效益分析 (2-1 B0 上系統)" xfId="31395"/>
    <cellStyle name="差_F3   SMT設備明細_jupite r設備&amp;治工具LIST (總)_~5631336_Jackson 效益分析 (2-1 B0 上系統)_Leopard Flowchart &amp; 產能評估" xfId="31396"/>
    <cellStyle name="差_Squirrel UniBom-06.23.2010_update_internal 2 3" xfId="31397"/>
    <cellStyle name="差_F3   SMT設備明細_jupite r設備&amp;治工具LIST (總)_~5631336_Jackson 效益分析 (2-1 B0 上系統)_Leopard效益分析08-17" xfId="31398"/>
    <cellStyle name="差_F3   SMT設備明細_jupite r設備&amp;治工具LIST (總)_~5631336_Jackson 效益分析 (2-1 B0 上系統)_squirrel效益分析08-17" xfId="31399"/>
    <cellStyle name="差_F3   SMT設備明細_jupite r設備&amp;治工具LIST (總)_~8644671" xfId="31400"/>
    <cellStyle name="差_F3   SMT設備明細_jupite r設備&amp;治工具LIST (總)_~8644671_Jackson 效益分析 (2-1 B0 上系統)" xfId="31401"/>
    <cellStyle name="差_MB9月管審換線超時8d 5 2" xfId="31402"/>
    <cellStyle name="差_F3   SMT設備明細_jupite r設備&amp;治工具LIST (總)_~8644671_Jackson 效益分析 (2-1 B0 上系統)_Leopard效益分析08-17" xfId="31403"/>
    <cellStyle name="差_F3   SMT設備明細_jupite r設備&amp;治工具LIST (總)_~8644671_Jackson 效益分析 (2-1 B0 上系統)_squirrel效益分析08-17" xfId="31404"/>
    <cellStyle name="差_F3   SMT設備明細_jupite r設備&amp;治工具LIST (總)_~8644671_Leopard Flowchart &amp; 產能評估" xfId="31405"/>
    <cellStyle name="差_HP Mouse 產能評估(Forecast更改後)_Bolt RFQ_Foxlink_03.1 2011_nego meeting@MACH 4" xfId="31406"/>
    <cellStyle name="差_F3   SMT設備明細_jupite r設備&amp;治工具LIST (總)_~8644671_Leopard效益分析08-17" xfId="31407"/>
    <cellStyle name="差_F3   SMT設備明細_jupite r設備&amp;治工具LIST (總)_~8644671_squirrel效益分析08-17" xfId="31408"/>
    <cellStyle name="差_F3   SMT設備明細_jupite r設備&amp;治工具LIST (總)_Dallas flow chart&amp;設備&amp;治工具清單(12-8 A0)_~5631336" xfId="31409"/>
    <cellStyle name="差_F3   SMT設備明細_jupite r設備&amp;治工具LIST (總)_Dallas flow chart&amp;設備&amp;治工具清單(12-8 A0)_~5631336_Jackson 效益分析 (2-1 B0 上系統)_Leopard效益分析08-17" xfId="31410"/>
    <cellStyle name="差_F3   SMT設備明細_jupite r設備&amp;治工具LIST (總)_Dallas flow chart&amp;設備&amp;治工具清單(12-8 A0)_Flow chart and Fixture(1-4)_Jackson 效益分析 (2-1 B0 上系統)_Leopard Flowchart &amp; 產能評估" xfId="31411"/>
    <cellStyle name="差_F3   SMT設備明細_jupite r設備&amp;治工具LIST (總)_Dallas flow chart&amp;設備&amp;治工具清單(12-8 A0)_Flow chart and Fixture(1-4)_Jackson 效益分析 (2-1 B0 上系統)_squirrel效益分析08-17" xfId="31412"/>
    <cellStyle name="差_F3   SMT設備明細_jupite r設備&amp;治工具LIST (總)_Dallas flow chart&amp;設備&amp;治工具清單(12-8 A0)_Flow chart and Fixture(Jackson)_A1_Jackson 效益分析 (2-1 B0 上系統)_Leopard效益分析08-17" xfId="31413"/>
    <cellStyle name="差_F3   SMT設備明細_jupite r設備&amp;治工具LIST (總)_Dallas flow chart&amp;設備&amp;治工具清單(12-8 A0)_Flow Chart&amp;設備治工具清單 " xfId="31414"/>
    <cellStyle name="差_F3   SMT設備明細_jupite r設備&amp;治工具LIST (總)_Dallas flow chart&amp;設備&amp;治工具清單(12-8 A0)_Flow Chart&amp;設備治工具清單 _~1159284" xfId="31415"/>
    <cellStyle name="差_F3   SMT設備明細_jupite r設備&amp;治工具LIST (總)_Dallas flow chart&amp;設備&amp;治工具清單(12-8 A0)_Flow Chart&amp;設備治工具清單 _Leopard Flowchart &amp; 產能評估" xfId="31416"/>
    <cellStyle name="差_F3   SMT設備明細_jupite r設備&amp;治工具LIST (總)_Dallas flow chart&amp;設備&amp;治工具清單(12-8 A0)_Flow Chart&amp;設備治工具清單 _Leopard效益分析08-17" xfId="31417"/>
    <cellStyle name="差_F3   SMT設備明細_jupite r設備&amp;治工具LIST (總)_Dallas flow chart&amp;設備&amp;治工具清單(12-8 A0)_Flow Chart&amp;設備治工具清單 _squirrel效益分析08-17" xfId="31418"/>
    <cellStyle name="差_Xl0000000_Bolt RFQ Proposal_Foxlink_ (Pricing Summary) 2 25 2011 4 2" xfId="31419"/>
    <cellStyle name="差_F3   SMT設備明細_jupite r設備&amp;治工具LIST (總)_Dallas flow chart&amp;設備&amp;治工具清單(12-8 A0)_Jackson 效益分析 (2-1 B0 上系統)_Leopard效益分析08-17" xfId="31420"/>
    <cellStyle name="差_F3   SMT設備明細_jupite r設備&amp;治工具LIST (總)_Dallas flow chart&amp;設備&amp;治工具清單(12-8 A0)_Jackson 效益分析 (2-1 B0 上系統)_squirrel效益分析08-17" xfId="31421"/>
    <cellStyle name="差_F3   SMT設備明細_jupite r設備&amp;治工具LIST (總)_Dallas flow chart&amp;設備&amp;治工具清單(12-8 A0)_Jackson 效益分析 testing update_16th Jan1_Jackson 效益分析 (2-1 B0 上系統)_Leopard Flowchart &amp; 產能評估" xfId="31422"/>
    <cellStyle name="差_F3   SMT設備明細_jupite r設備&amp;治工具LIST (總)_Dallas flow chart&amp;設備&amp;治工具清單(12-8 A0)_Jackson 效益分析 testing update_16th Jan1_Jackson 效益分析 (2-1 B0 上系統)_Leopard效益分析08-17" xfId="31423"/>
    <cellStyle name="差_Xl0000002_Leopard_UniBOM_ME_0531_Bolt RFQ_Foxlink_03.1 2011_nego meeting@MACH 2 2" xfId="31424"/>
    <cellStyle name="差_F3   SMT設備明細_jupite r設備&amp;治工具LIST (總)_Dallas flow chart&amp;設備&amp;治工具清單(12-8 A0)_Jackson 效益分析 testing update_16th Jan111_Jackson 效益分析 (2-1 B0 上系統)" xfId="31425"/>
    <cellStyle name="差_F3   SMT設備明細_jupite r設備&amp;治工具LIST (總)_Dallas flow chart&amp;設備&amp;治工具清單(12-8 A0)_Jackson 效益分析 testing update_16th Jan111_Jackson 效益分析 (2-1 B0 上系統)_Leopard Flowchart &amp; 產能評估" xfId="31426"/>
    <cellStyle name="差_F3   SMT設備明細_jupite r設備&amp;治工具LIST (總)_Dallas flow chart&amp;設備&amp;治工具清單(12-8 A0)_Jackson 效益分析 testing update_16th Jan111_Jackson 效益分析 (2-1 B0 上系統)_Leopard效益分析08-17" xfId="31427"/>
    <cellStyle name="差_F3   SMT設備明細_jupite r設備&amp;治工具LIST (總)_Dallas flow chart&amp;設備&amp;治工具清單(12-8 A0)_Jackson 效益分析 testing update_16th Jan111_Jackson 效益分析 (2-1 B0 上系統)_squirrel效益分析08-17" xfId="31428"/>
    <cellStyle name="差_F3   SMT設備明細_jupite r設備&amp;治工具LIST (總)_Dallas flow chart&amp;設備&amp;治工具清單(12-8 A0)_Leopard效益分析08-17" xfId="31429"/>
    <cellStyle name="差_jupite r設備&amp;治工具LIST (總)_Flow Chart&amp;PQ分析(12-1)_Flow Chart&amp;設備治工具清單 _~1159284" xfId="31430"/>
    <cellStyle name="差_F3   SMT設備明細_jupite r設備&amp;治工具LIST (總)_Dallas flow chart&amp;設備&amp;治工具清單(12-8 A0)_效益分析(總 12-28 Update)" xfId="31431"/>
    <cellStyle name="差_F3   SMT設備明細_jupite r設備&amp;治工具LIST (總)_Dallas flow chart&amp;設備&amp;治工具清單(12-8 A0)_效益分析(總 12-28 Update)_~1159284" xfId="31432"/>
    <cellStyle name="差_F3   SMT設備明細_jupite r設備&amp;治工具LIST (總)_Dallas flow chart&amp;設備&amp;治工具清單(12-8 A0)_效益分析(總 12-28 Update)_Jackson 效益分析 (2-1 B0 上系統)" xfId="31433"/>
    <cellStyle name="差_F3   SMT設備明細_jupite r設備&amp;治工具LIST (總)_Dallas flow chart&amp;設備&amp;治工具清單(12-8 A0)_效益分析(總 12-28 Update)_Jackson 效益分析 (2-1 B0 上系統)_Leopard效益分析08-17" xfId="31434"/>
    <cellStyle name="差_Xl0000000_Leopard_UniBOM_ME_0603-2_Bolt RFQ Proposal_Foxlink_ (Pricing Summary) 2 25 2011 5" xfId="31435"/>
    <cellStyle name="差_F3   SMT設備明細_jupite r設備&amp;治工具LIST (總)_Dallas效益分析&amp;投資回收期 (12-2 A1)" xfId="31436"/>
    <cellStyle name="差_F3   SMT設備明細_jupite r設備&amp;治工具LIST (總)_Dallas效益分析&amp;投資回收期 (12-2 A1)_~1159284" xfId="31437"/>
    <cellStyle name="壞_Creek Assembly Fixture  Test Equipment RFQ_20090427_Xl0000002_Foxlink_Shadow RFQ NREUni BOM_12032009 3 3" xfId="31438"/>
    <cellStyle name="差_F3   SMT設備明細_jupite r設備&amp;治工具LIST (總)_Dallas效益分析&amp;投資回收期 (12-2 A1)_~5631336_Jackson 效益分析 (2-1 B0 上系統)" xfId="31439"/>
    <cellStyle name="差_F3   SMT設備明細_jupite r設備&amp;治工具LIST (總)_Dallas效益分析&amp;投資回收期 (12-2 A1)_~5631336_Jackson 效益分析 (2-1 B0 上系統)_Leopard效益分析08-17" xfId="31440"/>
    <cellStyle name="差_F3   SMT設備明細_M1 Bolt wireless mouse FixtureEquipment Cost_A2_2010_12_07_Bolt RFQ Proposal_Foxlink_ (Pricing Summary) 2 25 2011 5" xfId="31441"/>
    <cellStyle name="差_F3   SMT設備明細_jupite r設備&amp;治工具LIST (總)_Dallas效益分析&amp;投資回收期 (12-2 A1)_Flow chart and Fixture(1-4)_Jackson 效益分析 (2-1 B0 上系統)" xfId="31442"/>
    <cellStyle name="差_F3   SMT設備明細_jupite r設備&amp;治工具LIST (總)_Dallas效益分析&amp;投資回收期 (12-2 A1)_Flow chart and Fixture(Jackson)_A1" xfId="31443"/>
    <cellStyle name="差_F3   SMT設備明細_jupite r設備&amp;治工具LIST (總)_Dallas效益分析&amp;投資回收期 (12-2 A1)_Flow chart and Fixture(Jackson)_A1_Jackson 效益分析 (2-1 B0 上系統)" xfId="31444"/>
    <cellStyle name="差_F3   SMT設備明細_jupite r設備&amp;治工具LIST (總)_Dallas效益分析&amp;投資回收期 (12-2 A1)_Flow chart and Fixture(Jackson)_A1_Jackson 效益分析 (2-1 B0 上系統)_Leopard效益分析08-17" xfId="31445"/>
    <cellStyle name="差_F3   SMT設備明細_jupite r設備&amp;治工具LIST (總)_Dallas效益分析&amp;投資回收期 (12-2 A1)_Flow Chart&amp;設備治工具清單 " xfId="31446"/>
    <cellStyle name="差_F3   SMT設備明細_jupite r設備&amp;治工具LIST (總)_Dallas效益分析&amp;投資回收期 (12-2 A1)_Flow Chart&amp;設備治工具清單 _Jackson 效益分析 (2-1 B0 上系統)" xfId="31447"/>
    <cellStyle name="差_F3   SMT設備明細_jupite r設備&amp;治工具LIST (總)_Dallas效益分析&amp;投資回收期 (12-2 A1)_Flow Chart&amp;設備治工具清單 _Jackson 效益分析 (2-1 B0 上系統)_Leopard效益分析08-17" xfId="31448"/>
    <cellStyle name="差_F3   SMT設備明細_jupite r設備&amp;治工具LIST (總)_Dallas效益分析&amp;投資回收期 (12-2 A1)_Flow Chart&amp;設備治工具清單 _Leopard效益分析08-17" xfId="31449"/>
    <cellStyle name="差_F3   SMT設備明細_jupite r設備&amp;治工具LIST (總)_Dallas效益分析&amp;投資回收期 (12-2 A1)_Jackson 效益分析 testing update_16th Jan1_Jackson 效益分析 (2-1 B0 上系統)_squirrel效益分析08-17" xfId="31450"/>
    <cellStyle name="差_F3   SMT設備明細_jupite r設備&amp;治工具LIST (總)_Dallas效益分析&amp;投資回收期 (12-2 A1)_Jackson 效益分析 testing update_16th Jan111" xfId="31451"/>
    <cellStyle name="差_F3   SMT設備明細_jupite r設備&amp;治工具LIST (總)_Dallas效益分析&amp;投資回收期 (12-2 A1)_Jackson 效益分析 testing update_16th Jan111_Jackson 效益分析 (2-1 B0 上系統)" xfId="31452"/>
    <cellStyle name="差_F3   SMT設備明細_jupite r設備&amp;治工具LIST (總)_Dallas效益分析&amp;投資回收期 (12-2 A1)_Jackson 效益分析 testing update_16th Jan111_Jackson 效益分析 (2-1 B0 上系統)_Leopard Flowchart &amp; 產能評估" xfId="31453"/>
    <cellStyle name="差_F3   SMT設備明細_jupite r設備&amp;治工具LIST (總)_Dallas效益分析&amp;投資回收期 (12-2 A1)_Jackson 效益分析 testing update_16th Jan111_Jackson 效益分析 (2-1 B0 上系統)_squirrel效益分析08-17" xfId="31454"/>
    <cellStyle name="差_Xl0000000_Leopard_UniBOM_ME_0603-2_Bolt RFQ Proposal_Foxlink_ (Pricing Summary) 2 25 2011 3" xfId="31455"/>
    <cellStyle name="差_HP Mouse 產能評估(上系統)_Jackson 效益分析 (2-1 B0 上系統)_squirrel效益分析08-17" xfId="31456"/>
    <cellStyle name="差_F3   SMT設備明細_jupite r設備&amp;治工具LIST (總)_Dallas效益分析&amp;投資回收期 (12-2 A1)_Leopard Flowchart &amp; 產能評估" xfId="31457"/>
    <cellStyle name="差_F3   SMT設備明細_jupite r設備&amp;治工具LIST (總)_Dallas效益分析&amp;投資回收期 (12-2 A1)_Leopard效益分析08-17" xfId="31458"/>
    <cellStyle name="差_治具工程課2009年KPI 5 2 3" xfId="31459"/>
    <cellStyle name="差_HP  專案(設備&amp;治工具需夠買)update_MS Bolt wireless mouse FixtureEquipment Cost_A5_2010_02_21_Bolt RFQ_Foxlink_03.1 2011_nego meeting@MACH" xfId="31460"/>
    <cellStyle name="差_F3   SMT設備明細_jupite r設備&amp;治工具LIST (總)_Dallas效益分析&amp;投資回收期 (12-2 A1)_squirrel效益分析08-17" xfId="31461"/>
    <cellStyle name="差_F3   SMT設備明細_jupite r設備&amp;治工具LIST (總)_Dallas效益分析&amp;投資回收期 (12-2 A1)_效益分析(總 12-28 Update)_Jackson 效益分析 (2-1 B0 上系統)" xfId="31462"/>
    <cellStyle name="差_F3   SMT設備明細_jupite r設備&amp;治工具LIST (總)_Dallas效益分析&amp;投資回收期 (12-2 A1)_效益分析(總 12-28 Update)_Jackson 效益分析 (2-1 B0 上系統)_Leopard效益分析08-17" xfId="31463"/>
    <cellStyle name="差_F3   SMT設備明細_jupite r設備&amp;治工具LIST (總)_Dallas效益分析&amp;投資回收期 (12-2 A1)_效益分析(總 12-28 Update)_Jackson 效益分析 (2-1 B0 上系統)_squirrel效益分析08-17" xfId="31464"/>
    <cellStyle name="差_F3   SMT設備明細_jupite r設備&amp;治工具LIST (總)_Dallas效益分析&amp;投資回收期 (12-2 A1)_效益分析(總 12-28 Update)_Leopard Flowchart &amp; 產能評估" xfId="31465"/>
    <cellStyle name="差_F3   SMT設備明細_jupite r設備&amp;治工具LIST (總)_Dallas效益分析&amp;投資回收期 (12-2 A1)_效益分析(總 12-28 Update)_squirrel效益分析08-17" xfId="31466"/>
    <cellStyle name="输入 2 5" xfId="31467"/>
    <cellStyle name="差_F3   SMT設備明細_jupite r設備&amp;治工具LIST (總)_Dolce設備治工具明細表(TE Update)" xfId="31468"/>
    <cellStyle name="差_F3   SMT設備明細_jupite r設備&amp;治工具LIST (總)_Dolce設備治工具明細表(TE Update)_~1159284" xfId="31469"/>
    <cellStyle name="差_F3   SMT設備明細_jupite r設備&amp;治工具LIST (總)_Dolce設備治工具明細表(TE Update)_Jackson 效益分析 (2-1 B0 上系統)_Leopard Flowchart &amp; 產能評估" xfId="31470"/>
    <cellStyle name="差_F3   SMT設備明細_jupite r設備&amp;治工具LIST (總)_Dolce設備治工具明細表(TE Update)_Jackson 效益分析 (2-1 B0 上系統)_Leopard效益分析08-17" xfId="31471"/>
    <cellStyle name="差_F3   SMT設備明細_jupite r設備&amp;治工具LIST (總)_Dolce設備治工具明細表(TE Update)_Jackson 效益分析 (2-1 B0 上系統)_squirrel效益分析08-17" xfId="31472"/>
    <cellStyle name="差_F3   SMT設備明細_jupite r設備&amp;治工具LIST (總)_Dolce設備治工具明細表(TE Update)_Leopard效益分析08-17" xfId="31473"/>
    <cellStyle name="差_F3   SMT設備明細_jupite r設備&amp;治工具LIST (總)_Dolce設備治工具明細表(TE Update)_squirrel效益分析08-17" xfId="31474"/>
    <cellStyle name="差_F3   SMT設備明細_jupite r設備&amp;治工具LIST (總)_flow chart 2009.12.12_Flow chart and Fixture(1-4)" xfId="31475"/>
    <cellStyle name="差_治具工程課2009年KPI_KPI 1006 5 2" xfId="31476"/>
    <cellStyle name="差_F3   SMT設備明細_jupite r設備&amp;治工具LIST (總)_flow chart 2009.12.12_Flow chart and Fixture(1-4)_Jackson 效益分析 (2-1 B0 上系統)_Leopard效益分析08-17" xfId="31477"/>
    <cellStyle name="差_F3   SMT設備明細_jupite r設備&amp;治工具LIST (總)_flow chart 2009.12.12_Flow chart and Fixture(1-4)_Jackson 效益分析 (2-1 B0 上系統)_squirrel效益分析08-17" xfId="31478"/>
    <cellStyle name="差_F3   SMT設備明細_jupite r設備&amp;治工具LIST (總)_flow chart 2009.12.12_Flow chart and Fixture(Jackson)_A1" xfId="31479"/>
    <cellStyle name="差_Foxlink_Shadow RFQ NREUni BOM_12032009_Bolt RFQ_Foxlink_03.1 2011_nego meeting@MACH 5" xfId="31480"/>
    <cellStyle name="差_F3   SMT設備明細_jupite r設備&amp;治工具LIST (總)_flow chart 2009.12.12_Flow chart and Fixture(Jackson)_A1_Jackson 效益分析 (2-1 B0 上系統)_Leopard Flowchart &amp; 產能評估" xfId="31481"/>
    <cellStyle name="差_F3   SMT設備明細_jupite r設備&amp;治工具LIST (總)_flow chart 2009.12.12_Flow chart and Fixture(Jackson)_A1_Jackson 效益分析 (2-1 B0 上系統)_Leopard效益分析08-17" xfId="31482"/>
    <cellStyle name="差_F3   SMT設備明細_jupite r設備&amp;治工具LIST (總)_flow chart 2009.12.12_Flow chart and Fixture(Jackson)_A1_Jackson 效益分析 (2-1 B0 上系統)_squirrel效益分析08-17" xfId="31483"/>
    <cellStyle name="差_Xl0000002_Leopard UniBom_Foxlink_6 21 2010-ME_nego_Bolt RFQ_Foxlink_03.1 2011_nego meeting@MACH 3 2" xfId="31484"/>
    <cellStyle name="差_F3   SMT設備明細_jupite r設備&amp;治工具LIST (總)_flow chart 2009.12.12_Flow Chart&amp;設備治工具清單 " xfId="31485"/>
    <cellStyle name="差_F3   SMT設備明細_jupite r設備&amp;治工具LIST (總)_flow chart 2009.12.12_Flow Chart&amp;設備治工具清單 _Jackson 效益分析 (2-1 B0 上系統)_Leopard效益分析08-17" xfId="31486"/>
    <cellStyle name="差_F3   SMT設備明細_jupite r設備&amp;治工具LIST (總)_flow chart 2009.12.12_Flow Chart&amp;設備治工具清單 _Leopard效益分析08-17" xfId="31487"/>
    <cellStyle name="差_F3   SMT設備明細_jupite r設備&amp;治工具LIST (總)_flow chart 2009.12.12_Jackson 效益分析 (2-1 B0 上系統)_Leopard效益分析08-17" xfId="31488"/>
    <cellStyle name="差_F3   SMT設備明細_jupite r設備&amp;治工具LIST (總)_flow chart 2009.12.12_Jackson 效益分析 (2-1 B0 上系統)_squirrel效益分析08-17" xfId="31489"/>
    <cellStyle name="差_Xl0000000_Leopard_UniBOM_ME_0602-1_Bolt RFQ_Foxlink_03.1 2011_nego meeting@MACH 4" xfId="31490"/>
    <cellStyle name="差_F3   SMT設備明細_jupite r設備&amp;治工具LIST (總)_flow chart 2009.12.12_Jackson 效益分析 testing update_16th Jan1" xfId="31491"/>
    <cellStyle name="差_F3   SMT設備明細_jupite r設備&amp;治工具LIST (總)_flow chart 2009.12.12_Jackson 效益分析 testing update_16th Jan1_Jackson 效益分析 (2-1 B0 上系統)_Leopard Flowchart &amp; 產能評估" xfId="31492"/>
    <cellStyle name="差_F3   SMT設備明細_jupite r設備&amp;治工具LIST (總)_flow chart 2009.12.12_Jackson 效益分析 testing update_16th Jan1_Jackson 效益分析 (2-1 B0 上系統)_squirrel效益分析08-17" xfId="31493"/>
    <cellStyle name="差_F3   SMT設備明細_jupite r設備&amp;治工具LIST (總)_flow chart 2009.12.12_Jackson 效益分析 testing update_16th Jan111" xfId="31494"/>
    <cellStyle name="差_F3   SMT設備明細_jupite r設備&amp;治工具LIST (總)_flow chart 2009.12.12_Jackson 效益分析 testing update_16th Jan111_Jackson 效益分析 (2-1 B0 上系統)" xfId="31495"/>
    <cellStyle name="差_F3   SMT設備明細_jupite r設備&amp;治工具LIST (總)_flow chart 2009.12.12_Jackson 效益分析 testing update_16th Jan111_Jackson 效益分析 (2-1 B0 上系統)_Leopard效益分析08-17" xfId="31496"/>
    <cellStyle name="差_F3   SMT設備明細_jupite r設備&amp;治工具LIST (總)_flow chart 2009.12.12_Jackson 效益分析 testing update_16th Jan111_Jackson 效益分析 (2-1 B0 上系統)_squirrel效益分析08-17" xfId="31497"/>
    <cellStyle name="差_F3   SMT設備明細_jupite r設備&amp;治工具LIST (總)_flow chart 2009.12.12_效益分析(總 12-28 Update)_Jackson 效益分析 (2-1 B0 上系統)_Leopard Flowchart &amp; 產能評估" xfId="31498"/>
    <cellStyle name="差_F3   SMT設備明細_jupite r設備&amp;治工具LIST (總)_flow chart 2009.12.12_效益分析(總 12-28 Update)_Jackson 效益分析 (2-1 B0 上系統)_Leopard效益分析08-17" xfId="31499"/>
    <cellStyle name="差_F3   SMT設備明細_jupite r設備&amp;治工具LIST (總)_flow chart 2009.12.12_效益分析(總 12-28 Update)_Jackson 效益分析 (2-1 B0 上系統)_squirrel效益分析08-17" xfId="31500"/>
    <cellStyle name="差_F3   SMT設備明細_jupite r設備&amp;治工具LIST (總)_flow chart 2009.12.12_效益分析(總 12-28 Update)_Leopard Flowchart &amp; 產能評估" xfId="31501"/>
    <cellStyle name="差_F3   SMT設備明細_jupite r設備&amp;治工具LIST (總)_flow chart 2009.12.12_效益分析(總 12-28 Update)_squirrel效益分析08-17" xfId="31502"/>
    <cellStyle name="差_F3   SMT設備明細_jupite r設備&amp;治工具LIST (總)_Flow chart and Fixture(1-4)" xfId="31503"/>
    <cellStyle name="差_F3   SMT設備明細_jupite r設備&amp;治工具LIST (總)_Flow chart and Fixture(1-4)_Jackson 效益分析 (2-1 B0 上系統)_Leopard Flowchart &amp; 產能評估" xfId="31504"/>
    <cellStyle name="壞_Creek EE BOM cost_20090425_Creek RFQ feedback 04_28_2009_FD Update_Squirrel RFQ ME BOM Costs-0623_Bolt RFQ Proposal_Foxlink_ (Pricing Summary) 2 25 2011 4 2" xfId="31505"/>
    <cellStyle name="差_F3   SMT設備明細_jupite r設備&amp;治工具LIST (總)_Flow chart and Fixture(Jackson)_A1_Jackson 效益分析 (2-1 B0 上系統)_Leopard Flowchart &amp; 產能評估" xfId="31506"/>
    <cellStyle name="差_F3   SMT設備明細_jupite r設備&amp;治工具LIST (總)_Flow chart and Fixture(Jackson)_A1_Jackson 效益分析 (2-1 B0 上系統)_Leopard效益分析08-17" xfId="31507"/>
    <cellStyle name="差_F3   SMT設備明細_jupite r設備&amp;治工具LIST (總)_Flow Chart&amp;PQ分析(12-1)_~5631336_Jackson 效益分析 (2-1 B0 上系統)_squirrel效益分析08-17" xfId="31508"/>
    <cellStyle name="差_F3   SMT設備明細_jupite r設備&amp;治工具LIST (總)_Flow Chart&amp;PQ分析(12-1)_Flow chart and Fixture(1-4)" xfId="31509"/>
    <cellStyle name="差_F3   SMT設備明細_jupite r設備&amp;治工具LIST (總)_Flow Chart&amp;PQ分析(12-1)_Flow chart and Fixture(1-4)_Jackson 效益分析 (2-1 B0 上系統)_Leopard效益分析08-17" xfId="31510"/>
    <cellStyle name="差_F3   SMT設備明細_jupite r設備&amp;治工具LIST (總)_Flow Chart&amp;PQ分析(12-1)_Flow chart and Fixture(1-4)_Jackson 效益分析 (2-1 B0 上系統)_squirrel效益分析08-17" xfId="31511"/>
    <cellStyle name="差_F3   SMT設備明細_jupite r設備&amp;治工具LIST (總)_Flow Chart&amp;PQ分析(12-1)_Flow chart and Fixture(Jackson)_A1" xfId="31512"/>
    <cellStyle name="差_F3   SMT設備明細_jupite r設備&amp;治工具LIST (總)_Flow Chart&amp;PQ分析(12-1)_Flow chart and Fixture(Jackson)_A1_Jackson 效益分析 (2-1 B0 上系統)_Leopard效益分析08-17" xfId="31513"/>
    <cellStyle name="差_F3   SMT設備明細_jupite r設備&amp;治工具LIST (總)_Flow Chart&amp;PQ分析(12-1)_Flow chart and Fixture(Jackson)_A1_Jackson 效益分析 (2-1 B0 上系統)_squirrel效益分析08-17" xfId="31514"/>
    <cellStyle name="差_F3   SMT設備明細_jupite r設備&amp;治工具LIST (總)_Flow Chart&amp;PQ分析(12-1)_Flow Chart&amp;設備治工具清單 " xfId="31515"/>
    <cellStyle name="差_F3   SMT設備明細_jupite r設備&amp;治工具LIST (總)_Flow Chart&amp;PQ分析(12-1)_Flow Chart&amp;設備治工具清單 _~1159284" xfId="31516"/>
    <cellStyle name="差_F3   SMT設備明細_jupite r設備&amp;治工具LIST (總)_Flow Chart&amp;PQ分析(12-1)_Flow Chart&amp;設備治工具清單 _Jackson 效益分析 (2-1 B0 上系統)" xfId="31517"/>
    <cellStyle name="差_效益分析&amp;產能評估_MS Bolt wireless mouse FixtureEquipment Cost_A5_2010_02_21_Bolt RFQ Proposal_Foxlink_ (Pricing Summary) 2 25 2011 2 3" xfId="31518"/>
    <cellStyle name="差_F3   SMT設備明細_jupite r設備&amp;治工具LIST (總)_Flow Chart&amp;PQ分析(12-1)_Flow Chart&amp;設備治工具清單 _Jackson 效益分析 (2-1 B0 上系統)_Leopard Flowchart &amp; 產能評估" xfId="31519"/>
    <cellStyle name="差_F3   SMT設備明細_jupite r設備&amp;治工具LIST (總)_Flow Chart&amp;PQ分析(12-1)_Flow Chart&amp;設備治工具清單 _squirrel效益分析08-17" xfId="31520"/>
    <cellStyle name="差_F3   SMT設備明細_jupite r設備&amp;治工具LIST (總)_Flow Chart&amp;PQ分析(12-1)_Jackson 效益分析 (2-1 B0 上系統)_Leopard Flowchart &amp; 產能評估" xfId="31521"/>
    <cellStyle name="差_F3   SMT設備明細_jupite r設備&amp;治工具LIST (總)_Flow Chart&amp;PQ分析(12-1)_Jackson 效益分析 testing update_16th Jan1_Jackson 效益分析 (2-1 B0 上系統)_squirrel效益分析08-17" xfId="31522"/>
    <cellStyle name="差_F3   SMT設備明細_jupite r設備&amp;治工具LIST (總)_Flow Chart&amp;PQ分析(12-1)_Jackson 效益分析 testing update_16th Jan111_Jackson 效益分析 (2-1 B0 上系統)_Leopard Flowchart &amp; 產能評估" xfId="31523"/>
    <cellStyle name="差_F3   SMT設備明細_jupite r設備&amp;治工具LIST (總)_Flow Chart&amp;PQ分析(12-1)_Leopard Flowchart &amp; 產能評估" xfId="31524"/>
    <cellStyle name="差_F3   SMT設備明細_jupite r設備&amp;治工具LIST (總)_Flow Chart&amp;PQ分析(12-1)_squirrel效益分析08-17" xfId="31525"/>
    <cellStyle name="差_F3   SMT設備明細_jupite r設備&amp;治工具LIST (總)_Flow Chart&amp;PQ分析(12-1)_效益分析(總 12-28 Update)_Jackson 效益分析 (2-1 B0 上系統)_Leopard Flowchart &amp; 產能評估" xfId="31526"/>
    <cellStyle name="差_F3   SMT設備明細_jupite r設備&amp;治工具LIST (總)_Flow Chart&amp;PQ分析(12-1)_效益分析(總 12-28 Update)_Jackson 效益分析 (2-1 B0 上系統)_Leopard效益分析08-17" xfId="31527"/>
    <cellStyle name="差_F3   SMT設備明細_jupite r設備&amp;治工具LIST (總)_Flow Chart&amp;PQ分析(12-1)_效益分析(總 12-28 Update)_Jackson 效益分析 (2-1 B0 上系統)_squirrel效益分析08-17" xfId="31528"/>
    <cellStyle name="差_F3   SMT設備明細_jupite r設備&amp;治工具LIST (總)_Flow Chart&amp;PQ分析(12-1)_效益分析(總 12-28 Update)_squirrel效益分析08-17" xfId="31529"/>
    <cellStyle name="差_F3   SMT設備明細_M1 SuedeFixtureEquipment Cost_A0_2010_10_15_Bolt RFQ_Foxlink_03.1 2011 4" xfId="31530"/>
    <cellStyle name="差_F3   SMT設備明細_jupite r設備&amp;治工具LIST (總)_Flow Chart&amp;設備治工具清單 " xfId="31531"/>
    <cellStyle name="差_F3   SMT設備明細_jupite r設備&amp;治工具LIST (總)_Flow Chart&amp;設備治工具清單 _Jackson 效益分析 (2-1 B0 上系統)_squirrel效益分析08-17" xfId="31532"/>
    <cellStyle name="差_治具工程課2009年KPI_HP 6 2" xfId="31533"/>
    <cellStyle name="差_F3   SMT設備明細_jupite r設備&amp;治工具LIST (總)_Flow Chart&amp;設備治工具清單 _Leopard效益分析08-17" xfId="31534"/>
    <cellStyle name="差_F3   SMT設備明細_jupite r設備&amp;治工具LIST (總)_Flow Chart&amp;設備治工具清單 _squirrel效益分析08-17" xfId="31535"/>
    <cellStyle name="差_F3   SMT設備明細_jupite r設備&amp;治工具LIST (總)_Flow Chart(shadow) A3 _Jackson 效益分析 (2-1 B0 上系統)" xfId="31536"/>
    <cellStyle name="差_MB9月管審換線超時8d_HP 3 3" xfId="31537"/>
    <cellStyle name="差_F3   SMT設備明細_jupite r設備&amp;治工具LIST (總)_Flow Chart(shadow) A3 _Jackson 效益分析 (2-1 B0 上系統)_Leopard Flowchart &amp; 產能評估" xfId="31538"/>
    <cellStyle name="差_F3   SMT設備明細_jupite r設備&amp;治工具LIST (總)_Flow Chart(shadow) A3 _Leopard效益分析08-17" xfId="31539"/>
    <cellStyle name="差_F3   SMT設備明細_jupite r設備&amp;治工具LIST (總)_Flow Chart(shadow) A3 _squirrel效益分析08-17" xfId="31540"/>
    <cellStyle name="差_F3   SMT設備明細_jupite r設備&amp;治工具LIST (總)_Flow Chart(shadow)-b (1-4 Update)" xfId="31541"/>
    <cellStyle name="差_F3   SMT設備明細_jupite r設備&amp;治工具LIST (總)_Flow Chart(shadow)-b (1-4 Update)_Jackson 效益分析 (2-1 B0 上系統)" xfId="31542"/>
    <cellStyle name="差_F3   SMT設備明細_jupite r設備&amp;治工具LIST (總)_Flow Chart(shadow)-b (1-4 Update)_Jackson 效益分析 (2-1 B0 上系統)_Leopard效益分析08-17" xfId="31543"/>
    <cellStyle name="差_F3   SMT設備明細_jupite r設備&amp;治工具LIST (總)_Flow Chart(shadow)-b (1-4 Update)_Leopard Flowchart &amp; 產能評估" xfId="31544"/>
    <cellStyle name="差_F3   SMT設備明細_jupite r設備&amp;治工具LIST (總)_Flow Chart(shadow)-b (1-4 Update)_Leopard效益分析08-17" xfId="31545"/>
    <cellStyle name="差_F3   SMT設備明細_jupite r設備&amp;治工具LIST (總)_Flow Chart(shadow)-b (1-4 Update)_squirrel效益分析08-17" xfId="31546"/>
    <cellStyle name="差_F3   SMT設備明細_jupite r設備&amp;治工具LIST (總)_Jackson 效益分析 (1-18 A7)" xfId="31547"/>
    <cellStyle name="差_F3   SMT設備明細_jupite r設備&amp;治工具LIST (總)_Jackson 效益分析 (2-1 B0 上系統)_Leopard效益分析08-17" xfId="31548"/>
    <cellStyle name="差_F3   SMT設備明細_jupite r設備&amp;治工具LIST (總)_Jackson 效益分析 (2-1 B0 上系統)_squirrel效益分析08-17" xfId="31549"/>
    <cellStyle name="差_F3   SMT設備明細_jupite r設備&amp;治工具LIST (總)_Jackson 效益分析 testing update_16th Jan1" xfId="31550"/>
    <cellStyle name="输入 2 4" xfId="31551"/>
    <cellStyle name="差_F3   SMT設備明細_jupite r設備&amp;治工具LIST (總)_Jackson 效益分析 testing update_16th Jan1_Jackson 效益分析 (2-1 B0 上系統)_squirrel效益分析08-17" xfId="31552"/>
    <cellStyle name="差_F3   SMT設備明細_jupite r設備&amp;治工具LIST (總)_Jackson 效益分析 testing update_16th Jan111_Jackson 效益分析 (2-1 B0 上系統)" xfId="31553"/>
    <cellStyle name="差_F3   SMT設備明細_jupite r設備&amp;治工具LIST (總)_Jackson 效益分析 testing update_16th Jan111_Jackson 效益分析 (2-1 B0 上系統)_Leopard效益分析08-17" xfId="31554"/>
    <cellStyle name="差_F3   SMT設備明細_jupite r設備&amp;治工具LIST (總)_Leopard Flowchart &amp; 產能評估" xfId="31555"/>
    <cellStyle name="差_F3   SMT設備明細_jupite r設備&amp;治工具LIST (總)_Leopard效益分析08-17" xfId="31556"/>
    <cellStyle name="差_F3   SMT設備明細_jupite r設備&amp;治工具LIST (總)_pq_~1159284" xfId="31557"/>
    <cellStyle name="差_F3   SMT設備明細_jupite r設備&amp;治工具LIST (總)_pq_~5631336_Jackson 效益分析 (2-1 B0 上系統)_Leopard Flowchart &amp; 產能評估" xfId="31558"/>
    <cellStyle name="壞_Creek EE BOM cost_20090425_Creek RFQ feedback 04_28_2009_FD Update_Leopard UniBom_Foxlink_6 21 2010-ME_nego_Bolt RFQ Proposal_Foxlink_ (Pricing Summary) 2 25 2011 2" xfId="31559"/>
    <cellStyle name="差_F3   SMT設備明細_jupite r設備&amp;治工具LIST (總)_pq_Flow chart and Fixture(1-4)_Jackson 效益分析 (2-1 B0 上系統)_squirrel效益分析08-17" xfId="31560"/>
    <cellStyle name="差_F3   SMT設備明細_jupite r設備&amp;治工具LIST (總)_pq_Flow chart and Fixture(Jackson)_A1" xfId="31561"/>
    <cellStyle name="差_HP Mouse 產能評估(上系統)_Jackson 效益分析 (2-1 B0 上系統)" xfId="31562"/>
    <cellStyle name="差_F3   SMT設備明細_jupite r設備&amp;治工具LIST (總)_pq_Flow chart and Fixture(Jackson)_A1_Jackson 效益分析 (2-1 B0 上系統)_Leopard Flowchart &amp; 產能評估" xfId="31563"/>
    <cellStyle name="差_jupite r設備&amp;治工具LIST (總)_Flow Chart&amp;PQ分析(12-1)_Jackson 效益分析 testing update_16th Jan1_Jackson 效益分析 (2-1 B0 上系統)" xfId="31564"/>
    <cellStyle name="差_F3   SMT設備明細_jupite r設備&amp;治工具LIST (總)_pq_Flow chart and Fixture(Jackson)_A1_Jackson 效益分析 (2-1 B0 上系統)_squirrel效益分析08-17" xfId="31565"/>
    <cellStyle name="差_F3   SMT設備明細_jupite r設備&amp;治工具LIST (總)_pq_Flow Chart&amp;設備治工具清單 _~1159284" xfId="31566"/>
    <cellStyle name="差_F3   SMT設備明細_jupite r設備&amp;治工具LIST (總)_pq_Flow Chart&amp;設備治工具清單 _Jackson 效益分析 (2-1 B0 上系統)" xfId="31567"/>
    <cellStyle name="差_F3   SMT設備明細_jupite r設備&amp;治工具LIST (總)_pq_Flow Chart&amp;設備治工具清單 _Jackson 效益分析 (2-1 B0 上系統)_Leopard效益分析08-17" xfId="31568"/>
    <cellStyle name="差_Xl0000002_Leopard UniBom_Foxlink_6 21 2010-ME_nego 2 3" xfId="31569"/>
    <cellStyle name="差_F3   SMT設備明細_jupite r設備&amp;治工具LIST (總)_pq_Flow Chart&amp;設備治工具清單 _Jackson 效益分析 (2-1 B0 上系統)_squirrel效益分析08-17" xfId="31570"/>
    <cellStyle name="差_F3   SMT設備明細_jupite r設備&amp;治工具LIST (總)_pq_Flow Chart&amp;設備治工具清單 _Leopard Flowchart &amp; 產能評估" xfId="31571"/>
    <cellStyle name="差_F3   SMT設備明細_jupite r設備&amp;治工具LIST (總)_pq_Jackson 效益分析 (2-1 B0 上系統)_squirrel效益分析08-17" xfId="31572"/>
    <cellStyle name="差_F3   SMT設備明細_jupite r設備&amp;治工具LIST (總)_pq_Jackson 效益分析 testing update_16th Jan1_Jackson 效益分析 (2-1 B0 上系統)_Leopard Flowchart &amp; 產能評估" xfId="31573"/>
    <cellStyle name="差_F3   SMT設備明細_jupite r設備&amp;治工具LIST (總)_pq_Jackson 效益分析 testing update_16th Jan111" xfId="31574"/>
    <cellStyle name="差_F3   SMT設備明細_jupite r設備&amp;治工具LIST (總)_pq_Jackson 效益分析 testing update_16th Jan111_Jackson 效益分析 (2-1 B0 上系統)_Leopard Flowchart &amp; 產能評估" xfId="31575"/>
    <cellStyle name="差_F3   SMT設備明細_jupite r設備&amp;治工具LIST (總)_pq_Jackson 效益分析 testing update_16th Jan111_Jackson 效益分析 (2-1 B0 上系統)_Leopard效益分析08-17" xfId="31576"/>
    <cellStyle name="差_Xl0000000_Leopard Lemur Squirrel UniBom-06.22.2010_EE cost _update_internal_Bolt RFQ Proposal_Foxlink_ (Pricing Summary) 2 25 2011 3" xfId="31577"/>
    <cellStyle name="差_F3   SMT設備明細_jupite r設備&amp;治工具LIST (總)_pq_Jackson 效益分析 testing update_16th Jan111_Jackson 效益分析 (2-1 B0 上系統)_squirrel效益分析08-17" xfId="31578"/>
    <cellStyle name="差_F3   SMT設備明細_jupite r設備&amp;治工具LIST (總)_pq_效益分析(總 12-28 Update)" xfId="31579"/>
    <cellStyle name="差_F3   SMT設備明細_jupite r設備&amp;治工具LIST (總)_pq_效益分析(總 12-28 Update)_Jackson 效益分析 (2-1 B0 上系統)" xfId="31580"/>
    <cellStyle name="差_F3   SMT設備明細_jupite r設備&amp;治工具LIST (總)_pq_效益分析(總 12-28 Update)_Jackson 效益分析 (2-1 B0 上系統)_Leopard Flowchart &amp; 產能評估" xfId="31581"/>
    <cellStyle name="差_Xl0000000_Squirrel RFQ ME BOM Costs-0623_Bolt RFQ Proposal_Foxlink_ (Pricing Summary) 2 25 2011 2 2" xfId="31582"/>
    <cellStyle name="差_F3   SMT設備明細_jupite r設備&amp;治工具LIST (總)_pq_效益分析(總 12-28 Update)_squirrel效益分析08-17" xfId="31583"/>
    <cellStyle name="差_F3   SMT設備明細_jupite r設備&amp;治工具LIST (總)_效益分析 (12-9 A1)_Jackson 效益分析 (2-1 B0 上系統)" xfId="31584"/>
    <cellStyle name="差_F3   SMT設備明細_jupite r設備&amp;治工具LIST (總)_效益分析 (12-9 A1)_Jackson 效益分析 (2-1 B0 上系統)_Leopard Flowchart &amp; 產能評估" xfId="31585"/>
    <cellStyle name="差_F3   SMT設備明細_MS Bolt wireless mouse FixtureEquipment Cost_A5_2010_02_21" xfId="31586"/>
    <cellStyle name="差_F3   SMT設備明細_jupite r設備&amp;治工具LIST (總)_效益分析 (12-9 A1)_Leopard效益分析08-17" xfId="31587"/>
    <cellStyle name="差_F3   SMT設備明細_jupite r設備&amp;治工具LIST (總)_效益分析 (12-9 A1)_squirrel效益分析08-17" xfId="31588"/>
    <cellStyle name="差_F3   SMT設備明細_jupite r設備&amp;治工具LIST (總)_效益分析(總 12-28 Update)_~1159284" xfId="31589"/>
    <cellStyle name="差_F3   SMT設備明細_jupite r設備&amp;治工具LIST (總)_效益分析(總 12-28 Update)_Jackson 效益分析 (2-1 B0 上系統)_Leopard效益分析08-17" xfId="31590"/>
    <cellStyle name="差_F3   SMT設備明細_jupite r設備&amp;治工具LIST (總)_效益分析(總 12-28 Update)_Leopard效益分析08-17" xfId="31591"/>
    <cellStyle name="差_F3   SMT設備明細_Leopard效益分析08-17" xfId="31592"/>
    <cellStyle name="差_F3   SMT設備明細_M1 Bolt wireless mouse FixtureEquipment Cost_A2_2010_12_07" xfId="31593"/>
    <cellStyle name="差_F3   SMT設備明細_M1 Bolt wireless mouse FixtureEquipment Cost_A2_2010_12_07_Bolt RFQ Proposal_Foxlink_ (Pricing Summary) 2 25 2011 2 2" xfId="31594"/>
    <cellStyle name="差_HP  專案(設備&amp;治工具需夠買)update_Bolt RFQ Proposal_Foxlink_ (Pricing Summary) 2 25 2011 5 3" xfId="31595"/>
    <cellStyle name="差_F3   SMT設備明細_M1 Bolt wireless mouse FixtureEquipment Cost_A2_2010_12_07_Bolt RFQ Proposal_Foxlink_ (Pricing Summary) 2 25 2011 2 3" xfId="31596"/>
    <cellStyle name="差_jupite r設備&amp;治工具LIST (總)_Flow Chart&amp;PQ分析(12-1)_效益分析(總 12-28 Update)" xfId="31597"/>
    <cellStyle name="差_F3   SMT設備明細_M1 Bolt wireless mouse FixtureEquipment Cost_A2_2010_12_07_Bolt RFQ Proposal_Foxlink_ (Pricing Summary) 2 25 2011 2 4" xfId="31598"/>
    <cellStyle name="差_F3   SMT設備明細_M1 Bolt wireless mouse FixtureEquipment Cost_A2_2010_12_07_Bolt RFQ Proposal_Foxlink_ (Pricing Summary) 2 25 2011 3" xfId="31599"/>
    <cellStyle name="差_F3   SMT設備明細_M1 Bolt wireless mouse FixtureEquipment Cost_A2_2010_12_07_Bolt RFQ Proposal_Foxlink_ (Pricing Summary) 2 25 2011 3 3" xfId="31600"/>
    <cellStyle name="差_Xl0000000_Squirrel RFQ ME BOM Costs-0623_Bolt RFQ_Foxlink_03.1 2011 4" xfId="31601"/>
    <cellStyle name="差_F3   SMT設備明細_M1 Bolt wireless mouse FixtureEquipment Cost_A2_2010_12_07_Bolt RFQ Proposal_Foxlink_ (Pricing Summary) 2 25 2011 4 3" xfId="31602"/>
    <cellStyle name="差_F3   SMT設備明細_M1 Bolt wireless mouse FixtureEquipment Cost_A2_2010_12_07_Bolt RFQ Proposal_Foxlink_ (Pricing Summary) 2 25 2011 5 2" xfId="31603"/>
    <cellStyle name="差_F3   SMT設備明細_M1 Bolt wireless mouse FixtureEquipment Cost_A2_2010_12_07_Bolt RFQ Proposal_Foxlink_ (Pricing Summary) 2 25 2011 5 3" xfId="31604"/>
    <cellStyle name="差_F3   SMT設備明細_M1 Bolt wireless mouse FixtureEquipment Cost_A2_2010_12_07_Bolt RFQ Proposal_Foxlink_ (Pricing Summary) 2 25 2011 6" xfId="31605"/>
    <cellStyle name="差_F3   SMT設備明細_M1 Lemur Capacity planFixtureEquipment Cost_A2_06192010_Bristol UniBom_Foxlink_02082011 RevA" xfId="31606"/>
    <cellStyle name="差_F3   SMT設備明細_M1 Lemur Capacity planFixtureEquipment Cost_A2_06192010_Leopard UniBom_Foxlink_12092010 RevD-jen" xfId="31607"/>
    <cellStyle name="差_F3   SMT設備明細_M1 Lemur Capacity planFixtureEquipment Cost_A2_06192010_Squirrel UniBom_Foxlink_6 28 2010" xfId="31608"/>
    <cellStyle name="差_F3   SMT設備明細_M1 Squirrel Capacity planFixtureEquipment Cost_A2_06192010_Bristol UniBom_Foxlink_02082011 RevA" xfId="31609"/>
    <cellStyle name="差_F3   SMT設備明細_M1 Squirrel Capacity planFixtureEquipment Cost_A2_06192010_Squirrel UniBom_Foxlink_6 28 2010" xfId="31610"/>
    <cellStyle name="差_F3   SMT設備明細_M1 SuedeFixtureEquipment Cost_A0_2010_10_15 2" xfId="31611"/>
    <cellStyle name="差_F3   SMT設備明細_M1 SuedeFixtureEquipment Cost_A0_2010_10_15 2 2 3" xfId="31612"/>
    <cellStyle name="差_F3   SMT設備明細_M1 SuedeFixtureEquipment Cost_A0_2010_10_15 2 4" xfId="31613"/>
    <cellStyle name="差_F3   SMT設備明細_M1 SuedeFixtureEquipment Cost_A0_2010_10_15_Bolt RFQ Proposal_Foxlink_ (Pricing Summary) 2 25 2011" xfId="31614"/>
    <cellStyle name="差_F3   SMT設備明細_M1 SuedeFixtureEquipment Cost_A0_2010_10_15_Bolt RFQ Proposal_Foxlink_ (Pricing Summary) 2 25 2011 2 2" xfId="31615"/>
    <cellStyle name="差_F3   SMT設備明細_M1 SuedeFixtureEquipment Cost_A0_2010_10_15_Bolt RFQ Proposal_Foxlink_ (Pricing Summary) 2 25 2011 2 2 3" xfId="31616"/>
    <cellStyle name="差_F3   SMT設備明細_M1 SuedeFixtureEquipment Cost_A0_2010_10_15_Bolt RFQ Proposal_Foxlink_ (Pricing Summary) 2 25 2011 2 3" xfId="31617"/>
    <cellStyle name="差_F3   SMT設備明細_M1 SuedeFixtureEquipment Cost_A0_2010_10_15_Bolt RFQ Proposal_Foxlink_ (Pricing Summary) 2 25 2011 2 4" xfId="31618"/>
    <cellStyle name="差_F3   SMT設備明細_M1 SuedeFixtureEquipment Cost_A0_2010_10_15_Bolt RFQ Proposal_Foxlink_ (Pricing Summary) 2 25 2011 3" xfId="31619"/>
    <cellStyle name="差_F3   SMT設備明細_M1 SuedeFixtureEquipment Cost_A0_2010_10_15_Bolt RFQ Proposal_Foxlink_ (Pricing Summary) 2 25 2011 3 3" xfId="31620"/>
    <cellStyle name="差_F3   SMT設備明細_M1 SuedeFixtureEquipment Cost_A0_2010_10_15_Bolt RFQ Proposal_Foxlink_ (Pricing Summary) 2 25 2011 4 3" xfId="31621"/>
    <cellStyle name="差_F3   SMT設備明細_M1 SuedeFixtureEquipment Cost_A0_2010_10_15_Bolt RFQ Proposal_Foxlink_ (Pricing Summary) 2 25 2011 5" xfId="31622"/>
    <cellStyle name="差_F3   SMT設備明細_M1 SuedeFixtureEquipment Cost_A0_2010_10_15_Bolt RFQ Proposal_Foxlink_ (Pricing Summary) 2 25 2011 5 2" xfId="31623"/>
    <cellStyle name="差_F3   SMT設備明細_M1 SuedeFixtureEquipment Cost_A0_2010_10_15_Bolt RFQ Proposal_Foxlink_ (Pricing Summary) 2 25 2011 5 3" xfId="31624"/>
    <cellStyle name="差_F3   SMT設備明細_M1 SuedeFixtureEquipment Cost_A0_2010_10_15_Bolt RFQ Proposal_Foxlink_ (Pricing Summary) 2 25 2011 6" xfId="31625"/>
    <cellStyle name="差_F3   SMT設備明細_M1 SuedeFixtureEquipment Cost_A0_2010_10_15_Bolt RFQ_Foxlink_03.1 2011" xfId="31626"/>
    <cellStyle name="差_F3   SMT設備明細_M1 SuedeFixtureEquipment Cost_A0_2010_10_15_Bolt RFQ_Foxlink_03.1 2011 2 2" xfId="31627"/>
    <cellStyle name="差_F3   SMT設備明細_M1 SuedeFixtureEquipment Cost_A0_2010_10_15_Bolt RFQ_Foxlink_03.1 2011 2 3" xfId="31628"/>
    <cellStyle name="差_F3   SMT設備明細_M1 SuedeFixtureEquipment Cost_A0_2010_10_15_Bolt RFQ_Foxlink_03.1 2011 5" xfId="31629"/>
    <cellStyle name="差_F3   SMT設備明細_M1 SuedeFixtureEquipment Cost_A0_2010_10_15_Bolt RFQ_Foxlink_03.1 2011_nego meeting@MACH 2" xfId="31630"/>
    <cellStyle name="差_F3   SMT設備明細_M1 SuedeFixtureEquipment Cost_A0_2010_10_15_Bolt RFQ_Foxlink_03.1 2011_nego meeting@MACH 3 2" xfId="31631"/>
    <cellStyle name="差_F3   SMT設備明細_M1 SuedeFixtureEquipment Cost_A0_2010_10_15_Wedge_ME_BOM-v00-11v0630" xfId="31632"/>
    <cellStyle name="差_F3   SMT設備明細_M1 SuedeFixtureEquipment Cost_A0_2010_10_15_Wedge_ME_BOM-v00-11v0630 2" xfId="31633"/>
    <cellStyle name="差_MB9月管審誤判超標 8D 6 3" xfId="31634"/>
    <cellStyle name="差_F3   SMT設備明細_M1 SuedeFixtureEquipment Cost_A0_2010_10_15_Wedge_ME_BOM-v00-11v0630 2 2" xfId="31635"/>
    <cellStyle name="差_F3   SMT設備明細_MS Bolt wireless mouse FixtureEquipment Cost_A5_2010_02_21 2 4" xfId="31636"/>
    <cellStyle name="差_F3   SMT設備明細_MS Bolt wireless mouse FixtureEquipment Cost_A5_2010_02_21 3 3" xfId="31637"/>
    <cellStyle name="差_F3   SMT設備明細_MS Bolt wireless mouse FixtureEquipment Cost_A5_2010_02_21_Bolt RFQ_Foxlink_03.1 2011" xfId="31638"/>
    <cellStyle name="差_F3   SMT設備明細_MS Bolt wireless mouse FixtureEquipment Cost_A5_2010_02_21_Bolt RFQ_Foxlink_03.1 2011 2 2" xfId="31639"/>
    <cellStyle name="差_F3   SMT設備明細_MS Bolt wireless mouse FixtureEquipment Cost_A5_2010_02_21_Bolt RFQ_Foxlink_03.1 2011_nego meeting@MACH 2" xfId="31640"/>
    <cellStyle name="差_F3   SMT設備明細_MS Bolt wireless mouse FixtureEquipment Cost_A5_2010_02_21_Bolt RFQ_Foxlink_03.1 2011_nego meeting@MACH 2 2" xfId="31641"/>
    <cellStyle name="差_F3   SMT設備明細_MS Bolt wireless mouse FixtureEquipment Cost_A5_2010_02_21_Bolt RFQ_Foxlink_03.1 2011_nego meeting@MACH 3 2" xfId="31642"/>
    <cellStyle name="差_F3   SMT設備明細_效益分析" xfId="31643"/>
    <cellStyle name="差_F3   SMT設備明細_效益分析(總 12-28 Update)_~1159284" xfId="31644"/>
    <cellStyle name="差_F3   SMT設備明細_效益分析(總 12-28 Update)_Jackson 效益分析 (2-1 B0 上系統)" xfId="31645"/>
    <cellStyle name="差_F3   SMT設備明細_效益分析(總 12-28 Update)_Jackson 效益分析 (2-1 B0 上系統)_Leopard Flowchart &amp; 產能評估" xfId="31646"/>
    <cellStyle name="差_F3   SMT設備明細_效益分析(總 12-28 Update)_Leopard Flowchart &amp; 產能評估" xfId="31647"/>
    <cellStyle name="差_F3   SMT設備明細_效益分析_~1159284" xfId="31648"/>
    <cellStyle name="差_F3   SMT設備明細_效益分析_~3106354" xfId="31649"/>
    <cellStyle name="差_F3   SMT設備明細_效益分析_~3106354_Jackson 效益分析 (2-1 B0 上系統)_squirrel效益分析08-17" xfId="31650"/>
    <cellStyle name="差_F3   SMT設備明細_效益分析_~3106354_Leopard Flowchart &amp; 產能評估" xfId="31651"/>
    <cellStyle name="差_F3   SMT設備明細_效益分析_~3106354_Leopard效益分析08-17" xfId="31652"/>
    <cellStyle name="差_F3   SMT設備明細_效益分析_~5631336" xfId="31653"/>
    <cellStyle name="差_F3   SMT設備明細_效益分析_~5631336_Jackson 效益分析 (2-1 B0 上系統)" xfId="31654"/>
    <cellStyle name="差_F3   SMT設備明細_效益分析_~5631336_Jackson 效益分析 (2-1 B0 上系統)_squirrel效益分析08-17" xfId="31655"/>
    <cellStyle name="差_HP Mouse 產能評估(Forecast更改後)_MS Bolt wireless mouse FixtureEquipment Cost_A5_2010_02_21_Bolt RFQ Proposal_Foxlink_ (Pricing Summary) 2 25 2011 5 3" xfId="31656"/>
    <cellStyle name="差_HP  專案(設備&amp;治工具需夠買)update_MS Bolt wireless mouse FixtureEquipment Cost_A5_2010_02_21_Bolt RFQ_Foxlink_03.1 2011_nego meeting@MACH 2 2" xfId="31657"/>
    <cellStyle name="差_F3   SMT設備明細_效益分析_~8644671" xfId="31658"/>
    <cellStyle name="差_F3   SMT設備明細_效益分析_~8644671_~1159284" xfId="31659"/>
    <cellStyle name="差_F3   SMT設備明細_效益分析_~8644671_Jackson 效益分析 (2-1 B0 上系統)" xfId="31660"/>
    <cellStyle name="差_F3   SMT設備明細_效益分析_~8644671_Jackson 效益分析 (2-1 B0 上系統)_squirrel效益分析08-17" xfId="31661"/>
    <cellStyle name="差_F3   SMT設備明細_效益分析_~8644671_Leopard Flowchart &amp; 產能評估" xfId="31662"/>
    <cellStyle name="差_F3   SMT設備明細_效益分析_Dallas flow chart&amp;設備&amp;治工具清單(12-8 A0)_~5631336" xfId="31663"/>
    <cellStyle name="差_F3   SMT設備明細_效益分析_Dallas flow chart&amp;設備&amp;治工具清單(12-8 A0)_~5631336_Jackson 效益分析 (2-1 B0 上系統)_Leopard Flowchart &amp; 產能評估" xfId="31664"/>
    <cellStyle name="差_F3   SMT設備明細_效益分析_Dallas flow chart&amp;設備&amp;治工具清單(12-8 A0)_~5631336_Jackson 效益分析 (2-1 B0 上系統)_Leopard效益分析08-17" xfId="31665"/>
    <cellStyle name="差_F3   SMT設備明細_效益分析_Dallas flow chart&amp;設備&amp;治工具清單(12-8 A0)_Flow chart and Fixture(1-4)" xfId="31666"/>
    <cellStyle name="差_F3   SMT設備明細_效益分析_Dallas flow chart&amp;設備&amp;治工具清單(12-8 A0)_Flow chart and Fixture(1-4)_Jackson 效益分析 (2-1 B0 上系統)_Leopard Flowchart &amp; 產能評估" xfId="31667"/>
    <cellStyle name="差_F3   SMT設備明細_效益分析_Dallas flow chart&amp;設備&amp;治工具清單(12-8 A0)_Flow chart and Fixture(1-4)_Jackson 效益分析 (2-1 B0 上系統)_squirrel效益分析08-17" xfId="31668"/>
    <cellStyle name="差_F3   SMT設備明細_效益分析_Dallas flow chart&amp;設備&amp;治工具清單(12-8 A0)_Flow chart and Fixture(Jackson)_A1" xfId="31669"/>
    <cellStyle name="差_F3   SMT設備明細_效益分析_Dallas flow chart&amp;設備&amp;治工具清單(12-8 A0)_Flow Chart&amp;設備治工具清單 _Jackson 效益分析 (2-1 B0 上系統)" xfId="31670"/>
    <cellStyle name="差_F3   SMT設備明細_效益分析_Dallas flow chart&amp;設備&amp;治工具清單(12-8 A0)_Flow Chart&amp;設備治工具清單 _Jackson 效益分析 (2-1 B0 上系統)_Leopard Flowchart &amp; 產能評估" xfId="31671"/>
    <cellStyle name="差_F3   SMT設備明細_效益分析_Dallas flow chart&amp;設備&amp;治工具清單(12-8 A0)_Flow Chart&amp;設備治工具清單 _Leopard Flowchart &amp; 產能評估" xfId="31672"/>
    <cellStyle name="差_F3   SMT設備明細_效益分析_Dallas flow chart&amp;設備&amp;治工具清單(12-8 A0)_Flow Chart&amp;設備治工具清單 _Leopard效益分析08-17" xfId="31673"/>
    <cellStyle name="差_F3   SMT設備明細_效益分析_Dallas flow chart&amp;設備&amp;治工具清單(12-8 A0)_Jackson 效益分析 (1-18 A7)" xfId="31674"/>
    <cellStyle name="差_F3   SMT設備明細_效益分析_Dallas flow chart&amp;設備&amp;治工具清單(12-8 A0)_Jackson 效益分析 (2-1 B0 上系統)" xfId="31675"/>
    <cellStyle name="差_F3   SMT設備明細_效益分析_Dallas flow chart&amp;設備&amp;治工具清單(12-8 A0)_Jackson 效益分析 (2-1 B0 上系統)_squirrel效益分析08-17" xfId="31676"/>
    <cellStyle name="差_F3   SMT設備明細_效益分析_Dallas flow chart&amp;設備&amp;治工具清單(12-8 A0)_Jackson 效益分析 testing update_16th Jan1_Jackson 效益分析 (2-1 B0 上系統)" xfId="31677"/>
    <cellStyle name="差_F3   SMT設備明細_效益分析_Dallas flow chart&amp;設備&amp;治工具清單(12-8 A0)_Jackson 效益分析 testing update_16th Jan1_Jackson 效益分析 (2-1 B0 上系統)_Leopard Flowchart &amp; 產能評估" xfId="31678"/>
    <cellStyle name="差_F3   SMT設備明細_效益分析_Dallas flow chart&amp;設備&amp;治工具清單(12-8 A0)_Jackson 效益分析 testing update_16th Jan1_Jackson 效益分析 (2-1 B0 上系統)_Leopard效益分析08-17" xfId="31679"/>
    <cellStyle name="差_F3   SMT設備明細_效益分析_Dallas flow chart&amp;設備&amp;治工具清單(12-8 A0)_Jackson 效益分析 testing update_16th Jan1_Jackson 效益分析 (2-1 B0 上系統)_squirrel效益分析08-17" xfId="31680"/>
    <cellStyle name="差_F3   SMT設備明細_效益分析_Dallas flow chart&amp;設備&amp;治工具清單(12-8 A0)_Jackson 效益分析 testing update_16th Jan111_Jackson 效益分析 (2-1 B0 上系統)_Leopard效益分析08-17" xfId="31681"/>
    <cellStyle name="差_F3   SMT設備明細_效益分析_Dallas flow chart&amp;設備&amp;治工具清單(12-8 A0)_Jackson 效益分析 testing update_16th Jan111_Jackson 效益分析 (2-1 B0 上系統)_squirrel效益分析08-17" xfId="31682"/>
    <cellStyle name="差_F3   SMT設備明細_效益分析_Dallas flow chart&amp;設備&amp;治工具清單(12-8 A0)_squirrel效益分析08-17" xfId="31683"/>
    <cellStyle name="差_F3   SMT設備明細_效益分析_Dallas flow chart&amp;設備&amp;治工具清單(12-8 A0)_效益分析(總 12-28 Update)" xfId="31684"/>
    <cellStyle name="差_F3   SMT設備明細_效益分析_Dallas flow chart&amp;設備&amp;治工具清單(12-8 A0)_效益分析(總 12-28 Update)_Jackson 效益分析 (2-1 B0 上系統)_Leopard Flowchart &amp; 產能評估" xfId="31685"/>
    <cellStyle name="差_F3   SMT設備明細_效益分析_Dallas flow chart&amp;設備&amp;治工具清單(12-8 A0)_效益分析(總 12-28 Update)_Jackson 效益分析 (2-1 B0 上系統)_Leopard效益分析08-17" xfId="31686"/>
    <cellStyle name="差_F3   SMT設備明細_效益分析_Dallas效益分析&amp;投資回收期 (12-2 A1)_~1159284" xfId="31687"/>
    <cellStyle name="差_F3   SMT設備明細_效益分析_Dallas效益分析&amp;投資回收期 (12-2 A1)_~5631336" xfId="31688"/>
    <cellStyle name="差_F3   SMT設備明細_效益分析_Dallas效益分析&amp;投資回收期 (12-2 A1)_~5631336_Jackson 效益分析 (2-1 B0 上系統)_Leopard效益分析08-17" xfId="31689"/>
    <cellStyle name="差_F3   SMT設備明細_效益分析_Dallas效益分析&amp;投資回收期 (12-2 A1)_~5631336_Jackson 效益分析 (2-1 B0 上系統)_squirrel效益分析08-17" xfId="31690"/>
    <cellStyle name="差_F3   SMT設備明細_效益分析_Dallas效益分析&amp;投資回收期 (12-2 A1)_Flow chart and Fixture(1-4)_Jackson 效益分析 (2-1 B0 上系統)_Leopard效益分析08-17" xfId="31691"/>
    <cellStyle name="差_F3   SMT設備明細_效益分析_Dallas效益分析&amp;投資回收期 (12-2 A1)_Flow chart and Fixture(1-4)_Jackson 效益分析 (2-1 B0 上系統)_squirrel效益分析08-17" xfId="31692"/>
    <cellStyle name="差_F3   SMT設備明細_效益分析_Dallas效益分析&amp;投資回收期 (12-2 A1)_Flow chart and Fixture(Jackson)_A1_Jackson 效益分析 (2-1 B0 上系統)" xfId="31693"/>
    <cellStyle name="差_F3   SMT設備明細_效益分析_Dallas效益分析&amp;投資回收期 (12-2 A1)_Flow chart and Fixture(Jackson)_A1_Jackson 效益分析 (2-1 B0 上系統)_Leopard效益分析08-17" xfId="31694"/>
    <cellStyle name="差_F3   SMT設備明細_效益分析_Dallas效益分析&amp;投資回收期 (12-2 A1)_Flow chart and Fixture(Jackson)_A1_Jackson 效益分析 (2-1 B0 上系統)_squirrel效益分析08-17" xfId="31695"/>
    <cellStyle name="差_F3   SMT設備明細_效益分析_Dallas效益分析&amp;投資回收期 (12-2 A1)_Flow Chart&amp;設備治工具清單 _~1159284" xfId="31696"/>
    <cellStyle name="差_F3   SMT設備明細_效益分析_Dallas效益分析&amp;投資回收期 (12-2 A1)_Flow Chart&amp;設備治工具清單 _Jackson 效益分析 (2-1 B0 上系統)_Leopard Flowchart &amp; 產能評估" xfId="31697"/>
    <cellStyle name="差_F3   SMT設備明細_效益分析_Dallas效益分析&amp;投資回收期 (12-2 A1)_Flow Chart&amp;設備治工具清單 _Jackson 效益分析 (2-1 B0 上系統)_Leopard效益分析08-17" xfId="31698"/>
    <cellStyle name="差_F3   SMT設備明細_效益分析_Dallas效益分析&amp;投資回收期 (12-2 A1)_Flow Chart&amp;設備治工具清單 _Jackson 效益分析 (2-1 B0 上系統)_squirrel效益分析08-17" xfId="31699"/>
    <cellStyle name="差_F3   SMT設備明細_效益分析_Dallas效益分析&amp;投資回收期 (12-2 A1)_Flow Chart&amp;設備治工具清單 _Leopard Flowchart &amp; 產能評估" xfId="31700"/>
    <cellStyle name="差_F3   SMT設備明細_效益分析_Dallas效益分析&amp;投資回收期 (12-2 A1)_Jackson 效益分析 (1-18 A7)" xfId="31701"/>
    <cellStyle name="差_F3   SMT設備明細_效益分析_Dallas效益分析&amp;投資回收期 (12-2 A1)_Jackson 效益分析 (2-1 B0 上系統)_Leopard Flowchart &amp; 產能評估" xfId="31702"/>
    <cellStyle name="差_F3   SMT設備明細_效益分析_Dallas效益分析&amp;投資回收期 (12-2 A1)_Jackson 效益分析 testing update_16th Jan1" xfId="31703"/>
    <cellStyle name="差_F3   SMT設備明細_效益分析_Dallas效益分析&amp;投資回收期 (12-2 A1)_Jackson 效益分析 testing update_16th Jan1_Jackson 效益分析 (2-1 B0 上系統)_Leopard效益分析08-17" xfId="31704"/>
    <cellStyle name="差_F3   SMT設備明細_效益分析_Dallas效益分析&amp;投資回收期 (12-2 A1)_Jackson 效益分析 testing update_16th Jan1_Jackson 效益分析 (2-1 B0 上系統)_squirrel效益分析08-17" xfId="31705"/>
    <cellStyle name="差_F3   SMT設備明細_效益分析_Dallas效益分析&amp;投資回收期 (12-2 A1)_Jackson 效益分析 testing update_16th Jan111_Jackson 效益分析 (2-1 B0 上系統)_Leopard Flowchart &amp; 產能評估" xfId="31706"/>
    <cellStyle name="差_F3   SMT設備明細_效益分析_Dallas效益分析&amp;投資回收期 (12-2 A1)_Leopard Flowchart &amp; 產能評估" xfId="31707"/>
    <cellStyle name="差_F3   SMT設備明細_效益分析_Dallas效益分析&amp;投資回收期 (12-2 A1)_效益分析(總 12-28 Update)_~1159284" xfId="31708"/>
    <cellStyle name="差_F3   SMT設備明細_效益分析_Dallas效益分析&amp;投資回收期 (12-2 A1)_效益分析(總 12-28 Update)_Jackson 效益分析 (2-1 B0 上系統)_Leopard效益分析08-17" xfId="31709"/>
    <cellStyle name="差_F3   SMT設備明細_效益分析_Dallas效益分析&amp;投資回收期 (12-2 A1)_效益分析(總 12-28 Update)_Jackson 效益分析 (2-1 B0 上系統)_squirrel效益分析08-17" xfId="31710"/>
    <cellStyle name="差_F3   SMT設備明細_效益分析_Dallas效益分析&amp;投資回收期 (12-2 A1)_效益分析(總 12-28 Update)_Leopard效益分析08-17" xfId="31711"/>
    <cellStyle name="差_F3   SMT設備明細_效益分析_flow chart 2009.12.12_~5631336" xfId="31712"/>
    <cellStyle name="差_F3   SMT設備明細_效益分析_flow chart 2009.12.12_~5631336_Jackson 效益分析 (2-1 B0 上系統)" xfId="31713"/>
    <cellStyle name="差_F3   SMT設備明細_效益分析_flow chart 2009.12.12_~5631336_Jackson 效益分析 (2-1 B0 上系統)_Leopard效益分析08-17" xfId="31714"/>
    <cellStyle name="差_jupite r設備&amp;治工具LIST (總)_pq_~5631336_Jackson 效益分析 (2-1 B0 上系統)_squirrel效益分析08-17" xfId="31715"/>
    <cellStyle name="差_F3   SMT設備明細_效益分析_flow chart 2009.12.12_Flow chart and Fixture(1-4)_Jackson 效益分析 (2-1 B0 上系統)_squirrel效益分析08-17" xfId="31716"/>
    <cellStyle name="差_HP Mouse 產能評估(上系統)_MS Bolt wireless mouse FixtureEquipment Cost_A5_2010_02_21_Bolt RFQ Proposal_Foxlink_ (Pricing Summary) 2 25 2011 2 3" xfId="31717"/>
    <cellStyle name="差_F3   SMT設備明細_效益分析_flow chart 2009.12.12_Flow chart and Fixture(Jackson)_A1_Jackson 效益分析 (2-1 B0 上系統)_Leopard效益分析08-17" xfId="31718"/>
    <cellStyle name="差_F3   SMT設備明細_效益分析_flow chart 2009.12.12_Flow Chart&amp;設備治工具清單 _Jackson 效益分析 (2-1 B0 上系統)_Leopard Flowchart &amp; 產能評估" xfId="31719"/>
    <cellStyle name="差_F3   SMT設備明細_效益分析_flow chart 2009.12.12_Flow Chart&amp;設備治工具清單 _Jackson 效益分析 (2-1 B0 上系統)_Leopard效益分析08-17" xfId="31720"/>
    <cellStyle name="差_F3   SMT設備明細_效益分析_flow chart 2009.12.12_Flow Chart&amp;設備治工具清單 _Leopard Flowchart &amp; 產能評估" xfId="31721"/>
    <cellStyle name="差_F3   SMT設備明細_效益分析_flow chart 2009.12.12_Flow Chart&amp;設備治工具清單 _Leopard效益分析08-17" xfId="31722"/>
    <cellStyle name="差_治具工程課2009年KPI 6 2" xfId="31723"/>
    <cellStyle name="差_F3   SMT設備明細_效益分析_flow chart 2009.12.12_Jackson 效益分析 (2-1 B0 上系統)" xfId="31724"/>
    <cellStyle name="差_F3   SMT設備明細_效益分析_flow chart 2009.12.12_Jackson 效益分析 (2-1 B0 上系統)_Leopard Flowchart &amp; 產能評估" xfId="31725"/>
    <cellStyle name="差_Xl0000002_Leopard_UniBOM_ME_0602_Bolt RFQ_Foxlink_03.1 2011 5" xfId="31726"/>
    <cellStyle name="差_F3   SMT設備明細_效益分析_flow chart 2009.12.12_Jackson 效益分析 (2-1 B0 上系統)_squirrel效益分析08-17" xfId="31727"/>
    <cellStyle name="差_F3   SMT設備明細_效益分析_flow chart 2009.12.12_Jackson 效益分析 testing update_16th Jan1_Jackson 效益分析 (2-1 B0 上系統)_Leopard Flowchart &amp; 產能評估" xfId="31728"/>
    <cellStyle name="差_F3   SMT設備明細_效益分析_Flow Chart&amp;設備治工具清單 _Leopard效益分析08-17" xfId="31729"/>
    <cellStyle name="壞_Creek EE BOM cost_20090425_Leopard RFQ ME BOM Costs-0618 2" xfId="31730"/>
    <cellStyle name="差_F3   SMT設備明細_效益分析_flow chart 2009.12.12_Jackson 效益分析 testing update_16th Jan111" xfId="31731"/>
    <cellStyle name="差_F3   SMT設備明細_效益分析_flow chart 2009.12.12_Jackson 效益分析 testing update_16th Jan111_Jackson 效益分析 (2-1 B0 上系統)" xfId="31732"/>
    <cellStyle name="差_jupite r設備&amp;治工具LIST (總)_Dallas flow chart&amp;設備&amp;治工具清單(12-8 A0)_效益分析(總 12-28 Update)_Jackson 效益分析 (2-1 B0 上系統)_Leopard Flowchart &amp; 產能評估" xfId="31733"/>
    <cellStyle name="差_F3   SMT設備明細_效益分析_flow chart 2009.12.12_Jackson 效益分析 testing update_16th Jan111_Jackson 效益分析 (2-1 B0 上系統)_Leopard效益分析08-17" xfId="31734"/>
    <cellStyle name="差_HP Mouse 產能評估(Forecast更改後) 3 3" xfId="31735"/>
    <cellStyle name="差_F3   SMT設備明細_效益分析_flow chart 2009.12.12_Leopard Flowchart &amp; 產能評估" xfId="31736"/>
    <cellStyle name="差_F3   SMT設備明細_效益分析_flow chart 2009.12.12_Leopard效益分析08-17" xfId="31737"/>
    <cellStyle name="差_F3   SMT設備明細_效益分析_flow chart 2009.12.12_效益分析(總 12-28 Update)" xfId="31738"/>
    <cellStyle name="差_F3   SMT設備明細_效益分析_flow chart 2009.12.12_效益分析(總 12-28 Update)_Jackson 效益分析 (2-1 B0 上系統)_Leopard Flowchart &amp; 產能評估" xfId="31739"/>
    <cellStyle name="差_jupite r設備&amp;治工具LIST (總)_Dallas flow chart&amp;設備&amp;治工具清單(12-8 A0)_Jackson 效益分析 testing update_16th Jan111" xfId="31740"/>
    <cellStyle name="差_F3   SMT設備明細_效益分析_flow chart 2009.12.12_效益分析(總 12-28 Update)_Jackson 效益分析 (2-1 B0 上系統)_squirrel效益分析08-17" xfId="31741"/>
    <cellStyle name="差_F3   SMT設備明細_效益分析_flow chart 2009.12.12_效益分析(總 12-28 Update)_Leopard Flowchart &amp; 產能評估" xfId="31742"/>
    <cellStyle name="差_F3   SMT設備明細_效益分析_flow chart 2009.12.12_效益分析(總 12-28 Update)_Leopard效益分析08-17" xfId="31743"/>
    <cellStyle name="差_F3   SMT設備明細_效益分析_flow chart 2009.12.12_效益分析(總 12-28 Update)_squirrel效益分析08-17" xfId="31744"/>
    <cellStyle name="差_F3   SMT設備明細_效益分析_Flow chart and Fixture(1-4)_Jackson 效益分析 (2-1 B0 上系統)" xfId="31745"/>
    <cellStyle name="差_F3   SMT設備明細_效益分析_Flow chart and Fixture(1-4)_Jackson 效益分析 (2-1 B0 上系統)_Leopard Flowchart &amp; 產能評估" xfId="31746"/>
    <cellStyle name="差_Xl0000000_Leopard_UniBOM_ME_0602_Bolt RFQ Proposal_Foxlink_ (Pricing Summary) 2 25 2011 5" xfId="31747"/>
    <cellStyle name="差_F3   SMT設備明細_效益分析_Flow chart and Fixture(1-4)_Jackson 效益分析 (2-1 B0 上系統)_Leopard效益分析08-17" xfId="31748"/>
    <cellStyle name="差_F3   SMT設備明細_效益分析_Flow chart and Fixture(Jackson)_A1_Jackson 效益分析 (2-1 B0 上系統)_squirrel效益分析08-17" xfId="31749"/>
    <cellStyle name="差_F3   SMT設備明細_效益分析_Flow Chart&amp;設備治工具清單 _~1159284" xfId="31750"/>
    <cellStyle name="差_Xl0000000_Leopard RFQ ME BOM Costs-0618-2_Bolt RFQ Proposal_Foxlink_ (Pricing Summary) 2 25 2011 4 2" xfId="31751"/>
    <cellStyle name="差_F3   SMT設備明細_效益分析_Flow Chart&amp;設備治工具清單 _Jackson 效益分析 (2-1 B0 上系統)_squirrel效益分析08-17" xfId="31752"/>
    <cellStyle name="差_F3   SMT設備明細_效益分析_Flow Chart&amp;設備治工具清單 _squirrel效益分析08-17" xfId="31753"/>
    <cellStyle name="差_F3   SMT設備明細_效益分析_Flow Chart(shadow) A3 _Jackson 效益分析 (2-1 B0 上系統)" xfId="31754"/>
    <cellStyle name="差_F3   SMT設備明細_效益分析_Flow Chart(shadow) A3 _Leopard效益分析08-17" xfId="31755"/>
    <cellStyle name="差_F3   SMT設備明細_效益分析_Flow Chart(shadow)-b (1-4 Update)_Jackson 效益分析 (2-1 B0 上系統)_Leopard效益分析08-17" xfId="31756"/>
    <cellStyle name="差_F3   SMT設備明細_效益分析_Flow Chart(shadow)-b (1-4 Update)_Jackson 效益分析 (2-1 B0 上系統)_squirrel效益分析08-17" xfId="31757"/>
    <cellStyle name="差_F3   SMT設備明細_效益分析_Jackson 效益分析 (2-1 B0 上系統)_squirrel效益分析08-17" xfId="31758"/>
    <cellStyle name="壞_Erie Assembly Fixture  Test Equip Cost_20090716_Foxlink_Shadow RFQ NREUni BOM_12032009_Bolt RFQ Proposal_Foxlink_ (Pricing Summary) 2 25 2011 4" xfId="31759"/>
    <cellStyle name="差_F3   SMT設備明細_效益分析_Jackson 效益分析 testing update_16th Jan1_Jackson 效益分析 (2-1 B0 上系統)" xfId="31760"/>
    <cellStyle name="差_F3   SMT設備明細_效益分析_Jackson 效益分析 testing update_16th Jan1_Jackson 效益分析 (2-1 B0 上系統)_Leopard Flowchart &amp; 產能評估" xfId="31761"/>
    <cellStyle name="差_Xl0000000_Leopard_UniBOM_ME_0602-1_Bolt RFQ Proposal_Foxlink_ (Pricing Summary) 2 25 2011 5" xfId="31762"/>
    <cellStyle name="差_HP  專案(設備&amp;治工具需夠買)update_M1 SuedeFixtureEquipment Cost_A0_2010_10_15_Bolt RFQ_Foxlink_03.1 2011 2 2" xfId="31763"/>
    <cellStyle name="差_F3   SMT設備明細_效益分析_Jackson 效益分析 testing update_16th Jan111_Jackson 效益分析 (2-1 B0 上系統)" xfId="31764"/>
    <cellStyle name="差_F3   SMT設備明細_效益分析_Jackson 效益分析 testing update_16th Jan111_Jackson 效益分析 (2-1 B0 上系統)_Leopard效益分析08-17" xfId="31765"/>
    <cellStyle name="差_F3   SMT設備明細_效益分析_效益分析(總 12-28 Update)_~1159284" xfId="31766"/>
    <cellStyle name="差_F3   SMT設備明細_效益分析_效益分析(總 12-28 Update)_Jackson 效益分析 (2-1 B0 上系統)_Leopard效益分析08-17" xfId="31767"/>
    <cellStyle name="差_F3   SMT設備明細_效益分析_效益分析(總 12-28 Update)_Leopard Flowchart &amp; 產能評估" xfId="31768"/>
    <cellStyle name="差_F3   SMT設備明細_效益分析_效益分析(總 12-28 Update)_Leopard效益分析08-17" xfId="31769"/>
    <cellStyle name="差_F3   SMT設備明細_效益分析_效益分析(總 12-28 Update)_squirrel效益分析08-17" xfId="31770"/>
    <cellStyle name="差_F3   SMT設備明細_費用統計" xfId="31771"/>
    <cellStyle name="差_F3   SMT設備明細_費用統計_Jackson 效益分析 (2-1 B0 上系統)_squirrel效益分析08-17" xfId="31772"/>
    <cellStyle name="差_F3   SMT設備明細_費用統計_Leopard Flowchart &amp; 產能評估" xfId="31773"/>
    <cellStyle name="差_Flow chart and Fixture(1-4)_Jackson 效益分析 (2-1 B0 上系統)" xfId="31774"/>
    <cellStyle name="差_Flow chart and Fixture(1-4)_Jackson 效益分析 (2-1 B0 上系統)_Leopard Flowchart &amp; 產能評估" xfId="31775"/>
    <cellStyle name="差_Flow chart and Fixture(1-4)_Jackson 效益分析 (2-1 B0 上系統)_squirrel效益分析08-17" xfId="31776"/>
    <cellStyle name="差_Flow chart and Fixture(Jackson)_A1_Jackson 效益分析 (2-1 B0 上系統)_Leopard Flowchart &amp; 產能評估" xfId="31777"/>
    <cellStyle name="差_Flow Chart&amp;PQ分析(12-1)" xfId="31778"/>
    <cellStyle name="差_Flow Chart&amp;PQ分析(12-1)_~1159284" xfId="31779"/>
    <cellStyle name="差_HP Mouse 產能評估(Forecast更改後)_M1 SuedeFixtureEquipment Cost_A0_2010_10_15_Bolt RFQ Proposal_Foxlink_ (Pricing Summary) 2 25 2011 5 2" xfId="31780"/>
    <cellStyle name="差_Flow Chart&amp;PQ分析(12-1)_~5631336" xfId="31781"/>
    <cellStyle name="差_Flow Chart&amp;PQ分析(12-1)_~5631336_Jackson 效益分析 (2-1 B0 上系統)_squirrel效益分析08-17" xfId="31782"/>
    <cellStyle name="差_Flow Chart&amp;PQ分析(12-1)_Flow chart and Fixture(1-4)_Jackson 效益分析 (2-1 B0 上系統)" xfId="31783"/>
    <cellStyle name="差_Flow Chart&amp;PQ分析(12-1)_Flow chart and Fixture(Jackson)_A1" xfId="31784"/>
    <cellStyle name="差_Flow Chart&amp;PQ分析(12-1)_Flow chart and Fixture(Jackson)_A1_Jackson 效益分析 (2-1 B0 上系統)_Leopard效益分析08-17" xfId="31785"/>
    <cellStyle name="差_Flow Chart&amp;PQ分析(12-1)_Flow Chart&amp;設備治工具清單 _Jackson 效益分析 (2-1 B0 上系統)" xfId="31786"/>
    <cellStyle name="差_Flow Chart&amp;PQ分析(12-1)_Flow Chart&amp;設備治工具清單 _Leopard Flowchart &amp; 產能評估" xfId="31787"/>
    <cellStyle name="差_Flow Chart&amp;PQ分析(12-1)_Jackson 效益分析 testing update_16th Jan111_Jackson 效益分析 (2-1 B0 上系統)" xfId="31788"/>
    <cellStyle name="差_Flow Chart&amp;PQ分析(12-1)_Jackson 效益分析 testing update_16th Jan111_Jackson 效益分析 (2-1 B0 上系統)_Leopard Flowchart &amp; 產能評估" xfId="31789"/>
    <cellStyle name="差_Flow Chart&amp;PQ分析(12-1)_效益分析(總 12-28 Update)" xfId="31790"/>
    <cellStyle name="差_Flow Chart&amp;PQ分析(12-1)_效益分析(總 12-28 Update)_Jackson 效益分析 (2-1 B0 上系統)_Leopard效益分析08-17" xfId="31791"/>
    <cellStyle name="差_Flow Chart&amp;PQ分析(12-1)_效益分析(總 12-28 Update)_Jackson 效益分析 (2-1 B0 上系統)_squirrel效益分析08-17" xfId="31792"/>
    <cellStyle name="差_Flow Chart&amp;PQ分析(12-1)_效益分析(總 12-28 Update)_Leopard Flowchart &amp; 產能評估" xfId="31793"/>
    <cellStyle name="差_Flow Chart&amp;設備治工具清單 " xfId="31794"/>
    <cellStyle name="差_Flow Chart&amp;設備治工具清單 _~1159284" xfId="31795"/>
    <cellStyle name="差_Flow Chart&amp;設備治工具清單 _Jackson 效益分析 (2-1 B0 上系統)_Leopard Flowchart &amp; 產能評估" xfId="31796"/>
    <cellStyle name="差_Flow Chart&amp;設備治工具清單 _Leopard效益分析08-17" xfId="31797"/>
    <cellStyle name="差_foxlink Bristol for 10063D-2010-10-11" xfId="31798"/>
    <cellStyle name="差_foxlink Bristol for 10063D-2010-10-11_Bristol ME parts tooling cost 20101022 updated" xfId="31799"/>
    <cellStyle name="差_foxlink Bristol for 10063D-2010-10-11_Bristol ME parts tooling cost 20101022 updated_Bristol TC Estimate Update 07292011" xfId="31800"/>
    <cellStyle name="差_pq_Jackson 效益分析 (2-1 B0 上系統)_Leopard效益分析08-17" xfId="31801"/>
    <cellStyle name="差_foxlink Bristol for 10063D-2010-10-11_Bristol RFQ response _20101102_internal (4)" xfId="31802"/>
    <cellStyle name="差_foxlink Bristol for 10063D-2010-10-11_Bristol RFQ response _20101102_internal (4)_Bristol TC Estimate Update 07292011" xfId="31803"/>
    <cellStyle name="差_foxlink Bristol for 10063D-2010-10-11_Bristol RFQ response _20101102_internal (4)_Bristol TC Estimate Update 07292011_internal from Tony" xfId="31804"/>
    <cellStyle name="差_Xl0000002_Leopard_UniBOM_ME_0531_Bolt RFQ Proposal_Foxlink_ (Pricing Summary) 2 25 2011 2 2" xfId="31805"/>
    <cellStyle name="差_foxlink Bristol for 10063D-2010-10-11_Bristol RFQ response _20101102_internal (4)_Bristol TC Estimate Update 08112011_internal working file" xfId="31806"/>
    <cellStyle name="差_Foxlink_Shadow RFQ NREUni BOM_12032009 2 2 2" xfId="31807"/>
    <cellStyle name="差_Foxlink_Shadow RFQ NREUni BOM_12032009 2 2 3" xfId="31808"/>
    <cellStyle name="差_Foxlink_Shadow RFQ NREUni BOM_12032009 2 3" xfId="31809"/>
    <cellStyle name="差_Foxlink_Shadow RFQ NREUni BOM_12032009 2 4" xfId="31810"/>
    <cellStyle name="差_Foxlink_Shadow RFQ NREUni BOM_12032009 3 2" xfId="31811"/>
    <cellStyle name="差_Foxlink_Shadow RFQ NREUni BOM_12032009_Bolt RFQ Proposal_Foxlink_ (Pricing Summary) 2 25 2011 2" xfId="31812"/>
    <cellStyle name="差_Foxlink_Shadow RFQ NREUni BOM_12032009_Bolt RFQ Proposal_Foxlink_ (Pricing Summary) 2 25 2011 2 2" xfId="31813"/>
    <cellStyle name="差_Foxlink_Shadow RFQ NREUni BOM_12032009_Bolt RFQ Proposal_Foxlink_ (Pricing Summary) 2 25 2011 2 2 2" xfId="31814"/>
    <cellStyle name="差_Foxlink_Shadow RFQ NREUni BOM_12032009_Bolt RFQ Proposal_Foxlink_ (Pricing Summary) 2 25 2011 2 2 3" xfId="31815"/>
    <cellStyle name="差_Foxlink_Shadow RFQ NREUni BOM_12032009_Bolt RFQ Proposal_Foxlink_ (Pricing Summary) 2 25 2011 2 4" xfId="31816"/>
    <cellStyle name="差_Foxlink_Shadow RFQ NREUni BOM_12032009_Bolt RFQ Proposal_Foxlink_ (Pricing Summary) 2 25 2011 3 3" xfId="31817"/>
    <cellStyle name="差_Foxlink_Shadow RFQ NREUni BOM_12032009_Bolt RFQ_Foxlink_03.1 2011" xfId="31818"/>
    <cellStyle name="差_Foxlink_Shadow RFQ NREUni BOM_12032009_Bolt RFQ_Foxlink_03.1 2011 3 2" xfId="31819"/>
    <cellStyle name="差_Foxlink_Shadow RFQ NREUni BOM_12032009_Bolt RFQ_Foxlink_03.1 2011 3 3" xfId="31820"/>
    <cellStyle name="差_Foxlink_Shadow RFQ NREUni BOM_12032009_Bolt RFQ_Foxlink_03.1 2011 4" xfId="31821"/>
    <cellStyle name="差_Foxlink_Shadow RFQ NREUni BOM_12032009_Bolt RFQ_Foxlink_03.1 2011 5" xfId="31822"/>
    <cellStyle name="差_Foxlink_Shadow RFQ NREUni BOM_12032009_Bolt RFQ_Foxlink_03.1 2011_nego meeting@MACH" xfId="31823"/>
    <cellStyle name="差_Foxlink_Shadow RFQ NREUni BOM_12032009_Bolt RFQ_Foxlink_03.1 2011_nego meeting@MACH 2 2" xfId="31824"/>
    <cellStyle name="差_Foxlink_Shadow RFQ NREUni BOM_12032009_Bristol UniBom_Foxlink_02082011 RevA" xfId="31825"/>
    <cellStyle name="差_Foxlink_Shadow RFQ NREUni BOM_12032009_Leopard UniBom_Foxlink_12272010 RevF_shirley" xfId="31826"/>
    <cellStyle name="差_Foxlink_Shadow RFQ NREUni BOM_12032009_Squirrel UniBom_Foxlink_6 28 2010" xfId="31827"/>
    <cellStyle name="差_Foxlink_Shadow RFQ NREUni BOM_12032009_Wedge_ME_BOM-v00-11v0630" xfId="31828"/>
    <cellStyle name="差_Foxlink_Shadow RFQ NREUni BOM_12032009_Wedge_ME_BOM-v00-11v0715 2" xfId="31829"/>
    <cellStyle name="差_Foxlink_Shadow RFQ NREUni BOM_12032009_Wedge_ME_BOM-v00-11v0715 3" xfId="31830"/>
    <cellStyle name="差_HP  專案(設備&amp;治工具需夠買)update 2 2 2" xfId="31831"/>
    <cellStyle name="差_HP  專案(設備&amp;治工具需夠買)update 2 2 3" xfId="31832"/>
    <cellStyle name="差_HP  專案(設備&amp;治工具需夠買)update_Bolt RFQ Proposal_Foxlink_ (Pricing Summary) 2 25 2011" xfId="31833"/>
    <cellStyle name="差_HP  專案(設備&amp;治工具需夠買)update_Bolt RFQ Proposal_Foxlink_ (Pricing Summary) 2 25 2011 2" xfId="31834"/>
    <cellStyle name="差_MB9月管審誤判超標 8D_2009MB KPI_MBO3F製造部hp0209-01 2 2 2 3" xfId="31835"/>
    <cellStyle name="差_Xl0000002_Squirrel RFQ ME BOM Costs-0623 3" xfId="31836"/>
    <cellStyle name="差_HP  專案(設備&amp;治工具需夠買)update_Bolt RFQ Proposal_Foxlink_ (Pricing Summary) 2 25 2011 2 2" xfId="31837"/>
    <cellStyle name="差_HP  專案(設備&amp;治工具需夠買)update_Bolt RFQ Proposal_Foxlink_ (Pricing Summary) 2 25 2011 2 3" xfId="31838"/>
    <cellStyle name="差_HP  專案(設備&amp;治工具需夠買)update_Bolt RFQ Proposal_Foxlink_ (Pricing Summary) 2 25 2011 5 2" xfId="31839"/>
    <cellStyle name="差_HP  專案(設備&amp;治工具需夠買)update_Bolt RFQ Proposal_Foxlink_ (Pricing Summary) 2 25 2011 6" xfId="31840"/>
    <cellStyle name="差_Xl0000000_Squirrel RFQ ME BOM Costs-0623_Bolt RFQ_Foxlink_03.1 2011" xfId="31841"/>
    <cellStyle name="差_HP  專案(設備&amp;治工具需夠買)update_Bolt RFQ Proposal_Foxlink_ (Pricing Summary) 2 25 2011 7" xfId="31842"/>
    <cellStyle name="差_HP  專案(設備&amp;治工具需夠買)update_Bolt RFQ_Foxlink_03.1 2011 2" xfId="31843"/>
    <cellStyle name="差_HP  專案(設備&amp;治工具需夠買)update_Bolt RFQ_Foxlink_03.1 2011 2 2" xfId="31844"/>
    <cellStyle name="差_HP  專案(設備&amp;治工具需夠買)update_Bolt RFQ_Foxlink_03.1 2011 2 3" xfId="31845"/>
    <cellStyle name="差_治具工程課2009年KPI_HP 5 2 3" xfId="31846"/>
    <cellStyle name="差_HP  專案(設備&amp;治工具需夠買)update_Bolt RFQ_Foxlink_03.1 2011 3 3" xfId="31847"/>
    <cellStyle name="差_治具工程課2009年KPI_HP 5 3" xfId="31848"/>
    <cellStyle name="差_HP  專案(設備&amp;治工具需夠買)update_Bolt RFQ_Foxlink_03.1 2011 4" xfId="31849"/>
    <cellStyle name="差_HP  專案(設備&amp;治工具需夠買)update_Bolt RFQ_Foxlink_03.1 2011_nego meeting@MACH 2" xfId="31850"/>
    <cellStyle name="差_HP  專案(設備&amp;治工具需夠買)update_Bolt RFQ_Foxlink_03.1 2011_nego meeting@MACH 2 3" xfId="31851"/>
    <cellStyle name="差_HP  專案(設備&amp;治工具需夠買)update_Erie 效益分析 (Update)_~1159284" xfId="31852"/>
    <cellStyle name="差_HP  專案(設備&amp;治工具需夠買)update_Erie 效益分析 (Update)_~5631336_Jackson 效益分析 (2-1 B0 上系統)" xfId="31853"/>
    <cellStyle name="差_HP  專案(設備&amp;治工具需夠買)update_Erie 效益分析 (Update)_Flow chart and Fixture(1-4)" xfId="31854"/>
    <cellStyle name="差_MB9月管審誤判超標 8D_HP 6 3" xfId="31855"/>
    <cellStyle name="差_HP  專案(設備&amp;治工具需夠買)update_Erie 效益分析 (Update)_Flow chart and Fixture(1-4)_Jackson 效益分析 (2-1 B0 上系統)_Leopard效益分析08-17" xfId="31856"/>
    <cellStyle name="差_HP  專案(設備&amp;治工具需夠買)update_Erie 效益分析 (Update)_Flow chart and Fixture(1-4)_Jackson 效益分析 (2-1 B0 上系統)_squirrel效益分析08-17" xfId="31857"/>
    <cellStyle name="差_HP  專案(設備&amp;治工具需夠買)update_Erie 效益分析 (Update)_Flow chart and Fixture(Jackson)_A1_Jackson 效益分析 (2-1 B0 上系統)" xfId="31858"/>
    <cellStyle name="差_MS Bolt wireless mouse FixtureEquipment Cost_A5_2010_02_21_Bolt RFQ_Foxlink_03.1 2011 3 3" xfId="31859"/>
    <cellStyle name="差_HP  專案(設備&amp;治工具需夠買)update_Erie 效益分析 (Update)_Flow chart and Fixture(Jackson)_A1_Jackson 效益分析 (2-1 B0 上系統)_Leopard效益分析08-17" xfId="31860"/>
    <cellStyle name="差_HP  專案(設備&amp;治工具需夠買)update_Erie 效益分析 (Update)_Flow chart and Fixture(Jackson)_A1_Jackson 效益分析 (2-1 B0 上系統)_squirrel效益分析08-17" xfId="31861"/>
    <cellStyle name="差_HP  專案(設備&amp;治工具需夠買)update_Erie 效益分析 (Update)_Flow Chart&amp;設備治工具清單 _~1159284" xfId="31862"/>
    <cellStyle name="差_HP  專案(設備&amp;治工具需夠買)update_Erie 效益分析 (Update)_Flow Chart&amp;設備治工具清單 _Jackson 效益分析 (2-1 B0 上系統)_Leopard Flowchart &amp; 產能評估" xfId="31863"/>
    <cellStyle name="差_HP  專案(設備&amp;治工具需夠買)update_Erie 效益分析 (Update)_Flow Chart&amp;設備治工具清單 _Jackson 效益分析 (2-1 B0 上系統)_Leopard效益分析08-17" xfId="31864"/>
    <cellStyle name="差_HP  專案(設備&amp;治工具需夠買)update_Erie 效益分析 (Update)_Flow Chart&amp;設備治工具清單 _Leopard Flowchart &amp; 產能評估" xfId="31865"/>
    <cellStyle name="差_HP  專案(設備&amp;治工具需夠買)update_Erie 效益分析 (Update)_Flow Chart&amp;設備治工具清單 _Leopard效益分析08-17" xfId="31866"/>
    <cellStyle name="差_HP  專案(設備&amp;治工具需夠買)update_Erie 效益分析 (Update)_Jackson 效益分析 (2-1 B0 上系統)_squirrel效益分析08-17" xfId="31867"/>
    <cellStyle name="差_HP  專案(設備&amp;治工具需夠買)update_Erie 效益分析 (Update)_Jackson 效益分析 testing update_16th Jan1" xfId="31868"/>
    <cellStyle name="差_HP  專案(設備&amp;治工具需夠買)update_Erie 效益分析 (Update)_Jackson 效益分析 testing update_16th Jan1_Jackson 效益分析 (2-1 B0 上系統)_Leopard Flowchart &amp; 產能評估" xfId="31869"/>
    <cellStyle name="差_HP  專案(設備&amp;治工具需夠買)update_Erie 效益分析 (Update)_Jackson 效益分析 testing update_16th Jan111" xfId="31870"/>
    <cellStyle name="差_HP  專案(設備&amp;治工具需夠買)update_Erie 效益分析 (Update)_Jackson 效益分析 testing update_16th Jan111_Jackson 效益分析 (2-1 B0 上系統)_Leopard Flowchart &amp; 產能評估" xfId="31871"/>
    <cellStyle name="差_HP  專案(設備&amp;治工具需夠買)update_Erie 效益分析 (Update)_Jackson 效益分析 testing update_16th Jan111_Jackson 效益分析 (2-1 B0 上系統)_Leopard效益分析08-17" xfId="31872"/>
    <cellStyle name="差_HP  專案(設備&amp;治工具需夠買)update_Erie 效益分析 (Update)_Jackson 效益分析 testing update_16th Jan111_Jackson 效益分析 (2-1 B0 上系統)_squirrel效益分析08-17" xfId="31873"/>
    <cellStyle name="差_HP  專案(設備&amp;治工具需夠買)update_Erie 效益分析 (Update)_Leopard Flowchart &amp; 產能評估" xfId="31874"/>
    <cellStyle name="差_HP  專案(設備&amp;治工具需夠買)update_Erie 效益分析 (Update)_效益分析(總 12-28 Update)_~1159284" xfId="31875"/>
    <cellStyle name="差_HP  專案(設備&amp;治工具需夠買)update_Erie 效益分析 (Update)_效益分析(總 12-28 Update)_Jackson 效益分析 (2-1 B0 上系統)_Leopard Flowchart &amp; 產能評估" xfId="31876"/>
    <cellStyle name="差_HP  專案(設備&amp;治工具需夠買)update_Erie 效益分析 (Update)_效益分析(總 12-28 Update)_Leopard Flowchart &amp; 產能評估" xfId="31877"/>
    <cellStyle name="差_HP  專案(設備&amp;治工具需夠買)update_Erie 效益分析 (Update)_效益分析(總 12-28 Update)_Leopard效益分析08-17" xfId="31878"/>
    <cellStyle name="差_Xl0000002_Leopard RFQ ME BOM Costs-0618_Bolt RFQ_Foxlink_03.1 2011_nego meeting@MACH" xfId="31879"/>
    <cellStyle name="差_HP  專案(設備&amp;治工具需夠買)update_Erie 效益分析 (Update)_效益分析(總 12-28 Update)_squirrel效益分析08-17" xfId="31880"/>
    <cellStyle name="差_HP  專案(設備&amp;治工具需夠買)update_Erie 效益分析(8-27)_~1159284" xfId="31881"/>
    <cellStyle name="差_HP  專案(設備&amp;治工具需夠買)update_Erie 效益分析(8-27)_Jackson 效益分析 (2-1 B0 上系統)" xfId="31882"/>
    <cellStyle name="差_HP  專案(設備&amp;治工具需夠買)update_M1 Bolt wireless mouse FixtureEquipment Cost_A2_2010_12_07 2 2" xfId="31883"/>
    <cellStyle name="差_HP  專案(設備&amp;治工具需夠買)update_M1 Bolt wireless mouse FixtureEquipment Cost_A2_2010_12_07 2 3" xfId="31884"/>
    <cellStyle name="差_HP  專案(設備&amp;治工具需夠買)update_M1 Bolt wireless mouse FixtureEquipment Cost_A2_2010_12_07 4" xfId="31885"/>
    <cellStyle name="差_HP  專案(設備&amp;治工具需夠買)update_M1 Bolt wireless mouse FixtureEquipment Cost_A2_2010_12_07 5" xfId="31886"/>
    <cellStyle name="差_HP  專案(設備&amp;治工具需夠買)update_M1 Bolt wireless mouse FixtureEquipment Cost_A2_2010_12_07_Bolt RFQ Proposal_Foxlink_ (Pricing Summary) 2 25 2011 4" xfId="31887"/>
    <cellStyle name="差_HP  專案(設備&amp;治工具需夠買)update_M1 Bolt wireless mouse FixtureEquipment Cost_A2_2010_12_07_Bolt RFQ Proposal_Foxlink_ (Pricing Summary) 2 25 2011 5" xfId="31888"/>
    <cellStyle name="差_HP  專案(設備&amp;治工具需夠買)update_M1 Bolt wireless mouse FixtureEquipment Cost_A2_2010_12_07_Bolt RFQ Proposal_Foxlink_ (Pricing Summary) 2 25 2011 7" xfId="31889"/>
    <cellStyle name="差_HP  專案(設備&amp;治工具需夠買)update_M1 Lemur Capacity planFixtureEquipment Cost_A2_06192010_Leopard UniBom_Foxlink_12092010 RevD-jen" xfId="31890"/>
    <cellStyle name="差_Xl0000002 2 2 2" xfId="31891"/>
    <cellStyle name="差_Squirrel UniBom-06.23.2010_update_internal 3" xfId="31892"/>
    <cellStyle name="差_HP  專案(設備&amp;治工具需夠買)update_M1 Lemur Capacity planFixtureEquipment Cost_A2_06192010_Squirrel UniBom_Foxlink_6 28 2010" xfId="31893"/>
    <cellStyle name="差_HP  專案(設備&amp;治工具需夠買)update_M1 Squirrel Capacity planFixtureEquipment Cost_A2_06192010" xfId="31894"/>
    <cellStyle name="差_HP  專案(設備&amp;治工具需夠買)update_M1 Squirrel Capacity planFixtureEquipment Cost_A2_06192010_Squirrel UniBom_Foxlink_6 28 2010" xfId="31895"/>
    <cellStyle name="差_HP  專案(設備&amp;治工具需夠買)update_M1 SuedeFixtureEquipment Cost_A0_2010_10_15 2 2 2" xfId="31896"/>
    <cellStyle name="差_HP  專案(設備&amp;治工具需夠買)update_M1 SuedeFixtureEquipment Cost_A0_2010_10_15 2 2 3" xfId="31897"/>
    <cellStyle name="差_HP  專案(設備&amp;治工具需夠買)update_M1 SuedeFixtureEquipment Cost_A0_2010_10_15_Bolt RFQ Proposal_Foxlink_ (Pricing Summary) 2 25 2011" xfId="31898"/>
    <cellStyle name="差_HP  專案(設備&amp;治工具需夠買)update_M1 SuedeFixtureEquipment Cost_A0_2010_10_15_Bolt RFQ Proposal_Foxlink_ (Pricing Summary) 2 25 2011 2" xfId="31899"/>
    <cellStyle name="差_HP  專案(設備&amp;治工具需夠買)update_M1 SuedeFixtureEquipment Cost_A0_2010_10_15_Bolt RFQ Proposal_Foxlink_ (Pricing Summary) 2 25 2011 2 2 2" xfId="31900"/>
    <cellStyle name="差_HP  專案(設備&amp;治工具需夠買)update_M1 SuedeFixtureEquipment Cost_A0_2010_10_15_Bolt RFQ Proposal_Foxlink_ (Pricing Summary) 2 25 2011 2 2 3" xfId="31901"/>
    <cellStyle name="差_HP  專案(設備&amp;治工具需夠買)update_M1 SuedeFixtureEquipment Cost_A0_2010_10_15_Bolt RFQ Proposal_Foxlink_ (Pricing Summary) 2 25 2011 2 3" xfId="31902"/>
    <cellStyle name="差_HP  專案(設備&amp;治工具需夠買)update_M1 SuedeFixtureEquipment Cost_A0_2010_10_15_Bolt RFQ Proposal_Foxlink_ (Pricing Summary) 2 25 2011 3" xfId="31903"/>
    <cellStyle name="差_HP  專案(設備&amp;治工具需夠買)update_M1 SuedeFixtureEquipment Cost_A0_2010_10_15_Bolt RFQ Proposal_Foxlink_ (Pricing Summary) 2 25 2011 3 2" xfId="31904"/>
    <cellStyle name="差_Xl0000002_Leopard_UniBOM_ME_0531_Bolt RFQ Proposal_Foxlink_ (Pricing Summary) 2 25 2011 4 3" xfId="31905"/>
    <cellStyle name="差_HP  專案(設備&amp;治工具需夠買)update_M1 SuedeFixtureEquipment Cost_A0_2010_10_15_Bolt RFQ Proposal_Foxlink_ (Pricing Summary) 2 25 2011 5" xfId="31906"/>
    <cellStyle name="差_HP  專案(設備&amp;治工具需夠買)update_M1 SuedeFixtureEquipment Cost_A0_2010_10_15_Bolt RFQ Proposal_Foxlink_ (Pricing Summary) 2 25 2011 5 2" xfId="31907"/>
    <cellStyle name="差_HP  專案(設備&amp;治工具需夠買)update_M1 SuedeFixtureEquipment Cost_A0_2010_10_15_Bolt RFQ Proposal_Foxlink_ (Pricing Summary) 2 25 2011 5 3" xfId="31908"/>
    <cellStyle name="差_HP  專案(設備&amp;治工具需夠買)update_M1 SuedeFixtureEquipment Cost_A0_2010_10_15_Bolt RFQ Proposal_Foxlink_ (Pricing Summary) 2 25 2011 6" xfId="31909"/>
    <cellStyle name="差_HP  專案(設備&amp;治工具需夠買)update_M1 SuedeFixtureEquipment Cost_A0_2010_10_15_Bolt RFQ_Foxlink_03.1 2011" xfId="31910"/>
    <cellStyle name="差_HP  專案(設備&amp;治工具需夠買)update_M1 SuedeFixtureEquipment Cost_A0_2010_10_15_Bolt RFQ_Foxlink_03.1 2011 2" xfId="31911"/>
    <cellStyle name="差_HP  專案(設備&amp;治工具需夠買)update_M1 SuedeFixtureEquipment Cost_A0_2010_10_15_Bolt RFQ_Foxlink_03.1 2011 2 3" xfId="31912"/>
    <cellStyle name="差_HP  專案(設備&amp;治工具需夠買)update_M1 SuedeFixtureEquipment Cost_A0_2010_10_15_Bolt RFQ_Foxlink_03.1 2011 3" xfId="31913"/>
    <cellStyle name="差_HP  專案(設備&amp;治工具需夠買)update_M1 SuedeFixtureEquipment Cost_A0_2010_10_15_Bolt RFQ_Foxlink_03.1 2011 3 2" xfId="31914"/>
    <cellStyle name="差_HP  專案(設備&amp;治工具需夠買)update_M1 SuedeFixtureEquipment Cost_A0_2010_10_15_Bolt RFQ_Foxlink_03.1 2011 4" xfId="31915"/>
    <cellStyle name="差_HP  專案(設備&amp;治工具需夠買)update_M1 SuedeFixtureEquipment Cost_A0_2010_10_15_Bolt RFQ_Foxlink_03.1 2011 5" xfId="31916"/>
    <cellStyle name="差_HP  專案(設備&amp;治工具需夠買)update_M1 SuedeFixtureEquipment Cost_A0_2010_10_15_Bolt RFQ_Foxlink_03.1 2011_nego meeting@MACH 2 3" xfId="31917"/>
    <cellStyle name="差_HP  專案(設備&amp;治工具需夠買)update_M1 SuedeFixtureEquipment Cost_A0_2010_10_15_Bolt RFQ_Foxlink_03.1 2011_nego meeting@MACH 4" xfId="31918"/>
    <cellStyle name="差_HP  專案(設備&amp;治工具需夠買)update_M1 SuedeFixtureEquipment Cost_A0_2010_10_15_Wedge_ME_BOM-v00-11v0630" xfId="31919"/>
    <cellStyle name="差_HP  專案(設備&amp;治工具需夠買)update_M1 SuedeFixtureEquipment Cost_A0_2010_10_15_Wedge_ME_BOM-v00-11v0715" xfId="31920"/>
    <cellStyle name="差_HP  專案(設備&amp;治工具需夠買)update_M1 SuedeFixtureEquipment Cost_A0_2010_10_15_Wedge_ME_BOM-v00-11v0715 2" xfId="31921"/>
    <cellStyle name="差_HP  專案(設備&amp;治工具需夠買)update_M1 SuedeFixtureEquipment Cost_A0_2010_10_15_Wedge_ME_BOM-v00-11v0715 3" xfId="31922"/>
    <cellStyle name="差_HP  專案(設備&amp;治工具需夠買)update_MS Bolt wireless mouse FixtureEquipment Cost_A5_2010_02_21" xfId="31923"/>
    <cellStyle name="差_HP  專案(設備&amp;治工具需夠買)update_MS Bolt wireless mouse FixtureEquipment Cost_A5_2010_02_21 2" xfId="31924"/>
    <cellStyle name="差_HP  專案(設備&amp;治工具需夠買)update_MS Bolt wireless mouse FixtureEquipment Cost_A5_2010_02_21 2 2" xfId="31925"/>
    <cellStyle name="差_HP  專案(設備&amp;治工具需夠買)update_MS Bolt wireless mouse FixtureEquipment Cost_A5_2010_02_21 2 2 2" xfId="31926"/>
    <cellStyle name="差_HP  專案(設備&amp;治工具需夠買)update_MS Bolt wireless mouse FixtureEquipment Cost_A5_2010_02_21 2 2 3" xfId="31927"/>
    <cellStyle name="差_HP  專案(設備&amp;治工具需夠買)update_MS Bolt wireless mouse FixtureEquipment Cost_A5_2010_02_21 3" xfId="31928"/>
    <cellStyle name="差_HP  專案(設備&amp;治工具需夠買)update_MS Bolt wireless mouse FixtureEquipment Cost_A5_2010_02_21 3 2" xfId="31929"/>
    <cellStyle name="差_HP  專案(設備&amp;治工具需夠買)update_MS Bolt wireless mouse FixtureEquipment Cost_A5_2010_02_21 4" xfId="31930"/>
    <cellStyle name="差_HP  專案(設備&amp;治工具需夠買)update_MS Bolt wireless mouse FixtureEquipment Cost_A5_2010_02_21 5" xfId="31931"/>
    <cellStyle name="差_HP  專案(設備&amp;治工具需夠買)update_MS Bolt wireless mouse FixtureEquipment Cost_A5_2010_02_21_Bolt RFQ Proposal_Foxlink_ (Pricing Summary) 2 25 2011 2" xfId="31932"/>
    <cellStyle name="差_HP Mouse 產能評估(上系統)_M1 Bolt wireless mouse FixtureEquipment Cost_A2_2010_12_07_Bolt RFQ Proposal_Foxlink_ (Pricing Summary) 2 25 2011 3 3" xfId="31933"/>
    <cellStyle name="差_HP  專案(設備&amp;治工具需夠買)update_MS Bolt wireless mouse FixtureEquipment Cost_A5_2010_02_21_Bolt RFQ Proposal_Foxlink_ (Pricing Summary) 2 25 2011 2 2" xfId="31934"/>
    <cellStyle name="差_HP  專案(設備&amp;治工具需夠買)update_MS Bolt wireless mouse FixtureEquipment Cost_A5_2010_02_21_Bolt RFQ Proposal_Foxlink_ (Pricing Summary) 2 25 2011 2 3" xfId="31935"/>
    <cellStyle name="壞_Creek Assembly Fixture  Test Equipment RFQ_20090427_Bolt RFQ Proposal_Foxlink_ (Pricing Summary) 2 25 2011 2 2" xfId="31936"/>
    <cellStyle name="差_HP  專案(設備&amp;治工具需夠買)update_MS Bolt wireless mouse FixtureEquipment Cost_A5_2010_02_21_Bolt RFQ Proposal_Foxlink_ (Pricing Summary) 2 25 2011 2 4" xfId="31937"/>
    <cellStyle name="差_HP  專案(設備&amp;治工具需夠買)update_MS Bolt wireless mouse FixtureEquipment Cost_A5_2010_02_21_Bolt RFQ Proposal_Foxlink_ (Pricing Summary) 2 25 2011 3" xfId="31938"/>
    <cellStyle name="差_HP Mouse 產能評估(上系統)_M1 Bolt wireless mouse FixtureEquipment Cost_A2_2010_12_07_Bolt RFQ Proposal_Foxlink_ (Pricing Summary) 2 25 2011 5 3" xfId="31939"/>
    <cellStyle name="差_HP  專案(設備&amp;治工具需夠買)update_MS Bolt wireless mouse FixtureEquipment Cost_A5_2010_02_21_Bolt RFQ Proposal_Foxlink_ (Pricing Summary) 2 25 2011 4 2" xfId="31940"/>
    <cellStyle name="差_HP  專案(設備&amp;治工具需夠買)update_MS Bolt wireless mouse FixtureEquipment Cost_A5_2010_02_21_Bolt RFQ Proposal_Foxlink_ (Pricing Summary) 2 25 2011 4 3" xfId="31941"/>
    <cellStyle name="差_HP  專案(設備&amp;治工具需夠買)update_MS Bolt wireless mouse FixtureEquipment Cost_A5_2010_02_21_Bolt RFQ Proposal_Foxlink_ (Pricing Summary) 2 25 2011 5" xfId="31942"/>
    <cellStyle name="差_HP  專案(設備&amp;治工具需夠買)update_MS Bolt wireless mouse FixtureEquipment Cost_A5_2010_02_21_Bolt RFQ Proposal_Foxlink_ (Pricing Summary) 2 25 2011 5 3" xfId="31943"/>
    <cellStyle name="差_HP  專案(設備&amp;治工具需夠買)update_MS Bolt wireless mouse FixtureEquipment Cost_A5_2010_02_21_Bolt RFQ Proposal_Foxlink_ (Pricing Summary) 2 25 2011 6" xfId="31944"/>
    <cellStyle name="差_HP  專案(設備&amp;治工具需夠買)update_MS Bolt wireless mouse FixtureEquipment Cost_A5_2010_02_21_Bolt RFQ Proposal_Foxlink_ (Pricing Summary) 2 25 2011 7" xfId="31945"/>
    <cellStyle name="差_HP  專案(設備&amp;治工具需夠買)update_MS Bolt wireless mouse FixtureEquipment Cost_A5_2010_02_21_Bolt RFQ_Foxlink_03.1 2011" xfId="31946"/>
    <cellStyle name="差_HP  專案(設備&amp;治工具需夠買)update_MS Bolt wireless mouse FixtureEquipment Cost_A5_2010_02_21_Bolt RFQ_Foxlink_03.1 2011 2" xfId="31947"/>
    <cellStyle name="差_HP  專案(設備&amp;治工具需夠買)update_MS Bolt wireless mouse FixtureEquipment Cost_A5_2010_02_21_Bolt RFQ_Foxlink_03.1 2011 2 2" xfId="31948"/>
    <cellStyle name="差_HP  專案(設備&amp;治工具需夠買)update_MS Bolt wireless mouse FixtureEquipment Cost_A5_2010_02_21_Bolt RFQ_Foxlink_03.1 2011 3" xfId="31949"/>
    <cellStyle name="差_HP  專案(設備&amp;治工具需夠買)update_MS Bolt wireless mouse FixtureEquipment Cost_A5_2010_02_21_Bolt RFQ_Foxlink_03.1 2011 4" xfId="31950"/>
    <cellStyle name="差_HP  專案(設備&amp;治工具需夠買)update_MS Bolt wireless mouse FixtureEquipment Cost_A5_2010_02_21_Bolt RFQ_Foxlink_03.1 2011_nego meeting@MACH 2" xfId="31951"/>
    <cellStyle name="差_HP  專案(設備&amp;治工具需夠買)update_MS Bolt wireless mouse FixtureEquipment Cost_A5_2010_02_21_Bolt RFQ_Foxlink_03.1 2011_nego meeting@MACH 2 3" xfId="31952"/>
    <cellStyle name="差_HP  專案(設備&amp;治工具需夠買)update_MS Bolt wireless mouse FixtureEquipment Cost_A5_2010_02_21_Bolt RFQ_Foxlink_03.1 2011_nego meeting@MACH 5" xfId="31953"/>
    <cellStyle name="差_HP  專案(設備&amp;治工具需夠買)update_費用統計_~1159284" xfId="31954"/>
    <cellStyle name="差_HP  專案(設備&amp;治工具需夠買)update_費用統計_Jackson 效益分析 (2-1 B0 上系統)_Leopard效益分析08-17" xfId="31955"/>
    <cellStyle name="壞_Creek Assembly Fixture  Test Equipment RFQ_20090427_Bolt RFQ_Foxlink_03.1 2011_nego meeting@MACH 2 2" xfId="31956"/>
    <cellStyle name="差_HP  專案(設備&amp;治工具需夠買)update_費用統計_Leopard Flowchart &amp; 產能評估" xfId="31957"/>
    <cellStyle name="差_HP  專案(設備&amp;治工具需夠買)update_費用統計_Leopard效益分析08-17" xfId="31958"/>
    <cellStyle name="差_HP Mouse 產能評估(Forecast更改後) 2" xfId="31959"/>
    <cellStyle name="差_HP Mouse 產能評估(Forecast更改後) 2 2 3" xfId="31960"/>
    <cellStyle name="差_HP Mouse 產能評估(Forecast更改後) 2 3" xfId="31961"/>
    <cellStyle name="差_效益分析&amp;產能評估_MS Bolt wireless mouse FixtureEquipment Cost_A5_2010_02_21_Bolt RFQ_Foxlink_03.1 2011_nego meeting@MACH 2 3" xfId="31962"/>
    <cellStyle name="差_HP Mouse 產能評估(Forecast更改後)_Bolt RFQ Proposal_Foxlink_ (Pricing Summary) 2 25 2011 2" xfId="31963"/>
    <cellStyle name="强调文字颜色 6 3 3" xfId="31964"/>
    <cellStyle name="差_HP Mouse 產能評估(Forecast更改後)_Bolt RFQ Proposal_Foxlink_ (Pricing Summary) 2 25 2011 2 2" xfId="31965"/>
    <cellStyle name="差_HP Mouse 產能評估(Forecast更改後)_Bolt RFQ Proposal_Foxlink_ (Pricing Summary) 2 25 2011 2 2 2" xfId="31966"/>
    <cellStyle name="差_HP Mouse 產能評估(Forecast更改後)_Bolt RFQ Proposal_Foxlink_ (Pricing Summary) 2 25 2011 2 2 3" xfId="31967"/>
    <cellStyle name="差_Xl0000000_Leopard RFQ ME BOM Costs-0618 2 2 3" xfId="31968"/>
    <cellStyle name="强调文字颜色 6 5 3" xfId="31969"/>
    <cellStyle name="差_HP Mouse 產能評估(Forecast更改後)_Bolt RFQ Proposal_Foxlink_ (Pricing Summary) 2 25 2011 4 2" xfId="31970"/>
    <cellStyle name="差_HP Mouse 產能評估(Forecast更改後)_Bolt RFQ_Foxlink_03.1 2011 2 2" xfId="31971"/>
    <cellStyle name="差_HP Mouse 產能評估(Forecast更改後)_Bolt RFQ_Foxlink_03.1 2011 3 2" xfId="31972"/>
    <cellStyle name="差_HP Mouse 產能評估(Forecast更改後)_Bolt RFQ_Foxlink_03.1 2011_nego meeting@MACH" xfId="31973"/>
    <cellStyle name="差_HP Mouse 產能評估(Forecast更改後)_Bolt RFQ_Foxlink_03.1 2011_nego meeting@MACH 2" xfId="31974"/>
    <cellStyle name="差_HP Mouse 產能評估(Forecast更改後)_Bolt RFQ_Foxlink_03.1 2011_nego meeting@MACH 3" xfId="31975"/>
    <cellStyle name="差_HP Mouse 產能評估(Forecast更改後)_Bolt RFQ_Foxlink_03.1 2011_nego meeting@MACH 3 2" xfId="31976"/>
    <cellStyle name="差_HP Mouse 產能評估(Forecast更改後)_Bolt RFQ_Foxlink_03.1 2011_nego meeting@MACH 5" xfId="31977"/>
    <cellStyle name="差_HP Mouse 產能評估(Forecast更改後)_Erie 效益分析 (Update)_~5631336_Jackson 效益分析 (2-1 B0 上系統)_Leopard效益分析08-17" xfId="31978"/>
    <cellStyle name="差_HP Mouse 產能評估(Forecast更改後)_Erie 效益分析 (Update)_~5631336_Jackson 效益分析 (2-1 B0 上系統)_squirrel效益分析08-17" xfId="31979"/>
    <cellStyle name="差_HP Mouse 產能評估(Forecast更改後)_Erie 效益分析 (Update)_Flow chart and Fixture(1-4)" xfId="31980"/>
    <cellStyle name="差_Xl0000000_Squirrel RFQ ME BOM Costs-0623_Bolt RFQ Proposal_Foxlink_ (Pricing Summary) 2 25 2011 4 2" xfId="31981"/>
    <cellStyle name="差_HP Mouse 產能評估(Forecast更改後)_Erie 效益分析 (Update)_Flow chart and Fixture(1-4)_Jackson 效益分析 (2-1 B0 上系統)_Leopard Flowchart &amp; 產能評估" xfId="31982"/>
    <cellStyle name="差_HP Mouse 產能評估(Forecast更改後)_Erie 效益分析 (Update)_Flow chart and Fixture(1-4)_Jackson 效益分析 (2-1 B0 上系統)_Leopard效益分析08-17" xfId="31983"/>
    <cellStyle name="差_HP Mouse 產能評估(Forecast更改後)_Erie 效益分析 (Update)_Flow chart and Fixture(1-4)_Jackson 效益分析 (2-1 B0 上系統)_squirrel效益分析08-17" xfId="31984"/>
    <cellStyle name="差_HP Mouse 產能評估(Forecast更改後)_Erie 效益分析 (Update)_Flow chart and Fixture(Jackson)_A1_Jackson 效益分析 (2-1 B0 上系統)" xfId="31985"/>
    <cellStyle name="差_HP Mouse 產能評估(Forecast更改後)_Erie 效益分析 (Update)_Flow Chart&amp;設備治工具清單 _~1159284" xfId="31986"/>
    <cellStyle name="差_HP Mouse 產能評估(Forecast更改後)_Erie 效益分析 (Update)_Flow Chart&amp;設備治工具清單 _Jackson 效益分析 (2-1 B0 上系統)_Leopard Flowchart &amp; 產能評估" xfId="31987"/>
    <cellStyle name="差_HP Mouse 產能評估(Forecast更改後)_Erie 效益分析 (Update)_Flow Chart&amp;設備治工具清單 _Leopard Flowchart &amp; 產能評估" xfId="31988"/>
    <cellStyle name="差_HP Mouse 產能評估(Forecast更改後)_Erie 效益分析 (Update)_Flow Chart&amp;設備治工具清單 _Leopard效益分析08-17" xfId="31989"/>
    <cellStyle name="差_HP Mouse 產能評估(Forecast更改後)_Erie 效益分析 (Update)_Jackson 效益分析 (2-1 B0 上系統)" xfId="31990"/>
    <cellStyle name="差_HP Mouse 產能評估(Forecast更改後)_Erie 效益分析 (Update)_Jackson 效益分析 (2-1 B0 上系統)_Leopard效益分析08-17" xfId="31991"/>
    <cellStyle name="壞_Creek Assembly Fixture  Test Equipment RFQ_20090427_Leopard UniBom_Foxlink_6 21 2010-ME_nego_Bolt RFQ Proposal_Foxlink_ (Pricing Summary) 2 25 2011 2 2" xfId="31992"/>
    <cellStyle name="差_HP Mouse 產能評估(Forecast更改後)_Erie 效益分析 (Update)_Jackson 效益分析 testing update_16th Jan1" xfId="31993"/>
    <cellStyle name="差_HP Mouse 產能評估(Forecast更改後)_Erie 效益分析 (Update)_Jackson 效益分析 testing update_16th Jan1_Jackson 效益分析 (2-1 B0 上系統)_Leopard Flowchart &amp; 產能評估" xfId="31994"/>
    <cellStyle name="差_HP Mouse 產能評估(Forecast更改後)_Erie 效益分析 (Update)_Jackson 效益分析 testing update_16th Jan1_Jackson 效益分析 (2-1 B0 上系統)_Leopard效益分析08-17" xfId="31995"/>
    <cellStyle name="差_HP Mouse 產能評估(Forecast更改後)_Erie 效益分析 (Update)_Leopard效益分析08-17" xfId="31996"/>
    <cellStyle name="差_HP Mouse 產能評估(Forecast更改後)_Erie 效益分析 (Update)_效益分析(總 12-28 Update)" xfId="31997"/>
    <cellStyle name="差_HP Mouse 產能評估(Forecast更改後)_Erie 效益分析 (Update)_效益分析(總 12-28 Update)_Jackson 效益分析 (2-1 B0 上系統)_Leopard效益分析08-17" xfId="31998"/>
    <cellStyle name="差_HP Mouse 產能評估(Forecast更改後)_Erie 效益分析 (Update)_效益分析(總 12-28 Update)_Jackson 效益分析 (2-1 B0 上系統)_squirrel效益分析08-17" xfId="31999"/>
    <cellStyle name="差_HP Mouse 產能評估(Forecast更改後)_Erie 效益分析(8-27)" xfId="32000"/>
    <cellStyle name="差_HP Mouse 產能評估(Forecast更改後)_Erie 效益分析(8-27)_~1159284" xfId="32001"/>
    <cellStyle name="差_HP Mouse 產能評估(Forecast更改後)_Erie 效益分析(8-27)_Leopard Flowchart &amp; 產能評估" xfId="32002"/>
    <cellStyle name="差_HP Mouse 產能評估(Forecast更改後)_Jackson 效益分析 (2-1 B0 上系統)_Leopard Flowchart &amp; 產能評估" xfId="32003"/>
    <cellStyle name="差_HP Mouse 產能評估(Forecast更改後)_Jackson 效益分析 (2-1 B0 上系統)_squirrel效益分析08-17" xfId="32004"/>
    <cellStyle name="差_jupite r設備&amp;治工具LIST (總)_Flow chart and Fixture(1-4)_Jackson 效益分析 (2-1 B0 上系統)_Leopard效益分析08-17" xfId="32005"/>
    <cellStyle name="差_HP Mouse 產能評估(Forecast更改後)_M1 Bolt wireless mouse FixtureEquipment Cost_A2_2010_12_07 2 3" xfId="32006"/>
    <cellStyle name="差_HP Mouse 產能評估(Forecast更改後)_M1 Bolt wireless mouse FixtureEquipment Cost_A2_2010_12_07 3 3" xfId="32007"/>
    <cellStyle name="差_HP Mouse 產能評估(Forecast更改後)_M1 Bolt wireless mouse FixtureEquipment Cost_A2_2010_12_07_Bolt RFQ Proposal_Foxlink_ (Pricing Summary) 2 25 2011 2" xfId="32008"/>
    <cellStyle name="差_HP Mouse 產能評估(Forecast更改後)_M1 Bolt wireless mouse FixtureEquipment Cost_A2_2010_12_07_Bolt RFQ Proposal_Foxlink_ (Pricing Summary) 2 25 2011 2 2" xfId="32009"/>
    <cellStyle name="差_HP Mouse 產能評估(Forecast更改後)_M1 Bolt wireless mouse FixtureEquipment Cost_A2_2010_12_07_Bolt RFQ Proposal_Foxlink_ (Pricing Summary) 2 25 2011 2 2 2" xfId="32010"/>
    <cellStyle name="差_HP Mouse 產能評估(Forecast更改後)_M1 Bolt wireless mouse FixtureEquipment Cost_A2_2010_12_07_Bolt RFQ Proposal_Foxlink_ (Pricing Summary) 2 25 2011 2 2 3" xfId="32011"/>
    <cellStyle name="差_HP Mouse 產能評估(Forecast更改後)_M1 Bolt wireless mouse FixtureEquipment Cost_A2_2010_12_07_Bolt RFQ Proposal_Foxlink_ (Pricing Summary) 2 25 2011 2 3" xfId="32012"/>
    <cellStyle name="差_HP Mouse 產能評估(Forecast更改後)_M1 Bolt wireless mouse FixtureEquipment Cost_A2_2010_12_07_Bolt RFQ Proposal_Foxlink_ (Pricing Summary) 2 25 2011 3" xfId="32013"/>
    <cellStyle name="差_HP Mouse 產能評估(Forecast更改後)_M1 Bolt wireless mouse FixtureEquipment Cost_A2_2010_12_07_Bolt RFQ Proposal_Foxlink_ (Pricing Summary) 2 25 2011 3 3" xfId="32014"/>
    <cellStyle name="差_HP Mouse 產能評估(Forecast更改後)_M1 Bolt wireless mouse FixtureEquipment Cost_A2_2010_12_07_Bolt RFQ Proposal_Foxlink_ (Pricing Summary) 2 25 2011 4" xfId="32015"/>
    <cellStyle name="差_HP Mouse 產能評估(Forecast更改後)_M1 Bolt wireless mouse FixtureEquipment Cost_A2_2010_12_07_Bolt RFQ Proposal_Foxlink_ (Pricing Summary) 2 25 2011 4 3" xfId="32016"/>
    <cellStyle name="差_HP Mouse 產能評估(Forecast更改後)_M1 Bolt wireless mouse FixtureEquipment Cost_A2_2010_12_07_Bolt RFQ Proposal_Foxlink_ (Pricing Summary) 2 25 2011 6" xfId="32017"/>
    <cellStyle name="差_HP Mouse 產能評估(Forecast更改後)_M1 Bolt wireless mouse FixtureEquipment Cost_A2_2010_12_07_Bolt RFQ Proposal_Foxlink_ (Pricing Summary) 2 25 2011 7" xfId="32018"/>
    <cellStyle name="差_HP Mouse 產能評估(Forecast更改後)_M1 Lemur Capacity planFixtureEquipment Cost_A2_06192010_Bristol UniBom_Foxlink_02082011 RevA" xfId="32019"/>
    <cellStyle name="差_HP Mouse 產能評估(Forecast更改後)_M1 Lemur Capacity planFixtureEquipment Cost_A2_06192010_Leopard UniBom_Foxlink_12272010 RevF_shirley" xfId="32020"/>
    <cellStyle name="差_HP Mouse 產能評估(Forecast更改後)_M1 Squirrel Capacity planFixtureEquipment Cost_A2_06192010_Squirrel UniBom_Foxlink_6 28 2010" xfId="32021"/>
    <cellStyle name="差_HP Mouse 產能評估(Forecast更改後)_M1 SuedeFixtureEquipment Cost_A0_2010_10_15 2" xfId="32022"/>
    <cellStyle name="差_HP Mouse 產能評估(Forecast更改後)_M1 SuedeFixtureEquipment Cost_A0_2010_10_15 2 2" xfId="32023"/>
    <cellStyle name="差_HP Mouse 產能評估(Forecast更改後)_M1 SuedeFixtureEquipment Cost_A0_2010_10_15 2 2 2" xfId="32024"/>
    <cellStyle name="差_HP Mouse 產能評估(Forecast更改後)_M1 SuedeFixtureEquipment Cost_A0_2010_10_15 2 3" xfId="32025"/>
    <cellStyle name="差_HP Mouse 產能評估(Forecast更改後)_M1 SuedeFixtureEquipment Cost_A0_2010_10_15 2 4" xfId="32026"/>
    <cellStyle name="差_HP Mouse 產能評估(Forecast更改後)_M1 SuedeFixtureEquipment Cost_A0_2010_10_15 3" xfId="32027"/>
    <cellStyle name="差_HP Mouse 產能評估(Forecast更改後)_M1 SuedeFixtureEquipment Cost_A0_2010_10_15 3 2" xfId="32028"/>
    <cellStyle name="差_HP Mouse 產能評估(Forecast更改後)_M1 SuedeFixtureEquipment Cost_A0_2010_10_15 3 3" xfId="32029"/>
    <cellStyle name="差_HP Mouse 產能評估(Forecast更改後)_M1 SuedeFixtureEquipment Cost_A0_2010_10_15_Bolt RFQ Proposal_Foxlink_ (Pricing Summary) 2 25 2011 2 2 2" xfId="32030"/>
    <cellStyle name="差_HP Mouse 產能評估(Forecast更改後)_M1 SuedeFixtureEquipment Cost_A0_2010_10_15_Bolt RFQ Proposal_Foxlink_ (Pricing Summary) 2 25 2011 2 3" xfId="32031"/>
    <cellStyle name="差_HP Mouse 產能評估(Forecast更改後)_M1 SuedeFixtureEquipment Cost_A0_2010_10_15_Bolt RFQ Proposal_Foxlink_ (Pricing Summary) 2 25 2011 2 4" xfId="32032"/>
    <cellStyle name="差_HP Mouse 產能評估(Forecast更改後)_M1 SuedeFixtureEquipment Cost_A0_2010_10_15_Bolt RFQ Proposal_Foxlink_ (Pricing Summary) 2 25 2011 3 2" xfId="32033"/>
    <cellStyle name="差_Squirrel UniBom-06.23.2010_update_internal_Bolt RFQ Proposal_Foxlink_ (Pricing Summary) 2 25 2011 2 2" xfId="32034"/>
    <cellStyle name="差_HP Mouse 產能評估(Forecast更改後)_M1 SuedeFixtureEquipment Cost_A0_2010_10_15_Bolt RFQ Proposal_Foxlink_ (Pricing Summary) 2 25 2011 3 3" xfId="32035"/>
    <cellStyle name="差_Squirrel UniBom-06.23.2010_update_internal_Bolt RFQ Proposal_Foxlink_ (Pricing Summary) 2 25 2011 3 2" xfId="32036"/>
    <cellStyle name="差_HP Mouse 產能評估(Forecast更改後)_M1 SuedeFixtureEquipment Cost_A0_2010_10_15_Bolt RFQ Proposal_Foxlink_ (Pricing Summary) 2 25 2011 4 3" xfId="32037"/>
    <cellStyle name="差_HP Mouse 產能評估(Forecast更改後)_M1 SuedeFixtureEquipment Cost_A0_2010_10_15_Bolt RFQ_Foxlink_03.1 2011" xfId="32038"/>
    <cellStyle name="差_HP Mouse 產能評估(Forecast更改後)_M1 SuedeFixtureEquipment Cost_A0_2010_10_15_Bolt RFQ_Foxlink_03.1 2011 2 3" xfId="32039"/>
    <cellStyle name="差_HP Mouse 產能評估(Forecast更改後)_M1 SuedeFixtureEquipment Cost_A0_2010_10_15_Bolt RFQ_Foxlink_03.1 2011 3" xfId="32040"/>
    <cellStyle name="差_HP Mouse 產能評估(Forecast更改後)_M1 SuedeFixtureEquipment Cost_A0_2010_10_15_Bolt RFQ_Foxlink_03.1 2011 3 2" xfId="32041"/>
    <cellStyle name="差_HP Mouse 產能評估(Forecast更改後)_M1 SuedeFixtureEquipment Cost_A0_2010_10_15_Bolt RFQ_Foxlink_03.1 2011 3 3" xfId="32042"/>
    <cellStyle name="差_HP Mouse 產能評估(Forecast更改後)_M1 SuedeFixtureEquipment Cost_A0_2010_10_15_Bolt RFQ_Foxlink_03.1 2011 4" xfId="32043"/>
    <cellStyle name="差_Xl0000002_Bolt RFQ_Foxlink_03.1 2011 2" xfId="32044"/>
    <cellStyle name="差_HP Mouse 產能評估(Forecast更改後)_M1 SuedeFixtureEquipment Cost_A0_2010_10_15_Wedge_ME_BOM-v00-11v0715" xfId="32045"/>
    <cellStyle name="差_HP Mouse 產能評估(Forecast更改後)_M1 SuedeFixtureEquipment Cost_A0_2010_10_15_Wedge_ME_BOM-v00-11v0715 2" xfId="32046"/>
    <cellStyle name="差_HP Mouse 產能評估(Forecast更改後)_M1 SuedeFixtureEquipment Cost_A0_2010_10_15_Wedge_ME_BOM-v00-11v0715 3" xfId="32047"/>
    <cellStyle name="差_HP Mouse 產能評估(Forecast更改後)_MS Bolt wireless mouse FixtureEquipment Cost_A5_2010_02_21 2 2 2" xfId="32048"/>
    <cellStyle name="差_HP Mouse 產能評估(Forecast更改後)_MS Bolt wireless mouse FixtureEquipment Cost_A5_2010_02_21 2 2 3" xfId="32049"/>
    <cellStyle name="差_HP Mouse 產能評估(Forecast更改後)_MS Bolt wireless mouse FixtureEquipment Cost_A5_2010_02_21 2 3" xfId="32050"/>
    <cellStyle name="差_HP Mouse 產能評估(Forecast更改後)_MS Bolt wireless mouse FixtureEquipment Cost_A5_2010_02_21 2 4" xfId="32051"/>
    <cellStyle name="差_HP Mouse 產能評估(Forecast更改後)_MS Bolt wireless mouse FixtureEquipment Cost_A5_2010_02_21 3 2" xfId="32052"/>
    <cellStyle name="差_HP Mouse 產能評估(Forecast更改後)_MS Bolt wireless mouse FixtureEquipment Cost_A5_2010_02_21 3 3" xfId="32053"/>
    <cellStyle name="差_HP Mouse 產能評估(Forecast更改後)_MS Bolt wireless mouse FixtureEquipment Cost_A5_2010_02_21 4" xfId="32054"/>
    <cellStyle name="差_HP Mouse 產能評估(Forecast更改後)_MS Bolt wireless mouse FixtureEquipment Cost_A5_2010_02_21_Bolt RFQ Proposal_Foxlink_ (Pricing Summary) 2 25 2011" xfId="32055"/>
    <cellStyle name="差_HP Mouse 產能評估(Forecast更改後)_MS Bolt wireless mouse FixtureEquipment Cost_A5_2010_02_21_Bolt RFQ Proposal_Foxlink_ (Pricing Summary) 2 25 2011 2" xfId="32056"/>
    <cellStyle name="差_HP Mouse 產能評估(Forecast更改後)_MS Bolt wireless mouse FixtureEquipment Cost_A5_2010_02_21_Bolt RFQ Proposal_Foxlink_ (Pricing Summary) 2 25 2011 2 2" xfId="32057"/>
    <cellStyle name="差_HP Mouse 產能評估(Forecast更改後)_MS Bolt wireless mouse FixtureEquipment Cost_A5_2010_02_21_Bolt RFQ Proposal_Foxlink_ (Pricing Summary) 2 25 2011 3" xfId="32058"/>
    <cellStyle name="差_HP Mouse 產能評估(Forecast更改後)_MS Bolt wireless mouse FixtureEquipment Cost_A5_2010_02_21_Bolt RFQ Proposal_Foxlink_ (Pricing Summary) 2 25 2011 4" xfId="32059"/>
    <cellStyle name="差_HP Mouse 產能評估(Forecast更改後)_MS Bolt wireless mouse FixtureEquipment Cost_A5_2010_02_21_Bolt RFQ Proposal_Foxlink_ (Pricing Summary) 2 25 2011 5" xfId="32060"/>
    <cellStyle name="差_HP Mouse 產能評估(Forecast更改後)_MS Bolt wireless mouse FixtureEquipment Cost_A5_2010_02_21_Bolt RFQ Proposal_Foxlink_ (Pricing Summary) 2 25 2011 7" xfId="32061"/>
    <cellStyle name="差_HP Mouse 產能評估(Forecast更改後)_MS Bolt wireless mouse FixtureEquipment Cost_A5_2010_02_21_Bolt RFQ_Foxlink_03.1 2011" xfId="32062"/>
    <cellStyle name="差_HP Mouse 產能評估(Forecast更改後)_MS Bolt wireless mouse FixtureEquipment Cost_A5_2010_02_21_Bolt RFQ_Foxlink_03.1 2011 2" xfId="32063"/>
    <cellStyle name="差_HP Mouse 產能評估(Forecast更改後)_MS Bolt wireless mouse FixtureEquipment Cost_A5_2010_02_21_Bolt RFQ_Foxlink_03.1 2011 3" xfId="32064"/>
    <cellStyle name="差_HP Mouse 產能評估(Forecast更改後)_MS Bolt wireless mouse FixtureEquipment Cost_A5_2010_02_21_Bolt RFQ_Foxlink_03.1 2011 3 2" xfId="32065"/>
    <cellStyle name="差_HP Mouse 產能評估(Forecast更改後)_MS Bolt wireless mouse FixtureEquipment Cost_A5_2010_02_21_Bolt RFQ_Foxlink_03.1 2011 5" xfId="32066"/>
    <cellStyle name="差_HP Mouse 產能評估(Forecast更改後)_MS Bolt wireless mouse FixtureEquipment Cost_A5_2010_02_21_Bolt RFQ_Foxlink_03.1 2011_nego meeting@MACH 3 2" xfId="32067"/>
    <cellStyle name="差_HP Mouse 產能評估(Forecast更改後)_MS Bolt wireless mouse FixtureEquipment Cost_A5_2010_02_21_Bolt RFQ_Foxlink_03.1 2011_nego meeting@MACH 3 3" xfId="32068"/>
    <cellStyle name="差_HP Mouse 產能評估(Forecast更改後)_MS Bolt wireless mouse FixtureEquipment Cost_A5_2010_02_21_Bolt RFQ_Foxlink_03.1 2011_nego meeting@MACH 4" xfId="32069"/>
    <cellStyle name="差_HP Mouse 產能評估(Forecast更改後)_MS Bolt wireless mouse FixtureEquipment Cost_A5_2010_02_21_Bolt RFQ_Foxlink_03.1 2011_nego meeting@MACH 5" xfId="32070"/>
    <cellStyle name="差_HP Mouse 產能評估(Forecast更改後)_費用統計_~1159284" xfId="32071"/>
    <cellStyle name="差_HP Mouse 產能評估(Forecast更改後)_費用統計_Leopard Flowchart &amp; 產能評估" xfId="32072"/>
    <cellStyle name="差_HP Mouse 產能評估(Forecast更改後)_費用統計_squirrel效益分析08-17" xfId="32073"/>
    <cellStyle name="差_HP Mouse 產能評估(上系統)" xfId="32074"/>
    <cellStyle name="差_HP Mouse 產能評估(上系統) 2" xfId="32075"/>
    <cellStyle name="差_HP Mouse 產能評估(上系統) 2 2" xfId="32076"/>
    <cellStyle name="差_HP Mouse 產能評估(上系統) 2 2 3" xfId="32077"/>
    <cellStyle name="差_HP Mouse 產能評估(上系統) 3" xfId="32078"/>
    <cellStyle name="差_HP Mouse 產能評估(上系統)_Bolt RFQ Proposal_Foxlink_ (Pricing Summary) 2 25 2011" xfId="32079"/>
    <cellStyle name="差_HP Mouse 產能評估(上系統)_Bolt RFQ Proposal_Foxlink_ (Pricing Summary) 2 25 2011 2 2" xfId="32080"/>
    <cellStyle name="差_HP Mouse 產能評估(上系統)_Bolt RFQ Proposal_Foxlink_ (Pricing Summary) 2 25 2011 2 2 2" xfId="32081"/>
    <cellStyle name="差_HP Mouse 產能評估(上系統)_Bolt RFQ Proposal_Foxlink_ (Pricing Summary) 2 25 2011 3" xfId="32082"/>
    <cellStyle name="差_HP Mouse 產能評估(上系統)_Bolt RFQ Proposal_Foxlink_ (Pricing Summary) 2 25 2011 4" xfId="32083"/>
    <cellStyle name="差_HP Mouse 產能評估(上系統)_Bolt RFQ Proposal_Foxlink_ (Pricing Summary) 2 25 2011 5" xfId="32084"/>
    <cellStyle name="差_HP Mouse 產能評估(上系統)_Bolt RFQ_Foxlink_03.1 2011 2" xfId="32085"/>
    <cellStyle name="差_HP Mouse 產能評估(上系統)_Bolt RFQ_Foxlink_03.1 2011 2 3" xfId="32086"/>
    <cellStyle name="差_HP Mouse 產能評估(上系統)_Bolt RFQ_Foxlink_03.1 2011 3" xfId="32087"/>
    <cellStyle name="差_HP Mouse 產能評估(上系統)_Bolt RFQ_Foxlink_03.1 2011 3 3" xfId="32088"/>
    <cellStyle name="差_HP Mouse 產能評估(上系統)_Bolt RFQ_Foxlink_03.1 2011_nego meeting@MACH" xfId="32089"/>
    <cellStyle name="差_HP Mouse 產能評估(上系統)_Bolt RFQ_Foxlink_03.1 2011_nego meeting@MACH 2" xfId="32090"/>
    <cellStyle name="差_HP Mouse 產能評估(上系統)_Bolt RFQ_Foxlink_03.1 2011_nego meeting@MACH 2 2" xfId="32091"/>
    <cellStyle name="差_HP Mouse 產能評估(上系統)_Bolt RFQ_Foxlink_03.1 2011_nego meeting@MACH 3 3" xfId="32092"/>
    <cellStyle name="差_HP Mouse 產能評估(上系統)_Bolt RFQ_Foxlink_03.1 2011_nego meeting@MACH 4" xfId="32093"/>
    <cellStyle name="差_jupite r設備&amp;治工具LIST (總)_Jackson 效益分析 testing update_16th Jan1_Jackson 效益分析 (2-1 B0 上系統)_Leopard Flowchart &amp; 產能評估" xfId="32094"/>
    <cellStyle name="差_HP Mouse 產能評估(上系統)_Erie 效益分析 (Update)" xfId="32095"/>
    <cellStyle name="差_HP Mouse 產能評估(上系統)_Erie 效益分析 (Update)_~5631336_Jackson 效益分析 (2-1 B0 上系統)" xfId="32096"/>
    <cellStyle name="差_HP Mouse 產能評估(上系統)_Erie 效益分析 (Update)_~5631336_Jackson 效益分析 (2-1 B0 上系統)_squirrel效益分析08-17" xfId="32097"/>
    <cellStyle name="差_HP Mouse 產能評估(上系統)_Erie 效益分析 (Update)_Flow chart and Fixture(Jackson)_A1_Jackson 效益分析 (2-1 B0 上系統)_squirrel效益分析08-17" xfId="32098"/>
    <cellStyle name="差_HP Mouse 產能評估(上系統)_Erie 效益分析 (Update)_Flow Chart&amp;設備治工具清單 _Jackson 效益分析 (2-1 B0 上系統)" xfId="32099"/>
    <cellStyle name="差_HP Mouse 產能評估(上系統)_Erie 效益分析 (Update)_Flow Chart&amp;設備治工具清單 _squirrel效益分析08-17" xfId="32100"/>
    <cellStyle name="差_Xl0000000_Bolt RFQ_Foxlink_03.1 2011 4" xfId="32101"/>
    <cellStyle name="差_HP Mouse 產能評估(上系統)_Erie 效益分析 (Update)_Jackson 效益分析 (1-18 A7)" xfId="32102"/>
    <cellStyle name="差_HP Mouse 產能評估(上系統)_Erie 效益分析 (Update)_Jackson 效益分析 (2-1 B0 上系統)" xfId="32103"/>
    <cellStyle name="差_HP Mouse 產能評估(上系統)_Erie 效益分析 (Update)_Jackson 效益分析 (2-1 B0 上系統)_Leopard Flowchart &amp; 產能評估" xfId="32104"/>
    <cellStyle name="差_HP Mouse 產能評估(上系統)_Erie 效益分析 (Update)_Jackson 效益分析 testing update_16th Jan1" xfId="32105"/>
    <cellStyle name="差_HP Mouse 產能評估(上系統)_Erie 效益分析 (Update)_Jackson 效益分析 testing update_16th Jan1_Jackson 效益分析 (2-1 B0 上系統)_Leopard Flowchart &amp; 產能評估" xfId="32106"/>
    <cellStyle name="差_HP Mouse 產能評估(上系統)_Erie 效益分析 (Update)_Jackson 效益分析 testing update_16th Jan1_Jackson 效益分析 (2-1 B0 上系統)_Leopard效益分析08-17" xfId="32107"/>
    <cellStyle name="差_HP Mouse 產能評估(上系統)_Erie 效益分析 (Update)_Jackson 效益分析 testing update_16th Jan1_Jackson 效益分析 (2-1 B0 上系統)_squirrel效益分析08-17" xfId="32108"/>
    <cellStyle name="差_HP Mouse 產能評估(上系統)_Erie 效益分析 (Update)_Jackson 效益分析 testing update_16th Jan111_Jackson 效益分析 (2-1 B0 上系統)_Leopard Flowchart &amp; 產能評估" xfId="32109"/>
    <cellStyle name="差_Xl0000002_Leopard UniBom_Foxlink_6 21 2010-ME_nego_Bolt RFQ_Foxlink_03.1 2011_nego meeting@MACH 3" xfId="32110"/>
    <cellStyle name="差_HP Mouse 產能評估(上系統)_Erie 效益分析 (Update)_squirrel效益分析08-17" xfId="32111"/>
    <cellStyle name="差_HP Mouse 產能評估(上系統)_Erie 效益分析 (Update)_效益分析(總 12-28 Update)_Jackson 效益分析 (2-1 B0 上系統)" xfId="32112"/>
    <cellStyle name="差_HP Mouse 產能評估(上系統)_Erie 效益分析 (Update)_效益分析(總 12-28 Update)_Jackson 效益分析 (2-1 B0 上系統)_squirrel效益分析08-17" xfId="32113"/>
    <cellStyle name="差_HP Mouse 產能評估(上系統)_Erie 效益分析 (Update)_效益分析(總 12-28 Update)_Leopard Flowchart &amp; 產能評估" xfId="32114"/>
    <cellStyle name="差_HP Mouse 產能評估(上系統)_Erie 效益分析 (Update)_效益分析(總 12-28 Update)_Leopard效益分析08-17" xfId="32115"/>
    <cellStyle name="差_HP Mouse 產能評估(上系統)_Erie 效益分析 (Update)_效益分析(總 12-28 Update)_squirrel效益分析08-17" xfId="32116"/>
    <cellStyle name="差_HP Mouse 產能評估(上系統)_Erie 效益分析(8-27)_Leopard效益分析08-17" xfId="32117"/>
    <cellStyle name="差_HP Mouse 產能評估(上系統)_Jackson 效益分析 (2-1 B0 上系統)_Leopard Flowchart &amp; 產能評估" xfId="32118"/>
    <cellStyle name="差_HP Mouse 產能評估(上系統)_M1 Bolt wireless mouse FixtureEquipment Cost_A2_2010_12_07 2 2" xfId="32119"/>
    <cellStyle name="差_HP Mouse 產能評估(上系統)_M1 Bolt wireless mouse FixtureEquipment Cost_A2_2010_12_07_Bolt RFQ Proposal_Foxlink_ (Pricing Summary) 2 25 2011" xfId="32120"/>
    <cellStyle name="差_HP Mouse 產能評估(上系統)_M1 Lemur Capacity planFixtureEquipment Cost_A2_06192010" xfId="32121"/>
    <cellStyle name="差_HP Mouse 產能評估(上系統)_M1 Squirrel Capacity planFixtureEquipment Cost_A2_06192010_Leopard UniBom_Foxlink_12272010 RevF_shirley" xfId="32122"/>
    <cellStyle name="差_HP Mouse 產能評估(上系統)_M1 SuedeFixtureEquipment Cost_A0_2010_10_15" xfId="32123"/>
    <cellStyle name="差_HP Mouse 產能評估(上系統)_M1 SuedeFixtureEquipment Cost_A0_2010_10_15 2" xfId="32124"/>
    <cellStyle name="差_HP Mouse 產能評估(上系統)_M1 SuedeFixtureEquipment Cost_A0_2010_10_15 2 2" xfId="32125"/>
    <cellStyle name="差_HP Mouse 產能評估(上系統)_M1 SuedeFixtureEquipment Cost_A0_2010_10_15 2 2 3" xfId="32126"/>
    <cellStyle name="差_HP Mouse 產能評估(上系統)_M1 SuedeFixtureEquipment Cost_A0_2010_10_15 2 3" xfId="32127"/>
    <cellStyle name="差_HP Mouse 產能評估(上系統)_M1 SuedeFixtureEquipment Cost_A0_2010_10_15 2 4" xfId="32128"/>
    <cellStyle name="差_HP Mouse 產能評估(上系統)_M1 SuedeFixtureEquipment Cost_A0_2010_10_15 3" xfId="32129"/>
    <cellStyle name="差_HP Mouse 產能評估(上系統)_M1 SuedeFixtureEquipment Cost_A0_2010_10_15 3 3" xfId="32130"/>
    <cellStyle name="差_HP Mouse 產能評估(上系統)_M1 SuedeFixtureEquipment Cost_A0_2010_10_15 4" xfId="32131"/>
    <cellStyle name="差_HP Mouse 產能評估(上系統)_M1 SuedeFixtureEquipment Cost_A0_2010_10_15_Bolt RFQ Proposal_Foxlink_ (Pricing Summary) 2 25 2011" xfId="32132"/>
    <cellStyle name="差_HP Mouse 產能評估(上系統)_M1 SuedeFixtureEquipment Cost_A0_2010_10_15_Bolt RFQ Proposal_Foxlink_ (Pricing Summary) 2 25 2011 2" xfId="32133"/>
    <cellStyle name="差_Xl0000002_Bolt RFQ Proposal_Foxlink_ (Pricing Summary) 2 25 2011 3 2" xfId="32134"/>
    <cellStyle name="差_HP Mouse 產能評估(上系統)_M1 SuedeFixtureEquipment Cost_A0_2010_10_15_Bolt RFQ Proposal_Foxlink_ (Pricing Summary) 2 25 2011 2 3" xfId="32135"/>
    <cellStyle name="差_Xl0000002_Bolt RFQ Proposal_Foxlink_ (Pricing Summary) 2 25 2011 3 3" xfId="32136"/>
    <cellStyle name="差_HP Mouse 產能評估(上系統)_M1 SuedeFixtureEquipment Cost_A0_2010_10_15_Bolt RFQ Proposal_Foxlink_ (Pricing Summary) 2 25 2011 2 4" xfId="32137"/>
    <cellStyle name="壞_Creek EE BOM cost_20090425_Leopard_UniBOM_ME_0531_Bolt RFQ Proposal_Foxlink_ (Pricing Summary) 2 25 2011 3" xfId="32138"/>
    <cellStyle name="差_HP Mouse 產能評估(上系統)_M1 SuedeFixtureEquipment Cost_A0_2010_10_15_Bolt RFQ Proposal_Foxlink_ (Pricing Summary) 2 25 2011 3 2" xfId="32139"/>
    <cellStyle name="差_效益分析_Dallas flow chart&amp;設備&amp;治工具清單(12-8 A0)_Flow Chart&amp;設備治工具清單 _Leopard效益分析08-17" xfId="32140"/>
    <cellStyle name="差_HP Mouse 產能評估(上系統)_M1 SuedeFixtureEquipment Cost_A0_2010_10_15_Bolt RFQ Proposal_Foxlink_ (Pricing Summary) 2 25 2011 4 2" xfId="32141"/>
    <cellStyle name="差_Xl0000002_Bolt RFQ Proposal_Foxlink_ (Pricing Summary) 2 25 2011 5 2" xfId="32142"/>
    <cellStyle name="差_HP Mouse 產能評估(上系統)_M1 SuedeFixtureEquipment Cost_A0_2010_10_15_Bolt RFQ Proposal_Foxlink_ (Pricing Summary) 2 25 2011 4 3" xfId="32143"/>
    <cellStyle name="差_HP Mouse 產能評估(上系統)_M1 SuedeFixtureEquipment Cost_A0_2010_10_15_Bolt RFQ Proposal_Foxlink_ (Pricing Summary) 2 25 2011 5 2" xfId="32144"/>
    <cellStyle name="差_jupite r設備&amp;治工具LIST (總)_Dallas效益分析&amp;投資回收期 (12-2 A1)_~5631336_Jackson 效益分析 (2-1 B0 上系統)_Leopard效益分析08-17" xfId="32145"/>
    <cellStyle name="差_HP Mouse 產能評估(上系統)_M1 SuedeFixtureEquipment Cost_A0_2010_10_15_Bolt RFQ_Foxlink_03.1 2011" xfId="32146"/>
    <cellStyle name="差_HP Mouse 產能評估(上系統)_M1 SuedeFixtureEquipment Cost_A0_2010_10_15_Bolt RFQ_Foxlink_03.1 2011 2" xfId="32147"/>
    <cellStyle name="差_HP Mouse 產能評估(上系統)_M1 SuedeFixtureEquipment Cost_A0_2010_10_15_Bolt RFQ_Foxlink_03.1 2011 2 2" xfId="32148"/>
    <cellStyle name="差_HP Mouse 產能評估(上系統)_M1 SuedeFixtureEquipment Cost_A0_2010_10_15_Bolt RFQ_Foxlink_03.1 2011 3" xfId="32149"/>
    <cellStyle name="差_HP Mouse 產能評估(上系統)_M1 SuedeFixtureEquipment Cost_A0_2010_10_15_Wedge_ME_BOM-v00-11v0630 2 2" xfId="32150"/>
    <cellStyle name="差_HP Mouse 產能評估(上系統)_M1 SuedeFixtureEquipment Cost_A0_2010_10_15_Wedge_ME_BOM-v00-11v0630 2 3" xfId="32151"/>
    <cellStyle name="差_HP Mouse 產能評估(上系統)_MS Bolt wireless mouse FixtureEquipment Cost_A5_2010_02_21 2 2 3" xfId="32152"/>
    <cellStyle name="差_HP Mouse 產能評估(上系統)_MS Bolt wireless mouse FixtureEquipment Cost_A5_2010_02_21 3 2" xfId="32153"/>
    <cellStyle name="差_HP Mouse 產能評估(上系統)_MS Bolt wireless mouse FixtureEquipment Cost_A5_2010_02_21 4" xfId="32154"/>
    <cellStyle name="差_HP Mouse 產能評估(上系統)_MS Bolt wireless mouse FixtureEquipment Cost_A5_2010_02_21_Bolt RFQ Proposal_Foxlink_ (Pricing Summary) 2 25 2011 2" xfId="32155"/>
    <cellStyle name="差_HP Mouse 產能評估(上系統)_MS Bolt wireless mouse FixtureEquipment Cost_A5_2010_02_21_Bolt RFQ Proposal_Foxlink_ (Pricing Summary) 2 25 2011 2 2" xfId="32156"/>
    <cellStyle name="差_HP Mouse 產能評估(上系統)_MS Bolt wireless mouse FixtureEquipment Cost_A5_2010_02_21_Bolt RFQ Proposal_Foxlink_ (Pricing Summary) 2 25 2011 2 2 2" xfId="32157"/>
    <cellStyle name="差_HP Mouse 產能評估(上系統)_MS Bolt wireless mouse FixtureEquipment Cost_A5_2010_02_21_Bolt RFQ Proposal_Foxlink_ (Pricing Summary) 2 25 2011 2 4" xfId="32158"/>
    <cellStyle name="差_HP Mouse 產能評估(上系統)_MS Bolt wireless mouse FixtureEquipment Cost_A5_2010_02_21_Bolt RFQ Proposal_Foxlink_ (Pricing Summary) 2 25 2011 3 2" xfId="32159"/>
    <cellStyle name="差_HP Mouse 產能評估(上系統)_MS Bolt wireless mouse FixtureEquipment Cost_A5_2010_02_21_Bolt RFQ Proposal_Foxlink_ (Pricing Summary) 2 25 2011 3 3" xfId="32160"/>
    <cellStyle name="差_HP Mouse 產能評估(上系統)_MS Bolt wireless mouse FixtureEquipment Cost_A5_2010_02_21_Bolt RFQ_Foxlink_03.1 2011" xfId="32161"/>
    <cellStyle name="差_HP Mouse 產能評估(上系統)_MS Bolt wireless mouse FixtureEquipment Cost_A5_2010_02_21_Bolt RFQ_Foxlink_03.1 2011 3 3" xfId="32162"/>
    <cellStyle name="差_HP Mouse 產能評估(上系統)_MS Bolt wireless mouse FixtureEquipment Cost_A5_2010_02_21_Bolt RFQ_Foxlink_03.1 2011_nego meeting@MACH 2 2" xfId="32163"/>
    <cellStyle name="差_HP Mouse 產能評估(上系統)_MS Bolt wireless mouse FixtureEquipment Cost_A5_2010_02_21_Bolt RFQ_Foxlink_03.1 2011_nego meeting@MACH 2 3" xfId="32164"/>
    <cellStyle name="差_Xl0000002_Leopard RFQ ME BOM Costs-0618-2_Bolt RFQ Proposal_Foxlink_ (Pricing Summary) 2 25 2011 3" xfId="32165"/>
    <cellStyle name="差_HP Mouse 產能評估(上系統)_MS Bolt wireless mouse FixtureEquipment Cost_A5_2010_02_21_Bolt RFQ_Foxlink_03.1 2011_nego meeting@MACH 3 3" xfId="32166"/>
    <cellStyle name="差_HP Mouse 產能評估(上系統)_費用統計_Jackson 效益分析 (2-1 B0 上系統)_Leopard效益分析08-17" xfId="32167"/>
    <cellStyle name="差_HP Mouse 產能評估(上系統)_費用統計_Leopard Flowchart &amp; 產能評估" xfId="32168"/>
    <cellStyle name="差_Jackson and Shadow test cost update _7th Feb 2010 (2)" xfId="32169"/>
    <cellStyle name="差_Jackson and Shadow test cost update _7th Feb 2010 (2)_Bristol TC Estimate Update 07292011_internal from Tony" xfId="32170"/>
    <cellStyle name="差_Jackson and Shadow test cost update _7th Feb 2010 (2)_Bristol TC Estimate Update 08012011" xfId="32171"/>
    <cellStyle name="差_Jackson EV2 Trial run QA Report_20100423" xfId="32172"/>
    <cellStyle name="差_jupite r設備&amp;治工具LIST (總)_flow chart 2009.12.12_Jackson 效益分析 testing update_16th Jan111_Jackson 效益分析 (2-1 B0 上系統)_squirrel效益分析08-17" xfId="32173"/>
    <cellStyle name="差_Jackson EV2 Trial run QA Report_20100423_Suede QA report for EV2 _20110223" xfId="32174"/>
    <cellStyle name="差_Jackson EV2 Trial run QA Report_20100423_Suede QA report for EV2.1_20110301" xfId="32175"/>
    <cellStyle name="差_Jackson EV2 Trial run QA Report_20100423_Suede QA report for EV3_20110412" xfId="32176"/>
    <cellStyle name="差_Jackson NRE Uni BOM_update _05072010 rev K_Leopard UniBom_Foxlink_12092010 RevD-jen" xfId="32177"/>
    <cellStyle name="差_Jackson 效益分析 (2-1 B0 上系統)" xfId="32178"/>
    <cellStyle name="差_Jackson 效益分析 testing update_16th Jan1" xfId="32179"/>
    <cellStyle name="差_Jackson 效益分析 testing update_16th Jan1_Jackson 效益分析 (2-1 B0 上系統)_Leopard Flowchart &amp; 產能評估" xfId="32180"/>
    <cellStyle name="壞_Creek Assembly Fixture  Test Equipment RFQ_20090427_Xl0000002_Leopard_UniBOM_ME_0603-2 3" xfId="32181"/>
    <cellStyle name="差_Jackson 效益分析 testing update_16th Jan111" xfId="32182"/>
    <cellStyle name="差_Jackson_ ErrorˍCode" xfId="32183"/>
    <cellStyle name="差_jupite r設備&amp;治工具LIST (總)" xfId="32184"/>
    <cellStyle name="差_jupite r設備&amp;治工具LIST (總)_~1159284" xfId="32185"/>
    <cellStyle name="差_jupite r設備&amp;治工具LIST (總)_~3106354_Jackson 效益分析 (2-1 B0 上系統)" xfId="32186"/>
    <cellStyle name="差_jupite r設備&amp;治工具LIST (總)_~3106354_Jackson 效益分析 (2-1 B0 上系統)_Leopard效益分析08-17" xfId="32187"/>
    <cellStyle name="差_jupite r設備&amp;治工具LIST (總)_~3106354_Leopard Flowchart &amp; 產能評估" xfId="32188"/>
    <cellStyle name="差_jupite r設備&amp;治工具LIST (總)_~5631336_Jackson 效益分析 (2-1 B0 上系統)_Leopard效益分析08-17" xfId="32189"/>
    <cellStyle name="差_jupite r設備&amp;治工具LIST (總)_~8644671_Jackson 效益分析 (2-1 B0 上系統)" xfId="32190"/>
    <cellStyle name="差_jupite r設備&amp;治工具LIST (總)_flow chart 2009.12.12_squirrel效益分析08-17" xfId="32191"/>
    <cellStyle name="差_jupite r設備&amp;治工具LIST (總)_~8644671_Jackson 效益分析 (2-1 B0 上系統)_Leopard效益分析08-17" xfId="32192"/>
    <cellStyle name="差_jupite r設備&amp;治工具LIST (總)_~8644671_Leopard效益分析08-17" xfId="32193"/>
    <cellStyle name="差_jupite r設備&amp;治工具LIST (總)_~8644671_squirrel效益分析08-17" xfId="32194"/>
    <cellStyle name="差_jupite r設備&amp;治工具LIST (總)_Dallas flow chart&amp;設備&amp;治工具清單(12-8 A0)_~1159284" xfId="32195"/>
    <cellStyle name="差_Xl0000002_Leopard RFQ ME BOM Costs-0618 2 2 3" xfId="32196"/>
    <cellStyle name="差_jupite r設備&amp;治工具LIST (總)_Dallas flow chart&amp;設備&amp;治工具清單(12-8 A0)_~5631336" xfId="32197"/>
    <cellStyle name="差_jupite r設備&amp;治工具LIST (總)_Dallas flow chart&amp;設備&amp;治工具清單(12-8 A0)_~5631336_Jackson 效益分析 (2-1 B0 上系統)_Leopard效益分析08-17" xfId="32198"/>
    <cellStyle name="差_jupite r設備&amp;治工具LIST (總)_Dallas flow chart&amp;設備&amp;治工具清單(12-8 A0)_Flow chart and Fixture(1-4)_Jackson 效益分析 (2-1 B0 上系統)" xfId="32199"/>
    <cellStyle name="差_jupite r設備&amp;治工具LIST (總)_Dallas flow chart&amp;設備&amp;治工具清單(12-8 A0)_Flow chart and Fixture(1-4)_Jackson 效益分析 (2-1 B0 上系統)_squirrel效益分析08-17" xfId="32200"/>
    <cellStyle name="差_jupite r設備&amp;治工具LIST (總)_Dallas flow chart&amp;設備&amp;治工具清單(12-8 A0)_Flow chart and Fixture(Jackson)_A1" xfId="32201"/>
    <cellStyle name="差_jupite r設備&amp;治工具LIST (總)_Dallas flow chart&amp;設備&amp;治工具清單(12-8 A0)_Flow Chart&amp;設備治工具清單 " xfId="32202"/>
    <cellStyle name="差_jupite r設備&amp;治工具LIST (總)_Dallas flow chart&amp;設備&amp;治工具清單(12-8 A0)_Flow Chart&amp;設備治工具清單 _Leopard Flowchart &amp; 產能評估" xfId="32203"/>
    <cellStyle name="差_jupite r設備&amp;治工具LIST (總)_Dallas flow chart&amp;設備&amp;治工具清單(12-8 A0)_Flow Chart&amp;設備治工具清單 _Leopard效益分析08-17" xfId="32204"/>
    <cellStyle name="差_jupite r設備&amp;治工具LIST (總)_Dallas flow chart&amp;設備&amp;治工具清單(12-8 A0)_Jackson 效益分析 (1-18 A7)" xfId="32205"/>
    <cellStyle name="差_jupite r設備&amp;治工具LIST (總)_Dallas flow chart&amp;設備&amp;治工具清單(12-8 A0)_Jackson 效益分析 (2-1 B0 上系統)" xfId="32206"/>
    <cellStyle name="差_jupite r設備&amp;治工具LIST (總)_Dallas flow chart&amp;設備&amp;治工具清單(12-8 A0)_Jackson 效益分析 (2-1 B0 上系統)_Leopard Flowchart &amp; 產能評估" xfId="32207"/>
    <cellStyle name="差_jupite r設備&amp;治工具LIST (總)_Dallas flow chart&amp;設備&amp;治工具清單(12-8 A0)_Jackson 效益分析 (2-1 B0 上系統)_Leopard效益分析08-17" xfId="32208"/>
    <cellStyle name="差_jupite r設備&amp;治工具LIST (總)_Dallas flow chart&amp;設備&amp;治工具清單(12-8 A0)_Jackson 效益分析 testing update_16th Jan1" xfId="32209"/>
    <cellStyle name="差_jupite r設備&amp;治工具LIST (總)_Dallas flow chart&amp;設備&amp;治工具清單(12-8 A0)_Jackson 效益分析 testing update_16th Jan1_Jackson 效益分析 (2-1 B0 上系統)_squirrel效益分析08-17" xfId="32210"/>
    <cellStyle name="差_jupite r設備&amp;治工具LIST (總)_Dallas flow chart&amp;設備&amp;治工具清單(12-8 A0)_效益分析(總 12-28 Update)_~1159284" xfId="32211"/>
    <cellStyle name="差_jupite r設備&amp;治工具LIST (總)_Dallas效益分析&amp;投資回收期 (12-2 A1)" xfId="32212"/>
    <cellStyle name="差_效益分析&amp;產能評估_MS Bolt wireless mouse FixtureEquipment Cost_A5_2010_02_21_Bolt RFQ Proposal_Foxlink_ (Pricing Summary) 2 25 2011 5 3" xfId="32213"/>
    <cellStyle name="差_jupite r設備&amp;治工具LIST (總)_Dallas效益分析&amp;投資回收期 (12-2 A1)_~1159284" xfId="32214"/>
    <cellStyle name="差_jupite r設備&amp;治工具LIST (總)_Dallas效益分析&amp;投資回收期 (12-2 A1)_~5631336_Jackson 效益分析 (2-1 B0 上系統)_squirrel效益分析08-17" xfId="32215"/>
    <cellStyle name="差_jupite r設備&amp;治工具LIST (總)_Dallas效益分析&amp;投資回收期 (12-2 A1)_Flow chart and Fixture(1-4)" xfId="32216"/>
    <cellStyle name="差_jupite r設備&amp;治工具LIST (總)_Dallas效益分析&amp;投資回收期 (12-2 A1)_Flow chart and Fixture(1-4)_Jackson 效益分析 (2-1 B0 上系統)" xfId="32217"/>
    <cellStyle name="差_jupite r設備&amp;治工具LIST (總)_Dallas效益分析&amp;投資回收期 (12-2 A1)_Flow chart and Fixture(Jackson)_A1" xfId="32218"/>
    <cellStyle name="差_jupite r設備&amp;治工具LIST (總)_Dallas效益分析&amp;投資回收期 (12-2 A1)_Flow Chart&amp;設備治工具清單 _Jackson 效益分析 (2-1 B0 上系統)_Leopard效益分析08-17" xfId="32219"/>
    <cellStyle name="差_jupite r設備&amp;治工具LIST (總)_Dallas效益分析&amp;投資回收期 (12-2 A1)_Flow Chart&amp;設備治工具清單 _Jackson 效益分析 (2-1 B0 上系統)_squirrel效益分析08-17" xfId="32220"/>
    <cellStyle name="差_jupite r設備&amp;治工具LIST (總)_Dallas效益分析&amp;投資回收期 (12-2 A1)_Flow Chart&amp;設備治工具清單 _Leopard Flowchart &amp; 產能評估" xfId="32221"/>
    <cellStyle name="差_jupite r設備&amp;治工具LIST (總)_Dallas效益分析&amp;投資回收期 (12-2 A1)_Flow Chart&amp;設備治工具清單 _squirrel效益分析08-17" xfId="32222"/>
    <cellStyle name="差_jupite r設備&amp;治工具LIST (總)_Dallas效益分析&amp;投資回收期 (12-2 A1)_Jackson 效益分析 (2-1 B0 上系統)_Leopard Flowchart &amp; 產能評估" xfId="32223"/>
    <cellStyle name="差_jupite r設備&amp;治工具LIST (總)_Dallas效益分析&amp;投資回收期 (12-2 A1)_Jackson 效益分析 testing update_16th Jan1_Jackson 效益分析 (2-1 B0 上系統)_Leopard效益分析08-17" xfId="32224"/>
    <cellStyle name="差_jupite r設備&amp;治工具LIST (總)_Dallas效益分析&amp;投資回收期 (12-2 A1)_Jackson 效益分析 testing update_16th Jan111_Jackson 效益分析 (2-1 B0 上系統)" xfId="32225"/>
    <cellStyle name="差_效益分析&amp;產能評估_Bolt RFQ Proposal_Foxlink_ (Pricing Summary) 2 25 2011 3 2" xfId="32226"/>
    <cellStyle name="差_jupite r設備&amp;治工具LIST (總)_Dallas效益分析&amp;投資回收期 (12-2 A1)_Jackson 效益分析 testing update_16th Jan111_Jackson 效益分析 (2-1 B0 上系統)_Leopard效益分析08-17" xfId="32227"/>
    <cellStyle name="差_jupite r設備&amp;治工具LIST (總)_Dallas效益分析&amp;投資回收期 (12-2 A1)_Jackson 效益分析 testing update_16th Jan111_Jackson 效益分析 (2-1 B0 上系統)_squirrel效益分析08-17" xfId="32228"/>
    <cellStyle name="差_jupite r設備&amp;治工具LIST (總)_Dallas效益分析&amp;投資回收期 (12-2 A1)_Leopard效益分析08-17" xfId="32229"/>
    <cellStyle name="差_jupite r設備&amp;治工具LIST (總)_Dallas效益分析&amp;投資回收期 (12-2 A1)_效益分析(總 12-28 Update)" xfId="32230"/>
    <cellStyle name="差_jupite r設備&amp;治工具LIST (總)_Dallas效益分析&amp;投資回收期 (12-2 A1)_效益分析(總 12-28 Update)_~1159284" xfId="32231"/>
    <cellStyle name="差_jupite r設備&amp;治工具LIST (總)_Dallas效益分析&amp;投資回收期 (12-2 A1)_效益分析(總 12-28 Update)_Jackson 效益分析 (2-1 B0 上系統)" xfId="32232"/>
    <cellStyle name="差_jupite r設備&amp;治工具LIST (總)_Dallas效益分析&amp;投資回收期 (12-2 A1)_效益分析(總 12-28 Update)_Jackson 效益分析 (2-1 B0 上系統)_squirrel效益分析08-17" xfId="32233"/>
    <cellStyle name="差_jupite r設備&amp;治工具LIST (總)_Dallas效益分析&amp;投資回收期 (12-2 A1)_效益分析(總 12-28 Update)_Leopard Flowchart &amp; 產能評估" xfId="32234"/>
    <cellStyle name="差_jupite r設備&amp;治工具LIST (總)_Dallas效益分析&amp;投資回收期 (12-2 A1)_效益分析(總 12-28 Update)_squirrel效益分析08-17" xfId="32235"/>
    <cellStyle name="差_jupite r設備&amp;治工具LIST (總)_Dolce設備治工具明細表(TE Update)" xfId="32236"/>
    <cellStyle name="差_jupite r設備&amp;治工具LIST (總)_Dolce設備治工具明細表(TE Update)_Jackson 效益分析 (2-1 B0 上系統)_Leopard Flowchart &amp; 產能評估" xfId="32237"/>
    <cellStyle name="差_jupite r設備&amp;治工具LIST (總)_Dolce設備治工具明細表(TE Update)_Jackson 效益分析 (2-1 B0 上系統)_Leopard效益分析08-17" xfId="32238"/>
    <cellStyle name="差_jupite r設備&amp;治工具LIST (總)_Dolce設備治工具明細表(TE Update)_Leopard Flowchart &amp; 產能評估" xfId="32239"/>
    <cellStyle name="差_jupite r設備&amp;治工具LIST (總)_Dolce設備治工具明細表(TE Update)_Leopard效益分析08-17" xfId="32240"/>
    <cellStyle name="差_pq_~5631336" xfId="32241"/>
    <cellStyle name="差_jupite r設備&amp;治工具LIST (總)_Dolce設備治工具明細表(TE Update)_squirrel效益分析08-17" xfId="32242"/>
    <cellStyle name="差_jupite r設備&amp;治工具LIST (總)_flow chart 2009.12.12_~5631336" xfId="32243"/>
    <cellStyle name="差_jupite r設備&amp;治工具LIST (總)_flow chart 2009.12.12_Flow chart and Fixture(1-4)_Jackson 效益分析 (2-1 B0 上系統)_Leopard Flowchart &amp; 產能評估" xfId="32244"/>
    <cellStyle name="差_jupite r設備&amp;治工具LIST (總)_flow chart 2009.12.12_Flow chart and Fixture(Jackson)_A1" xfId="32245"/>
    <cellStyle name="差_jupite r設備&amp;治工具LIST (總)_flow chart 2009.12.12_Flow chart and Fixture(Jackson)_A1_Jackson 效益分析 (2-1 B0 上系統)" xfId="32246"/>
    <cellStyle name="差_jupite r設備&amp;治工具LIST (總)_flow chart 2009.12.12_Flow chart and Fixture(Jackson)_A1_Jackson 效益分析 (2-1 B0 上系統)_Leopard Flowchart &amp; 產能評估" xfId="32247"/>
    <cellStyle name="差_jupite r設備&amp;治工具LIST (總)_flow chart 2009.12.12_Flow chart and Fixture(Jackson)_A1_Jackson 效益分析 (2-1 B0 上系統)_squirrel效益分析08-17" xfId="32248"/>
    <cellStyle name="差_jupite r設備&amp;治工具LIST (總)_flow chart 2009.12.12_Flow Chart&amp;設備治工具清單 _Jackson 效益分析 (2-1 B0 上系統)" xfId="32249"/>
    <cellStyle name="差_jupite r設備&amp;治工具LIST (總)_flow chart 2009.12.12_Flow Chart&amp;設備治工具清單 _Jackson 效益分析 (2-1 B0 上系統)_Leopard效益分析08-17" xfId="32250"/>
    <cellStyle name="差_jupite r設備&amp;治工具LIST (總)_flow chart 2009.12.12_Flow Chart&amp;設備治工具清單 _Leopard效益分析08-17" xfId="32251"/>
    <cellStyle name="差_jupite r設備&amp;治工具LIST (總)_flow chart 2009.12.12_Flow Chart&amp;設備治工具清單 _squirrel效益分析08-17" xfId="32252"/>
    <cellStyle name="差_jupite r設備&amp;治工具LIST (總)_flow chart 2009.12.12_Jackson 效益分析 (2-1 B0 上系統)_Leopard Flowchart &amp; 產能評估" xfId="32253"/>
    <cellStyle name="差_jupite r設備&amp;治工具LIST (總)_flow chart 2009.12.12_Jackson 效益分析 (2-1 B0 上系統)_squirrel效益分析08-17" xfId="32254"/>
    <cellStyle name="差_jupite r設備&amp;治工具LIST (總)_flow chart 2009.12.12_Jackson 效益分析 testing update_16th Jan1_Jackson 效益分析 (2-1 B0 上系統)" xfId="32255"/>
    <cellStyle name="差_jupite r設備&amp;治工具LIST (總)_flow chart 2009.12.12_Jackson 效益分析 testing update_16th Jan1_Jackson 效益分析 (2-1 B0 上系統)_squirrel效益分析08-17" xfId="32256"/>
    <cellStyle name="差_jupite r設備&amp;治工具LIST (總)_flow chart 2009.12.12_Jackson 效益分析 testing update_16th Jan111_Jackson 效益分析 (2-1 B0 上系統)" xfId="32257"/>
    <cellStyle name="差_jupite r設備&amp;治工具LIST (總)_flow chart 2009.12.12_Jackson 效益分析 testing update_16th Jan111_Jackson 效益分析 (2-1 B0 上系統)_Leopard Flowchart &amp; 產能評估" xfId="32258"/>
    <cellStyle name="差_jupite r設備&amp;治工具LIST (總)_flow chart 2009.12.12_Leopard Flowchart &amp; 產能評估" xfId="32259"/>
    <cellStyle name="差_jupite r設備&amp;治工具LIST (總)_flow chart 2009.12.12_效益分析(總 12-28 Update)_Jackson 效益分析 (2-1 B0 上系統)" xfId="32260"/>
    <cellStyle name="差_jupite r設備&amp;治工具LIST (總)_flow chart 2009.12.12_效益分析(總 12-28 Update)_Jackson 效益分析 (2-1 B0 上系統)_Leopard Flowchart &amp; 產能評估" xfId="32261"/>
    <cellStyle name="差_jupite r設備&amp;治工具LIST (總)_flow chart 2009.12.12_效益分析(總 12-28 Update)_Jackson 效益分析 (2-1 B0 上系統)_squirrel效益分析08-17" xfId="32262"/>
    <cellStyle name="差_jupite r設備&amp;治工具LIST (總)_flow chart 2009.12.12_效益分析(總 12-28 Update)_Leopard Flowchart &amp; 產能評估" xfId="32263"/>
    <cellStyle name="差_jupite r設備&amp;治工具LIST (總)_flow chart 2009.12.12_效益分析(總 12-28 Update)_Leopard效益分析08-17" xfId="32264"/>
    <cellStyle name="差_jupite r設備&amp;治工具LIST (總)_flow chart 2009.12.12_效益分析(總 12-28 Update)_squirrel效益分析08-17" xfId="32265"/>
    <cellStyle name="差_jupite r設備&amp;治工具LIST (總)_Flow chart and Fixture(1-4)_Jackson 效益分析 (2-1 B0 上系統)" xfId="32266"/>
    <cellStyle name="差_jupite r設備&amp;治工具LIST (總)_Flow chart and Fixture(1-4)_Jackson 效益分析 (2-1 B0 上系統)_squirrel效益分析08-17" xfId="32267"/>
    <cellStyle name="差_jupite r設備&amp;治工具LIST (總)_Flow chart and Fixture(Jackson)_A1" xfId="32268"/>
    <cellStyle name="差_jupite r設備&amp;治工具LIST (總)_Flow chart and Fixture(Jackson)_A1_Jackson 效益分析 (2-1 B0 上系統)" xfId="32269"/>
    <cellStyle name="差_jupite r設備&amp;治工具LIST (總)_Flow chart and Fixture(Jackson)_A1_Jackson 效益分析 (2-1 B0 上系統)_Leopard效益分析08-17" xfId="32270"/>
    <cellStyle name="差_jupite r設備&amp;治工具LIST (總)_Flow Chart&amp;PQ分析(12-1)" xfId="32271"/>
    <cellStyle name="差_jupite r設備&amp;治工具LIST (總)_Flow Chart&amp;PQ分析(12-1)_~1159284" xfId="32272"/>
    <cellStyle name="差_jupite r設備&amp;治工具LIST (總)_Flow Chart&amp;PQ分析(12-1)_~5631336_Jackson 效益分析 (2-1 B0 上系統)_Leopard Flowchart &amp; 產能評估" xfId="32273"/>
    <cellStyle name="差_jupite r設備&amp;治工具LIST (總)_Flow Chart&amp;PQ分析(12-1)_~5631336_Jackson 效益分析 (2-1 B0 上系統)_Leopard效益分析08-17" xfId="32274"/>
    <cellStyle name="差_jupite r設備&amp;治工具LIST (總)_Flow Chart&amp;PQ分析(12-1)_~5631336_Jackson 效益分析 (2-1 B0 上系統)_squirrel效益分析08-17" xfId="32275"/>
    <cellStyle name="差_jupite r設備&amp;治工具LIST (總)_Flow Chart&amp;PQ分析(12-1)_Flow chart and Fixture(1-4)_Jackson 效益分析 (2-1 B0 上系統)_Leopard Flowchart &amp; 產能評估" xfId="32276"/>
    <cellStyle name="差_jupite r設備&amp;治工具LIST (總)_Flow Chart&amp;PQ分析(12-1)_Flow chart and Fixture(1-4)_Jackson 效益分析 (2-1 B0 上系統)_squirrel效益分析08-17" xfId="32277"/>
    <cellStyle name="差_jupite r設備&amp;治工具LIST (總)_Flow Chart&amp;PQ分析(12-1)_Flow Chart&amp;設備治工具清單 _Jackson 效益分析 (2-1 B0 上系統)" xfId="32278"/>
    <cellStyle name="差_jupite r設備&amp;治工具LIST (總)_Flow Chart&amp;PQ分析(12-1)_Jackson 效益分析 (1-18 A7)" xfId="32279"/>
    <cellStyle name="差_jupite r設備&amp;治工具LIST (總)_Flow Chart&amp;PQ分析(12-1)_Jackson 效益分析 testing update_16th Jan1_Jackson 效益分析 (2-1 B0 上系統)_Leopard效益分析08-17" xfId="32280"/>
    <cellStyle name="差_jupite r設備&amp;治工具LIST (總)_Flow Chart&amp;PQ分析(12-1)_Jackson 效益分析 testing update_16th Jan1_Jackson 效益分析 (2-1 B0 上系統)_squirrel效益分析08-17" xfId="32281"/>
    <cellStyle name="差_jupite r設備&amp;治工具LIST (總)_Flow Chart&amp;PQ分析(12-1)_Jackson 效益分析 testing update_16th Jan111_Jackson 效益分析 (2-1 B0 上系統)_Leopard Flowchart &amp; 產能評估" xfId="32282"/>
    <cellStyle name="差_jupite r設備&amp;治工具LIST (總)_Flow Chart&amp;PQ分析(12-1)_Jackson 效益分析 testing update_16th Jan111_Jackson 效益分析 (2-1 B0 上系統)_squirrel效益分析08-17" xfId="32283"/>
    <cellStyle name="差_jupite r設備&amp;治工具LIST (總)_Flow Chart&amp;PQ分析(12-1)_squirrel效益分析08-17" xfId="32284"/>
    <cellStyle name="差_jupite r設備&amp;治工具LIST (總)_Flow Chart&amp;PQ分析(12-1)_效益分析(總 12-28 Update)_Jackson 效益分析 (2-1 B0 上系統)_squirrel效益分析08-17" xfId="32285"/>
    <cellStyle name="差_jupite r設備&amp;治工具LIST (總)_Flow Chart&amp;PQ分析(12-1)_效益分析(總 12-28 Update)_squirrel效益分析08-17" xfId="32286"/>
    <cellStyle name="差_jupite r設備&amp;治工具LIST (總)_Flow Chart&amp;設備治工具清單 " xfId="32287"/>
    <cellStyle name="差_Xl0000000_Squirrel UniBom-06.23.2010_update_internal_Bolt RFQ Proposal_Foxlink_ (Pricing Summary) 2 25 2011 5" xfId="32288"/>
    <cellStyle name="差_jupite r設備&amp;治工具LIST (總)_Flow Chart&amp;設備治工具清單 _Jackson 效益分析 (2-1 B0 上系統)" xfId="32289"/>
    <cellStyle name="差_jupite r設備&amp;治工具LIST (總)_Flow Chart&amp;設備治工具清單 _Jackson 效益分析 (2-1 B0 上系統)_Leopard Flowchart &amp; 產能評估" xfId="32290"/>
    <cellStyle name="差_jupite r設備&amp;治工具LIST (總)_Flow Chart&amp;設備治工具清單 _Leopard Flowchart &amp; 產能評估" xfId="32291"/>
    <cellStyle name="差_jupite r設備&amp;治工具LIST (總)_Flow Chart&amp;設備治工具清單 _Leopard效益分析08-17" xfId="32292"/>
    <cellStyle name="差_Leopard Flowchart &amp; 產能評估" xfId="32293"/>
    <cellStyle name="差_jupite r設備&amp;治工具LIST (總)_Flow Chart(shadow) A3 _~1159284" xfId="32294"/>
    <cellStyle name="差_jupite r設備&amp;治工具LIST (總)_Flow Chart(shadow) A3 _Jackson 效益分析 (2-1 B0 上系統)_squirrel效益分析08-17" xfId="32295"/>
    <cellStyle name="差_jupite r設備&amp;治工具LIST (總)_Flow Chart(shadow) A3 _Leopard Flowchart &amp; 產能評估" xfId="32296"/>
    <cellStyle name="差_jupite r設備&amp;治工具LIST (總)_Flow Chart(shadow) A3 _Leopard效益分析08-17" xfId="32297"/>
    <cellStyle name="差_jupite r設備&amp;治工具LIST (總)_Flow Chart(shadow) A3 _squirrel效益分析08-17" xfId="32298"/>
    <cellStyle name="差_jupite r設備&amp;治工具LIST (總)_Flow Chart(shadow)-b (1-4 Update)_Jackson 效益分析 (2-1 B0 上系統)_Leopard Flowchart &amp; 產能評估" xfId="32299"/>
    <cellStyle name="差_Xl0000000_Leopard RFQ ME BOM Costs-0618_Bolt RFQ Proposal_Foxlink_ (Pricing Summary) 2 25 2011 7" xfId="32300"/>
    <cellStyle name="差_jupite r設備&amp;治工具LIST (總)_Flow Chart(shadow)-b (1-4 Update)_Jackson 效益分析 (2-1 B0 上系統)_Leopard效益分析08-17" xfId="32301"/>
    <cellStyle name="差_jupite r設備&amp;治工具LIST (總)_Flow Chart(shadow)-b (1-4 Update)_Leopard效益分析08-17" xfId="32302"/>
    <cellStyle name="差_jupite r設備&amp;治工具LIST (總)_Flow Chart(shadow)-b (1-4 Update)_squirrel效益分析08-17" xfId="32303"/>
    <cellStyle name="差_jupite r設備&amp;治工具LIST (總)_Jackson 效益分析 (2-1 B0 上系統)_Leopard Flowchart &amp; 產能評估" xfId="32304"/>
    <cellStyle name="差_jupite r設備&amp;治工具LIST (總)_Jackson 效益分析 (2-1 B0 上系統)_Leopard效益分析08-17" xfId="32305"/>
    <cellStyle name="差_jupite r設備&amp;治工具LIST (總)_Jackson 效益分析 (2-1 B0 上系統)_squirrel效益分析08-17" xfId="32306"/>
    <cellStyle name="差_jupite r設備&amp;治工具LIST (總)_Jackson 效益分析 testing update_16th Jan1_Jackson 效益分析 (2-1 B0 上系統)_Leopard效益分析08-17" xfId="32307"/>
    <cellStyle name="差_jupite r設備&amp;治工具LIST (總)_Jackson 效益分析 testing update_16th Jan1_Jackson 效益分析 (2-1 B0 上系統)_squirrel效益分析08-17" xfId="32308"/>
    <cellStyle name="差_jupite r設備&amp;治工具LIST (總)_Jackson 效益分析 testing update_16th Jan111_Jackson 效益分析 (2-1 B0 上系統)_Leopard Flowchart &amp; 產能評估" xfId="32309"/>
    <cellStyle name="差_jupite r設備&amp;治工具LIST (總)_pq" xfId="32310"/>
    <cellStyle name="差_jupite r設備&amp;治工具LIST (總)_pq_~1159284" xfId="32311"/>
    <cellStyle name="差_jupite r設備&amp;治工具LIST (總)_pq_Flow chart and Fixture(1-4)" xfId="32312"/>
    <cellStyle name="差_jupite r設備&amp;治工具LIST (總)_pq_Flow chart and Fixture(1-4)_Jackson 效益分析 (2-1 B0 上系統)" xfId="32313"/>
    <cellStyle name="差_jupite r設備&amp;治工具LIST (總)_pq_Flow chart and Fixture(1-4)_Jackson 效益分析 (2-1 B0 上系統)_squirrel效益分析08-17" xfId="32314"/>
    <cellStyle name="差_jupite r設備&amp;治工具LIST (總)_pq_Flow chart and Fixture(Jackson)_A1_Jackson 效益分析 (2-1 B0 上系統)_Leopard效益分析08-17" xfId="32315"/>
    <cellStyle name="差_jupite r設備&amp;治工具LIST (總)_pq_Flow Chart&amp;設備治工具清單 _~1159284" xfId="32316"/>
    <cellStyle name="差_jupite r設備&amp;治工具LIST (總)_pq_Flow Chart&amp;設備治工具清單 _Jackson 效益分析 (2-1 B0 上系統)_Leopard效益分析08-17" xfId="32317"/>
    <cellStyle name="差_jupite r設備&amp;治工具LIST (總)_pq_Flow Chart&amp;設備治工具清單 _Leopard效益分析08-17" xfId="32318"/>
    <cellStyle name="差_jupite r設備&amp;治工具LIST (總)_pq_Jackson 效益分析 (1-18 A7)" xfId="32319"/>
    <cellStyle name="差_jupite r設備&amp;治工具LIST (總)_pq_Jackson 效益分析 (2-1 B0 上系統)" xfId="32320"/>
    <cellStyle name="差_jupite r設備&amp;治工具LIST (總)_pq_Jackson 效益分析 (2-1 B0 上系統)_Leopard Flowchart &amp; 產能評估" xfId="32321"/>
    <cellStyle name="差_jupite r設備&amp;治工具LIST (總)_pq_Jackson 效益分析 (2-1 B0 上系統)_squirrel效益分析08-17" xfId="32322"/>
    <cellStyle name="差_Xl0000000_Bolt RFQ_Foxlink_03.1 2011 5" xfId="32323"/>
    <cellStyle name="差_jupite r設備&amp;治工具LIST (總)_pq_Jackson 效益分析 testing update_16th Jan1_Jackson 效益分析 (2-1 B0 上系統)_squirrel效益分析08-17" xfId="32324"/>
    <cellStyle name="差_jupite r設備&amp;治工具LIST (總)_pq_Jackson 效益分析 testing update_16th Jan111" xfId="32325"/>
    <cellStyle name="差_jupite r設備&amp;治工具LIST (總)_pq_效益分析(總 12-28 Update)_~1159284" xfId="32326"/>
    <cellStyle name="差_jupite r設備&amp;治工具LIST (總)_pq_效益分析(總 12-28 Update)_Jackson 效益分析 (2-1 B0 上系統)" xfId="32327"/>
    <cellStyle name="差_jupite r設備&amp;治工具LIST (總)_pq_效益分析(總 12-28 Update)_Jackson 效益分析 (2-1 B0 上系統)_Leopard Flowchart &amp; 產能評估" xfId="32328"/>
    <cellStyle name="差_jupite r設備&amp;治工具LIST (總)_pq_效益分析(總 12-28 Update)_Jackson 效益分析 (2-1 B0 上系統)_Leopard效益分析08-17" xfId="32329"/>
    <cellStyle name="差_jupite r設備&amp;治工具LIST (總)_pq_效益分析(總 12-28 Update)_Leopard Flowchart &amp; 產能評估" xfId="32330"/>
    <cellStyle name="差_jupite r設備&amp;治工具LIST (總)_pq_效益分析(總 12-28 Update)_Leopard效益分析08-17" xfId="32331"/>
    <cellStyle name="差_jupite r設備&amp;治工具LIST (總)_squirrel效益分析08-17" xfId="32332"/>
    <cellStyle name="差_jupite r設備&amp;治工具LIST (總)_效益分析 (12-9 A1)_Jackson 效益分析 (2-1 B0 上系統)_Leopard效益分析08-17" xfId="32333"/>
    <cellStyle name="差_jupite r設備&amp;治工具LIST (總)_效益分析 (12-9 A1)_Jackson 效益分析 (2-1 B0 上系統)_squirrel效益分析08-17" xfId="32334"/>
    <cellStyle name="差_Xl0000002_Leopard_UniBOM_ME_0531_Bolt RFQ_Foxlink_03.1 2011_nego meeting@MACH 5" xfId="32335"/>
    <cellStyle name="差_jupite r設備&amp;治工具LIST (總)_效益分析(總 12-28 Update)_~1159284" xfId="32336"/>
    <cellStyle name="差_jupite r設備&amp;治工具LIST (總)_效益分析(總 12-28 Update)_Jackson 效益分析 (2-1 B0 上系統)" xfId="32337"/>
    <cellStyle name="差_jupite r設備&amp;治工具LIST (總)_效益分析(總 12-28 Update)_Jackson 效益分析 (2-1 B0 上系統)_Leopard Flowchart &amp; 產能評估" xfId="32338"/>
    <cellStyle name="差_jupite r設備&amp;治工具LIST (總)_效益分析(總 12-28 Update)_Jackson 效益分析 (2-1 B0 上系統)_Leopard效益分析08-17" xfId="32339"/>
    <cellStyle name="差_jupite r設備&amp;治工具LIST (總)_效益分析(總 12-28 Update)_Jackson 效益分析 (2-1 B0 上系統)_squirrel效益分析08-17" xfId="32340"/>
    <cellStyle name="差_jupite r設備&amp;治工具LIST (總)_效益分析(總 12-28 Update)_Leopard Flowchart &amp; 產能評估" xfId="32341"/>
    <cellStyle name="差_jupite r設備&amp;治工具LIST (總)_效益分析(總 12-28 Update)_squirrel效益分析08-17" xfId="32342"/>
    <cellStyle name="差_Leopard_BOM_POC1_20100813 with cost and PN" xfId="32343"/>
    <cellStyle name="差_LLS Project Tracker internal 1108" xfId="32344"/>
    <cellStyle name="差_MB9月管審換線超時8d" xfId="32345"/>
    <cellStyle name="差_效益分析&amp;產能評估_M1 SuedeFixtureEquipment Cost_A0_2010_10_15 2 2" xfId="32346"/>
    <cellStyle name="差_MB9月管審換線超時8d 2 2 2" xfId="32347"/>
    <cellStyle name="差_效益分析&amp;產能評估_M1 SuedeFixtureEquipment Cost_A0_2010_10_15 2 2 2" xfId="32348"/>
    <cellStyle name="差_MB9月管審換線超時8d 2 2 2 2" xfId="32349"/>
    <cellStyle name="差_效益分析&amp;產能評估_M1 SuedeFixtureEquipment Cost_A0_2010_10_15 2 2 3" xfId="32350"/>
    <cellStyle name="差_MB9月管審換線超時8d 2 2 2 3" xfId="32351"/>
    <cellStyle name="差_效益分析&amp;產能評估_M1 SuedeFixtureEquipment Cost_A0_2010_10_15 3" xfId="32352"/>
    <cellStyle name="壞_Creek EE BOM cost_20090425_Squirrel RFQ ME BOM Costs-0623_Bolt RFQ Proposal_Foxlink_ (Pricing Summary) 2 25 2011 2" xfId="32353"/>
    <cellStyle name="差_MB9月管審換線超時8d 2 3" xfId="32354"/>
    <cellStyle name="差_效益分析&amp;產能評估_M1 SuedeFixtureEquipment Cost_A0_2010_10_15 3 3" xfId="32355"/>
    <cellStyle name="壞_Creek EE BOM cost_20090425_Squirrel RFQ ME BOM Costs-0623_Bolt RFQ Proposal_Foxlink_ (Pricing Summary) 2 25 2011 2 3" xfId="32356"/>
    <cellStyle name="差_MB9月管審換線超時8d 2 3 3" xfId="32357"/>
    <cellStyle name="差_MB9月管審換線超時8d 3 2 2" xfId="32358"/>
    <cellStyle name="差_MB9月管審換線超時8d 3 2 3" xfId="32359"/>
    <cellStyle name="差_MB9月管審換線超時8d 3 3" xfId="32360"/>
    <cellStyle name="差_MB9月管審換線超時8d 6" xfId="32361"/>
    <cellStyle name="差_效益分析&amp;產能評估_MS Bolt wireless mouse FixtureEquipment Cost_A5_2010_02_21_Bolt RFQ Proposal_Foxlink_ (Pricing Summary) 2 25 2011 2 4" xfId="32362"/>
    <cellStyle name="差_MB9月管審換線超時8d_2009MB KPI_MBO3F製造部hp0209-01" xfId="32363"/>
    <cellStyle name="差_MB9月管審換線超時8d_2009MB KPI_MBO3F製造部hp0209-01 2 2" xfId="32364"/>
    <cellStyle name="差_MB9月管審換線超時8d_2009MB KPI_MBO3F製造部hp0209-01 2 2 2" xfId="32365"/>
    <cellStyle name="差_MB9月管審換線超時8d_2009MB KPI_MBO3F製造部hp0209-01 2 2 2 2" xfId="32366"/>
    <cellStyle name="差_MB9月管審換線超時8d_2009MB KPI_MBO3F製造部hp0209-01 2 2 2 3" xfId="32367"/>
    <cellStyle name="差_MB9月管審換線超時8d_2009MB KPI_MBO3F製造部hp0209-01 2 2 3" xfId="32368"/>
    <cellStyle name="差_MB9月管審換線超時8d_2009MB KPI_MBO3F製造部hp0209-01 2 5" xfId="32369"/>
    <cellStyle name="差_MB9月管審換線超時8d_2009MB KPI_MBO3F製造部hp0209-01 3" xfId="32370"/>
    <cellStyle name="差_MB9月管審換線超時8d_2009MB KPI_MBO3F製造部hp0209-01 3 2" xfId="32371"/>
    <cellStyle name="差_MB9月管審換線超時8d_2009MB KPI_MBO3F製造部hp0209-01 3 4" xfId="32372"/>
    <cellStyle name="差_MB9月管審換線超時8d_2009MB KPI_MBO3F製造部hp0209-01 4" xfId="32373"/>
    <cellStyle name="差_MB9月管審換線超時8d_2009MB KPI_MBO3F製造部hp0209-01 5 2 2" xfId="32374"/>
    <cellStyle name="差_MB9月管審換線超時8d_2009MB KPI_MBO3F製造部hp0209-01 5 2 3" xfId="32375"/>
    <cellStyle name="差_MB9月管審換線超時8d_2009MB KPI_MBO3F製造部hp0209-01 5 3" xfId="32376"/>
    <cellStyle name="差_MB9月管審換線超時8d_2009MB KPI_MBO3F製造部hp0209-01 6 3" xfId="32377"/>
    <cellStyle name="差_MB9月管審換線超時8d_HP" xfId="32378"/>
    <cellStyle name="差_MB9月管審換線超時8d_HP 2 2" xfId="32379"/>
    <cellStyle name="差_MB9月管審換線超時8d_HP 2 2 2" xfId="32380"/>
    <cellStyle name="差_MB9月管審換線超時8d_HP 2 2 2 2" xfId="32381"/>
    <cellStyle name="差_MB9月管審換線超時8d_HP 2 2 2 3" xfId="32382"/>
    <cellStyle name="差_MB9月管審換線超時8d_HP 2 2 3" xfId="32383"/>
    <cellStyle name="差_MB9月管審換線超時8d_HP 3" xfId="32384"/>
    <cellStyle name="差_MB9月管審換線超時8d_HP 3 2" xfId="32385"/>
    <cellStyle name="差_MB9月管審換線超時8d_HP 3 4" xfId="32386"/>
    <cellStyle name="差_MB9月管審換線超時8d_HP 4" xfId="32387"/>
    <cellStyle name="差_MB9月管審換線超時8d_HP 5 2" xfId="32388"/>
    <cellStyle name="差_MB9月管審換線超時8d_HP 5 2 3" xfId="32389"/>
    <cellStyle name="差_MB9月管審換線超時8d_HP 5 3" xfId="32390"/>
    <cellStyle name="差_MB9月管審換線超時8d_HP 5 4" xfId="32391"/>
    <cellStyle name="差_MB9月管審換線超時8d_HP 6" xfId="32392"/>
    <cellStyle name="差_MB9月管審誤判超標 8D" xfId="32393"/>
    <cellStyle name="差_MB9月管審誤判超標 8D 2" xfId="32394"/>
    <cellStyle name="差_MB9月管審誤判超標 8D 2 2 2 2" xfId="32395"/>
    <cellStyle name="差_MB9月管審誤判超標 8D 2 2 2 3" xfId="32396"/>
    <cellStyle name="差_MB9月管審誤判超標 8D 2 2 4" xfId="32397"/>
    <cellStyle name="差_MB9月管審誤判超標 8D 2 3 3" xfId="32398"/>
    <cellStyle name="差_MB9月管審誤判超標 8D 3" xfId="32399"/>
    <cellStyle name="差_MB9月管審誤判超標 8D 3 2 2" xfId="32400"/>
    <cellStyle name="差_MB9月管審誤判超標 8D 3 2 3" xfId="32401"/>
    <cellStyle name="差_MB9月管審誤判超標 8D 3 3" xfId="32402"/>
    <cellStyle name="差_MB9月管審誤判超標 8D 3 4" xfId="32403"/>
    <cellStyle name="差_MB9月管審誤判超標 8D 5" xfId="32404"/>
    <cellStyle name="差_MB9月管審誤判超標 8D 5 2" xfId="32405"/>
    <cellStyle name="差_MB9月管審誤判超標 8D 6" xfId="32406"/>
    <cellStyle name="差_MB9月管審誤判超標 8D_2009MB KPI_MBO3F製造部hp0209-01" xfId="32407"/>
    <cellStyle name="差_MB9月管審誤判超標 8D_2009MB KPI_MBO3F製造部hp0209-01 2" xfId="32408"/>
    <cellStyle name="差_MB9月管審誤判超標 8D_2009MB KPI_MBO3F製造部hp0209-01 2 2" xfId="32409"/>
    <cellStyle name="差_MB9月管審誤判超標 8D_2009MB KPI_MBO3F製造部hp0209-01 2 2 2" xfId="32410"/>
    <cellStyle name="差_MB9月管審誤判超標 8D_2009MB KPI_MBO3F製造部hp0209-01 2 2 3" xfId="32411"/>
    <cellStyle name="差_MB9月管審誤判超標 8D_2009MB KPI_MBO3F製造部hp0209-01 2 2 4" xfId="32412"/>
    <cellStyle name="差_MB9月管審誤判超標 8D_2009MB KPI_MBO3F製造部hp0209-01 2 3 3" xfId="32413"/>
    <cellStyle name="差_MB9月管審誤判超標 8D_2009MB KPI_MBO3F製造部hp0209-01 2 5" xfId="32414"/>
    <cellStyle name="差_MB9月管審誤判超標 8D_2009MB KPI_MBO3F製造部hp0209-01 3 2" xfId="32415"/>
    <cellStyle name="差_MB9月管審誤判超標 8D_2009MB KPI_MBO3F製造部hp0209-01 3 2 3" xfId="32416"/>
    <cellStyle name="差_MB9月管審誤判超標 8D_2009MB KPI_MBO3F製造部hp0209-01 5" xfId="32417"/>
    <cellStyle name="差_MB9月管審誤判超標 8D_2009MB KPI_MBO3F製造部hp0209-01 6 2" xfId="32418"/>
    <cellStyle name="差_MB9月管審誤判超標 8D_HP 2 2" xfId="32419"/>
    <cellStyle name="差_MB9月管審誤判超標 8D_HP 2 2 4" xfId="32420"/>
    <cellStyle name="差_MB9月管審誤判超標 8D_HP 2 3 2" xfId="32421"/>
    <cellStyle name="差_MB9月管審誤判超標 8D_HP 2 5" xfId="32422"/>
    <cellStyle name="差_MB9月管審誤判超標 8D_HP 3 2" xfId="32423"/>
    <cellStyle name="差_MB9月管審誤判超標 8D_HP 3 2 2" xfId="32424"/>
    <cellStyle name="差_MB9月管審誤判超標 8D_HP 5 2" xfId="32425"/>
    <cellStyle name="差_MB9月管審誤判超標 8D_HP 5 2 2" xfId="32426"/>
    <cellStyle name="差_MB9月管審誤判超標 8D_HP 5 2 3" xfId="32427"/>
    <cellStyle name="差_MB9月管審誤判超標 8D_HP 6 2" xfId="32428"/>
    <cellStyle name="差_MS Bolt wireless mouse FixtureEquipment Cost_A5_2010_02_21 2" xfId="32429"/>
    <cellStyle name="差_MS Bolt wireless mouse FixtureEquipment Cost_A5_2010_02_21 2 2 2" xfId="32430"/>
    <cellStyle name="差_MS Bolt wireless mouse FixtureEquipment Cost_A5_2010_02_21 2 2 3" xfId="32431"/>
    <cellStyle name="差_MS Bolt wireless mouse FixtureEquipment Cost_A5_2010_02_21 3" xfId="32432"/>
    <cellStyle name="差_MS Bolt wireless mouse FixtureEquipment Cost_A5_2010_02_21 3 3" xfId="32433"/>
    <cellStyle name="差_MS Bolt wireless mouse FixtureEquipment Cost_A5_2010_02_21 5" xfId="32434"/>
    <cellStyle name="差_MS Bolt wireless mouse FixtureEquipment Cost_A5_2010_02_21_Bolt RFQ_Foxlink_03.1 2011 2 3" xfId="32435"/>
    <cellStyle name="差_MS Bolt wireless mouse FixtureEquipment Cost_A5_2010_02_21_Bolt RFQ_Foxlink_03.1 2011 3" xfId="32436"/>
    <cellStyle name="差_MS Bolt wireless mouse FixtureEquipment Cost_A5_2010_02_21_Bolt RFQ_Foxlink_03.1 2011 3 2" xfId="32437"/>
    <cellStyle name="差_MS Bolt wireless mouse FixtureEquipment Cost_A5_2010_02_21_Bolt RFQ_Foxlink_03.1 2011_nego meeting@MACH 2 3" xfId="32438"/>
    <cellStyle name="差_Oslo Quark Certification 20100312_Bristol UniBom_Foxlink_02082011 RevA" xfId="32439"/>
    <cellStyle name="差_Oslo Quark Certification 20100312_Leopard UniBom_Foxlink_12092010 RevD-jen" xfId="32440"/>
    <cellStyle name="差_pq_~5631336_Jackson 效益分析 (2-1 B0 上系統)" xfId="32441"/>
    <cellStyle name="差_pq_~5631336_Jackson 效益分析 (2-1 B0 上系統)_Leopard Flowchart &amp; 產能評估" xfId="32442"/>
    <cellStyle name="差_pq_Flow chart and Fixture(1-4)" xfId="32443"/>
    <cellStyle name="差_pq_Flow chart and Fixture(1-4)_Jackson 效益分析 (2-1 B0 上系統)_Leopard Flowchart &amp; 產能評估" xfId="32444"/>
    <cellStyle name="差_Xl0000000_Foxlink_Shadow RFQ NREUni BOM_12032009 2 2" xfId="32445"/>
    <cellStyle name="差_pq_Flow chart and Fixture(1-4)_Jackson 效益分析 (2-1 B0 上系統)_Leopard效益分析08-17" xfId="32446"/>
    <cellStyle name="差_pq_Flow chart and Fixture(Jackson)_A1_Jackson 效益分析 (2-1 B0 上系統)" xfId="32447"/>
    <cellStyle name="差_pq_Flow chart and Fixture(Jackson)_A1_Jackson 效益分析 (2-1 B0 上系統)_squirrel效益分析08-17" xfId="32448"/>
    <cellStyle name="差_pq_Flow Chart&amp;設備治工具清單 _~1159284" xfId="32449"/>
    <cellStyle name="差_pq_Flow Chart&amp;設備治工具清單 _Jackson 效益分析 (2-1 B0 上系統)_Leopard Flowchart &amp; 產能評估" xfId="32450"/>
    <cellStyle name="差_pq_Flow Chart&amp;設備治工具清單 _Leopard效益分析08-17" xfId="32451"/>
    <cellStyle name="差_pq_Jackson 效益分析 (2-1 B0 上系統)_squirrel效益分析08-17" xfId="32452"/>
    <cellStyle name="差_pq_Jackson 效益分析 testing update_16th Jan1_Jackson 效益分析 (2-1 B0 上系統)" xfId="32453"/>
    <cellStyle name="差_pq_Jackson 效益分析 testing update_16th Jan1_Jackson 效益分析 (2-1 B0 上系統)_Leopard Flowchart &amp; 產能評估" xfId="32454"/>
    <cellStyle name="差_pq_Jackson 效益分析 testing update_16th Jan1_Jackson 效益分析 (2-1 B0 上系統)_squirrel效益分析08-17" xfId="32455"/>
    <cellStyle name="差_pq_Jackson 效益分析 testing update_16th Jan111" xfId="32456"/>
    <cellStyle name="差_pq_Jackson 效益分析 testing update_16th Jan111_Jackson 效益分析 (2-1 B0 上系統)" xfId="32457"/>
    <cellStyle name="差_pq_squirrel效益分析08-17" xfId="32458"/>
    <cellStyle name="差_pq_效益分析(總 12-28 Update)_Jackson 效益分析 (2-1 B0 上系統)" xfId="32459"/>
    <cellStyle name="差_pq_效益分析(總 12-28 Update)_Jackson 效益分析 (2-1 B0 上系統)_Leopard Flowchart &amp; 產能評估" xfId="32460"/>
    <cellStyle name="差_pq_效益分析(總 12-28 Update)_Jackson 效益分析 (2-1 B0 上系統)_Leopard效益分析08-17" xfId="32461"/>
    <cellStyle name="壞_Creek Assembly Fixture  Test Equipment RFQ_20090427_Xl0000002_Leopard_UniBOM_ME_0602_Bolt RFQ Proposal_Foxlink_ (Pricing Summary) 2 25 2011 2 2" xfId="32462"/>
    <cellStyle name="差_pq_效益分析(總 12-28 Update)_Jackson 效益分析 (2-1 B0 上系統)_squirrel效益分析08-17" xfId="32463"/>
    <cellStyle name="差_pq_效益分析(總 12-28 Update)_Leopard效益分析08-17" xfId="32464"/>
    <cellStyle name="差_Rio QA Report-1.25_Suede QA report for EV2.1 _20110301_Update" xfId="32465"/>
    <cellStyle name="差_RIO Trial run (Pre-PV 100PCS) QA Report-0610" xfId="32466"/>
    <cellStyle name="差_RIO Trial run (Pre-PV 100PCS) QA Report-0610_Dolce   QA Report 2010_0902" xfId="32467"/>
    <cellStyle name="差_RIO Trial run (Pre-PV 100PCS) QA Report-0610_Dolce   QA Report 2010_0902 (A3)" xfId="32468"/>
    <cellStyle name="差_RIO Trial run (Pre-PV 100PCS) QA Report-0610_Dolce   QA Report 2010_0902 (A3)_~7519239" xfId="32469"/>
    <cellStyle name="差_RIO Trial run (Pre-PV 100PCS) QA Report-0610_Rio QA Report-8.12" xfId="32470"/>
    <cellStyle name="差_RIO Trial run (Pre-PV 100PCS) QA Report-0610_Rio QA Report-8.12_Dolce   QA Report 2010_0902 (A3)_Dolce   QA Report 2010_0902" xfId="32471"/>
    <cellStyle name="差_RIO Trial run (Pre-PV 100PCS) QA Report-0610_Rio QA Report-8.12_Xl0000010" xfId="32472"/>
    <cellStyle name="差_RIO Trial run (Pre-PV 100PCS) QA Report-0610_Rio QA Report-8.27" xfId="32473"/>
    <cellStyle name="差_RIO Trial run (Pre-PV 100PCS) QA Report-0610_Rio QA Report-8.27_Dolce   QA Report 2010_0902" xfId="32474"/>
    <cellStyle name="差_RIO Trial run (Pre-PV 100PCS) QA Report-0610_Rio QA Report-8.27_Dolce   QA Report 2010_0902 (A3)" xfId="32475"/>
    <cellStyle name="输出 2 2 2 3" xfId="32476"/>
    <cellStyle name="差_RIO Trial run (Pre-PV 100PCS) QA Report-0610_Rio QA Report-8.27_Dolce   QA Report 2010_0902 (A3)_~7519239" xfId="32477"/>
    <cellStyle name="差_RIO Trial run (Pre-PV 100PCS) QA Report-0610_Rio QA Report-8.27_Dolce   QA Report 2010_0902 (A3)_Dolce   QA Report 2010_0902" xfId="32478"/>
    <cellStyle name="差_治具工程課2009年KPI_2009MB KPI-0205 2 3" xfId="32479"/>
    <cellStyle name="差_RIO Trial run (Pre-PV 100PCS) QA Report-0610_Rio QA Report-8.27_Suede QA report for EV2.1 _20110301_Update" xfId="32480"/>
    <cellStyle name="差_RIO Trial run (Pre-PV 100PCS) QA Report-0610_Rio QA Report-8.27_Xl0000010" xfId="32481"/>
    <cellStyle name="差_RIO Trial run QA Report-7.21（SEA97217)_Dolce   QA Report 2010_0902 (A3)" xfId="32482"/>
    <cellStyle name="差_RIO Trial run QA Report-7.21（SEA97217)_Dolce   QA Report 2010_0902 (A3)_Dolce   QA Report 2010_0902" xfId="32483"/>
    <cellStyle name="差_RIO Trial run QA Report-7.21（SEA97217)_Dolce   QA Report 2010_0902_~7519239" xfId="32484"/>
    <cellStyle name="差_Squirrel EV1 Cross build plan 2010_10_08" xfId="32485"/>
    <cellStyle name="差_Squirrel UniBom-06.23.2010_update_internal" xfId="32486"/>
    <cellStyle name="差_Squirrel UniBom-06.23.2010_update_internal 2 2" xfId="32487"/>
    <cellStyle name="差_Squirrel UniBom-06.23.2010_update_internal 2 2 3" xfId="32488"/>
    <cellStyle name="差_Squirrel UniBom-06.23.2010_update_internal 2 4" xfId="32489"/>
    <cellStyle name="差_Squirrel UniBom-06.23.2010_update_internal 3 2" xfId="32490"/>
    <cellStyle name="差_Squirrel UniBom-06.23.2010_update_internal_Bolt RFQ Proposal_Foxlink_ (Pricing Summary) 2 25 2011 2 2 2" xfId="32491"/>
    <cellStyle name="差_Squirrel UniBom-06.23.2010_update_internal_Bolt RFQ Proposal_Foxlink_ (Pricing Summary) 2 25 2011 2 3" xfId="32492"/>
    <cellStyle name="差_Squirrel UniBom-06.23.2010_update_internal_Bolt RFQ Proposal_Foxlink_ (Pricing Summary) 2 25 2011 3 3" xfId="32493"/>
    <cellStyle name="差_Squirrel UniBom-06.23.2010_update_internal_Bolt RFQ Proposal_Foxlink_ (Pricing Summary) 2 25 2011 4" xfId="32494"/>
    <cellStyle name="差_Squirrel UniBom-06.23.2010_update_internal_Bolt RFQ Proposal_Foxlink_ (Pricing Summary) 2 25 2011 4 3" xfId="32495"/>
    <cellStyle name="差_Squirrel UniBom-06.23.2010_update_internal_Bolt RFQ Proposal_Foxlink_ (Pricing Summary) 2 25 2011 5" xfId="32496"/>
    <cellStyle name="差_Squirrel UniBom-06.23.2010_update_internal_Bolt RFQ Proposal_Foxlink_ (Pricing Summary) 2 25 2011 5 2" xfId="32497"/>
    <cellStyle name="差_Squirrel UniBom-06.23.2010_update_internal_Bolt RFQ Proposal_Foxlink_ (Pricing Summary) 2 25 2011 6" xfId="32498"/>
    <cellStyle name="差_Squirrel UniBom-06.23.2010_update_internal_Bolt RFQ Proposal_Foxlink_ (Pricing Summary) 2 25 2011 7" xfId="32499"/>
    <cellStyle name="差_Squirrel UniBom-06.23.2010_update_internal_Bolt RFQ_Foxlink_03.1 2011" xfId="32500"/>
    <cellStyle name="差_Squirrel UniBom-06.23.2010_update_internal_Bolt RFQ_Foxlink_03.1 2011 2" xfId="32501"/>
    <cellStyle name="差_Squirrel UniBom-06.23.2010_update_internal_Bolt RFQ_Foxlink_03.1 2011 2 2" xfId="32502"/>
    <cellStyle name="差_Squirrel UniBom-06.23.2010_update_internal_Bolt RFQ_Foxlink_03.1 2011 2 3" xfId="32503"/>
    <cellStyle name="差_Squirrel UniBom-06.23.2010_update_internal_Bolt RFQ_Foxlink_03.1 2011 3" xfId="32504"/>
    <cellStyle name="差_Squirrel UniBom-06.23.2010_update_internal_Bolt RFQ_Foxlink_03.1 2011 3 2" xfId="32505"/>
    <cellStyle name="差_Squirrel UniBom-06.23.2010_update_internal_Bolt RFQ_Foxlink_03.1 2011 3 3" xfId="32506"/>
    <cellStyle name="差_Squirrel UniBom-06.23.2010_update_internal_Bolt RFQ_Foxlink_03.1 2011_nego meeting@MACH" xfId="32507"/>
    <cellStyle name="差_Squirrel UniBom-06.23.2010_update_internal_Bolt RFQ_Foxlink_03.1 2011_nego meeting@MACH 2 2" xfId="32508"/>
    <cellStyle name="差_Squirrel UniBom-06.23.2010_update_internal_Bolt RFQ_Foxlink_03.1 2011_nego meeting@MACH 2 3" xfId="32509"/>
    <cellStyle name="差_Squirrel UniBom-06.23.2010_update_internal_Bolt RFQ_Foxlink_03.1 2011_nego meeting@MACH 3 2" xfId="32510"/>
    <cellStyle name="差_Stream Package Quotation_20090311_Bolt EE tracker 20110421" xfId="32511"/>
    <cellStyle name="差_Suede QA report for EV2.1 _20110301_Update" xfId="32512"/>
    <cellStyle name="差_Wedge_ME_BOM-v00-11v0630 2 2" xfId="32513"/>
    <cellStyle name="差_Wedge_ME_BOM-v00-11v0630 2 3" xfId="32514"/>
    <cellStyle name="差_Wedge_ME_BOM-v00-11v0715" xfId="32515"/>
    <cellStyle name="差_Xl0000000 2 4" xfId="32516"/>
    <cellStyle name="差_Xl0000000 3 3" xfId="32517"/>
    <cellStyle name="差_Xl0000000 5" xfId="32518"/>
    <cellStyle name="差_Xl0000000_Bolt RFQ Proposal_Foxlink_ (Pricing Summary) 2 25 2011 2 2" xfId="32519"/>
    <cellStyle name="差_Xl0000000_Bolt RFQ Proposal_Foxlink_ (Pricing Summary) 2 25 2011 2 3" xfId="32520"/>
    <cellStyle name="差_Xl0000000_Bolt RFQ Proposal_Foxlink_ (Pricing Summary) 2 25 2011 4 3" xfId="32521"/>
    <cellStyle name="差_Xl0000000_Bolt RFQ Proposal_Foxlink_ (Pricing Summary) 2 25 2011 7" xfId="32522"/>
    <cellStyle name="差_Xl0000000_Bolt RFQ_Foxlink_03.1 2011 3" xfId="32523"/>
    <cellStyle name="差_Xl0000000_Bolt RFQ_Foxlink_03.1 2011 3 2" xfId="32524"/>
    <cellStyle name="差_Xl0000000_Bolt RFQ_Foxlink_03.1 2011 3 3" xfId="32525"/>
    <cellStyle name="差_Xl0000000_Bolt RFQ_Foxlink_03.1 2011_nego meeting@MACH 2" xfId="32526"/>
    <cellStyle name="差_Xl0000000_Bolt RFQ_Foxlink_03.1 2011_nego meeting@MACH 2 2" xfId="32527"/>
    <cellStyle name="差_Xl0000000_Bolt RFQ_Foxlink_03.1 2011_nego meeting@MACH 2 3" xfId="32528"/>
    <cellStyle name="差_Xl0000000_Bolt RFQ_Foxlink_03.1 2011_nego meeting@MACH 3 2" xfId="32529"/>
    <cellStyle name="差_Xl0000000_Bristol UniBom_Foxlink_02082011 RevA" xfId="32530"/>
    <cellStyle name="差_Xl0000000_Foxlink_Shadow RFQ NREUni BOM_12032009 2" xfId="32531"/>
    <cellStyle name="差_Xl0000000_Foxlink_Shadow RFQ NREUni BOM_12032009 2 2 2" xfId="32532"/>
    <cellStyle name="差_Xl0000000_Foxlink_Shadow RFQ NREUni BOM_12032009 2 3" xfId="32533"/>
    <cellStyle name="差_Xl0000000_Foxlink_Shadow RFQ NREUni BOM_12032009 3" xfId="32534"/>
    <cellStyle name="差_Xl0000000_Foxlink_Shadow RFQ NREUni BOM_12032009 3 2" xfId="32535"/>
    <cellStyle name="差_Xl0000000_Foxlink_Shadow RFQ NREUni BOM_12032009_Bolt RFQ Proposal_Foxlink_ (Pricing Summary) 2 25 2011 2 2 3" xfId="32536"/>
    <cellStyle name="差_Xl0000000_Foxlink_Shadow RFQ NREUni BOM_12032009_Bolt RFQ Proposal_Foxlink_ (Pricing Summary) 2 25 2011 4" xfId="32537"/>
    <cellStyle name="差_Xl0000000_Foxlink_Shadow RFQ NREUni BOM_12032009_Bolt RFQ Proposal_Foxlink_ (Pricing Summary) 2 25 2011 5 3" xfId="32538"/>
    <cellStyle name="差_Xl0000000_Foxlink_Shadow RFQ NREUni BOM_12032009_Bolt RFQ Proposal_Foxlink_ (Pricing Summary) 2 25 2011 7" xfId="32539"/>
    <cellStyle name="差_Xl0000000_Foxlink_Shadow RFQ NREUni BOM_12032009_Bolt RFQ_Foxlink_03.1 2011" xfId="32540"/>
    <cellStyle name="差_Xl0000000_Foxlink_Shadow RFQ NREUni BOM_12032009_Bolt RFQ_Foxlink_03.1 2011 2" xfId="32541"/>
    <cellStyle name="差_Xl0000000_Foxlink_Shadow RFQ NREUni BOM_12032009_Bolt RFQ_Foxlink_03.1 2011 2 2" xfId="32542"/>
    <cellStyle name="差_Xl0000000_Foxlink_Shadow RFQ NREUni BOM_12032009_Bolt RFQ_Foxlink_03.1 2011 2 3" xfId="32543"/>
    <cellStyle name="差_Xl0000000_Foxlink_Shadow RFQ NREUni BOM_12032009_Bolt RFQ_Foxlink_03.1 2011 3" xfId="32544"/>
    <cellStyle name="差_Xl0000000_Foxlink_Shadow RFQ NREUni BOM_12032009_Bolt RFQ_Foxlink_03.1 2011 4" xfId="32545"/>
    <cellStyle name="差_Xl0000000_Foxlink_Shadow RFQ NREUni BOM_12032009_Bolt RFQ_Foxlink_03.1 2011_nego meeting@MACH 4" xfId="32546"/>
    <cellStyle name="差_Xl0000000_Foxlink_Shadow RFQ NREUni BOM_12032009_Bolt RFQ_Foxlink_03.1 2011_nego meeting@MACH 5" xfId="32547"/>
    <cellStyle name="差_Xl0000000_Jackson and Shadow BOM cost_mainfile_2010 0324 rev.1_Bristol UniBom_Foxlink_02082011 RevA" xfId="32548"/>
    <cellStyle name="差_Xl0000000_Jackson and Shadow BOM cost_mainfile_2010 0324 rev.1_Leopard UniBom_Foxlink_12092010 RevD-jen" xfId="32549"/>
    <cellStyle name="差_Xl0000000_Jackson and Shadow BOM cost_mainfile_2010 0324 rev.1_Leopard UniBom_Foxlink_12272010 RevF_shirley" xfId="32550"/>
    <cellStyle name="差_Xl0000000_Lemur RFQ ME BOM Costs-0623" xfId="32551"/>
    <cellStyle name="差_Xl0000000_Leopard Lemur Squirrel UniBom-06.22.2010_EE cost _update_internal 2" xfId="32552"/>
    <cellStyle name="差_Xl0000000_Leopard Lemur Squirrel UniBom-06.22.2010_EE cost _update_internal 2 2" xfId="32553"/>
    <cellStyle name="差_Xl0000000_Leopard Lemur Squirrel UniBom-06.22.2010_EE cost _update_internal 2 2 2" xfId="32554"/>
    <cellStyle name="差_Xl0000000_Leopard Lemur Squirrel UniBom-06.22.2010_EE cost _update_internal 2 2 3" xfId="32555"/>
    <cellStyle name="差_Xl0000000_Leopard Lemur Squirrel UniBom-06.22.2010_EE cost _update_internal 2 4" xfId="32556"/>
    <cellStyle name="差_Xl0000000_Leopard Lemur Squirrel UniBom-06.22.2010_EE cost _update_internal 3 3" xfId="32557"/>
    <cellStyle name="差_Xl0000000_Leopard Lemur Squirrel UniBom-06.22.2010_EE cost _update_internal_Bolt RFQ Proposal_Foxlink_ (Pricing Summary) 2 25 2011 2" xfId="32558"/>
    <cellStyle name="差_Xl0000000_Leopard Lemur Squirrel UniBom-06.22.2010_EE cost _update_internal_Bolt RFQ Proposal_Foxlink_ (Pricing Summary) 2 25 2011 2 2" xfId="32559"/>
    <cellStyle name="差_Xl0000000_Leopard Lemur Squirrel UniBom-06.22.2010_EE cost _update_internal_Bolt RFQ Proposal_Foxlink_ (Pricing Summary) 2 25 2011 2 2 2" xfId="32560"/>
    <cellStyle name="差_Xl0000000_Leopard Lemur Squirrel UniBom-06.22.2010_EE cost _update_internal_Bolt RFQ Proposal_Foxlink_ (Pricing Summary) 2 25 2011 2 3" xfId="32561"/>
    <cellStyle name="差_Xl0000000_Leopard Lemur Squirrel UniBom-06.22.2010_EE cost _update_internal_Bolt RFQ Proposal_Foxlink_ (Pricing Summary) 2 25 2011 2 4" xfId="32562"/>
    <cellStyle name="差_Xl0000000_Leopard Lemur Squirrel UniBom-06.22.2010_EE cost _update_internal_Bolt RFQ Proposal_Foxlink_ (Pricing Summary) 2 25 2011 3 2" xfId="32563"/>
    <cellStyle name="差_Xl0000000_Leopard Lemur Squirrel UniBom-06.22.2010_EE cost _update_internal_Bolt RFQ Proposal_Foxlink_ (Pricing Summary) 2 25 2011 3 3" xfId="32564"/>
    <cellStyle name="差_Xl0000000_Leopard Lemur Squirrel UniBom-06.22.2010_EE cost _update_internal_Bolt RFQ Proposal_Foxlink_ (Pricing Summary) 2 25 2011 4 3" xfId="32565"/>
    <cellStyle name="差_Xl0000000_Leopard Lemur Squirrel UniBom-06.22.2010_EE cost _update_internal_Bolt RFQ Proposal_Foxlink_ (Pricing Summary) 2 25 2011 5" xfId="32566"/>
    <cellStyle name="差_Xl0000000_Leopard Lemur Squirrel UniBom-06.22.2010_EE cost _update_internal_Bolt RFQ Proposal_Foxlink_ (Pricing Summary) 2 25 2011 6" xfId="32567"/>
    <cellStyle name="差_Xl0000000_Leopard Lemur Squirrel UniBom-06.22.2010_EE cost _update_internal_Bolt RFQ_Foxlink_03.1 2011 3" xfId="32568"/>
    <cellStyle name="差_Xl0000000_Leopard Lemur Squirrel UniBom-06.22.2010_EE cost _update_internal_Bolt RFQ_Foxlink_03.1 2011 3 2" xfId="32569"/>
    <cellStyle name="差_Xl0000000_Leopard Lemur Squirrel UniBom-06.22.2010_EE cost _update_internal_Bolt RFQ_Foxlink_03.1 2011 3 3" xfId="32570"/>
    <cellStyle name="差_Xl0000000_Leopard Lemur Squirrel UniBom-06.22.2010_EE cost _update_internal_Bolt RFQ_Foxlink_03.1 2011 5" xfId="32571"/>
    <cellStyle name="差_Xl0000000_Leopard Lemur Squirrel UniBom-06.22.2010_EE cost _update_internal_Bolt RFQ_Foxlink_03.1 2011_nego meeting@MACH 2" xfId="32572"/>
    <cellStyle name="差_Xl0000000_Leopard Lemur Squirrel UniBom-06.22.2010_EE cost _update_internal_Bolt RFQ_Foxlink_03.1 2011_nego meeting@MACH 2 2" xfId="32573"/>
    <cellStyle name="差_Xl0000000_Leopard Lemur Squirrel UniBom-06.22.2010_EE cost _update_internal_Bolt RFQ_Foxlink_03.1 2011_nego meeting@MACH 2 3" xfId="32574"/>
    <cellStyle name="差_Xl0000000_Leopard Lemur Squirrel UniBom-06.22.2010_EE cost _update_internal_Bolt RFQ_Foxlink_03.1 2011_nego meeting@MACH 3 2" xfId="32575"/>
    <cellStyle name="差_Xl0000000_Leopard Lemur Squirrel UniBom-06.22.2010_EE cost _update_internal_Bolt RFQ_Foxlink_03.1 2011_nego meeting@MACH 3 3" xfId="32576"/>
    <cellStyle name="差_Xl0000000_Leopard RFQ ME BOM Costs-0618 2" xfId="32577"/>
    <cellStyle name="差_Xl0000000_Leopard RFQ ME BOM Costs-0618 2 2" xfId="32578"/>
    <cellStyle name="差_Xl0000000_Leopard RFQ ME BOM Costs-0618 2 2 2" xfId="32579"/>
    <cellStyle name="差_Xl0000000_Leopard RFQ ME BOM Costs-0618 2 3" xfId="32580"/>
    <cellStyle name="差_Xl0000000_Leopard RFQ ME BOM Costs-0618 2 4" xfId="32581"/>
    <cellStyle name="差_Xl0000000_Leopard RFQ ME BOM Costs-0618_Bolt RFQ Proposal_Foxlink_ (Pricing Summary) 2 25 2011 2 2 2" xfId="32582"/>
    <cellStyle name="差_Xl0000000_Leopard RFQ ME BOM Costs-0618_Bolt RFQ Proposal_Foxlink_ (Pricing Summary) 2 25 2011 2 2 3" xfId="32583"/>
    <cellStyle name="差_Xl0000000_Leopard RFQ ME BOM Costs-0618_Bolt RFQ Proposal_Foxlink_ (Pricing Summary) 2 25 2011 2 4" xfId="32584"/>
    <cellStyle name="差_Xl0000000_Leopard RFQ ME BOM Costs-0618_Bolt RFQ Proposal_Foxlink_ (Pricing Summary) 2 25 2011 3 2" xfId="32585"/>
    <cellStyle name="差_Xl0000000_Leopard RFQ ME BOM Costs-0618_Bolt RFQ Proposal_Foxlink_ (Pricing Summary) 2 25 2011 4 2" xfId="32586"/>
    <cellStyle name="差_Xl0000000_Leopard RFQ ME BOM Costs-0618_Bolt RFQ Proposal_Foxlink_ (Pricing Summary) 2 25 2011 4 3" xfId="32587"/>
    <cellStyle name="差_Xl0000000_Leopard RFQ ME BOM Costs-0618_Bolt RFQ Proposal_Foxlink_ (Pricing Summary) 2 25 2011 5" xfId="32588"/>
    <cellStyle name="差_Xl0000000_Leopard RFQ ME BOM Costs-0618_Bolt RFQ Proposal_Foxlink_ (Pricing Summary) 2 25 2011 5 2" xfId="32589"/>
    <cellStyle name="差_Xl0000000_Leopard RFQ ME BOM Costs-0618_Bolt RFQ Proposal_Foxlink_ (Pricing Summary) 2 25 2011 6" xfId="32590"/>
    <cellStyle name="差_Xl0000000_Leopard RFQ ME BOM Costs-0618_Bolt RFQ_Foxlink_03.1 2011 2" xfId="32591"/>
    <cellStyle name="差_Xl0000000_Leopard RFQ ME BOM Costs-0618_Bolt RFQ_Foxlink_03.1 2011 2 3" xfId="32592"/>
    <cellStyle name="差_Xl0000000_Leopard RFQ ME BOM Costs-0618_Bolt RFQ_Foxlink_03.1 2011 4" xfId="32593"/>
    <cellStyle name="差_Xl0000000_Leopard RFQ ME BOM Costs-0618_Bolt RFQ_Foxlink_03.1 2011 5" xfId="32594"/>
    <cellStyle name="差_Xl0000000_Leopard RFQ ME BOM Costs-0618_Bolt RFQ_Foxlink_03.1 2011_nego meeting@MACH 2 2" xfId="32595"/>
    <cellStyle name="差_Xl0000000_Leopard RFQ ME BOM Costs-0618_Bolt RFQ_Foxlink_03.1 2011_nego meeting@MACH 2 3" xfId="32596"/>
    <cellStyle name="差_Xl0000000_Leopard RFQ ME BOM Costs-0618_Bolt RFQ_Foxlink_03.1 2011_nego meeting@MACH 3" xfId="32597"/>
    <cellStyle name="差_Xl0000000_Leopard RFQ ME BOM Costs-0618_Bolt RFQ_Foxlink_03.1 2011_nego meeting@MACH 3 2" xfId="32598"/>
    <cellStyle name="差_Xl0000000_Leopard RFQ ME BOM Costs-0618-2" xfId="32599"/>
    <cellStyle name="差_Xl0000000_Leopard RFQ ME BOM Costs-0618-2 2" xfId="32600"/>
    <cellStyle name="差_Xl0000000_Leopard RFQ ME BOM Costs-0618-2 2 2" xfId="32601"/>
    <cellStyle name="差_Xl0000000_Leopard RFQ ME BOM Costs-0618-2 2 2 2" xfId="32602"/>
    <cellStyle name="差_Xl0000000_Leopard RFQ ME BOM Costs-0618-2 2 3" xfId="32603"/>
    <cellStyle name="差_Xl0000000_Leopard RFQ ME BOM Costs-0618-2 2 4" xfId="32604"/>
    <cellStyle name="差_Xl0000000_Leopard RFQ ME BOM Costs-0618-2 3" xfId="32605"/>
    <cellStyle name="差_Xl0000000_Leopard RFQ ME BOM Costs-0618-2 3 3" xfId="32606"/>
    <cellStyle name="差_Xl0000000_Leopard RFQ ME BOM Costs-0618-2_Bolt RFQ Proposal_Foxlink_ (Pricing Summary) 2 25 2011" xfId="32607"/>
    <cellStyle name="差_Xl0000000_Leopard RFQ ME BOM Costs-0618-2_Bolt RFQ Proposal_Foxlink_ (Pricing Summary) 2 25 2011 2" xfId="32608"/>
    <cellStyle name="差_Xl0000000_Leopard RFQ ME BOM Costs-0618-2_Bolt RFQ Proposal_Foxlink_ (Pricing Summary) 2 25 2011 2 2" xfId="32609"/>
    <cellStyle name="差_Xl0000000_Leopard RFQ ME BOM Costs-0618-2_Bolt RFQ Proposal_Foxlink_ (Pricing Summary) 2 25 2011 2 2 2" xfId="32610"/>
    <cellStyle name="差_Xl0000000_Leopard RFQ ME BOM Costs-0618-2_Bolt RFQ Proposal_Foxlink_ (Pricing Summary) 2 25 2011 2 2 3" xfId="32611"/>
    <cellStyle name="差_Xl0000000_Leopard RFQ ME BOM Costs-0618-2_Bolt RFQ Proposal_Foxlink_ (Pricing Summary) 2 25 2011 4" xfId="32612"/>
    <cellStyle name="差_Xl0000000_Leopard RFQ ME BOM Costs-0618-2_Bolt RFQ_Foxlink_03.1 2011 3 2" xfId="32613"/>
    <cellStyle name="差_Xl0000000_Leopard RFQ ME BOM Costs-0618-2_Bolt RFQ_Foxlink_03.1 2011 3 3" xfId="32614"/>
    <cellStyle name="差_Xl0000000_Leopard RFQ ME BOM Costs-0618-2_Bolt RFQ_Foxlink_03.1 2011 5" xfId="32615"/>
    <cellStyle name="差_Xl0000000_Leopard RFQ ME BOM Costs-0618-2_Bolt RFQ_Foxlink_03.1 2011_nego meeting@MACH" xfId="32616"/>
    <cellStyle name="差_Xl0000000_Leopard RFQ ME BOM Costs-0618-2_Bolt RFQ_Foxlink_03.1 2011_nego meeting@MACH 2 2" xfId="32617"/>
    <cellStyle name="差_Xl0000000_Leopard RFQ ME BOM Costs-0618-2_Bolt RFQ_Foxlink_03.1 2011_nego meeting@MACH 2 3" xfId="32618"/>
    <cellStyle name="差_Xl0000000_Squirrel UniBom-06.23.2010_update_internal_Bolt RFQ_Foxlink_03.1 2011 2" xfId="32619"/>
    <cellStyle name="差_Xl0000000_Leopard RFQ ME BOM Costs-0618-2_Bolt RFQ_Foxlink_03.1 2011_nego meeting@MACH 3" xfId="32620"/>
    <cellStyle name="差_Xl0000000_Squirrel UniBom-06.23.2010_update_internal_Bolt RFQ_Foxlink_03.1 2011 2 2" xfId="32621"/>
    <cellStyle name="差_Xl0000000_Leopard RFQ ME BOM Costs-0618-2_Bolt RFQ_Foxlink_03.1 2011_nego meeting@MACH 3 2" xfId="32622"/>
    <cellStyle name="差_Xl0000000_Squirrel UniBom-06.23.2010_update_internal_Bolt RFQ_Foxlink_03.1 2011 2 3" xfId="32623"/>
    <cellStyle name="差_Xl0000000_Leopard RFQ ME BOM Costs-0618-2_Bolt RFQ_Foxlink_03.1 2011_nego meeting@MACH 3 3" xfId="32624"/>
    <cellStyle name="差_Xl0000000_Squirrel UniBom-06.23.2010_update_internal_Bolt RFQ_Foxlink_03.1 2011 3" xfId="32625"/>
    <cellStyle name="差_Xl0000000_Leopard RFQ ME BOM Costs-0618-2_Bolt RFQ_Foxlink_03.1 2011_nego meeting@MACH 4" xfId="32626"/>
    <cellStyle name="差_Xl0000000_Leopard UniBom_Foxlink_12092010 RevD-jen" xfId="32627"/>
    <cellStyle name="差_Xl0000000_Leopard UniBom_Foxlink_6 21 2010-ME_nego 2" xfId="32628"/>
    <cellStyle name="差_Xl0000000_Leopard UniBom_Foxlink_6 21 2010-ME_nego 2 2" xfId="32629"/>
    <cellStyle name="差_Xl0000000_Leopard UniBom_Foxlink_6 21 2010-ME_nego 2 2 2" xfId="32630"/>
    <cellStyle name="差_Xl0000000_Leopard UniBom_Foxlink_6 21 2010-ME_nego 2 3" xfId="32631"/>
    <cellStyle name="差_Xl0000000_Leopard UniBom_Foxlink_6 21 2010-ME_nego 3" xfId="32632"/>
    <cellStyle name="差_Xl0000000_Leopard UniBom_Foxlink_6 21 2010-ME_nego 3 2" xfId="32633"/>
    <cellStyle name="差_Xl0000000_Leopard UniBom_Foxlink_6 21 2010-ME_nego_Bolt RFQ Proposal_Foxlink_ (Pricing Summary) 2 25 2011 2" xfId="32634"/>
    <cellStyle name="差_Xl0000000_Leopard UniBom_Foxlink_6 21 2010-ME_nego_Bolt RFQ Proposal_Foxlink_ (Pricing Summary) 2 25 2011 2 2" xfId="32635"/>
    <cellStyle name="差_Xl0000000_Leopard UniBom_Foxlink_6 21 2010-ME_nego_Bolt RFQ Proposal_Foxlink_ (Pricing Summary) 2 25 2011 2 3" xfId="32636"/>
    <cellStyle name="差_Xl0000000_Leopard UniBom_Foxlink_6 21 2010-ME_nego_Bolt RFQ Proposal_Foxlink_ (Pricing Summary) 2 25 2011 2 4" xfId="32637"/>
    <cellStyle name="差_Xl0000000_Leopard UniBom_Foxlink_6 21 2010-ME_nego_Bolt RFQ Proposal_Foxlink_ (Pricing Summary) 2 25 2011 3" xfId="32638"/>
    <cellStyle name="差_Xl0000000_Leopard UniBom_Foxlink_6 21 2010-ME_nego_Bolt RFQ Proposal_Foxlink_ (Pricing Summary) 2 25 2011 3 3" xfId="32639"/>
    <cellStyle name="差_Xl0000000_Leopard UniBom_Foxlink_6 21 2010-ME_nego_Bolt RFQ Proposal_Foxlink_ (Pricing Summary) 2 25 2011 4 2" xfId="32640"/>
    <cellStyle name="差_Xl0000000_Leopard UniBom_Foxlink_6 21 2010-ME_nego_Bolt RFQ Proposal_Foxlink_ (Pricing Summary) 2 25 2011 4 3" xfId="32641"/>
    <cellStyle name="差_Xl0000000_Leopard UniBom_Foxlink_6 21 2010-ME_nego_Bolt RFQ Proposal_Foxlink_ (Pricing Summary) 2 25 2011 6" xfId="32642"/>
    <cellStyle name="差_Xl0000000_Leopard UniBom_Foxlink_6 21 2010-ME_nego_Bolt RFQ_Foxlink_03.1 2011 3" xfId="32643"/>
    <cellStyle name="差_Xl0000000_Leopard UniBom_Foxlink_6 21 2010-ME_nego_Bolt RFQ_Foxlink_03.1 2011 3 2" xfId="32644"/>
    <cellStyle name="差_Xl0000000_Leopard UniBom_Foxlink_6 21 2010-ME_nego_Bolt RFQ_Foxlink_03.1 2011_nego meeting@MACH" xfId="32645"/>
    <cellStyle name="差_Xl0000000_Leopard UniBom_Foxlink_6 21 2010-ME_nego_Bolt RFQ_Foxlink_03.1 2011_nego meeting@MACH 5" xfId="32646"/>
    <cellStyle name="差_Xl0000000_Leopard UniBom_Foxlink_6 21 2010-nego" xfId="32647"/>
    <cellStyle name="差_Xl0000000_Leopard UniBom_true cost_6.23.2010" xfId="32648"/>
    <cellStyle name="差_Xl0000000_Leopard_UniBOM_ME_0531 2 2 2" xfId="32649"/>
    <cellStyle name="差_Xl0000000_Leopard_UniBOM_ME_0531 2 2 3" xfId="32650"/>
    <cellStyle name="差_Xl0000000_Leopard_UniBOM_ME_0531 3 2" xfId="32651"/>
    <cellStyle name="差_Xl0000000_Leopard_UniBOM_ME_0531_Bolt RFQ Proposal_Foxlink_ (Pricing Summary) 2 25 2011" xfId="32652"/>
    <cellStyle name="差_Xl0000000_Leopard_UniBOM_ME_0531_Bolt RFQ Proposal_Foxlink_ (Pricing Summary) 2 25 2011 6" xfId="32653"/>
    <cellStyle name="差_Xl0000000_Leopard_UniBOM_ME_0531_Bolt RFQ_Foxlink_03.1 2011 3 2" xfId="32654"/>
    <cellStyle name="差_Xl0000000_Leopard_UniBOM_ME_0531_Bolt RFQ_Foxlink_03.1 2011 3 3" xfId="32655"/>
    <cellStyle name="差_Xl0000000_Leopard_UniBOM_ME_0531_Bolt RFQ_Foxlink_03.1 2011_nego meeting@MACH" xfId="32656"/>
    <cellStyle name="差_Xl0000000_Leopard_UniBOM_ME_0531_Bolt RFQ_Foxlink_03.1 2011_nego meeting@MACH 2 2" xfId="32657"/>
    <cellStyle name="差_Xl0000000_Leopard_UniBOM_ME_0531_Bolt RFQ_Foxlink_03.1 2011_nego meeting@MACH 3" xfId="32658"/>
    <cellStyle name="差_Xl0000000_Leopard_UniBOM_ME_0531_Bolt RFQ_Foxlink_03.1 2011_nego meeting@MACH 5" xfId="32659"/>
    <cellStyle name="差_Xl0000000_Leopard_UniBOM_ME_0602 2" xfId="32660"/>
    <cellStyle name="差_Xl0000000_Leopard_UniBOM_ME_0602 2 2" xfId="32661"/>
    <cellStyle name="差_Xl0000000_Leopard_UniBOM_ME_0602 2 2 2" xfId="32662"/>
    <cellStyle name="差_Xl0000000_Leopard_UniBOM_ME_0602 2 2 3" xfId="32663"/>
    <cellStyle name="差_Xl0000000_Leopard_UniBOM_ME_0602 2 3" xfId="32664"/>
    <cellStyle name="差_Xl0000000_Leopard_UniBOM_ME_0602 2 4" xfId="32665"/>
    <cellStyle name="差_Xl0000000_Leopard_UniBOM_ME_0602 3" xfId="32666"/>
    <cellStyle name="差_Xl0000000_Leopard_UniBOM_ME_0602 3 2" xfId="32667"/>
    <cellStyle name="差_Xl0000000_Leopard_UniBOM_ME_0602 3 3" xfId="32668"/>
    <cellStyle name="差_Xl0000000_Leopard_UniBOM_ME_0602_Bolt RFQ Proposal_Foxlink_ (Pricing Summary) 2 25 2011" xfId="32669"/>
    <cellStyle name="差_Xl0000000_Leopard_UniBOM_ME_0602_Bolt RFQ Proposal_Foxlink_ (Pricing Summary) 2 25 2011 2" xfId="32670"/>
    <cellStyle name="差_Xl0000000_Leopard_UniBOM_ME_0602_Bolt RFQ Proposal_Foxlink_ (Pricing Summary) 2 25 2011 2 2" xfId="32671"/>
    <cellStyle name="差_Xl0000000_Leopard_UniBOM_ME_0602_Bolt RFQ Proposal_Foxlink_ (Pricing Summary) 2 25 2011 2 2 2" xfId="32672"/>
    <cellStyle name="差_Xl0000000_Leopard_UniBOM_ME_0602_Bolt RFQ Proposal_Foxlink_ (Pricing Summary) 2 25 2011 2 2 3" xfId="32673"/>
    <cellStyle name="差_Xl0000000_Leopard_UniBOM_ME_0602_Bolt RFQ Proposal_Foxlink_ (Pricing Summary) 2 25 2011 2 4" xfId="32674"/>
    <cellStyle name="差_Xl0000000_Leopard_UniBOM_ME_0602_Bolt RFQ Proposal_Foxlink_ (Pricing Summary) 2 25 2011 3" xfId="32675"/>
    <cellStyle name="差_Xl0000000_Leopard_UniBOM_ME_0602_Bolt RFQ Proposal_Foxlink_ (Pricing Summary) 2 25 2011 4 3" xfId="32676"/>
    <cellStyle name="差_Xl0000000_Leopard_UniBOM_ME_0602_Bolt RFQ Proposal_Foxlink_ (Pricing Summary) 2 25 2011 5 3" xfId="32677"/>
    <cellStyle name="差_Xl0000000_Leopard_UniBOM_ME_0602_Bolt RFQ Proposal_Foxlink_ (Pricing Summary) 2 25 2011 6" xfId="32678"/>
    <cellStyle name="差_Xl0000000_Leopard_UniBOM_ME_0602_Bolt RFQ_Foxlink_03.1 2011" xfId="32679"/>
    <cellStyle name="差_Xl0000000_Leopard_UniBOM_ME_0602_Bolt RFQ_Foxlink_03.1 2011 3" xfId="32680"/>
    <cellStyle name="差_Xl0000000_Leopard_UniBOM_ME_0602_Bolt RFQ_Foxlink_03.1 2011 3 3" xfId="32681"/>
    <cellStyle name="差_Xl0000000_Leopard_UniBOM_ME_0602_Bolt RFQ_Foxlink_03.1 2011 4" xfId="32682"/>
    <cellStyle name="差_Xl0000000_Leopard_UniBOM_ME_0602_Bolt RFQ_Foxlink_03.1 2011_nego meeting@MACH 3 3" xfId="32683"/>
    <cellStyle name="差_Xl0000000_Leopard_UniBOM_ME_0602_Bolt RFQ_Foxlink_03.1 2011_nego meeting@MACH 5" xfId="32684"/>
    <cellStyle name="差_Xl0000000_Leopard_UniBOM_ME_0602-1" xfId="32685"/>
    <cellStyle name="差_Xl0000000_Leopard_UniBOM_ME_0602-1 2 2" xfId="32686"/>
    <cellStyle name="差_Xl0000000_Leopard_UniBOM_ME_0602-1 2 3" xfId="32687"/>
    <cellStyle name="差_Xl0000000_Squirrel UniBom-06.23.2010_update_internal 2" xfId="32688"/>
    <cellStyle name="差_Xl0000000_Leopard_UniBOM_ME_0602-1 2 4" xfId="32689"/>
    <cellStyle name="差_Xl0000000_Leopard_UniBOM_ME_0602-1 3" xfId="32690"/>
    <cellStyle name="差_Xl0000000_Leopard_UniBOM_ME_0602-1 3 2" xfId="32691"/>
    <cellStyle name="差_Xl0000000_Leopard_UniBOM_ME_0602-1_Bolt RFQ Proposal_Foxlink_ (Pricing Summary) 2 25 2011" xfId="32692"/>
    <cellStyle name="差_Xl0000000_Leopard_UniBOM_ME_0602-1_Bolt RFQ Proposal_Foxlink_ (Pricing Summary) 2 25 2011 2 2 2" xfId="32693"/>
    <cellStyle name="差_Xl0000000_Leopard_UniBOM_ME_0602-1_Bolt RFQ Proposal_Foxlink_ (Pricing Summary) 2 25 2011 4" xfId="32694"/>
    <cellStyle name="差_Xl0000000_Leopard_UniBOM_ME_0602-1_Bolt RFQ Proposal_Foxlink_ (Pricing Summary) 2 25 2011 4 2" xfId="32695"/>
    <cellStyle name="差_Xl0000000_Leopard_UniBOM_ME_0602-1_Bolt RFQ Proposal_Foxlink_ (Pricing Summary) 2 25 2011 4 3" xfId="32696"/>
    <cellStyle name="差_Xl0000000_Leopard_UniBOM_ME_0602-1_Bolt RFQ Proposal_Foxlink_ (Pricing Summary) 2 25 2011 5 2" xfId="32697"/>
    <cellStyle name="差_Xl0000000_Leopard_UniBOM_ME_0602-1_Bolt RFQ Proposal_Foxlink_ (Pricing Summary) 2 25 2011 5 3" xfId="32698"/>
    <cellStyle name="差_Xl0000000_Leopard_UniBOM_ME_0602-1_Bolt RFQ_Foxlink_03.1 2011" xfId="32699"/>
    <cellStyle name="差_Xl0000000_Leopard_UniBOM_ME_0602-1_Bolt RFQ_Foxlink_03.1 2011 2" xfId="32700"/>
    <cellStyle name="差_Xl0000000_Leopard_UniBOM_ME_0602-1_Bolt RFQ_Foxlink_03.1 2011 2 2" xfId="32701"/>
    <cellStyle name="差_Xl0000000_Leopard_UniBOM_ME_0602-1_Bolt RFQ_Foxlink_03.1 2011 2 3" xfId="32702"/>
    <cellStyle name="差_Xl0000000_Leopard_UniBOM_ME_0602-1_Bolt RFQ_Foxlink_03.1 2011 3" xfId="32703"/>
    <cellStyle name="差_Xl0000000_Leopard_UniBOM_ME_0602-1_Bolt RFQ_Foxlink_03.1 2011 3 2" xfId="32704"/>
    <cellStyle name="差_Xl0000000_Leopard_UniBOM_ME_0602-1_Bolt RFQ_Foxlink_03.1 2011 3 3" xfId="32705"/>
    <cellStyle name="差_Xl0000000_Leopard_UniBOM_ME_0602-1_Bolt RFQ_Foxlink_03.1 2011_nego meeting@MACH 2 3" xfId="32706"/>
    <cellStyle name="差_Xl0000000_Leopard_UniBOM_ME_0602-1_Bolt RFQ_Foxlink_03.1 2011_nego meeting@MACH 3" xfId="32707"/>
    <cellStyle name="差_Xl0000000_Leopard_UniBOM_ME_0602-1_Bolt RFQ_Foxlink_03.1 2011_nego meeting@MACH 3 2" xfId="32708"/>
    <cellStyle name="差_Xl0000000_Leopard_UniBOM_ME_0602-1_Bolt RFQ_Foxlink_03.1 2011_nego meeting@MACH 5" xfId="32709"/>
    <cellStyle name="差_Xl0000000_Leopard_UniBOM_ME_0603-2 2" xfId="32710"/>
    <cellStyle name="差_Xl0000000_Leopard_UniBOM_ME_0603-2 2 2 3" xfId="32711"/>
    <cellStyle name="差_Xl0000000_Leopard_UniBOM_ME_0603-2 2 3" xfId="32712"/>
    <cellStyle name="差_Xl0000000_Leopard_UniBOM_ME_0603-2_Bolt RFQ Proposal_Foxlink_ (Pricing Summary) 2 25 2011 3 2" xfId="32713"/>
    <cellStyle name="差_Xl0000000_Leopard_UniBOM_ME_0603-2_Bolt RFQ Proposal_Foxlink_ (Pricing Summary) 2 25 2011 3 3" xfId="32714"/>
    <cellStyle name="差_Xl0000000_Leopard_UniBOM_ME_0603-2_Bolt RFQ Proposal_Foxlink_ (Pricing Summary) 2 25 2011 4" xfId="32715"/>
    <cellStyle name="差_Xl0000000_Leopard_UniBOM_ME_0603-2_Bolt RFQ Proposal_Foxlink_ (Pricing Summary) 2 25 2011 4 2" xfId="32716"/>
    <cellStyle name="差_治具工程課2009年KPI_2009MB KPI-0205 2 2 2 2" xfId="32717"/>
    <cellStyle name="差_Xl0000000_Leopard_UniBOM_ME_0603-2_Bolt RFQ Proposal_Foxlink_ (Pricing Summary) 2 25 2011 4 3" xfId="32718"/>
    <cellStyle name="差_Xl0000000_Leopard_UniBOM_ME_0603-2_Bolt RFQ Proposal_Foxlink_ (Pricing Summary) 2 25 2011 6" xfId="32719"/>
    <cellStyle name="差_Xl0000000_Leopard_UniBOM_ME_0603-2_Bolt RFQ_Foxlink_03.1 2011 3" xfId="32720"/>
    <cellStyle name="差_Xl0000000_Leopard_UniBOM_ME_0603-2_Bolt RFQ_Foxlink_03.1 2011 3 2" xfId="32721"/>
    <cellStyle name="差_Xl0000000_Leopard_UniBOM_ME_0603-2_Bolt RFQ_Foxlink_03.1 2011 3 3" xfId="32722"/>
    <cellStyle name="差_Xl0000000_Leopard_UniBOM_ME_0603-2_Bolt RFQ_Foxlink_03.1 2011_nego meeting@MACH" xfId="32723"/>
    <cellStyle name="差_Xl0000000_Leopard_UniBOM_ME_0603-2_Bolt RFQ_Foxlink_03.1 2011_nego meeting@MACH 2 2" xfId="32724"/>
    <cellStyle name="差_Xl0000000_Leopard_UniBOM_ME_0603-2_Bolt RFQ_Foxlink_03.1 2011_nego meeting@MACH 3 2" xfId="32725"/>
    <cellStyle name="差_效益分析_Dallas flow chart&amp;設備&amp;治工具清單(12-8 A0)_Jackson 效益分析 (2-1 B0 上系統)_Leopard Flowchart &amp; 產能評估" xfId="32726"/>
    <cellStyle name="差_Xl0000000_Leopard_UniBOM_ME_0603-2_Bolt RFQ_Foxlink_03.1 2011_nego meeting@MACH 3 3" xfId="32727"/>
    <cellStyle name="差_Xl0000000_Leopard_UniBOM_ME_0603-2_Bolt RFQ_Foxlink_03.1 2011_nego meeting@MACH 5" xfId="32728"/>
    <cellStyle name="差_Xl0000000_Squirrel RFQ ME BOM Costs-0623" xfId="32729"/>
    <cellStyle name="差_Xl0000000_Squirrel RFQ ME BOM Costs-0623 2" xfId="32730"/>
    <cellStyle name="差_Xl0000000_Squirrel RFQ ME BOM Costs-0623 2 2" xfId="32731"/>
    <cellStyle name="差_Xl0000000_Squirrel RFQ ME BOM Costs-0623 2 2 2" xfId="32732"/>
    <cellStyle name="差_Xl0000000_Squirrel RFQ ME BOM Costs-0623 2 2 3" xfId="32733"/>
    <cellStyle name="差_Xl0000000_Squirrel RFQ ME BOM Costs-0623 2 4" xfId="32734"/>
    <cellStyle name="差_Xl0000000_Squirrel RFQ ME BOM Costs-0623 3 3" xfId="32735"/>
    <cellStyle name="差_Xl0000000_Squirrel RFQ ME BOM Costs-0623_Bolt RFQ Proposal_Foxlink_ (Pricing Summary) 2 25 2011" xfId="32736"/>
    <cellStyle name="差_Xl0000000_Squirrel RFQ ME BOM Costs-0623_Bolt RFQ Proposal_Foxlink_ (Pricing Summary) 2 25 2011 2 2 2" xfId="32737"/>
    <cellStyle name="差_Xl0000000_Squirrel RFQ ME BOM Costs-0623_Bolt RFQ Proposal_Foxlink_ (Pricing Summary) 2 25 2011 2 3" xfId="32738"/>
    <cellStyle name="差_Xl0000000_Squirrel RFQ ME BOM Costs-0623_Bolt RFQ Proposal_Foxlink_ (Pricing Summary) 2 25 2011 2 4" xfId="32739"/>
    <cellStyle name="差_Xl0000000_Squirrel RFQ ME BOM Costs-0623_Bolt RFQ Proposal_Foxlink_ (Pricing Summary) 2 25 2011 3" xfId="32740"/>
    <cellStyle name="差_Xl0000000_Squirrel RFQ ME BOM Costs-0623_Bolt RFQ Proposal_Foxlink_ (Pricing Summary) 2 25 2011 3 3" xfId="32741"/>
    <cellStyle name="差_Xl0000000_Squirrel RFQ ME BOM Costs-0623_Bolt RFQ Proposal_Foxlink_ (Pricing Summary) 2 25 2011 4" xfId="32742"/>
    <cellStyle name="差_Xl0000000_Squirrel RFQ ME BOM Costs-0623_Bolt RFQ Proposal_Foxlink_ (Pricing Summary) 2 25 2011 5" xfId="32743"/>
    <cellStyle name="差_Xl0000000_Squirrel RFQ ME BOM Costs-0623_Bolt RFQ Proposal_Foxlink_ (Pricing Summary) 2 25 2011 6" xfId="32744"/>
    <cellStyle name="差_Xl0000000_Squirrel RFQ ME BOM Costs-0623_Bolt RFQ Proposal_Foxlink_ (Pricing Summary) 2 25 2011 7" xfId="32745"/>
    <cellStyle name="差_Xl0000000_Squirrel RFQ ME BOM Costs-0623_Bolt RFQ_Foxlink_03.1 2011 5" xfId="32746"/>
    <cellStyle name="差_Xl0000000_Squirrel RFQ ME BOM Costs-0623_Bolt RFQ_Foxlink_03.1 2011_nego meeting@MACH" xfId="32747"/>
    <cellStyle name="差_Xl0000000_Squirrel RFQ ME BOM Costs-0623_Bolt RFQ_Foxlink_03.1 2011_nego meeting@MACH 2" xfId="32748"/>
    <cellStyle name="差_Xl0000000_Squirrel RFQ ME BOM Costs-0623_Bolt RFQ_Foxlink_03.1 2011_nego meeting@MACH 2 2" xfId="32749"/>
    <cellStyle name="差_Xl0000000_Squirrel RFQ ME BOM Costs-0623_Bolt RFQ_Foxlink_03.1 2011_nego meeting@MACH 2 3" xfId="32750"/>
    <cellStyle name="差_Xl0000000_Squirrel RFQ ME BOM Costs-0624" xfId="32751"/>
    <cellStyle name="差_Xl0000000_Squirrel UniBom_Foxlink_6 28 2010" xfId="32752"/>
    <cellStyle name="差_Xl0000000_Squirrel UniBom_Foxlink_7.27.2010" xfId="32753"/>
    <cellStyle name="差_Xl0000000_Squirrel UniBom-06.23.2010_update_internal 2 2" xfId="32754"/>
    <cellStyle name="差_Xl0000000_Squirrel UniBom-06.23.2010_update_internal 2 2 3" xfId="32755"/>
    <cellStyle name="差_Xl0000000_Squirrel UniBom-06.23.2010_update_internal 2 3" xfId="32756"/>
    <cellStyle name="差_Xl0000000_Squirrel UniBom-06.23.2010_update_internal 2 4" xfId="32757"/>
    <cellStyle name="差_Xl0000000_Squirrel UniBom-06.23.2010_update_internal_Bolt RFQ Proposal_Foxlink_ (Pricing Summary) 2 25 2011" xfId="32758"/>
    <cellStyle name="差_Xl0000000_Squirrel UniBom-06.23.2010_update_internal_Bolt RFQ Proposal_Foxlink_ (Pricing Summary) 2 25 2011 2" xfId="32759"/>
    <cellStyle name="差_Xl0000000_Squirrel UniBom-06.23.2010_update_internal_Bolt RFQ Proposal_Foxlink_ (Pricing Summary) 2 25 2011 2 2" xfId="32760"/>
    <cellStyle name="差_Xl0000000_Squirrel UniBom-06.23.2010_update_internal_Bolt RFQ Proposal_Foxlink_ (Pricing Summary) 2 25 2011 2 2 3" xfId="32761"/>
    <cellStyle name="差_Xl0000000_Squirrel UniBom-06.23.2010_update_internal_Bolt RFQ Proposal_Foxlink_ (Pricing Summary) 2 25 2011 2 3" xfId="32762"/>
    <cellStyle name="差_Xl0000000_Squirrel UniBom-06.23.2010_update_internal_Bolt RFQ Proposal_Foxlink_ (Pricing Summary) 2 25 2011 3" xfId="32763"/>
    <cellStyle name="差_Xl0000000_Squirrel UniBom-06.23.2010_update_internal_Bolt RFQ Proposal_Foxlink_ (Pricing Summary) 2 25 2011 4" xfId="32764"/>
    <cellStyle name="差_Xl0000000_Squirrel UniBom-06.23.2010_update_internal_Bolt RFQ Proposal_Foxlink_ (Pricing Summary) 2 25 2011 4 2" xfId="32765"/>
    <cellStyle name="差_Xl0000000_Squirrel UniBom-06.23.2010_update_internal_Bolt RFQ Proposal_Foxlink_ (Pricing Summary) 2 25 2011 4 3" xfId="32766"/>
    <cellStyle name="差_Xl0000000_Squirrel UniBom-06.23.2010_update_internal_Bolt RFQ Proposal_Foxlink_ (Pricing Summary) 2 25 2011 5 3" xfId="32767"/>
    <cellStyle name="差_Xl0000000_Squirrel UniBom-06.23.2010_update_internal_Bolt RFQ Proposal_Foxlink_ (Pricing Summary) 2 25 2011 7" xfId="32768"/>
    <cellStyle name="差_Xl0000000_Squirrel UniBom-06.23.2010_update_internal_Bolt RFQ_Foxlink_03.1 2011 3 2" xfId="32769"/>
    <cellStyle name="差_Xl0000002 3 2" xfId="32770"/>
    <cellStyle name="差_Xl0000002 4" xfId="32771"/>
    <cellStyle name="差_Xl0000002 5" xfId="32772"/>
    <cellStyle name="差_Xl0000002_Bolt RFQ Proposal_Foxlink_ (Pricing Summary) 2 25 2011" xfId="32773"/>
    <cellStyle name="差_Xl0000002_Bolt RFQ Proposal_Foxlink_ (Pricing Summary) 2 25 2011 2" xfId="32774"/>
    <cellStyle name="差_Xl0000002_Bolt RFQ Proposal_Foxlink_ (Pricing Summary) 2 25 2011 2 4" xfId="32775"/>
    <cellStyle name="差_Xl0000002_Bolt RFQ Proposal_Foxlink_ (Pricing Summary) 2 25 2011 3" xfId="32776"/>
    <cellStyle name="差_Xl0000002_Bolt RFQ Proposal_Foxlink_ (Pricing Summary) 2 25 2011 4" xfId="32777"/>
    <cellStyle name="差_Xl0000002_Bolt RFQ Proposal_Foxlink_ (Pricing Summary) 2 25 2011 4 3" xfId="32778"/>
    <cellStyle name="差_Xl0000002_Bolt RFQ Proposal_Foxlink_ (Pricing Summary) 2 25 2011 5" xfId="32779"/>
    <cellStyle name="差_Xl0000002_Bolt RFQ Proposal_Foxlink_ (Pricing Summary) 2 25 2011 5 3" xfId="32780"/>
    <cellStyle name="差_Xl0000002_Bolt RFQ Proposal_Foxlink_ (Pricing Summary) 2 25 2011 6" xfId="32781"/>
    <cellStyle name="差_Xl0000002_Bolt RFQ Proposal_Foxlink_ (Pricing Summary) 2 25 2011 7" xfId="32782"/>
    <cellStyle name="差_Xl0000002_Bolt RFQ_Foxlink_03.1 2011 2 3" xfId="32783"/>
    <cellStyle name="差_Xl0000002_Bolt RFQ_Foxlink_03.1 2011 3 3" xfId="32784"/>
    <cellStyle name="差_Xl0000002_Bolt RFQ_Foxlink_03.1 2011 5" xfId="32785"/>
    <cellStyle name="差_Xl0000002_Bolt RFQ_Foxlink_03.1 2011_nego meeting@MACH 5" xfId="32786"/>
    <cellStyle name="差_Xl0000002_Bristol UniBom_Foxlink_02082011 RevA" xfId="32787"/>
    <cellStyle name="差_Xl0000002_Foxlink_Shadow RFQ NREUni BOM_12032009 2" xfId="32788"/>
    <cellStyle name="差_Xl0000002_Foxlink_Shadow RFQ NREUni BOM_12032009 2 2 2" xfId="32789"/>
    <cellStyle name="差_Xl0000002_Foxlink_Shadow RFQ NREUni BOM_12032009 2 2 3" xfId="32790"/>
    <cellStyle name="差_Xl0000002_Foxlink_Shadow RFQ NREUni BOM_12032009 3" xfId="32791"/>
    <cellStyle name="差_Xl0000002_Foxlink_Shadow RFQ NREUni BOM_12032009 3 2" xfId="32792"/>
    <cellStyle name="差_Xl0000002_Foxlink_Shadow RFQ NREUni BOM_12032009_Bolt RFQ Proposal_Foxlink_ (Pricing Summary) 2 25 2011 2" xfId="32793"/>
    <cellStyle name="差_Xl0000002_Foxlink_Shadow RFQ NREUni BOM_12032009_Bolt RFQ Proposal_Foxlink_ (Pricing Summary) 2 25 2011 2 2" xfId="32794"/>
    <cellStyle name="差_Xl0000002_Foxlink_Shadow RFQ NREUni BOM_12032009_Bolt RFQ Proposal_Foxlink_ (Pricing Summary) 2 25 2011 2 2 2" xfId="32795"/>
    <cellStyle name="差_Xl0000002_Foxlink_Shadow RFQ NREUni BOM_12032009_Bolt RFQ Proposal_Foxlink_ (Pricing Summary) 2 25 2011 2 2 3" xfId="32796"/>
    <cellStyle name="差_Xl0000002_Foxlink_Shadow RFQ NREUni BOM_12032009_Bolt RFQ Proposal_Foxlink_ (Pricing Summary) 2 25 2011 2 3" xfId="32797"/>
    <cellStyle name="差_Xl0000002_Foxlink_Shadow RFQ NREUni BOM_12032009_Bolt RFQ Proposal_Foxlink_ (Pricing Summary) 2 25 2011 2 4" xfId="32798"/>
    <cellStyle name="差_Xl0000002_Foxlink_Shadow RFQ NREUni BOM_12032009_Bolt RFQ Proposal_Foxlink_ (Pricing Summary) 2 25 2011 3 2" xfId="32799"/>
    <cellStyle name="壞_Erie Assembly Fixture  Test Equip Cost_20090716_Foxlink_Shadow RFQ NREUni BOM_12032009_Bolt RFQ Proposal_Foxlink_ (Pricing Summary) 2 25 2011 6 3" xfId="32800"/>
    <cellStyle name="差_Xl0000002_Foxlink_Shadow RFQ NREUni BOM_12032009_Bolt RFQ Proposal_Foxlink_ (Pricing Summary) 2 25 2011 4" xfId="32801"/>
    <cellStyle name="差_Xl0000002_Foxlink_Shadow RFQ NREUni BOM_12032009_Bolt RFQ_Foxlink_03.1 2011" xfId="32802"/>
    <cellStyle name="差_Xl0000002_Foxlink_Shadow RFQ NREUni BOM_12032009_Bolt RFQ_Foxlink_03.1 2011 2" xfId="32803"/>
    <cellStyle name="差_Xl0000002_Foxlink_Shadow RFQ NREUni BOM_12032009_Bolt RFQ_Foxlink_03.1 2011 2 2" xfId="32804"/>
    <cellStyle name="差_Xl0000002_Foxlink_Shadow RFQ NREUni BOM_12032009_Bolt RFQ_Foxlink_03.1 2011 2 3" xfId="32805"/>
    <cellStyle name="差_Xl0000002_Foxlink_Shadow RFQ NREUni BOM_12032009_Bolt RFQ_Foxlink_03.1 2011 3" xfId="32806"/>
    <cellStyle name="差_Xl0000002_Foxlink_Shadow RFQ NREUni BOM_12032009_Bolt RFQ_Foxlink_03.1 2011 4" xfId="32807"/>
    <cellStyle name="差_Xl0000002_Foxlink_Shadow RFQ NREUni BOM_12032009_Bolt RFQ_Foxlink_03.1 2011_nego meeting@MACH 2 2" xfId="32808"/>
    <cellStyle name="差_Xl0000002_Foxlink_Shadow RFQ NREUni BOM_12032009_Bolt RFQ_Foxlink_03.1 2011_nego meeting@MACH 2 3" xfId="32809"/>
    <cellStyle name="差_Xl0000002_Foxlink_Shadow RFQ NREUni BOM_12032009_Bolt RFQ_Foxlink_03.1 2011_nego meeting@MACH 3 3" xfId="32810"/>
    <cellStyle name="差_Xl0000002_Foxlink_Shadow RFQ NREUni BOM_12032009_Bolt RFQ_Foxlink_03.1 2011_nego meeting@MACH 5" xfId="32811"/>
    <cellStyle name="差_Xl0000002_Jackson and Shadow BOM cost_mainfile_2010 0324 rev.1_Leopard UniBom_Foxlink_12272010 RevF_shirley" xfId="32812"/>
    <cellStyle name="差_Xl0000002_Jackson EE BOM " xfId="32813"/>
    <cellStyle name="差_Xl0000002_Jackson NRE Uni BOM_update _05072010 rev K" xfId="32814"/>
    <cellStyle name="差_Xl0000002_Leopard Lemur Squirrel UniBom-06.22.2010_EE cost _update_internal 2 2" xfId="32815"/>
    <cellStyle name="差_Xl0000002_Leopard Lemur Squirrel UniBom-06.22.2010_EE cost _update_internal 2 2 2" xfId="32816"/>
    <cellStyle name="差_Xl0000002_Leopard_UniBOM_ME_0602_Bolt RFQ_Foxlink_03.1 2011_nego meeting@MACH" xfId="32817"/>
    <cellStyle name="差_Xl0000002_Leopard Lemur Squirrel UniBom-06.22.2010_EE cost _update_internal 2 2 3" xfId="32818"/>
    <cellStyle name="差_Xl0000002_Leopard Lemur Squirrel UniBom-06.22.2010_EE cost _update_internal 2 3" xfId="32819"/>
    <cellStyle name="差_Xl0000002_Leopard Lemur Squirrel UniBom-06.22.2010_EE cost _update_internal 2 4" xfId="32820"/>
    <cellStyle name="差_Xl0000002_Leopard_UniBOM_ME_0602_Bolt RFQ_Foxlink_03.1 2011 2 2" xfId="32821"/>
    <cellStyle name="差_Xl0000002_Leopard Lemur Squirrel UniBom-06.22.2010_EE cost _update_internal 3 2" xfId="32822"/>
    <cellStyle name="差_Xl0000002_Leopard_UniBOM_ME_0602_Bolt RFQ_Foxlink_03.1 2011 2 3" xfId="32823"/>
    <cellStyle name="差_Xl0000002_Leopard Lemur Squirrel UniBom-06.22.2010_EE cost _update_internal 3 3" xfId="32824"/>
    <cellStyle name="差_Xl0000002_Leopard Lemur Squirrel UniBom-06.22.2010_EE cost _update_internal_Bolt RFQ Proposal_Foxlink_ (Pricing Summary) 2 25 2011 2" xfId="32825"/>
    <cellStyle name="差_Xl0000002_Leopard Lemur Squirrel UniBom-06.22.2010_EE cost _update_internal_Bolt RFQ Proposal_Foxlink_ (Pricing Summary) 2 25 2011 2 2 3" xfId="32826"/>
    <cellStyle name="差_Xl0000002_Leopard Lemur Squirrel UniBom-06.22.2010_EE cost _update_internal_Bolt RFQ Proposal_Foxlink_ (Pricing Summary) 2 25 2011 2 3" xfId="32827"/>
    <cellStyle name="差_Xl0000002_Leopard Lemur Squirrel UniBom-06.22.2010_EE cost _update_internal_Bolt RFQ Proposal_Foxlink_ (Pricing Summary) 2 25 2011 2 4" xfId="32828"/>
    <cellStyle name="差_Xl0000002_Leopard Lemur Squirrel UniBom-06.22.2010_EE cost _update_internal_Bolt RFQ Proposal_Foxlink_ (Pricing Summary) 2 25 2011 3" xfId="32829"/>
    <cellStyle name="差_Xl0000002_Leopard Lemur Squirrel UniBom-06.22.2010_EE cost _update_internal_Bolt RFQ Proposal_Foxlink_ (Pricing Summary) 2 25 2011 3 2" xfId="32830"/>
    <cellStyle name="差_Xl0000002_Leopard Lemur Squirrel UniBom-06.22.2010_EE cost _update_internal_Bolt RFQ Proposal_Foxlink_ (Pricing Summary) 2 25 2011 3 3" xfId="32831"/>
    <cellStyle name="差_Xl0000002_Leopard Lemur Squirrel UniBom-06.22.2010_EE cost _update_internal_Bolt RFQ Proposal_Foxlink_ (Pricing Summary) 2 25 2011 4 3" xfId="32832"/>
    <cellStyle name="差_Xl0000002_Leopard Lemur Squirrel UniBom-06.22.2010_EE cost _update_internal_Bolt RFQ_Foxlink_03.1 2011 2 3" xfId="32833"/>
    <cellStyle name="差_Xl0000002_Leopard Lemur Squirrel UniBom-06.22.2010_EE cost _update_internal_Bolt RFQ_Foxlink_03.1 2011 3 2" xfId="32834"/>
    <cellStyle name="差_Xl0000002_Leopard Lemur Squirrel UniBom-06.22.2010_EE cost _update_internal_Bolt RFQ_Foxlink_03.1 2011 4" xfId="32835"/>
    <cellStyle name="差_Xl0000002_Leopard Lemur Squirrel UniBom-06.22.2010_EE cost _update_internal_Bolt RFQ_Foxlink_03.1 2011 5" xfId="32836"/>
    <cellStyle name="差_Xl0000002_Leopard Lemur Squirrel UniBom-06.22.2010_EE cost _update_internal_Bolt RFQ_Foxlink_03.1 2011_nego meeting@MACH 2 2" xfId="32837"/>
    <cellStyle name="差_Xl0000002_Leopard RFQ ME BOM Costs-0618 2" xfId="32838"/>
    <cellStyle name="差_Xl0000002_Leopard RFQ ME BOM Costs-0618 2 2" xfId="32839"/>
    <cellStyle name="差_Xl0000002_Leopard RFQ ME BOM Costs-0618 2 3" xfId="32840"/>
    <cellStyle name="差_Xl0000002_Leopard RFQ ME BOM Costs-0618 2 4" xfId="32841"/>
    <cellStyle name="差_Xl0000002_Leopard RFQ ME BOM Costs-0618_Bolt RFQ Proposal_Foxlink_ (Pricing Summary) 2 25 2011 2 2 2" xfId="32842"/>
    <cellStyle name="差_Xl0000002_Leopard RFQ ME BOM Costs-0618_Bolt RFQ Proposal_Foxlink_ (Pricing Summary) 2 25 2011 2 2 3" xfId="32843"/>
    <cellStyle name="壞_Creek EE BOM cost_20090425_Squirrel UniBom-06.23.2010_update_internal_Bolt RFQ_Foxlink_03.1 2011 2 2" xfId="32844"/>
    <cellStyle name="差_Xl0000002_Leopard RFQ ME BOM Costs-0618_Bolt RFQ Proposal_Foxlink_ (Pricing Summary) 2 25 2011 4 2" xfId="32845"/>
    <cellStyle name="壞_Creek EE BOM cost_20090425_Squirrel UniBom-06.23.2010_update_internal_Bolt RFQ_Foxlink_03.1 2011 3 3" xfId="32846"/>
    <cellStyle name="差_Xl0000002_Leopard RFQ ME BOM Costs-0618_Bolt RFQ Proposal_Foxlink_ (Pricing Summary) 2 25 2011 5 3" xfId="32847"/>
    <cellStyle name="壞_Creek EE BOM cost_20090425_Squirrel UniBom-06.23.2010_update_internal_Bolt RFQ_Foxlink_03.1 2011 4" xfId="32848"/>
    <cellStyle name="差_Xl0000002_Leopard RFQ ME BOM Costs-0618_Bolt RFQ Proposal_Foxlink_ (Pricing Summary) 2 25 2011 6" xfId="32849"/>
    <cellStyle name="壞_Creek EE BOM cost_20090425_Squirrel UniBom-06.23.2010_update_internal_Bolt RFQ_Foxlink_03.1 2011 5" xfId="32850"/>
    <cellStyle name="差_Xl0000002_Leopard RFQ ME BOM Costs-0618_Bolt RFQ Proposal_Foxlink_ (Pricing Summary) 2 25 2011 7" xfId="32851"/>
    <cellStyle name="差_Xl0000002_Leopard RFQ ME BOM Costs-0618_Bolt RFQ_Foxlink_03.1 2011 2 2" xfId="32852"/>
    <cellStyle name="差_Xl0000002_Leopard RFQ ME BOM Costs-0618_Bolt RFQ_Foxlink_03.1 2011 3 3" xfId="32853"/>
    <cellStyle name="差_Xl0000002_Leopard RFQ ME BOM Costs-0618_Bolt RFQ_Foxlink_03.1 2011_nego meeting@MACH 3" xfId="32854"/>
    <cellStyle name="差_Xl0000002_Leopard RFQ ME BOM Costs-0618_Bolt RFQ_Foxlink_03.1 2011_nego meeting@MACH 3 2" xfId="32855"/>
    <cellStyle name="差_Xl0000002_Leopard RFQ ME BOM Costs-0618_Bolt RFQ_Foxlink_03.1 2011_nego meeting@MACH 5" xfId="32856"/>
    <cellStyle name="差_Xl0000002_Leopard RFQ ME BOM Costs-0618-2" xfId="32857"/>
    <cellStyle name="差_Xl0000002_Leopard RFQ ME BOM Costs-0618-2 2 2 2" xfId="32858"/>
    <cellStyle name="差_Xl0000002_Leopard RFQ ME BOM Costs-0618-2 2 3" xfId="32859"/>
    <cellStyle name="差_Xl0000002_Leopard RFQ ME BOM Costs-0618-2 3" xfId="32860"/>
    <cellStyle name="差_Xl0000002_Leopard RFQ ME BOM Costs-0618-2 3 2" xfId="32861"/>
    <cellStyle name="差_Xl0000002_Leopard RFQ ME BOM Costs-0618-2 3 3" xfId="32862"/>
    <cellStyle name="差_Xl0000002_Leopard RFQ ME BOM Costs-0618-2_Bolt RFQ Proposal_Foxlink_ (Pricing Summary) 2 25 2011 2 2" xfId="32863"/>
    <cellStyle name="差_Xl0000002_Leopard RFQ ME BOM Costs-0618-2_Bolt RFQ Proposal_Foxlink_ (Pricing Summary) 2 25 2011 2 2 2" xfId="32864"/>
    <cellStyle name="差_Xl0000002_Leopard RFQ ME BOM Costs-0618-2_Bolt RFQ Proposal_Foxlink_ (Pricing Summary) 2 25 2011 2 2 3" xfId="32865"/>
    <cellStyle name="差_Xl0000002_Leopard RFQ ME BOM Costs-0618-2_Bolt RFQ Proposal_Foxlink_ (Pricing Summary) 2 25 2011 4 2" xfId="32866"/>
    <cellStyle name="差_Xl0000002_Leopard RFQ ME BOM Costs-0618-2_Bolt RFQ Proposal_Foxlink_ (Pricing Summary) 2 25 2011 5" xfId="32867"/>
    <cellStyle name="差_Xl0000002_Leopard RFQ ME BOM Costs-0618-2_Bolt RFQ Proposal_Foxlink_ (Pricing Summary) 2 25 2011 5 3" xfId="32868"/>
    <cellStyle name="差_Xl0000002_Leopard RFQ ME BOM Costs-0618-2_Bolt RFQ Proposal_Foxlink_ (Pricing Summary) 2 25 2011 6" xfId="32869"/>
    <cellStyle name="差_Xl0000002_Leopard RFQ ME BOM Costs-0618-2_Bolt RFQ_Foxlink_03.1 2011 2 3" xfId="32870"/>
    <cellStyle name="差_Xl0000002_Leopard RFQ ME BOM Costs-0618-2_Bolt RFQ_Foxlink_03.1 2011 5" xfId="32871"/>
    <cellStyle name="差_Xl0000002_Leopard RFQ ME BOM Costs-0618-2_Bolt RFQ_Foxlink_03.1 2011_nego meeting@MACH" xfId="32872"/>
    <cellStyle name="差_Xl0000002_Leopard RFQ ME BOM Costs-0618-2_Bolt RFQ_Foxlink_03.1 2011_nego meeting@MACH 3 3" xfId="32873"/>
    <cellStyle name="差_Xl0000002_Leopard RFQ ME BOM Costs-0618-2_Bolt RFQ_Foxlink_03.1 2011_nego meeting@MACH 5" xfId="32874"/>
    <cellStyle name="差_Xl0000002_Leopard UniBom_Foxlink_12092010 RevD-jen" xfId="32875"/>
    <cellStyle name="差_Xl0000002_Leopard UniBom_Foxlink_6 21 2010-ME_nego" xfId="32876"/>
    <cellStyle name="差_Xl0000002_Leopard UniBom_Foxlink_6 21 2010-ME_nego 2" xfId="32877"/>
    <cellStyle name="差_Xl0000002_Leopard UniBom_Foxlink_6 21 2010-ME_nego 2 2 2" xfId="32878"/>
    <cellStyle name="差_Xl0000002_Leopard UniBom_Foxlink_6 21 2010-ME_nego 2 2 3" xfId="32879"/>
    <cellStyle name="差_Xl0000002_Leopard UniBom_Foxlink_6 21 2010-ME_nego 3" xfId="32880"/>
    <cellStyle name="差_Xl0000002_Leopard UniBom_Foxlink_6 21 2010-ME_nego 3 3" xfId="32881"/>
    <cellStyle name="差_Xl0000002_Leopard UniBom_Foxlink_6 21 2010-ME_nego_Bolt RFQ Proposal_Foxlink_ (Pricing Summary) 2 25 2011 2 3" xfId="32882"/>
    <cellStyle name="差_Xl0000002_Leopard UniBom_Foxlink_6 21 2010-ME_nego_Bolt RFQ Proposal_Foxlink_ (Pricing Summary) 2 25 2011 2 4" xfId="32883"/>
    <cellStyle name="差_Xl0000002_Leopard UniBom_Foxlink_6 21 2010-ME_nego_Bolt RFQ Proposal_Foxlink_ (Pricing Summary) 2 25 2011 3" xfId="32884"/>
    <cellStyle name="差_Xl0000002_Leopard UniBom_Foxlink_6 21 2010-ME_nego_Bolt RFQ Proposal_Foxlink_ (Pricing Summary) 2 25 2011 3 2" xfId="32885"/>
    <cellStyle name="差_Xl0000002_Leopard UniBom_Foxlink_6 21 2010-ME_nego_Bolt RFQ Proposal_Foxlink_ (Pricing Summary) 2 25 2011 3 3" xfId="32886"/>
    <cellStyle name="差_Xl0000002_Leopard UniBom_Foxlink_6 21 2010-ME_nego_Bolt RFQ Proposal_Foxlink_ (Pricing Summary) 2 25 2011 4" xfId="32887"/>
    <cellStyle name="差_Xl0000002_Leopard UniBom_Foxlink_6 21 2010-ME_nego_Bolt RFQ Proposal_Foxlink_ (Pricing Summary) 2 25 2011 4 2" xfId="32888"/>
    <cellStyle name="差_Xl0000002_Leopard UniBom_Foxlink_6 21 2010-ME_nego_Bolt RFQ Proposal_Foxlink_ (Pricing Summary) 2 25 2011 5 3" xfId="32889"/>
    <cellStyle name="差_Xl0000002_Leopard UniBom_Foxlink_6 21 2010-ME_nego_Bolt RFQ Proposal_Foxlink_ (Pricing Summary) 2 25 2011 6" xfId="32890"/>
    <cellStyle name="差_Xl0000002_Leopard UniBom_Foxlink_6 21 2010-ME_nego_Bolt RFQ Proposal_Foxlink_ (Pricing Summary) 2 25 2011 7" xfId="32891"/>
    <cellStyle name="差_Xl0000002_Leopard UniBom_Foxlink_6 21 2010-ME_nego_Bolt RFQ_Foxlink_03.1 2011_nego meeting@MACH 2" xfId="32892"/>
    <cellStyle name="差_Xl0000002_Leopard UniBom_Foxlink_6 21 2010-ME_nego_Bolt RFQ_Foxlink_03.1 2011_nego meeting@MACH 2 3" xfId="32893"/>
    <cellStyle name="差_Xl0000002_Leopard UniBom_Foxlink_6 21 2010-ME_nego_Bolt RFQ_Foxlink_03.1 2011_nego meeting@MACH 4" xfId="32894"/>
    <cellStyle name="差_Xl0000002_Leopard UniBom_Foxlink_6 21 2010-nego" xfId="32895"/>
    <cellStyle name="差_Xl0000002_Leopard_UniBOM_ME_0531" xfId="32896"/>
    <cellStyle name="差_Xl0000002_Leopard_UniBOM_ME_0531 2 2 2" xfId="32897"/>
    <cellStyle name="差_Xl0000002_Leopard_UniBOM_ME_0531 2 3" xfId="32898"/>
    <cellStyle name="差_Xl0000002_Leopard_UniBOM_ME_0531 3" xfId="32899"/>
    <cellStyle name="差_Xl0000002_Leopard_UniBOM_ME_0531 3 3" xfId="32900"/>
    <cellStyle name="差_Xl0000002_Leopard_UniBOM_ME_0531_Bolt RFQ Proposal_Foxlink_ (Pricing Summary) 2 25 2011" xfId="32901"/>
    <cellStyle name="差_Xl0000002_Leopard_UniBOM_ME_0531_Bolt RFQ Proposal_Foxlink_ (Pricing Summary) 2 25 2011 2 2 2" xfId="32902"/>
    <cellStyle name="差_Xl0000002_Leopard_UniBOM_ME_0531_Bolt RFQ Proposal_Foxlink_ (Pricing Summary) 2 25 2011 2 2 3" xfId="32903"/>
    <cellStyle name="差_Xl0000002_Leopard_UniBOM_ME_0531_Bolt RFQ Proposal_Foxlink_ (Pricing Summary) 2 25 2011 2 3" xfId="32904"/>
    <cellStyle name="差_Xl0000002_Leopard_UniBOM_ME_0531_Bolt RFQ Proposal_Foxlink_ (Pricing Summary) 2 25 2011 2 4" xfId="32905"/>
    <cellStyle name="差_Xl0000002_Leopard_UniBOM_ME_0531_Bolt RFQ Proposal_Foxlink_ (Pricing Summary) 2 25 2011 7" xfId="32906"/>
    <cellStyle name="差_Xl0000002_Leopard_UniBOM_ME_0531_Bolt RFQ_Foxlink_03.1 2011 2" xfId="32907"/>
    <cellStyle name="差_Xl0000002_Leopard_UniBOM_ME_0531_Bolt RFQ_Foxlink_03.1 2011 2 2" xfId="32908"/>
    <cellStyle name="差_Xl0000002_Leopard_UniBOM_ME_0531_Bolt RFQ_Foxlink_03.1 2011 3 3" xfId="32909"/>
    <cellStyle name="差_Xl0000002_Leopard_UniBOM_ME_0531_Bolt RFQ_Foxlink_03.1 2011_nego meeting@MACH" xfId="32910"/>
    <cellStyle name="差_Xl0000002_Leopard_UniBOM_ME_0531_Bolt RFQ_Foxlink_03.1 2011_nego meeting@MACH 2 3" xfId="32911"/>
    <cellStyle name="差_Xl0000002_Leopard_UniBOM_ME_0531_Bolt RFQ_Foxlink_03.1 2011_nego meeting@MACH 3 2" xfId="32912"/>
    <cellStyle name="差_Xl0000002_Leopard_UniBOM_ME_0531_Bolt RFQ_Foxlink_03.1 2011_nego meeting@MACH 3 3" xfId="32913"/>
    <cellStyle name="差_Xl0000002_Leopard_UniBOM_ME_0531_Bolt RFQ_Foxlink_03.1 2011_nego meeting@MACH 4" xfId="32914"/>
    <cellStyle name="差_Xl0000002_Leopard_UniBOM_ME_0602" xfId="32915"/>
    <cellStyle name="差_Xl0000002_Leopard_UniBOM_ME_0602 2" xfId="32916"/>
    <cellStyle name="差_Xl0000002_Leopard_UniBOM_ME_0602 2 2" xfId="32917"/>
    <cellStyle name="差_Xl0000002_Leopard_UniBOM_ME_0602 2 2 2" xfId="32918"/>
    <cellStyle name="差_Xl0000002_Leopard_UniBOM_ME_0602 2 3" xfId="32919"/>
    <cellStyle name="差_Xl0000002_Leopard_UniBOM_ME_0602 3 2" xfId="32920"/>
    <cellStyle name="差_Xl0000002_Leopard_UniBOM_ME_0602 3 3" xfId="32921"/>
    <cellStyle name="差_Xl0000002_Leopard_UniBOM_ME_0602_Bolt RFQ Proposal_Foxlink_ (Pricing Summary) 2 25 2011 2" xfId="32922"/>
    <cellStyle name="差_Xl0000002_Leopard_UniBOM_ME_0602_Bolt RFQ Proposal_Foxlink_ (Pricing Summary) 2 25 2011 2 2 3" xfId="32923"/>
    <cellStyle name="差_Xl0000002_Leopard_UniBOM_ME_0602_Bolt RFQ Proposal_Foxlink_ (Pricing Summary) 2 25 2011 2 3" xfId="32924"/>
    <cellStyle name="差_Xl0000002_Leopard_UniBOM_ME_0602_Bolt RFQ Proposal_Foxlink_ (Pricing Summary) 2 25 2011 2 4" xfId="32925"/>
    <cellStyle name="差_Xl0000002_Leopard_UniBOM_ME_0602_Bolt RFQ Proposal_Foxlink_ (Pricing Summary) 2 25 2011 3" xfId="32926"/>
    <cellStyle name="差_Xl0000002_Leopard_UniBOM_ME_0602_Bolt RFQ Proposal_Foxlink_ (Pricing Summary) 2 25 2011 5 2" xfId="32927"/>
    <cellStyle name="差_Xl0000002_Leopard_UniBOM_ME_0602_Bolt RFQ Proposal_Foxlink_ (Pricing Summary) 2 25 2011 5 3" xfId="32928"/>
    <cellStyle name="壞_Erie Assembly Fixture  Test Equip Cost_20090716_Foxlink_Shadow RFQ NREUni BOM_12032009_Wedge_ME_BOM-v00-11v0715 3" xfId="32929"/>
    <cellStyle name="差_Xl0000002_Leopard_UniBOM_ME_0602_Bolt RFQ Proposal_Foxlink_ (Pricing Summary) 2 25 2011 6" xfId="32930"/>
    <cellStyle name="差_Xl0000002_Leopard_UniBOM_ME_0602_Bolt RFQ_Foxlink_03.1 2011" xfId="32931"/>
    <cellStyle name="差_Xl0000002_Leopard_UniBOM_ME_0602_Bolt RFQ_Foxlink_03.1 2011 3" xfId="32932"/>
    <cellStyle name="差_Xl0000002_Leopard_UniBOM_ME_0602_Bolt RFQ_Foxlink_03.1 2011 3 2" xfId="32933"/>
    <cellStyle name="差_Xl0000002_Squirrel RFQ ME BOM Costs-0623 2 3" xfId="32934"/>
    <cellStyle name="差_Xl0000002_Leopard_UniBOM_ME_0602_Bolt RFQ_Foxlink_03.1 2011 3 3" xfId="32935"/>
    <cellStyle name="差_Xl0000002_Squirrel RFQ ME BOM Costs-0623 2 4" xfId="32936"/>
    <cellStyle name="差_Xl0000002_Leopard_UniBOM_ME_0602_Bolt RFQ_Foxlink_03.1 2011 4" xfId="32937"/>
    <cellStyle name="差_Xl0000002_Leopard_UniBOM_ME_0602_Bolt RFQ_Foxlink_03.1 2011_nego meeting@MACH 2 2" xfId="32938"/>
    <cellStyle name="差_Xl0000002_Leopard_UniBOM_ME_0602_Bolt RFQ_Foxlink_03.1 2011_nego meeting@MACH 3" xfId="32939"/>
    <cellStyle name="差_Xl0000002_Leopard_UniBOM_ME_0602_Bolt RFQ_Foxlink_03.1 2011_nego meeting@MACH 3 2" xfId="32940"/>
    <cellStyle name="差_Xl0000002_Leopard_UniBOM_ME_0602_Bolt RFQ_Foxlink_03.1 2011_nego meeting@MACH 3 3" xfId="32941"/>
    <cellStyle name="差_Xl0000002_Leopard_UniBOM_ME_0602_Bolt RFQ_Foxlink_03.1 2011_nego meeting@MACH 4" xfId="32942"/>
    <cellStyle name="差_Xl0000002_Leopard_UniBOM_ME_0602_Bolt RFQ_Foxlink_03.1 2011_nego meeting@MACH 5" xfId="32943"/>
    <cellStyle name="差_Xl0000002_Leopard_UniBOM_ME_0602-1" xfId="32944"/>
    <cellStyle name="差_Xl0000002_Leopard_UniBOM_ME_0602-1 3 2" xfId="32945"/>
    <cellStyle name="差_Xl0000002_Leopard_UniBOM_ME_0602-1_Bolt RFQ Proposal_Foxlink_ (Pricing Summary) 2 25 2011" xfId="32946"/>
    <cellStyle name="差_Xl0000002_Leopard_UniBOM_ME_0602-1_Bolt RFQ Proposal_Foxlink_ (Pricing Summary) 2 25 2011 2 2" xfId="32947"/>
    <cellStyle name="差_Xl0000002_Leopard_UniBOM_ME_0602-1_Bolt RFQ Proposal_Foxlink_ (Pricing Summary) 2 25 2011 2 2 2" xfId="32948"/>
    <cellStyle name="差_Xl0000002_Leopard_UniBOM_ME_0602-1_Bolt RFQ Proposal_Foxlink_ (Pricing Summary) 2 25 2011 4 3" xfId="32949"/>
    <cellStyle name="差_Xl0000002_Leopard_UniBOM_ME_0602-1_Bolt RFQ Proposal_Foxlink_ (Pricing Summary) 2 25 2011 6" xfId="32950"/>
    <cellStyle name="差_Xl0000002_Leopard_UniBOM_ME_0602-1_Bolt RFQ Proposal_Foxlink_ (Pricing Summary) 2 25 2011 7" xfId="32951"/>
    <cellStyle name="差_Xl0000002_Leopard_UniBOM_ME_0602-1_Bolt RFQ_Foxlink_03.1 2011 3 3" xfId="32952"/>
    <cellStyle name="差_Xl0000002_Leopard_UniBOM_ME_0602-1_Bolt RFQ_Foxlink_03.1 2011_nego meeting@MACH" xfId="32953"/>
    <cellStyle name="差_Xl0000002_Leopard_UniBOM_ME_0602-1_Bolt RFQ_Foxlink_03.1 2011_nego meeting@MACH 3 2" xfId="32954"/>
    <cellStyle name="差_Xl0000002_Leopard_UniBOM_ME_0602-1_Bolt RFQ_Foxlink_03.1 2011_nego meeting@MACH 4" xfId="32955"/>
    <cellStyle name="差_Xl0000002_Leopard_UniBOM_ME_0603-2" xfId="32956"/>
    <cellStyle name="差_Xl0000002_Leopard_UniBOM_ME_0603-2 2 2" xfId="32957"/>
    <cellStyle name="差_Xl0000002_Leopard_UniBOM_ME_0603-2 2 2 3" xfId="32958"/>
    <cellStyle name="差_Xl0000002_Leopard_UniBOM_ME_0603-2 3" xfId="32959"/>
    <cellStyle name="差_Xl0000002_Leopard_UniBOM_ME_0603-2_Bolt RFQ Proposal_Foxlink_ (Pricing Summary) 2 25 2011 2 2 2" xfId="32960"/>
    <cellStyle name="差_Xl0000002_Leopard_UniBOM_ME_0603-2_Bolt RFQ Proposal_Foxlink_ (Pricing Summary) 2 25 2011 2 2 3" xfId="32961"/>
    <cellStyle name="差_Xl0000002_Leopard_UniBOM_ME_0603-2_Bolt RFQ Proposal_Foxlink_ (Pricing Summary) 2 25 2011 2 3" xfId="32962"/>
    <cellStyle name="差_Xl0000002_Leopard_UniBOM_ME_0603-2_Bolt RFQ Proposal_Foxlink_ (Pricing Summary) 2 25 2011 3" xfId="32963"/>
    <cellStyle name="差_Xl0000002_Leopard_UniBOM_ME_0603-2_Bolt RFQ Proposal_Foxlink_ (Pricing Summary) 2 25 2011 3 2" xfId="32964"/>
    <cellStyle name="差_Xl0000002_Leopard_UniBOM_ME_0603-2_Bolt RFQ Proposal_Foxlink_ (Pricing Summary) 2 25 2011 3 3" xfId="32965"/>
    <cellStyle name="差_Xl0000002_Leopard_UniBOM_ME_0603-2_Bolt RFQ Proposal_Foxlink_ (Pricing Summary) 2 25 2011 4" xfId="32966"/>
    <cellStyle name="壞_Creek Assembly Fixture  Test Equipment RFQ_20090427_Jackson and Shadow BOM cost_mainfile_2010 0324 rev.1_Leopard UniBom_Foxlink_12272010 RevF_shirley" xfId="32967"/>
    <cellStyle name="差_Xl0000002_Leopard_UniBOM_ME_0603-2_Bolt RFQ Proposal_Foxlink_ (Pricing Summary) 2 25 2011 4 3" xfId="32968"/>
    <cellStyle name="差_Xl0000002_Leopard_UniBOM_ME_0603-2_Bolt RFQ Proposal_Foxlink_ (Pricing Summary) 2 25 2011 7" xfId="32969"/>
    <cellStyle name="差_Xl0000002_Leopard_UniBOM_ME_0603-2_Bolt RFQ_Foxlink_03.1 2011" xfId="32970"/>
    <cellStyle name="差_Xl0000002_Leopard_UniBOM_ME_0603-2_Bolt RFQ_Foxlink_03.1 2011 2" xfId="32971"/>
    <cellStyle name="差_Xl0000002_Leopard_UniBOM_ME_0603-2_Bolt RFQ_Foxlink_03.1 2011 2 2" xfId="32972"/>
    <cellStyle name="差_Xl0000002_Leopard_UniBOM_ME_0603-2_Bolt RFQ_Foxlink_03.1 2011 4" xfId="32973"/>
    <cellStyle name="差_Xl0000002_Leopard_UniBOM_ME_0603-2_Bolt RFQ_Foxlink_03.1 2011_nego meeting@MACH 2" xfId="32974"/>
    <cellStyle name="差_Xl0000002_Leopard_UniBOM_ME_0603-2_Bolt RFQ_Foxlink_03.1 2011_nego meeting@MACH 3" xfId="32975"/>
    <cellStyle name="差_治具工程課2009年KPI 5" xfId="32976"/>
    <cellStyle name="差_Xl0000002_Leopard_UniBOM_ME_0603-2_Bolt RFQ_Foxlink_03.1 2011_nego meeting@MACH 3 2" xfId="32977"/>
    <cellStyle name="差_Xl0000002_Leopard_UniBOM_ME_0603-2_Bolt RFQ_Foxlink_03.1 2011_nego meeting@MACH 5" xfId="32978"/>
    <cellStyle name="差_Xl0000002_Squirrel RFQ ME BOM Costs-0623" xfId="32979"/>
    <cellStyle name="差_Xl0000002_Squirrel RFQ ME BOM Costs-0623 2 2" xfId="32980"/>
    <cellStyle name="差_Xl0000002_Squirrel RFQ ME BOM Costs-0623 2 2 3" xfId="32981"/>
    <cellStyle name="差_Xl0000002_Squirrel RFQ ME BOM Costs-0623_Bolt RFQ Proposal_Foxlink_ (Pricing Summary) 2 25 2011 2 2" xfId="32982"/>
    <cellStyle name="差_Xl0000002_Squirrel RFQ ME BOM Costs-0623_Bolt RFQ Proposal_Foxlink_ (Pricing Summary) 2 25 2011 2 2 3" xfId="32983"/>
    <cellStyle name="差_Xl0000002_Squirrel RFQ ME BOM Costs-0623_Bolt RFQ Proposal_Foxlink_ (Pricing Summary) 2 25 2011 2 3" xfId="32984"/>
    <cellStyle name="差_Xl0000002_Squirrel RFQ ME BOM Costs-0623_Bolt RFQ Proposal_Foxlink_ (Pricing Summary) 2 25 2011 2 4" xfId="32985"/>
    <cellStyle name="差_Xl0000002_Squirrel RFQ ME BOM Costs-0623_Bolt RFQ Proposal_Foxlink_ (Pricing Summary) 2 25 2011 4 2" xfId="32986"/>
    <cellStyle name="差_Xl0000002_Squirrel RFQ ME BOM Costs-0623_Bolt RFQ Proposal_Foxlink_ (Pricing Summary) 2 25 2011 5 3" xfId="32987"/>
    <cellStyle name="差_Xl0000002_Squirrel RFQ ME BOM Costs-0623_Bolt RFQ Proposal_Foxlink_ (Pricing Summary) 2 25 2011 6" xfId="32988"/>
    <cellStyle name="差_Xl0000002_Squirrel RFQ ME BOM Costs-0623_Bolt RFQ Proposal_Foxlink_ (Pricing Summary) 2 25 2011 7" xfId="32989"/>
    <cellStyle name="差_Xl0000002_Squirrel RFQ ME BOM Costs-0623_Bolt RFQ_Foxlink_03.1 2011" xfId="32990"/>
    <cellStyle name="差_Xl0000002_Squirrel RFQ ME BOM Costs-0623_Bolt RFQ_Foxlink_03.1 2011 2" xfId="32991"/>
    <cellStyle name="差_Xl0000002_Squirrel RFQ ME BOM Costs-0623_Bolt RFQ_Foxlink_03.1 2011 2 2" xfId="32992"/>
    <cellStyle name="差_Xl0000002_Squirrel RFQ ME BOM Costs-0623_Bolt RFQ_Foxlink_03.1 2011 2 3" xfId="32993"/>
    <cellStyle name="差_Xl0000002_Squirrel RFQ ME BOM Costs-0623_Bolt RFQ_Foxlink_03.1 2011 3" xfId="32994"/>
    <cellStyle name="差_Xl0000002_Squirrel RFQ ME BOM Costs-0623_Bolt RFQ_Foxlink_03.1 2011 3 2" xfId="32995"/>
    <cellStyle name="差_Xl0000002_Squirrel RFQ ME BOM Costs-0623_Bolt RFQ_Foxlink_03.1 2011 3 3" xfId="32996"/>
    <cellStyle name="差_Xl0000002_Squirrel RFQ ME BOM Costs-0623_Bolt RFQ_Foxlink_03.1 2011_nego meeting@MACH" xfId="32997"/>
    <cellStyle name="差_Xl0000002_Squirrel RFQ ME BOM Costs-0623_Bolt RFQ_Foxlink_03.1 2011_nego meeting@MACH 2 2" xfId="32998"/>
    <cellStyle name="差_Xl0000002_Squirrel RFQ ME BOM Costs-0623_Bolt RFQ_Foxlink_03.1 2011_nego meeting@MACH 2 3" xfId="32999"/>
    <cellStyle name="差_Xl0000002_Squirrel RFQ ME BOM Costs-0623_Bolt RFQ_Foxlink_03.1 2011_nego meeting@MACH 3" xfId="33000"/>
    <cellStyle name="差_Xl0000002_Squirrel RFQ ME BOM Costs-0623_Bolt RFQ_Foxlink_03.1 2011_nego meeting@MACH 3 2" xfId="33001"/>
    <cellStyle name="差_Xl0000002_Squirrel RFQ ME BOM Costs-0623_Bolt RFQ_Foxlink_03.1 2011_nego meeting@MACH 3 3" xfId="33002"/>
    <cellStyle name="差_Xl0000002_Squirrel RFQ ME BOM Costs-0623_Bolt RFQ_Foxlink_03.1 2011_nego meeting@MACH 4" xfId="33003"/>
    <cellStyle name="差_Xl0000002_Squirrel RFQ ME BOM Costs-0623_Bolt RFQ_Foxlink_03.1 2011_nego meeting@MACH 5" xfId="33004"/>
    <cellStyle name="差_Xl0000002_Squirrel RFQ ME BOM Costs-0624" xfId="33005"/>
    <cellStyle name="差_Xl0000002_Squirrel UniBom_Foxlink_6 28 2010" xfId="33006"/>
    <cellStyle name="差_Xl0000002_Squirrel UniBom-06 23 2010_update_internal" xfId="33007"/>
    <cellStyle name="差_Xl0000002_Squirrel UniBom-06.23.2010_update_internal" xfId="33008"/>
    <cellStyle name="差_Xl0000002_Squirrel UniBom-06.23.2010_update_internal 2" xfId="33009"/>
    <cellStyle name="差_Xl0000002_Squirrel UniBom-06.23.2010_update_internal 2 2" xfId="33010"/>
    <cellStyle name="差_Xl0000002_Squirrel UniBom-06.23.2010_update_internal 2 2 2" xfId="33011"/>
    <cellStyle name="差_Xl0000002_Squirrel UniBom-06.23.2010_update_internal 2 2 3" xfId="33012"/>
    <cellStyle name="差_Xl0000002_Squirrel UniBom-06.23.2010_update_internal 3" xfId="33013"/>
    <cellStyle name="差_Xl0000002_Squirrel UniBom-06.23.2010_update_internal 3 2" xfId="33014"/>
    <cellStyle name="差_Xl0000002_Squirrel UniBom-06.23.2010_update_internal 3 3" xfId="33015"/>
    <cellStyle name="差_Xl0000002_Squirrel UniBom-06.23.2010_update_internal_Bolt RFQ Proposal_Foxlink_ (Pricing Summary) 2 25 2011" xfId="33016"/>
    <cellStyle name="差_Xl0000002_Squirrel UniBom-06.23.2010_update_internal_Bolt RFQ Proposal_Foxlink_ (Pricing Summary) 2 25 2011 2 2" xfId="33017"/>
    <cellStyle name="差_Xl0000002_Squirrel UniBom-06.23.2010_update_internal_Bolt RFQ Proposal_Foxlink_ (Pricing Summary) 2 25 2011 2 3" xfId="33018"/>
    <cellStyle name="差_Xl0000002_Squirrel UniBom-06.23.2010_update_internal_Bolt RFQ Proposal_Foxlink_ (Pricing Summary) 2 25 2011 2 4" xfId="33019"/>
    <cellStyle name="差_Xl0000002_Squirrel UniBom-06.23.2010_update_internal_Bolt RFQ Proposal_Foxlink_ (Pricing Summary) 2 25 2011 3" xfId="33020"/>
    <cellStyle name="差_Xl0000002_Squirrel UniBom-06.23.2010_update_internal_Bolt RFQ Proposal_Foxlink_ (Pricing Summary) 2 25 2011 4" xfId="33021"/>
    <cellStyle name="差_Xl0000002_Squirrel UniBom-06.23.2010_update_internal_Bolt RFQ Proposal_Foxlink_ (Pricing Summary) 2 25 2011 4 2" xfId="33022"/>
    <cellStyle name="差_Xl0000002_Squirrel UniBom-06.23.2010_update_internal_Bolt RFQ Proposal_Foxlink_ (Pricing Summary) 2 25 2011 5" xfId="33023"/>
    <cellStyle name="差_Xl0000002_Squirrel UniBom-06.23.2010_update_internal_Bolt RFQ Proposal_Foxlink_ (Pricing Summary) 2 25 2011 5 3" xfId="33024"/>
    <cellStyle name="差_Xl0000002_Squirrel UniBom-06.23.2010_update_internal_Bolt RFQ Proposal_Foxlink_ (Pricing Summary) 2 25 2011 7" xfId="33025"/>
    <cellStyle name="差_Xl0000002_Squirrel UniBom-06.23.2010_update_internal_Bolt RFQ_Foxlink_03.1 2011 2" xfId="33026"/>
    <cellStyle name="差_Xl0000002_Squirrel UniBom-06.23.2010_update_internal_Bolt RFQ_Foxlink_03.1 2011 2 2" xfId="33027"/>
    <cellStyle name="差_Xl0000002_Squirrel UniBom-06.23.2010_update_internal_Bolt RFQ_Foxlink_03.1 2011 2 3" xfId="33028"/>
    <cellStyle name="差_Xl0000002_Squirrel UniBom-06.23.2010_update_internal_Bolt RFQ_Foxlink_03.1 2011 3" xfId="33029"/>
    <cellStyle name="差_Xl0000002_Squirrel UniBom-06.23.2010_update_internal_Bolt RFQ_Foxlink_03.1 2011 4" xfId="33030"/>
    <cellStyle name="差_Xl0000002_Squirrel UniBom-06.23.2010_update_internal_Bolt RFQ_Foxlink_03.1 2011 5" xfId="33031"/>
    <cellStyle name="差_Xl0000002_Squirrel UniBom-06.23.2010_update_internal_Bolt RFQ_Foxlink_03.1 2011_nego meeting@MACH" xfId="33032"/>
    <cellStyle name="差_Xl0000002_Squirrel UniBom-06.23.2010_update_internal_Bolt RFQ_Foxlink_03.1 2011_nego meeting@MACH 2" xfId="33033"/>
    <cellStyle name="差_Xl0000002_Squirrel UniBom-06.23.2010_update_internal_Bolt RFQ_Foxlink_03.1 2011_nego meeting@MACH 2 2" xfId="33034"/>
    <cellStyle name="差_Xl0000002_Squirrel UniBom-06.23.2010_update_internal_Bolt RFQ_Foxlink_03.1 2011_nego meeting@MACH 3" xfId="33035"/>
    <cellStyle name="差_Xl0000002_Squirrel UniBom-06.23.2010_update_internal_Bolt RFQ_Foxlink_03.1 2011_nego meeting@MACH 5" xfId="33036"/>
    <cellStyle name="差_治具工程課2009年KPI" xfId="33037"/>
    <cellStyle name="差_治具工程課2009年KPI 2" xfId="33038"/>
    <cellStyle name="差_治具工程課2009年KPI 2 2 2" xfId="33039"/>
    <cellStyle name="差_治具工程課2009年KPI 2 2 3" xfId="33040"/>
    <cellStyle name="差_治具工程課2009年KPI 2 2 4" xfId="33041"/>
    <cellStyle name="差_治具工程課2009年KPI 2 3" xfId="33042"/>
    <cellStyle name="差_治具工程課2009年KPI 2 3 2" xfId="33043"/>
    <cellStyle name="差_治具工程課2009年KPI 2 4" xfId="33044"/>
    <cellStyle name="差_治具工程課2009年KPI 2 5" xfId="33045"/>
    <cellStyle name="差_治具工程課2009年KPI 3" xfId="33046"/>
    <cellStyle name="差_治具工程課2009年KPI 3 2 2" xfId="33047"/>
    <cellStyle name="差_治具工程課2009年KPI 3 3" xfId="33048"/>
    <cellStyle name="差_治具工程課2009年KPI 3 4" xfId="33049"/>
    <cellStyle name="差_治具工程課2009年KPI 4" xfId="33050"/>
    <cellStyle name="差_治具工程課2009年KPI 5 2" xfId="33051"/>
    <cellStyle name="差_治具工程課2009年KPI_2009MB KPI-0205 2" xfId="33052"/>
    <cellStyle name="差_治具工程課2009年KPI_2009MB KPI-0205 2 2" xfId="33053"/>
    <cellStyle name="差_治具工程課2009年KPI_2009MB KPI-0205 2 2 2" xfId="33054"/>
    <cellStyle name="差_治具工程課2009年KPI_2009MB KPI-0205 2 4" xfId="33055"/>
    <cellStyle name="差_效益分析&amp;產能評估_M1 Bolt wireless mouse FixtureEquipment Cost_A2_2010_12_07_Bolt RFQ Proposal_Foxlink_ (Pricing Summary) 2 25 2011 2 2 2" xfId="33056"/>
    <cellStyle name="差_治具工程課2009年KPI_2009MB KPI-0205 2 5" xfId="33057"/>
    <cellStyle name="差_治具工程課2009年KPI_2009MB KPI-0205 3" xfId="33058"/>
    <cellStyle name="差_治具工程課2009年KPI_2009MB KPI-0205 3 2" xfId="33059"/>
    <cellStyle name="差_治具工程課2009年KPI_2009MB KPI-0205 3 4" xfId="33060"/>
    <cellStyle name="差_治具工程課2009年KPI_2009MB KPI-0205 4" xfId="33061"/>
    <cellStyle name="差_治具工程課2009年KPI_2009MB KPI-0205 5" xfId="33062"/>
    <cellStyle name="差_治具工程課2009年KPI_2009MB KPI-0205 5 2" xfId="33063"/>
    <cellStyle name="差_治具工程課2009年KPI_2009MB KPI-0205 5 2 2" xfId="33064"/>
    <cellStyle name="差_治具工程課2009年KPI_2009MB KPI-0205 6 2" xfId="33065"/>
    <cellStyle name="差_治具工程課2009年KPI_2009MB KPI-0205 6 3" xfId="33066"/>
    <cellStyle name="差_治具工程課2009年KPI_HP 2" xfId="33067"/>
    <cellStyle name="差_治具工程課2009年KPI_HP 2 2" xfId="33068"/>
    <cellStyle name="差_治具工程課2009年KPI_HP 2 3 2" xfId="33069"/>
    <cellStyle name="差_治具工程課2009年KPI_HP 2 3 3" xfId="33070"/>
    <cellStyle name="差_治具工程課2009年KPI_HP 3" xfId="33071"/>
    <cellStyle name="差_治具工程課2009年KPI_HP 3 2" xfId="33072"/>
    <cellStyle name="差_治具工程課2009年KPI_HP 3 2 2" xfId="33073"/>
    <cellStyle name="差_治具工程課2009年KPI_HP 4" xfId="33074"/>
    <cellStyle name="差_治具工程課2009年KPI_HP 5" xfId="33075"/>
    <cellStyle name="差_治具工程課2009年KPI_HP 6" xfId="33076"/>
    <cellStyle name="差_治具工程課2009年KPI_HP 6 3" xfId="33077"/>
    <cellStyle name="差_治具工程課2009年KPI_KPI 1006 3 2 3" xfId="33078"/>
    <cellStyle name="差_治具工程課2009年KPI_KPI 1006 5" xfId="33079"/>
    <cellStyle name="差_治具工程課2009年KPI_KPI 1006 5 2 3" xfId="33080"/>
    <cellStyle name="差_治具工程課2009年KPI_KPI 1006 6" xfId="33081"/>
    <cellStyle name="差_治具工程課2009年KPI_產線生產規劃KPI" xfId="33082"/>
    <cellStyle name="差_治具工程課2009年KPI_產線生產規劃KPI 2 2 4" xfId="33083"/>
    <cellStyle name="差_治具工程課2009年KPI_產線生產規劃KPI 3" xfId="33084"/>
    <cellStyle name="差_治具工程課2009年KPI_產線生產規劃KPI 3 2" xfId="33085"/>
    <cellStyle name="差_治具工程課2009年KPI_產線生產規劃KPI 3 2 2" xfId="33086"/>
    <cellStyle name="差_治具工程課2009年KPI_產線生產規劃KPI 3 2 3" xfId="33087"/>
    <cellStyle name="差_治具工程課2009年KPI_產線生產規劃KPI 3 4" xfId="33088"/>
    <cellStyle name="差_治具工程課2009年KPI_產線生產規劃KPI 5" xfId="33089"/>
    <cellStyle name="差_治具工程課2009年KPI_產線生產規劃KPI 5 2" xfId="33090"/>
    <cellStyle name="差_治具工程課2009年KPI_產線生產規劃KPI 5 2 2" xfId="33091"/>
    <cellStyle name="差_治具工程課2009年KPI_產線生產規劃KPI 5 2 3" xfId="33092"/>
    <cellStyle name="差_治具工程課2009年KPI_產線生產規劃KPI 5 3" xfId="33093"/>
    <cellStyle name="差_治具工程課2009年KPI_產線生產規劃KPI 6" xfId="33094"/>
    <cellStyle name="差_治具工程課2009年KPI_產線生產規劃KPI 6 2" xfId="33095"/>
    <cellStyle name="差_治具工程課2009年KPI_產線生產規劃KPI 6 3" xfId="33096"/>
    <cellStyle name="差_效益分析&amp;產能評估 2" xfId="33097"/>
    <cellStyle name="差_效益分析&amp;產能評估 3" xfId="33098"/>
    <cellStyle name="差_效益分析&amp;產能評估 3 3" xfId="33099"/>
    <cellStyle name="差_效益分析&amp;產能評估_Bolt RFQ Proposal_Foxlink_ (Pricing Summary) 2 25 2011" xfId="33100"/>
    <cellStyle name="差_效益分析&amp;產能評估_Bolt RFQ Proposal_Foxlink_ (Pricing Summary) 2 25 2011 2" xfId="33101"/>
    <cellStyle name="差_效益分析&amp;產能評估_Bolt RFQ Proposal_Foxlink_ (Pricing Summary) 2 25 2011 3" xfId="33102"/>
    <cellStyle name="差_效益分析&amp;產能評估_Bolt RFQ Proposal_Foxlink_ (Pricing Summary) 2 25 2011 3 3" xfId="33103"/>
    <cellStyle name="差_效益分析&amp;產能評估_Bolt RFQ Proposal_Foxlink_ (Pricing Summary) 2 25 2011 5" xfId="33104"/>
    <cellStyle name="差_效益分析&amp;產能評估_Bolt RFQ Proposal_Foxlink_ (Pricing Summary) 2 25 2011 5 2" xfId="33105"/>
    <cellStyle name="差_效益分析&amp;產能評估_Bolt RFQ Proposal_Foxlink_ (Pricing Summary) 2 25 2011 5 3" xfId="33106"/>
    <cellStyle name="差_效益分析&amp;產能評估_Bolt RFQ Proposal_Foxlink_ (Pricing Summary) 2 25 2011 6" xfId="33107"/>
    <cellStyle name="差_效益分析&amp;產能評估_Bolt RFQ Proposal_Foxlink_ (Pricing Summary) 2 25 2011 7" xfId="33108"/>
    <cellStyle name="差_效益分析&amp;產能評估_Bolt RFQ_Foxlink_03.1 2011 2 2" xfId="33109"/>
    <cellStyle name="差_效益分析&amp;產能評估_Bolt RFQ_Foxlink_03.1 2011 2 3" xfId="33110"/>
    <cellStyle name="差_效益分析&amp;產能評估_Bolt RFQ_Foxlink_03.1 2011 3 2" xfId="33111"/>
    <cellStyle name="差_效益分析&amp;產能評估_Bolt RFQ_Foxlink_03.1 2011 3 3" xfId="33112"/>
    <cellStyle name="差_效益分析&amp;產能評估_Bolt RFQ_Foxlink_03.1 2011 4" xfId="33113"/>
    <cellStyle name="差_效益分析&amp;產能評估_Bolt RFQ_Foxlink_03.1 2011_nego meeting@MACH 3" xfId="33114"/>
    <cellStyle name="差_效益分析&amp;產能評估_Bolt RFQ_Foxlink_03.1 2011_nego meeting@MACH 3 3" xfId="33115"/>
    <cellStyle name="差_效益分析&amp;產能評估_M1 Bolt wireless mouse FixtureEquipment Cost_A2_2010_12_07" xfId="33116"/>
    <cellStyle name="差_效益分析&amp;產能評估_M1 Bolt wireless mouse FixtureEquipment Cost_A2_2010_12_07 2" xfId="33117"/>
    <cellStyle name="差_效益分析&amp;產能評估_M1 Bolt wireless mouse FixtureEquipment Cost_A2_2010_12_07 2 2" xfId="33118"/>
    <cellStyle name="差_效益分析&amp;產能評估_M1 Bolt wireless mouse FixtureEquipment Cost_A2_2010_12_07 2 3" xfId="33119"/>
    <cellStyle name="差_效益分析&amp;產能評估_M1 Bolt wireless mouse FixtureEquipment Cost_A2_2010_12_07 3 2" xfId="33120"/>
    <cellStyle name="差_效益分析&amp;產能評估_M1 Bolt wireless mouse FixtureEquipment Cost_A2_2010_12_07 3 3" xfId="33121"/>
    <cellStyle name="差_效益分析&amp;產能評估_M1 Bolt wireless mouse FixtureEquipment Cost_A2_2010_12_07 5" xfId="33122"/>
    <cellStyle name="差_效益分析&amp;產能評估_M1 Squirrel Capacity planFixtureEquipment Cost_A2_06192010_Bristol UniBom_Foxlink_02082011 RevA" xfId="33123"/>
    <cellStyle name="差_效益分析&amp;產能評估_M1 Bolt wireless mouse FixtureEquipment Cost_A2_2010_12_07_Bolt RFQ Proposal_Foxlink_ (Pricing Summary) 2 25 2011 2 2 3" xfId="33124"/>
    <cellStyle name="差_效益分析&amp;產能評估_M1 Bolt wireless mouse FixtureEquipment Cost_A2_2010_12_07_Bolt RFQ Proposal_Foxlink_ (Pricing Summary) 2 25 2011 4" xfId="33125"/>
    <cellStyle name="差_效益分析&amp;產能評估_M1 Bolt wireless mouse FixtureEquipment Cost_A2_2010_12_07_Bolt RFQ Proposal_Foxlink_ (Pricing Summary) 2 25 2011 5" xfId="33126"/>
    <cellStyle name="差_效益分析&amp;產能評估_M1 Lemur Capacity planFixtureEquipment Cost_A2_06192010" xfId="33127"/>
    <cellStyle name="差_效益分析&amp;產能評估_M1 Lemur Capacity planFixtureEquipment Cost_A2_06192010_Leopard UniBom_Foxlink_12272010 RevF_shirley" xfId="33128"/>
    <cellStyle name="差_效益分析&amp;產能評估_M1 Squirrel Capacity planFixtureEquipment Cost_A2_06192010" xfId="33129"/>
    <cellStyle name="差_效益分析&amp;產能評估_M1 Squirrel Capacity planFixtureEquipment Cost_A2_06192010_Leopard UniBom_Foxlink_12092010 RevD-jen" xfId="33130"/>
    <cellStyle name="差_效益分析&amp;產能評估_M1 Squirrel Capacity planFixtureEquipment Cost_A2_06192010_Squirrel UniBom_Foxlink_6 28 2010" xfId="33131"/>
    <cellStyle name="差_效益分析&amp;產能評估_M1 SuedeFixtureEquipment Cost_A0_2010_10_15_Bolt RFQ Proposal_Foxlink_ (Pricing Summary) 2 25 2011 2 4" xfId="33132"/>
    <cellStyle name="差_效益分析&amp;產能評估_M1 SuedeFixtureEquipment Cost_A0_2010_10_15_Bolt RFQ Proposal_Foxlink_ (Pricing Summary) 2 25 2011 3 2" xfId="33133"/>
    <cellStyle name="差_效益分析&amp;產能評估_M1 SuedeFixtureEquipment Cost_A0_2010_10_15_Bolt RFQ Proposal_Foxlink_ (Pricing Summary) 2 25 2011 4 2" xfId="33134"/>
    <cellStyle name="差_效益分析&amp;產能評估_M1 SuedeFixtureEquipment Cost_A0_2010_10_15_Bolt RFQ Proposal_Foxlink_ (Pricing Summary) 2 25 2011 4 3" xfId="33135"/>
    <cellStyle name="差_效益分析&amp;產能評估_M1 SuedeFixtureEquipment Cost_A0_2010_10_15_Bolt RFQ Proposal_Foxlink_ (Pricing Summary) 2 25 2011 5" xfId="33136"/>
    <cellStyle name="差_效益分析&amp;產能評估_M1 SuedeFixtureEquipment Cost_A0_2010_10_15_Bolt RFQ Proposal_Foxlink_ (Pricing Summary) 2 25 2011 5 2" xfId="33137"/>
    <cellStyle name="差_效益分析&amp;產能評估_M1 SuedeFixtureEquipment Cost_A0_2010_10_15_Bolt RFQ_Foxlink_03.1 2011 2 2" xfId="33138"/>
    <cellStyle name="差_效益分析&amp;產能評估_M1 SuedeFixtureEquipment Cost_A0_2010_10_15_Bolt RFQ_Foxlink_03.1 2011 2 3" xfId="33139"/>
    <cellStyle name="差_效益分析&amp;產能評估_M1 SuedeFixtureEquipment Cost_A0_2010_10_15_Bolt RFQ_Foxlink_03.1 2011_nego meeting@MACH 2 3" xfId="33140"/>
    <cellStyle name="差_效益分析&amp;產能評估_M1 SuedeFixtureEquipment Cost_A0_2010_10_15_Bolt RFQ_Foxlink_03.1 2011_nego meeting@MACH 3" xfId="33141"/>
    <cellStyle name="差_效益分析&amp;產能評估_M1 SuedeFixtureEquipment Cost_A0_2010_10_15_Bolt RFQ_Foxlink_03.1 2011_nego meeting@MACH 3 3" xfId="33142"/>
    <cellStyle name="差_效益分析&amp;產能評估_M1 SuedeFixtureEquipment Cost_A0_2010_10_15_Bolt RFQ_Foxlink_03.1 2011_nego meeting@MACH 4" xfId="33143"/>
    <cellStyle name="差_效益分析&amp;產能評估_M1 SuedeFixtureEquipment Cost_A0_2010_10_15_Wedge_ME_BOM-v00-11v0630 2" xfId="33144"/>
    <cellStyle name="差_效益分析&amp;產能評估_M1 SuedeFixtureEquipment Cost_A0_2010_10_15_Wedge_ME_BOM-v00-11v0630 2 2" xfId="33145"/>
    <cellStyle name="差_效益分析&amp;產能評估_M1 SuedeFixtureEquipment Cost_A0_2010_10_15_Wedge_ME_BOM-v00-11v0630 2 3" xfId="33146"/>
    <cellStyle name="差_效益分析&amp;產能評估_M1 SuedeFixtureEquipment Cost_A0_2010_10_15_Wedge_ME_BOM-v00-11v0715" xfId="33147"/>
    <cellStyle name="差_效益分析&amp;產能評估_MS Bolt wireless mouse FixtureEquipment Cost_A5_2010_02_21" xfId="33148"/>
    <cellStyle name="差_效益分析&amp;產能評估_MS Bolt wireless mouse FixtureEquipment Cost_A5_2010_02_21 2 2" xfId="33149"/>
    <cellStyle name="差_效益分析&amp;產能評估_MS Bolt wireless mouse FixtureEquipment Cost_A5_2010_02_21_Bolt RFQ Proposal_Foxlink_ (Pricing Summary) 2 25 2011" xfId="33150"/>
    <cellStyle name="差_效益分析&amp;產能評估_MS Bolt wireless mouse FixtureEquipment Cost_A5_2010_02_21_Bolt RFQ Proposal_Foxlink_ (Pricing Summary) 2 25 2011 2 2" xfId="33151"/>
    <cellStyle name="差_效益分析&amp;產能評估_MS Bolt wireless mouse FixtureEquipment Cost_A5_2010_02_21_Bolt RFQ Proposal_Foxlink_ (Pricing Summary) 2 25 2011 2 2 2" xfId="33152"/>
    <cellStyle name="差_效益分析&amp;產能評估_MS Bolt wireless mouse FixtureEquipment Cost_A5_2010_02_21_Bolt RFQ Proposal_Foxlink_ (Pricing Summary) 2 25 2011 3 2" xfId="33153"/>
    <cellStyle name="差_效益分析&amp;產能評估_MS Bolt wireless mouse FixtureEquipment Cost_A5_2010_02_21_Bolt RFQ Proposal_Foxlink_ (Pricing Summary) 2 25 2011 3 3" xfId="33154"/>
    <cellStyle name="差_效益分析&amp;產能評估_MS Bolt wireless mouse FixtureEquipment Cost_A5_2010_02_21_Bolt RFQ Proposal_Foxlink_ (Pricing Summary) 2 25 2011 4" xfId="33155"/>
    <cellStyle name="差_效益分析&amp;產能評估_MS Bolt wireless mouse FixtureEquipment Cost_A5_2010_02_21_Bolt RFQ Proposal_Foxlink_ (Pricing Summary) 2 25 2011 4 2" xfId="33156"/>
    <cellStyle name="差_效益分析&amp;產能評估_MS Bolt wireless mouse FixtureEquipment Cost_A5_2010_02_21_Bolt RFQ Proposal_Foxlink_ (Pricing Summary) 2 25 2011 5" xfId="33157"/>
    <cellStyle name="差_效益分析&amp;產能評估_MS Bolt wireless mouse FixtureEquipment Cost_A5_2010_02_21_Bolt RFQ Proposal_Foxlink_ (Pricing Summary) 2 25 2011 5 2" xfId="33158"/>
    <cellStyle name="差_效益分析&amp;產能評估_MS Bolt wireless mouse FixtureEquipment Cost_A5_2010_02_21_Bolt RFQ_Foxlink_03.1 2011 2 2" xfId="33159"/>
    <cellStyle name="差_效益分析&amp;產能評估_MS Bolt wireless mouse FixtureEquipment Cost_A5_2010_02_21_Bolt RFQ_Foxlink_03.1 2011 3" xfId="33160"/>
    <cellStyle name="差_效益分析&amp;產能評估_MS Bolt wireless mouse FixtureEquipment Cost_A5_2010_02_21_Bolt RFQ_Foxlink_03.1 2011 3 2" xfId="33161"/>
    <cellStyle name="差_效益分析&amp;產能評估_MS Bolt wireless mouse FixtureEquipment Cost_A5_2010_02_21_Bolt RFQ_Foxlink_03.1 2011 3 3" xfId="33162"/>
    <cellStyle name="差_效益分析&amp;產能評估_MS Bolt wireless mouse FixtureEquipment Cost_A5_2010_02_21_Bolt RFQ_Foxlink_03.1 2011 4" xfId="33163"/>
    <cellStyle name="差_效益分析&amp;產能評估_MS Bolt wireless mouse FixtureEquipment Cost_A5_2010_02_21_Bolt RFQ_Foxlink_03.1 2011 5" xfId="33164"/>
    <cellStyle name="差_效益分析&amp;產能評估_MS Bolt wireless mouse FixtureEquipment Cost_A5_2010_02_21_Bolt RFQ_Foxlink_03.1 2011_nego meeting@MACH" xfId="33165"/>
    <cellStyle name="差_效益分析&amp;產能評估_MS Bolt wireless mouse FixtureEquipment Cost_A5_2010_02_21_Bolt RFQ_Foxlink_03.1 2011_nego meeting@MACH 2" xfId="33166"/>
    <cellStyle name="差_效益分析&amp;產能評估_MS Bolt wireless mouse FixtureEquipment Cost_A5_2010_02_21_Bolt RFQ_Foxlink_03.1 2011_nego meeting@MACH 2 2" xfId="33167"/>
    <cellStyle name="差_效益分析&amp;產能評估_MS Bolt wireless mouse FixtureEquipment Cost_A5_2010_02_21_Bolt RFQ_Foxlink_03.1 2011_nego meeting@MACH 3" xfId="33168"/>
    <cellStyle name="差_效益分析&amp;產能評估_MS Bolt wireless mouse FixtureEquipment Cost_A5_2010_02_21_Bolt RFQ_Foxlink_03.1 2011_nego meeting@MACH 3 2" xfId="33169"/>
    <cellStyle name="差_效益分析&amp;產能評估_MS Bolt wireless mouse FixtureEquipment Cost_A5_2010_02_21_Bolt RFQ_Foxlink_03.1 2011_nego meeting@MACH 3 3" xfId="33170"/>
    <cellStyle name="差_效益分析&amp;產能評估_MS Bolt wireless mouse FixtureEquipment Cost_A5_2010_02_21_Bolt RFQ_Foxlink_03.1 2011_nego meeting@MACH 4" xfId="33171"/>
    <cellStyle name="差_效益分析&amp;產能評估_MS Bolt wireless mouse FixtureEquipment Cost_A5_2010_02_21_Bolt RFQ_Foxlink_03.1 2011_nego meeting@MACH 5" xfId="33172"/>
    <cellStyle name="壞_Creek EE BOM cost_20090425_Creek RFQ feedback 04_28_2009_FD Update_Leopard_UniBOM_ME_0602-1" xfId="33173"/>
    <cellStyle name="差_效益分析(總 12-28 Update)" xfId="33174"/>
    <cellStyle name="差_效益分析(總 12-28 Update)_~1159284" xfId="33175"/>
    <cellStyle name="差_效益分析(總 12-28 Update)_Jackson 效益分析 (2-1 B0 上系統)" xfId="33176"/>
    <cellStyle name="差_效益分析(總 12-28 Update)_Jackson 效益分析 (2-1 B0 上系統)_Leopard Flowchart &amp; 產能評估" xfId="33177"/>
    <cellStyle name="差_效益分析(總 12-28 Update)_Jackson 效益分析 (2-1 B0 上系統)_Leopard效益分析08-17" xfId="33178"/>
    <cellStyle name="差_效益分析(總 12-28 Update)_Leopard Flowchart &amp; 產能評估" xfId="33179"/>
    <cellStyle name="差_效益分析(總 12-28 Update)_Leopard效益分析08-17" xfId="33180"/>
    <cellStyle name="差_效益分析(總 12-28 Update)_squirrel效益分析08-17" xfId="33181"/>
    <cellStyle name="差_效益分析_~3106354" xfId="33182"/>
    <cellStyle name="差_效益分析_~3106354_~1159284" xfId="33183"/>
    <cellStyle name="差_效益分析_~3106354_Jackson 效益分析 (2-1 B0 上系統)" xfId="33184"/>
    <cellStyle name="差_效益分析_~3106354_Jackson 效益分析 (2-1 B0 上系統)_Leopard Flowchart &amp; 產能評估" xfId="33185"/>
    <cellStyle name="差_效益分析_~3106354_Jackson 效益分析 (2-1 B0 上系統)_Leopard效益分析08-17" xfId="33186"/>
    <cellStyle name="差_效益分析_~3106354_Jackson 效益分析 (2-1 B0 上系統)_squirrel效益分析08-17" xfId="33187"/>
    <cellStyle name="差_效益分析_~3106354_Leopard Flowchart &amp; 產能評估" xfId="33188"/>
    <cellStyle name="差_效益分析_~3106354_Leopard效益分析08-17" xfId="33189"/>
    <cellStyle name="差_效益分析_~3106354_squirrel效益分析08-17" xfId="33190"/>
    <cellStyle name="差_效益分析_~5631336" xfId="33191"/>
    <cellStyle name="差_效益分析_~5631336_Jackson 效益分析 (2-1 B0 上系統)" xfId="33192"/>
    <cellStyle name="差_效益分析_~5631336_Jackson 效益分析 (2-1 B0 上系統)_Leopard Flowchart &amp; 產能評估" xfId="33193"/>
    <cellStyle name="差_效益分析_~5631336_Jackson 效益分析 (2-1 B0 上系統)_Leopard效益分析08-17" xfId="33194"/>
    <cellStyle name="差_效益分析_~5631336_Jackson 效益分析 (2-1 B0 上系統)_squirrel效益分析08-17" xfId="33195"/>
    <cellStyle name="差_效益分析_~8644671_~1159284" xfId="33196"/>
    <cellStyle name="差_效益分析_~8644671_Jackson 效益分析 (2-1 B0 上系統)" xfId="33197"/>
    <cellStyle name="差_效益分析_~8644671_Jackson 效益分析 (2-1 B0 上系統)_Leopard Flowchart &amp; 產能評估" xfId="33198"/>
    <cellStyle name="差_效益分析_~8644671_Jackson 效益分析 (2-1 B0 上系統)_Leopard效益分析08-17" xfId="33199"/>
    <cellStyle name="差_效益分析_~8644671_Jackson 效益分析 (2-1 B0 上系統)_squirrel效益分析08-17" xfId="33200"/>
    <cellStyle name="差_效益分析_~8644671_Leopard Flowchart &amp; 產能評估" xfId="33201"/>
    <cellStyle name="差_效益分析_~8644671_Leopard效益分析08-17" xfId="33202"/>
    <cellStyle name="差_效益分析_~8644671_squirrel效益分析08-17" xfId="33203"/>
    <cellStyle name="差_效益分析_Dallas flow chart&amp;設備&amp;治工具清單(12-8 A0)" xfId="33204"/>
    <cellStyle name="差_效益分析_Dallas flow chart&amp;設備&amp;治工具清單(12-8 A0)_~1159284" xfId="33205"/>
    <cellStyle name="差_效益分析_Dallas flow chart&amp;設備&amp;治工具清單(12-8 A0)_~5631336" xfId="33206"/>
    <cellStyle name="差_效益分析_Dallas flow chart&amp;設備&amp;治工具清單(12-8 A0)_~5631336_Jackson 效益分析 (2-1 B0 上系統)" xfId="33207"/>
    <cellStyle name="差_效益分析_Dallas flow chart&amp;設備&amp;治工具清單(12-8 A0)_~5631336_Jackson 效益分析 (2-1 B0 上系統)_Leopard Flowchart &amp; 產能評估" xfId="33208"/>
    <cellStyle name="差_效益分析_Dallas flow chart&amp;設備&amp;治工具清單(12-8 A0)_~5631336_Jackson 效益分析 (2-1 B0 上系統)_Leopard效益分析08-17" xfId="33209"/>
    <cellStyle name="差_效益分析_Dallas flow chart&amp;設備&amp;治工具清單(12-8 A0)_~5631336_Jackson 效益分析 (2-1 B0 上系統)_squirrel效益分析08-17" xfId="33210"/>
    <cellStyle name="差_效益分析_Dallas flow chart&amp;設備&amp;治工具清單(12-8 A0)_Flow chart and Fixture(1-4)" xfId="33211"/>
    <cellStyle name="差_效益分析_Dallas flow chart&amp;設備&amp;治工具清單(12-8 A0)_Flow chart and Fixture(1-4)_Jackson 效益分析 (2-1 B0 上系統)" xfId="33212"/>
    <cellStyle name="差_效益分析_Dallas flow chart&amp;設備&amp;治工具清單(12-8 A0)_Flow chart and Fixture(1-4)_Jackson 效益分析 (2-1 B0 上系統)_Leopard效益分析08-17" xfId="33213"/>
    <cellStyle name="差_效益分析_Dallas flow chart&amp;設備&amp;治工具清單(12-8 A0)_Flow chart and Fixture(1-4)_Jackson 效益分析 (2-1 B0 上系統)_squirrel效益分析08-17" xfId="33214"/>
    <cellStyle name="差_效益分析_Dallas flow chart&amp;設備&amp;治工具清單(12-8 A0)_Flow chart and Fixture(Jackson)_A1" xfId="33215"/>
    <cellStyle name="差_效益分析_Dallas flow chart&amp;設備&amp;治工具清單(12-8 A0)_Flow chart and Fixture(Jackson)_A1_Jackson 效益分析 (2-1 B0 上系統)" xfId="33216"/>
    <cellStyle name="差_效益分析_Dallas flow chart&amp;設備&amp;治工具清單(12-8 A0)_Flow chart and Fixture(Jackson)_A1_Jackson 效益分析 (2-1 B0 上系統)_Leopard Flowchart &amp; 產能評估" xfId="33217"/>
    <cellStyle name="差_效益分析_Dallas flow chart&amp;設備&amp;治工具清單(12-8 A0)_Flow chart and Fixture(Jackson)_A1_Jackson 效益分析 (2-1 B0 上系統)_Leopard效益分析08-17" xfId="33218"/>
    <cellStyle name="差_效益分析_Dallas flow chart&amp;設備&amp;治工具清單(12-8 A0)_Flow chart and Fixture(Jackson)_A1_Jackson 效益分析 (2-1 B0 上系統)_squirrel效益分析08-17" xfId="33219"/>
    <cellStyle name="差_效益分析_Dallas flow chart&amp;設備&amp;治工具清單(12-8 A0)_Flow Chart&amp;設備治工具清單 " xfId="33220"/>
    <cellStyle name="差_效益分析_Dallas flow chart&amp;設備&amp;治工具清單(12-8 A0)_Flow Chart&amp;設備治工具清單 _~1159284" xfId="33221"/>
    <cellStyle name="差_效益分析_Dallas flow chart&amp;設備&amp;治工具清單(12-8 A0)_Flow Chart&amp;設備治工具清單 _Jackson 效益分析 (2-1 B0 上系統)" xfId="33222"/>
    <cellStyle name="差_效益分析_Dallas flow chart&amp;設備&amp;治工具清單(12-8 A0)_Flow Chart&amp;設備治工具清單 _Jackson 效益分析 (2-1 B0 上系統)_Leopard Flowchart &amp; 產能評估" xfId="33223"/>
    <cellStyle name="差_效益分析_Dallas flow chart&amp;設備&amp;治工具清單(12-8 A0)_Flow Chart&amp;設備治工具清單 _Jackson 效益分析 (2-1 B0 上系統)_Leopard效益分析08-17" xfId="33224"/>
    <cellStyle name="差_效益分析_Dallas flow chart&amp;設備&amp;治工具清單(12-8 A0)_Flow Chart&amp;設備治工具清單 _Jackson 效益分析 (2-1 B0 上系統)_squirrel效益分析08-17" xfId="33225"/>
    <cellStyle name="差_效益分析_Dallas flow chart&amp;設備&amp;治工具清單(12-8 A0)_Flow Chart&amp;設備治工具清單 _Leopard Flowchart &amp; 產能評估" xfId="33226"/>
    <cellStyle name="差_效益分析_Dallas flow chart&amp;設備&amp;治工具清單(12-8 A0)_Flow Chart&amp;設備治工具清單 _squirrel效益分析08-17" xfId="33227"/>
    <cellStyle name="差_效益分析_Dallas flow chart&amp;設備&amp;治工具清單(12-8 A0)_Jackson 效益分析 (1-18 A7)" xfId="33228"/>
    <cellStyle name="差_效益分析_Dallas flow chart&amp;設備&amp;治工具清單(12-8 A0)_Jackson 效益分析 (2-1 B0 上系統)" xfId="33229"/>
    <cellStyle name="差_效益分析_Dallas flow chart&amp;設備&amp;治工具清單(12-8 A0)_Jackson 效益分析 (2-1 B0 上系統)_Leopard效益分析08-17" xfId="33230"/>
    <cellStyle name="差_效益分析_Dallas flow chart&amp;設備&amp;治工具清單(12-8 A0)_Jackson 效益分析 (2-1 B0 上系統)_squirrel效益分析08-17" xfId="33231"/>
    <cellStyle name="差_效益分析_Dallas flow chart&amp;設備&amp;治工具清單(12-8 A0)_Jackson 效益分析 testing update_16th Jan1" xfId="33232"/>
    <cellStyle name="差_效益分析_Dallas flow chart&amp;設備&amp;治工具清單(12-8 A0)_Jackson 效益分析 testing update_16th Jan1_Jackson 效益分析 (2-1 B0 上系統)" xfId="33233"/>
    <cellStyle name="差_效益分析_Dallas flow chart&amp;設備&amp;治工具清單(12-8 A0)_Jackson 效益分析 testing update_16th Jan1_Jackson 效益分析 (2-1 B0 上系統)_Leopard Flowchart &amp; 產能評估" xfId="33234"/>
    <cellStyle name="差_效益分析_Dallas flow chart&amp;設備&amp;治工具清單(12-8 A0)_Jackson 效益分析 testing update_16th Jan1_Jackson 效益分析 (2-1 B0 上系統)_Leopard效益分析08-17" xfId="33235"/>
    <cellStyle name="差_效益分析_Dallas flow chart&amp;設備&amp;治工具清單(12-8 A0)_Jackson 效益分析 testing update_16th Jan111" xfId="33236"/>
    <cellStyle name="差_效益分析_Dallas flow chart&amp;設備&amp;治工具清單(12-8 A0)_Jackson 效益分析 testing update_16th Jan111_Jackson 效益分析 (2-1 B0 上系統)" xfId="33237"/>
    <cellStyle name="差_效益分析_Dallas flow chart&amp;設備&amp;治工具清單(12-8 A0)_Jackson 效益分析 testing update_16th Jan111_Jackson 效益分析 (2-1 B0 上系統)_Leopard Flowchart &amp; 產能評估" xfId="33238"/>
    <cellStyle name="壞_Creek Assembly Fixture  Test Equipment RFQ_20090427_Leopard_UniBOM_ME_0531_Bolt RFQ_Foxlink_03.1 2011_nego meeting@MACH" xfId="33239"/>
    <cellStyle name="差_效益分析_Dallas flow chart&amp;設備&amp;治工具清單(12-8 A0)_Jackson 效益分析 testing update_16th Jan111_Jackson 效益分析 (2-1 B0 上系統)_Leopard效益分析08-17" xfId="33240"/>
    <cellStyle name="差_效益分析_Dallas flow chart&amp;設備&amp;治工具清單(12-8 A0)_Jackson 效益分析 testing update_16th Jan111_Jackson 效益分析 (2-1 B0 上系統)_squirrel效益分析08-17" xfId="33241"/>
    <cellStyle name="差_效益分析_Dallas flow chart&amp;設備&amp;治工具清單(12-8 A0)_Leopard Flowchart &amp; 產能評估" xfId="33242"/>
    <cellStyle name="差_效益分析_Dallas flow chart&amp;設備&amp;治工具清單(12-8 A0)_Leopard效益分析08-17" xfId="33243"/>
    <cellStyle name="差_效益分析_Dallas flow chart&amp;設備&amp;治工具清單(12-8 A0)_squirrel效益分析08-17" xfId="33244"/>
    <cellStyle name="差_效益分析_Dallas flow chart&amp;設備&amp;治工具清單(12-8 A0)_效益分析(總 12-28 Update)" xfId="33245"/>
    <cellStyle name="差_效益分析_Dallas flow chart&amp;設備&amp;治工具清單(12-8 A0)_效益分析(總 12-28 Update)_~1159284" xfId="33246"/>
    <cellStyle name="差_效益分析_Dallas flow chart&amp;設備&amp;治工具清單(12-8 A0)_效益分析(總 12-28 Update)_Jackson 效益分析 (2-1 B0 上系統)" xfId="33247"/>
    <cellStyle name="差_效益分析_Dallas flow chart&amp;設備&amp;治工具清單(12-8 A0)_效益分析(總 12-28 Update)_Jackson 效益分析 (2-1 B0 上系統)_Leopard Flowchart &amp; 產能評估" xfId="33248"/>
    <cellStyle name="差_效益分析_Dallas flow chart&amp;設備&amp;治工具清單(12-8 A0)_效益分析(總 12-28 Update)_Jackson 效益分析 (2-1 B0 上系統)_squirrel效益分析08-17" xfId="33249"/>
    <cellStyle name="差_效益分析_Dallas flow chart&amp;設備&amp;治工具清單(12-8 A0)_效益分析(總 12-28 Update)_Leopard Flowchart &amp; 產能評估" xfId="33250"/>
    <cellStyle name="差_效益分析_Dallas flow chart&amp;設備&amp;治工具清單(12-8 A0)_效益分析(總 12-28 Update)_Leopard效益分析08-17" xfId="33251"/>
    <cellStyle name="差_效益分析_Dallas flow chart&amp;設備&amp;治工具清單(12-8 A0)_效益分析(總 12-28 Update)_squirrel效益分析08-17" xfId="33252"/>
    <cellStyle name="差_效益分析_Dallas效益分析&amp;投資回收期 (12-2 A1)" xfId="33253"/>
    <cellStyle name="差_效益分析_Dallas效益分析&amp;投資回收期 (12-2 A1)_~1159284" xfId="33254"/>
    <cellStyle name="差_效益分析_Dallas效益分析&amp;投資回收期 (12-2 A1)_~5631336" xfId="33255"/>
    <cellStyle name="差_效益分析_Dallas效益分析&amp;投資回收期 (12-2 A1)_~5631336_Jackson 效益分析 (2-1 B0 上系統)" xfId="33256"/>
    <cellStyle name="差_效益分析_Dallas效益分析&amp;投資回收期 (12-2 A1)_~5631336_Jackson 效益分析 (2-1 B0 上系統)_Leopard Flowchart &amp; 產能評估" xfId="33257"/>
    <cellStyle name="差_效益分析_Dallas效益分析&amp;投資回收期 (12-2 A1)_~5631336_Jackson 效益分析 (2-1 B0 上系統)_Leopard效益分析08-17" xfId="33258"/>
    <cellStyle name="差_效益分析_Dallas效益分析&amp;投資回收期 (12-2 A1)_~5631336_Jackson 效益分析 (2-1 B0 上系統)_squirrel效益分析08-17" xfId="33259"/>
    <cellStyle name="差_效益分析_Dallas效益分析&amp;投資回收期 (12-2 A1)_Flow chart and Fixture(1-4)" xfId="33260"/>
    <cellStyle name="差_效益分析_Dallas效益分析&amp;投資回收期 (12-2 A1)_Flow chart and Fixture(1-4)_Jackson 效益分析 (2-1 B0 上系統)" xfId="33261"/>
    <cellStyle name="差_效益分析_Dallas效益分析&amp;投資回收期 (12-2 A1)_Flow chart and Fixture(1-4)_Jackson 效益分析 (2-1 B0 上系統)_Leopard Flowchart &amp; 產能評估" xfId="33262"/>
    <cellStyle name="差_效益分析_Dallas效益分析&amp;投資回收期 (12-2 A1)_Flow chart and Fixture(1-4)_Jackson 效益分析 (2-1 B0 上系統)_Leopard效益分析08-17" xfId="33263"/>
    <cellStyle name="差_效益分析_Dallas效益分析&amp;投資回收期 (12-2 A1)_Flow chart and Fixture(1-4)_Jackson 效益分析 (2-1 B0 上系統)_squirrel效益分析08-17" xfId="33264"/>
    <cellStyle name="差_效益分析_Dallas效益分析&amp;投資回收期 (12-2 A1)_Flow chart and Fixture(Jackson)_A1" xfId="33265"/>
    <cellStyle name="差_效益分析_Dallas效益分析&amp;投資回收期 (12-2 A1)_Flow chart and Fixture(Jackson)_A1_Jackson 效益分析 (2-1 B0 上系統)" xfId="33266"/>
    <cellStyle name="差_效益分析_Dallas效益分析&amp;投資回收期 (12-2 A1)_Flow chart and Fixture(Jackson)_A1_Jackson 效益分析 (2-1 B0 上系統)_Leopard Flowchart &amp; 產能評估" xfId="33267"/>
    <cellStyle name="差_效益分析_Dallas效益分析&amp;投資回收期 (12-2 A1)_Flow chart and Fixture(Jackson)_A1_Jackson 效益分析 (2-1 B0 上系統)_Leopard效益分析08-17" xfId="33268"/>
    <cellStyle name="差_效益分析_Dallas效益分析&amp;投資回收期 (12-2 A1)_Flow chart and Fixture(Jackson)_A1_Jackson 效益分析 (2-1 B0 上系統)_squirrel效益分析08-17" xfId="33269"/>
    <cellStyle name="差_效益分析_Dallas效益分析&amp;投資回收期 (12-2 A1)_Flow Chart&amp;設備治工具清單 " xfId="33270"/>
    <cellStyle name="差_效益分析_Dallas效益分析&amp;投資回收期 (12-2 A1)_Flow Chart&amp;設備治工具清單 _~1159284" xfId="33271"/>
    <cellStyle name="差_效益分析_Dallas效益分析&amp;投資回收期 (12-2 A1)_Flow Chart&amp;設備治工具清單 _Jackson 效益分析 (2-1 B0 上系統)" xfId="33272"/>
    <cellStyle name="差_效益分析_Dallas效益分析&amp;投資回收期 (12-2 A1)_Flow Chart&amp;設備治工具清單 _Jackson 效益分析 (2-1 B0 上系統)_Leopard Flowchart &amp; 產能評估" xfId="33273"/>
    <cellStyle name="差_效益分析_Dallas效益分析&amp;投資回收期 (12-2 A1)_Flow Chart&amp;設備治工具清單 _Jackson 效益分析 (2-1 B0 上系統)_Leopard效益分析08-17" xfId="33274"/>
    <cellStyle name="差_效益分析_Dallas效益分析&amp;投資回收期 (12-2 A1)_Flow Chart&amp;設備治工具清單 _Leopard Flowchart &amp; 產能評估" xfId="33275"/>
    <cellStyle name="差_效益分析_Dallas效益分析&amp;投資回收期 (12-2 A1)_Flow Chart&amp;設備治工具清單 _squirrel效益分析08-17" xfId="33276"/>
    <cellStyle name="差_效益分析_Dallas效益分析&amp;投資回收期 (12-2 A1)_Jackson 效益分析 (1-18 A7)" xfId="33277"/>
    <cellStyle name="差_效益分析_Dallas效益分析&amp;投資回收期 (12-2 A1)_Jackson 效益分析 (2-1 B0 上系統)" xfId="33278"/>
    <cellStyle name="差_效益分析_Dallas效益分析&amp;投資回收期 (12-2 A1)_Jackson 效益分析 (2-1 B0 上系統)_Leopard Flowchart &amp; 產能評估" xfId="33279"/>
    <cellStyle name="差_效益分析_Dallas效益分析&amp;投資回收期 (12-2 A1)_Jackson 效益分析 (2-1 B0 上系統)_squirrel效益分析08-17" xfId="33280"/>
    <cellStyle name="差_效益分析_Dallas效益分析&amp;投資回收期 (12-2 A1)_Jackson 效益分析 testing update_16th Jan1" xfId="33281"/>
    <cellStyle name="差_效益分析_Dallas效益分析&amp;投資回收期 (12-2 A1)_Jackson 效益分析 testing update_16th Jan1_Jackson 效益分析 (2-1 B0 上系統)" xfId="33282"/>
    <cellStyle name="差_效益分析_Dallas效益分析&amp;投資回收期 (12-2 A1)_Jackson 效益分析 testing update_16th Jan1_Jackson 效益分析 (2-1 B0 上系統)_Leopard Flowchart &amp; 產能評估" xfId="33283"/>
    <cellStyle name="差_效益分析_Dallas效益分析&amp;投資回收期 (12-2 A1)_Jackson 效益分析 testing update_16th Jan1_Jackson 效益分析 (2-1 B0 上系統)_Leopard效益分析08-17" xfId="33284"/>
    <cellStyle name="壞_pq" xfId="33285"/>
    <cellStyle name="差_效益分析_Dallas效益分析&amp;投資回收期 (12-2 A1)_Jackson 效益分析 testing update_16th Jan111" xfId="33286"/>
    <cellStyle name="差_效益分析_Dallas效益分析&amp;投資回收期 (12-2 A1)_Jackson 效益分析 testing update_16th Jan111_Jackson 效益分析 (2-1 B0 上系統)" xfId="33287"/>
    <cellStyle name="差_效益分析_Dallas效益分析&amp;投資回收期 (12-2 A1)_Jackson 效益分析 testing update_16th Jan111_Jackson 效益分析 (2-1 B0 上系統)_Leopard效益分析08-17" xfId="33288"/>
    <cellStyle name="差_效益分析_Dallas效益分析&amp;投資回收期 (12-2 A1)_Jackson 效益分析 testing update_16th Jan111_Jackson 效益分析 (2-1 B0 上系統)_squirrel效益分析08-17" xfId="33289"/>
    <cellStyle name="差_效益分析_Dallas效益分析&amp;投資回收期 (12-2 A1)_Leopard Flowchart &amp; 產能評估" xfId="33290"/>
    <cellStyle name="差_效益分析_Dallas效益分析&amp;投資回收期 (12-2 A1)_Leopard效益分析08-17" xfId="33291"/>
    <cellStyle name="差_效益分析_Dallas效益分析&amp;投資回收期 (12-2 A1)_squirrel效益分析08-17" xfId="33292"/>
    <cellStyle name="差_效益分析_Dallas效益分析&amp;投資回收期 (12-2 A1)_效益分析(總 12-28 Update)" xfId="33293"/>
    <cellStyle name="差_效益分析_Dallas效益分析&amp;投資回收期 (12-2 A1)_效益分析(總 12-28 Update)_~1159284" xfId="33294"/>
    <cellStyle name="差_效益分析_Dallas效益分析&amp;投資回收期 (12-2 A1)_效益分析(總 12-28 Update)_Jackson 效益分析 (2-1 B0 上系統)" xfId="33295"/>
    <cellStyle name="差_效益分析_Dallas效益分析&amp;投資回收期 (12-2 A1)_效益分析(總 12-28 Update)_Jackson 效益分析 (2-1 B0 上系統)_Leopard Flowchart &amp; 產能評估" xfId="33296"/>
    <cellStyle name="差_效益分析_Dallas效益分析&amp;投資回收期 (12-2 A1)_效益分析(總 12-28 Update)_Jackson 效益分析 (2-1 B0 上系統)_Leopard效益分析08-17" xfId="33297"/>
    <cellStyle name="差_效益分析_Dallas效益分析&amp;投資回收期 (12-2 A1)_效益分析(總 12-28 Update)_Leopard Flowchart &amp; 產能評估" xfId="33298"/>
    <cellStyle name="差_效益分析_Dallas效益分析&amp;投資回收期 (12-2 A1)_效益分析(總 12-28 Update)_Leopard效益分析08-17" xfId="33299"/>
    <cellStyle name="差_效益分析_Dallas效益分析&amp;投資回收期 (12-2 A1)_效益分析(總 12-28 Update)_squirrel效益分析08-17" xfId="33300"/>
    <cellStyle name="差_效益分析_flow chart 2009.12.12" xfId="33301"/>
    <cellStyle name="差_效益分析_flow chart 2009.12.12_~1159284" xfId="33302"/>
    <cellStyle name="差_效益分析_flow chart 2009.12.12_~5631336" xfId="33303"/>
    <cellStyle name="差_效益分析_flow chart 2009.12.12_~5631336_Jackson 效益分析 (2-1 B0 上系統)" xfId="33304"/>
    <cellStyle name="差_效益分析_flow chart 2009.12.12_~5631336_Jackson 效益分析 (2-1 B0 上系統)_Leopard Flowchart &amp; 產能評估" xfId="33305"/>
    <cellStyle name="差_效益分析_flow chart 2009.12.12_~5631336_Jackson 效益分析 (2-1 B0 上系統)_Leopard效益分析08-17" xfId="33306"/>
    <cellStyle name="差_效益分析_flow chart 2009.12.12_~5631336_Jackson 效益分析 (2-1 B0 上系統)_squirrel效益分析08-17" xfId="33307"/>
    <cellStyle name="差_效益分析_flow chart 2009.12.12_Flow chart and Fixture(1-4)_Jackson 效益分析 (2-1 B0 上系統)" xfId="33308"/>
    <cellStyle name="差_效益分析_flow chart 2009.12.12_Flow chart and Fixture(1-4)_Jackson 效益分析 (2-1 B0 上系統)_Leopard Flowchart &amp; 產能評估" xfId="33309"/>
    <cellStyle name="差_效益分析_flow chart 2009.12.12_Flow chart and Fixture(1-4)_Jackson 效益分析 (2-1 B0 上系統)_Leopard效益分析08-17" xfId="33310"/>
    <cellStyle name="差_效益分析_flow chart 2009.12.12_Flow chart and Fixture(1-4)_Jackson 效益分析 (2-1 B0 上系統)_squirrel效益分析08-17" xfId="33311"/>
    <cellStyle name="差_效益分析_flow chart 2009.12.12_Flow chart and Fixture(Jackson)_A1" xfId="33312"/>
    <cellStyle name="差_效益分析_flow chart 2009.12.12_Flow chart and Fixture(Jackson)_A1_Jackson 效益分析 (2-1 B0 上系統)" xfId="33313"/>
    <cellStyle name="差_效益分析_flow chart 2009.12.12_Flow chart and Fixture(Jackson)_A1_Jackson 效益分析 (2-1 B0 上系統)_Leopard Flowchart &amp; 產能評估" xfId="33314"/>
    <cellStyle name="差_效益分析_flow chart 2009.12.12_Flow chart and Fixture(Jackson)_A1_Jackson 效益分析 (2-1 B0 上系統)_Leopard效益分析08-17" xfId="33315"/>
    <cellStyle name="差_效益分析_flow chart 2009.12.12_Flow chart and Fixture(Jackson)_A1_Jackson 效益分析 (2-1 B0 上系統)_squirrel效益分析08-17" xfId="33316"/>
    <cellStyle name="差_效益分析_flow chart 2009.12.12_Flow Chart&amp;設備治工具清單 " xfId="33317"/>
    <cellStyle name="差_效益分析_flow chart 2009.12.12_Flow Chart&amp;設備治工具清單 _~1159284" xfId="33318"/>
    <cellStyle name="差_效益分析_flow chart 2009.12.12_Flow Chart&amp;設備治工具清單 _Jackson 效益分析 (2-1 B0 上系統)" xfId="33319"/>
    <cellStyle name="差_效益分析_flow chart 2009.12.12_Flow Chart&amp;設備治工具清單 _Jackson 效益分析 (2-1 B0 上系統)_Leopard Flowchart &amp; 產能評估" xfId="33320"/>
    <cellStyle name="差_效益分析_flow chart 2009.12.12_Flow Chart&amp;設備治工具清單 _Jackson 效益分析 (2-1 B0 上系統)_Leopard效益分析08-17" xfId="33321"/>
    <cellStyle name="差_效益分析_flow chart 2009.12.12_Flow Chart&amp;設備治工具清單 _Jackson 效益分析 (2-1 B0 上系統)_squirrel效益分析08-17" xfId="33322"/>
    <cellStyle name="差_效益分析_flow chart 2009.12.12_Flow Chart&amp;設備治工具清單 _Leopard Flowchart &amp; 產能評估" xfId="33323"/>
    <cellStyle name="差_效益分析_flow chart 2009.12.12_Flow Chart&amp;設備治工具清單 _squirrel效益分析08-17" xfId="33324"/>
    <cellStyle name="差_效益分析_flow chart 2009.12.12_Jackson 效益分析 (1-18 A7)" xfId="33325"/>
    <cellStyle name="差_效益分析_flow chart 2009.12.12_Jackson 效益分析 (2-1 B0 上系統)_Leopard效益分析08-17" xfId="33326"/>
    <cellStyle name="差_效益分析_flow chart 2009.12.12_Jackson 效益分析 testing update_16th Jan1" xfId="33327"/>
    <cellStyle name="差_效益分析_flow chart 2009.12.12_Jackson 效益分析 testing update_16th Jan1_Jackson 效益分析 (2-1 B0 上系統)" xfId="33328"/>
    <cellStyle name="差_效益分析_flow chart 2009.12.12_Jackson 效益分析 testing update_16th Jan1_Jackson 效益分析 (2-1 B0 上系統)_Leopard Flowchart &amp; 產能評估" xfId="33329"/>
    <cellStyle name="差_效益分析_flow chart 2009.12.12_Jackson 效益分析 testing update_16th Jan1_Jackson 效益分析 (2-1 B0 上系統)_Leopard效益分析08-17" xfId="33330"/>
    <cellStyle name="差_效益分析_flow chart 2009.12.12_Jackson 效益分析 testing update_16th Jan1_Jackson 效益分析 (2-1 B0 上系統)_squirrel效益分析08-17" xfId="33331"/>
    <cellStyle name="差_效益分析_flow chart 2009.12.12_Jackson 效益分析 testing update_16th Jan111" xfId="33332"/>
    <cellStyle name="差_效益分析_flow chart 2009.12.12_Jackson 效益分析 testing update_16th Jan111_Jackson 效益分析 (2-1 B0 上系統)" xfId="33333"/>
    <cellStyle name="差_效益分析_flow chart 2009.12.12_Jackson 效益分析 testing update_16th Jan111_Jackson 效益分析 (2-1 B0 上系統)_Leopard Flowchart &amp; 產能評估" xfId="33334"/>
    <cellStyle name="差_效益分析_flow chart 2009.12.12_Jackson 效益分析 testing update_16th Jan111_Jackson 效益分析 (2-1 B0 上系統)_Leopard效益分析08-17" xfId="33335"/>
    <cellStyle name="差_效益分析_flow chart 2009.12.12_Jackson 效益分析 testing update_16th Jan111_Jackson 效益分析 (2-1 B0 上系統)_squirrel效益分析08-17" xfId="33336"/>
    <cellStyle name="差_效益分析_flow chart 2009.12.12_Leopard Flowchart &amp; 產能評估" xfId="33337"/>
    <cellStyle name="差_效益分析_flow chart 2009.12.12_Leopard效益分析08-17" xfId="33338"/>
    <cellStyle name="差_效益分析_flow chart 2009.12.12_squirrel效益分析08-17" xfId="33339"/>
    <cellStyle name="差_效益分析_flow chart 2009.12.12_效益分析(總 12-28 Update)" xfId="33340"/>
    <cellStyle name="差_效益分析_flow chart 2009.12.12_效益分析(總 12-28 Update)_~1159284" xfId="33341"/>
    <cellStyle name="差_效益分析_flow chart 2009.12.12_效益分析(總 12-28 Update)_Jackson 效益分析 (2-1 B0 上系統)" xfId="33342"/>
    <cellStyle name="差_效益分析_flow chart 2009.12.12_效益分析(總 12-28 Update)_Jackson 效益分析 (2-1 B0 上系統)_Leopard Flowchart &amp; 產能評估" xfId="33343"/>
    <cellStyle name="差_效益分析_flow chart 2009.12.12_效益分析(總 12-28 Update)_Jackson 效益分析 (2-1 B0 上系統)_Leopard效益分析08-17" xfId="33344"/>
    <cellStyle name="差_效益分析_flow chart 2009.12.12_效益分析(總 12-28 Update)_Jackson 效益分析 (2-1 B0 上系統)_squirrel效益分析08-17" xfId="33345"/>
    <cellStyle name="差_效益分析_flow chart 2009.12.12_效益分析(總 12-28 Update)_Leopard Flowchart &amp; 產能評估" xfId="33346"/>
    <cellStyle name="差_效益分析_flow chart 2009.12.12_效益分析(總 12-28 Update)_Leopard效益分析08-17" xfId="33347"/>
    <cellStyle name="差_效益分析_flow chart 2009.12.12_效益分析(總 12-28 Update)_squirrel效益分析08-17" xfId="33348"/>
    <cellStyle name="差_效益分析_Flow chart and Fixture(1-4)_Jackson 效益分析 (2-1 B0 上系統)" xfId="33349"/>
    <cellStyle name="差_效益分析_Flow chart and Fixture(1-4)_Jackson 效益分析 (2-1 B0 上系統)_Leopard Flowchart &amp; 產能評估" xfId="33350"/>
    <cellStyle name="差_效益分析_Flow chart and Fixture(1-4)_Jackson 效益分析 (2-1 B0 上系統)_Leopard效益分析08-17" xfId="33351"/>
    <cellStyle name="差_效益分析_Flow chart and Fixture(1-4)_Jackson 效益分析 (2-1 B0 上系統)_squirrel效益分析08-17" xfId="33352"/>
    <cellStyle name="差_效益分析_Flow chart and Fixture(Jackson)_A1" xfId="33353"/>
    <cellStyle name="差_效益分析_Flow chart and Fixture(Jackson)_A1_Jackson 效益分析 (2-1 B0 上系統)" xfId="33354"/>
    <cellStyle name="差_效益分析_Flow chart and Fixture(Jackson)_A1_Jackson 效益分析 (2-1 B0 上系統)_Leopard Flowchart &amp; 產能評估" xfId="33355"/>
    <cellStyle name="差_效益分析_Flow chart and Fixture(Jackson)_A1_Jackson 效益分析 (2-1 B0 上系統)_Leopard效益分析08-17" xfId="33356"/>
    <cellStyle name="差_效益分析_Flow chart and Fixture(Jackson)_A1_Jackson 效益分析 (2-1 B0 上系統)_squirrel效益分析08-17" xfId="33357"/>
    <cellStyle name="差_效益分析_Flow Chart&amp;設備治工具清單 " xfId="33358"/>
    <cellStyle name="差_效益分析_Flow Chart&amp;設備治工具清單 _~1159284" xfId="33359"/>
    <cellStyle name="差_效益分析_Flow Chart&amp;設備治工具清單 _Jackson 效益分析 (2-1 B0 上系統)" xfId="33360"/>
    <cellStyle name="差_效益分析_Flow Chart&amp;設備治工具清單 _Jackson 效益分析 (2-1 B0 上系統)_Leopard Flowchart &amp; 產能評估" xfId="33361"/>
    <cellStyle name="差_效益分析_Flow Chart&amp;設備治工具清單 _Jackson 效益分析 (2-1 B0 上系統)_Leopard效益分析08-17" xfId="33362"/>
    <cellStyle name="差_效益分析_Flow Chart&amp;設備治工具清單 _Jackson 效益分析 (2-1 B0 上系統)_squirrel效益分析08-17" xfId="33363"/>
    <cellStyle name="差_效益分析_Flow Chart&amp;設備治工具清單 _Leopard Flowchart &amp; 產能評估" xfId="33364"/>
    <cellStyle name="差_效益分析_Flow Chart&amp;設備治工具清單 _Leopard效益分析08-17" xfId="33365"/>
    <cellStyle name="壞_Creek Assembly Fixture  Test Equipment RFQ_20090427_Xl0000002_Squirrel UniBom_Foxlink_7.27.2010" xfId="33366"/>
    <cellStyle name="差_效益分析_Flow Chart&amp;設備治工具清單 _squirrel效益分析08-17" xfId="33367"/>
    <cellStyle name="差_效益分析_Flow Chart(shadow) A3 " xfId="33368"/>
    <cellStyle name="差_效益分析_Flow Chart(shadow) A3 _~1159284" xfId="33369"/>
    <cellStyle name="差_效益分析_Flow Chart(shadow) A3 _Jackson 效益分析 (2-1 B0 上系統)" xfId="33370"/>
    <cellStyle name="差_效益分析_Flow Chart(shadow) A3 _Jackson 效益分析 (2-1 B0 上系統)_Leopard Flowchart &amp; 產能評估" xfId="33371"/>
    <cellStyle name="差_效益分析_Flow Chart(shadow) A3 _Jackson 效益分析 (2-1 B0 上系統)_Leopard效益分析08-17" xfId="33372"/>
    <cellStyle name="差_效益分析_Flow Chart(shadow) A3 _Jackson 效益分析 (2-1 B0 上系統)_squirrel效益分析08-17" xfId="33373"/>
    <cellStyle name="差_效益分析_Flow Chart(shadow) A3 _Leopard Flowchart &amp; 產能評估" xfId="33374"/>
    <cellStyle name="差_效益分析_Flow Chart(shadow) A3 _Leopard效益分析08-17" xfId="33375"/>
    <cellStyle name="差_效益分析_Flow Chart(shadow) A3 _squirrel效益分析08-17" xfId="33376"/>
    <cellStyle name="差_效益分析_Flow Chart(shadow)-b (1-4 Update)" xfId="33377"/>
    <cellStyle name="差_效益分析_Flow Chart(shadow)-b (1-4 Update)_~1159284" xfId="33378"/>
    <cellStyle name="差_效益分析_Flow Chart(shadow)-b (1-4 Update)_Jackson 效益分析 (2-1 B0 上系統)" xfId="33379"/>
    <cellStyle name="差_效益分析_Flow Chart(shadow)-b (1-4 Update)_Jackson 效益分析 (2-1 B0 上系統)_Leopard Flowchart &amp; 產能評估" xfId="33380"/>
    <cellStyle name="差_效益分析_Flow Chart(shadow)-b (1-4 Update)_Jackson 效益分析 (2-1 B0 上系統)_Leopard效益分析08-17" xfId="33381"/>
    <cellStyle name="差_效益分析_Flow Chart(shadow)-b (1-4 Update)_Jackson 效益分析 (2-1 B0 上系統)_squirrel效益分析08-17" xfId="33382"/>
    <cellStyle name="差_效益分析_Flow Chart(shadow)-b (1-4 Update)_Leopard Flowchart &amp; 產能評估" xfId="33383"/>
    <cellStyle name="差_效益分析_Flow Chart(shadow)-b (1-4 Update)_Leopard效益分析08-17" xfId="33384"/>
    <cellStyle name="差_效益分析_Flow Chart(shadow)-b (1-4 Update)_squirrel效益分析08-17" xfId="33385"/>
    <cellStyle name="差_效益分析_Jackson 效益分析 (1-18 A7)" xfId="33386"/>
    <cellStyle name="差_效益分析_Jackson 效益分析 (2-1 B0 上系統)" xfId="33387"/>
    <cellStyle name="差_效益分析_Jackson 效益分析 (2-1 B0 上系統)_Leopard Flowchart &amp; 產能評估" xfId="33388"/>
    <cellStyle name="差_效益分析_Jackson 效益分析 (2-1 B0 上系統)_Leopard效益分析08-17" xfId="33389"/>
    <cellStyle name="差_效益分析_Jackson 效益分析 (2-1 B0 上系統)_squirrel效益分析08-17" xfId="33390"/>
    <cellStyle name="差_效益分析_Jackson 效益分析 testing update_16th Jan1_Jackson 效益分析 (2-1 B0 上系統)" xfId="33391"/>
    <cellStyle name="差_效益分析_Jackson 效益分析 testing update_16th Jan1_Jackson 效益分析 (2-1 B0 上系統)_Leopard效益分析08-17" xfId="33392"/>
    <cellStyle name="差_效益分析_Jackson 效益分析 testing update_16th Jan1_Jackson 效益分析 (2-1 B0 上系統)_squirrel效益分析08-17" xfId="33393"/>
    <cellStyle name="差_效益分析_Jackson 效益分析 testing update_16th Jan111" xfId="33394"/>
    <cellStyle name="差_效益分析_Jackson 效益分析 testing update_16th Jan111_Jackson 效益分析 (2-1 B0 上系統)" xfId="33395"/>
    <cellStyle name="差_效益分析_Jackson 效益分析 testing update_16th Jan111_Jackson 效益分析 (2-1 B0 上系統)_Leopard Flowchart &amp; 產能評估" xfId="33396"/>
    <cellStyle name="差_效益分析_Jackson 效益分析 testing update_16th Jan111_Jackson 效益分析 (2-1 B0 上系統)_Leopard效益分析08-17" xfId="33397"/>
    <cellStyle name="差_效益分析_Jackson 效益分析 testing update_16th Jan111_Jackson 效益分析 (2-1 B0 上系統)_squirrel效益分析08-17" xfId="33398"/>
    <cellStyle name="差_效益分析_squirrel效益分析08-17" xfId="33399"/>
    <cellStyle name="差_效益分析_效益分析(總 12-28 Update)" xfId="33400"/>
    <cellStyle name="差_效益分析_效益分析(總 12-28 Update)_~1159284" xfId="33401"/>
    <cellStyle name="差_效益分析_效益分析(總 12-28 Update)_Jackson 效益分析 (2-1 B0 上系統)" xfId="33402"/>
    <cellStyle name="差_效益分析_效益分析(總 12-28 Update)_Jackson 效益分析 (2-1 B0 上系統)_Leopard Flowchart &amp; 產能評估" xfId="33403"/>
    <cellStyle name="差_效益分析_效益分析(總 12-28 Update)_Jackson 效益分析 (2-1 B0 上系統)_Leopard效益分析08-17" xfId="33404"/>
    <cellStyle name="差_效益分析_效益分析(總 12-28 Update)_Jackson 效益分析 (2-1 B0 上系統)_squirrel效益分析08-17" xfId="33405"/>
    <cellStyle name="差_效益分析_效益分析(總 12-28 Update)_Leopard Flowchart &amp; 產能評估" xfId="33406"/>
    <cellStyle name="差_效益分析_效益分析(總 12-28 Update)_Leopard效益分析08-17" xfId="33407"/>
    <cellStyle name="差_效益分析_效益分析(總 12-28 Update)_squirrel效益分析08-17" xfId="33408"/>
    <cellStyle name="差_產能評估  (12-4)" xfId="33409"/>
    <cellStyle name="差_產能評估  (12-4)_~1159284" xfId="33410"/>
    <cellStyle name="差_產能評估  (12-4)_Jackson 效益分析 (2-1 B0 上系統)" xfId="33411"/>
    <cellStyle name="差_產能評估  (12-4)_Jackson 效益分析 (2-1 B0 上系統)_Leopard Flowchart &amp; 產能評估" xfId="33412"/>
    <cellStyle name="差_產能評估  (12-4)_Jackson 效益分析 (2-1 B0 上系統)_Leopard效益分析08-17" xfId="33413"/>
    <cellStyle name="差_產能評估  (12-4)_Jackson 效益分析 (2-1 B0 上系統)_squirrel效益分析08-17" xfId="33414"/>
    <cellStyle name="差_產能評估  (12-4)_Leopard Flowchart &amp; 產能評估" xfId="33415"/>
    <cellStyle name="差_產能評估  (12-4)_Leopard效益分析08-17" xfId="33416"/>
    <cellStyle name="差_產能評估  (12-4)_squirrel效益分析08-17" xfId="33417"/>
    <cellStyle name="差_產能評估 (1-4 Update)" xfId="33418"/>
    <cellStyle name="差_產能評估 (1-4 Update)_~1159284" xfId="33419"/>
    <cellStyle name="差_產能評估 (1-4 Update)_Jackson 效益分析 (2-1 B0 上系統)" xfId="33420"/>
    <cellStyle name="差_產能評估 (1-4 Update)_Jackson 效益分析 (2-1 B0 上系統)_Leopard Flowchart &amp; 產能評估" xfId="33421"/>
    <cellStyle name="差_產能評估 (1-4 Update)_Jackson 效益分析 (2-1 B0 上系統)_Leopard效益分析08-17" xfId="33422"/>
    <cellStyle name="差_產能評估 (1-4 Update)_Jackson 效益分析 (2-1 B0 上系統)_squirrel效益分析08-17" xfId="33423"/>
    <cellStyle name="差_產能評估 (1-4 Update)_Leopard Flowchart &amp; 產能評估" xfId="33424"/>
    <cellStyle name="差_產能評估 (1-4 Update)_Leopard效益分析08-17" xfId="33425"/>
    <cellStyle name="差_產能評估 (1-4 Update)_squirrel效益分析08-17" xfId="33426"/>
    <cellStyle name="差_產能評估表(IE)" xfId="33427"/>
    <cellStyle name="差_費用統計" xfId="33428"/>
    <cellStyle name="差_費用統計_~1159284" xfId="33429"/>
    <cellStyle name="差_費用統計_Jackson 效益分析 (2-1 B0 上系統)" xfId="33430"/>
    <cellStyle name="差_費用統計_Jackson 效益分析 (2-1 B0 上系統)_Leopard Flowchart &amp; 產能評估" xfId="33431"/>
    <cellStyle name="差_費用統計_Jackson 效益分析 (2-1 B0 上系統)_Leopard效益分析08-17" xfId="33432"/>
    <cellStyle name="差_費用統計_Jackson 效益分析 (2-1 B0 上系統)_squirrel效益分析08-17" xfId="33433"/>
    <cellStyle name="差_費用統計_Leopard Flowchart &amp; 產能評估" xfId="33434"/>
    <cellStyle name="差_費用統計_squirrel效益分析08-17" xfId="33435"/>
    <cellStyle name="差_複製 -Dallas WL keyboard Flow Chart20091127 A0" xfId="33436"/>
    <cellStyle name="捠壿 [0.00]_laroux〹㄰" xfId="33437"/>
    <cellStyle name="捠壿_laroux_1ar" xfId="33438"/>
    <cellStyle name="样式 1" xfId="33439"/>
    <cellStyle name="样式 1 2" xfId="33440"/>
    <cellStyle name="样式 1 3" xfId="33441"/>
    <cellStyle name="样式 2" xfId="33442"/>
    <cellStyle name="桁?切? [0.00]_PERSONAL" xfId="33443"/>
    <cellStyle name="桁?切?_PERSONAL" xfId="33444"/>
    <cellStyle name="桁区切り [0.00]_AMF Titanium Commodity Graphs" xfId="33445"/>
    <cellStyle name="桁区切り_AMF Titanium Commodity Graphs" xfId="33446"/>
    <cellStyle name="砯刽[0]_larouxxo" xfId="33447"/>
    <cellStyle name="砯刽_larouxou" xfId="33448"/>
    <cellStyle name="适中 2" xfId="33449"/>
    <cellStyle name="适中 2 2" xfId="33450"/>
    <cellStyle name="适中 2 2 2" xfId="33451"/>
    <cellStyle name="适中 2 2 2 2" xfId="33452"/>
    <cellStyle name="适中 2 2 2 3" xfId="33453"/>
    <cellStyle name="适中 2 2 3" xfId="33454"/>
    <cellStyle name="适中 2 2 4" xfId="33455"/>
    <cellStyle name="适中 2 3" xfId="33456"/>
    <cellStyle name="适中 2 3 2" xfId="33457"/>
    <cellStyle name="适中 2 3 3" xfId="33458"/>
    <cellStyle name="适中 2 5" xfId="33459"/>
    <cellStyle name="适中 3" xfId="33460"/>
    <cellStyle name="适中 3 2" xfId="33461"/>
    <cellStyle name="适中 3 2 2" xfId="33462"/>
    <cellStyle name="适中 3 2 3" xfId="33463"/>
    <cellStyle name="适中 3 3" xfId="33464"/>
    <cellStyle name="适中 3 4" xfId="33465"/>
    <cellStyle name="适中 4" xfId="33466"/>
    <cellStyle name="适中 5" xfId="33467"/>
    <cellStyle name="适中 5 2" xfId="33468"/>
    <cellStyle name="适中 5 3" xfId="33469"/>
    <cellStyle name="常?_BINV" xfId="33470"/>
    <cellStyle name="常规 2" xfId="33471"/>
    <cellStyle name="常规 2 2" xfId="33472"/>
    <cellStyle name="常规 2 2 2" xfId="33473"/>
    <cellStyle name="常规 2 2_Suede PCB measure_EV2.1_20110226" xfId="33474"/>
    <cellStyle name="常规 2 3" xfId="33475"/>
    <cellStyle name="常规 3" xfId="33476"/>
    <cellStyle name="常规 3 2" xfId="33477"/>
    <cellStyle name="常规 3 3" xfId="33478"/>
    <cellStyle name="常规 4" xfId="33479"/>
    <cellStyle name="常规 4 2" xfId="33480"/>
    <cellStyle name="常规 5" xfId="33481"/>
    <cellStyle name="常规 6" xfId="33482"/>
    <cellStyle name="常规 7" xfId="33483"/>
    <cellStyle name="常规 7 2" xfId="33484"/>
    <cellStyle name="常规 8" xfId="33485"/>
    <cellStyle name="常规 8 2" xfId="33486"/>
    <cellStyle name="常规 8 2 2" xfId="33487"/>
    <cellStyle name="常规 8 2 3" xfId="33488"/>
    <cellStyle name="悪い" xfId="33489"/>
    <cellStyle name="检查单元格 2" xfId="33490"/>
    <cellStyle name="检查单元格 2 2" xfId="33491"/>
    <cellStyle name="检查单元格 2 2 2" xfId="33492"/>
    <cellStyle name="检查单元格 2 2 2 2" xfId="33493"/>
    <cellStyle name="检查单元格 2 2 2 3" xfId="33494"/>
    <cellStyle name="检查单元格 2 2 3" xfId="33495"/>
    <cellStyle name="检查单元格 2 2 4" xfId="33496"/>
    <cellStyle name="检查单元格 2 3" xfId="33497"/>
    <cellStyle name="检查单元格 2 3 2" xfId="33498"/>
    <cellStyle name="检查单元格 2 3 3" xfId="33499"/>
    <cellStyle name="检查单元格 2 4" xfId="33500"/>
    <cellStyle name="检查单元格 2 5" xfId="33501"/>
    <cellStyle name="检查单元格 3" xfId="33502"/>
    <cellStyle name="检查单元格 3 2" xfId="33503"/>
    <cellStyle name="检查单元格 3 2 2" xfId="33504"/>
    <cellStyle name="检查单元格 3 2 3" xfId="33505"/>
    <cellStyle name="检查单元格 3 3" xfId="33506"/>
    <cellStyle name="检查单元格 3 4" xfId="33507"/>
    <cellStyle name="检查单元格 4" xfId="33508"/>
    <cellStyle name="检查单元格 5" xfId="33509"/>
    <cellStyle name="检查单元格 5 3" xfId="33510"/>
    <cellStyle name="貨幣 [0] 2" xfId="33511"/>
    <cellStyle name="貨幣 14 2" xfId="33512"/>
    <cellStyle name="貨幣 2" xfId="33513"/>
    <cellStyle name="貨幣 2 2" xfId="33514"/>
    <cellStyle name="貨幣 2 3" xfId="33515"/>
    <cellStyle name="貨幣 2 4" xfId="33516"/>
    <cellStyle name="貨幣 2 4 2" xfId="33517"/>
    <cellStyle name="貨幣 2 4 2 2" xfId="33518"/>
    <cellStyle name="貨幣 2 4 3" xfId="33519"/>
    <cellStyle name="貨幣 2 5" xfId="33520"/>
    <cellStyle name="貨幣 2_Lemur" xfId="33521"/>
    <cellStyle name="貨幣 3" xfId="33522"/>
    <cellStyle name="貨幣 3 2" xfId="33523"/>
    <cellStyle name="貨幣 4" xfId="33524"/>
    <cellStyle name="貨幣 4 2" xfId="33525"/>
    <cellStyle name="貨幣 5" xfId="33526"/>
    <cellStyle name="貨幣 6" xfId="33527"/>
    <cellStyle name="貨幣[0]_04" xfId="33528"/>
    <cellStyle name="通貨 [0.00]_0298.xls グラフ 1" xfId="33529"/>
    <cellStyle name="連結的儲存格 2" xfId="33530"/>
    <cellStyle name="똿뗦먛귟_laroux" xfId="33531"/>
    <cellStyle name="備註 2" xfId="33532"/>
    <cellStyle name="備註 2 2" xfId="33533"/>
    <cellStyle name="備註 2 2 2" xfId="33534"/>
    <cellStyle name="備註 2 2 3" xfId="33535"/>
    <cellStyle name="强调文字颜色 1 2" xfId="33536"/>
    <cellStyle name="强调文字颜色 1 2 2" xfId="33537"/>
    <cellStyle name="强调文字颜色 1 2 2 2" xfId="33538"/>
    <cellStyle name="强调文字颜色 1 2 2 2 2" xfId="33539"/>
    <cellStyle name="强调文字颜色 1 2 2 2 3" xfId="33540"/>
    <cellStyle name="强调文字颜色 1 2 2 3" xfId="33541"/>
    <cellStyle name="强调文字颜色 1 2 2 4" xfId="33542"/>
    <cellStyle name="强调文字颜色 1 2 3" xfId="33543"/>
    <cellStyle name="强调文字颜色 1 2 3 2" xfId="33544"/>
    <cellStyle name="强调文字颜色 1 2 3 3" xfId="33545"/>
    <cellStyle name="强调文字颜色 1 2 4" xfId="33546"/>
    <cellStyle name="强调文字颜色 1 2 5" xfId="33547"/>
    <cellStyle name="强调文字颜色 1 3" xfId="33548"/>
    <cellStyle name="强调文字颜色 1 3 2 2" xfId="33549"/>
    <cellStyle name="强调文字颜色 1 3 2 3" xfId="33550"/>
    <cellStyle name="强调文字颜色 1 3 3" xfId="33551"/>
    <cellStyle name="强调文字颜色 1 3 4" xfId="33552"/>
    <cellStyle name="强调文字颜色 1 4" xfId="33553"/>
    <cellStyle name="强调文字颜色 1 5" xfId="33554"/>
    <cellStyle name="强调文字颜色 1 5 2" xfId="33555"/>
    <cellStyle name="强调文字颜色 1 5 3" xfId="33556"/>
    <cellStyle name="强调文字颜色 2 2" xfId="33557"/>
    <cellStyle name="强调文字颜色 2 2 2" xfId="33558"/>
    <cellStyle name="强调文字颜色 2 2 2 2" xfId="33559"/>
    <cellStyle name="强调文字颜色 2 2 2 2 2" xfId="33560"/>
    <cellStyle name="强调文字颜色 2 2 2 2 3" xfId="33561"/>
    <cellStyle name="强调文字颜色 2 2 2 3" xfId="33562"/>
    <cellStyle name="强调文字颜色 2 2 2 4" xfId="33563"/>
    <cellStyle name="强调文字颜色 2 2 3" xfId="33564"/>
    <cellStyle name="强调文字颜色 2 2 3 2" xfId="33565"/>
    <cellStyle name="强调文字颜色 2 2 3 3" xfId="33566"/>
    <cellStyle name="强调文字颜色 2 2 4" xfId="33567"/>
    <cellStyle name="强调文字颜色 2 2 5" xfId="33568"/>
    <cellStyle name="强调文字颜色 2 3" xfId="33569"/>
    <cellStyle name="强调文字颜色 2 3 2" xfId="33570"/>
    <cellStyle name="强调文字颜色 2 3 2 2" xfId="33571"/>
    <cellStyle name="强调文字颜色 2 3 2 3" xfId="33572"/>
    <cellStyle name="强调文字颜色 2 3 3" xfId="33573"/>
    <cellStyle name="强调文字颜色 2 3 4" xfId="33574"/>
    <cellStyle name="强调文字颜色 2 4" xfId="33575"/>
    <cellStyle name="强调文字颜色 2 5" xfId="33576"/>
    <cellStyle name="强调文字颜色 2 5 2" xfId="33577"/>
    <cellStyle name="强调文字颜色 2 5 3" xfId="33578"/>
    <cellStyle name="强调文字颜色 2 6" xfId="33579"/>
    <cellStyle name="强调文字颜色 3 2" xfId="33580"/>
    <cellStyle name="强调文字颜色 3 2 2" xfId="33581"/>
    <cellStyle name="强调文字颜色 3 2 2 2" xfId="33582"/>
    <cellStyle name="强调文字颜色 3 2 2 2 2" xfId="33583"/>
    <cellStyle name="强调文字颜色 3 2 2 2 3" xfId="33584"/>
    <cellStyle name="强调文字颜色 3 2 2 3" xfId="33585"/>
    <cellStyle name="强调文字颜色 3 2 2 4" xfId="33586"/>
    <cellStyle name="强调文字颜色 3 2 3" xfId="33587"/>
    <cellStyle name="强调文字颜色 3 2 3 2" xfId="33588"/>
    <cellStyle name="强调文字颜色 3 2 4" xfId="33589"/>
    <cellStyle name="强调文字颜色 3 2 5" xfId="33590"/>
    <cellStyle name="强调文字颜色 3 3" xfId="33591"/>
    <cellStyle name="强调文字颜色 3 3 2" xfId="33592"/>
    <cellStyle name="强调文字颜色 3 3 2 3" xfId="33593"/>
    <cellStyle name="强调文字颜色 3 3 3" xfId="33594"/>
    <cellStyle name="强调文字颜色 3 3 4" xfId="33595"/>
    <cellStyle name="强调文字颜色 3 4" xfId="33596"/>
    <cellStyle name="强调文字颜色 3 5" xfId="33597"/>
    <cellStyle name="强调文字颜色 3 5 2" xfId="33598"/>
    <cellStyle name="强调文字颜色 3 5 3" xfId="33599"/>
    <cellStyle name="强调文字颜色 3 6" xfId="33600"/>
    <cellStyle name="强调文字颜色 4 2" xfId="33601"/>
    <cellStyle name="强调文字颜色 4 2 2" xfId="33602"/>
    <cellStyle name="强调文字颜色 4 2 2 2" xfId="33603"/>
    <cellStyle name="强调文字颜色 4 2 2 2 2" xfId="33604"/>
    <cellStyle name="强调文字颜色 4 2 2 2 3" xfId="33605"/>
    <cellStyle name="强调文字颜色 4 2 2 3" xfId="33606"/>
    <cellStyle name="强调文字颜色 4 2 2 4" xfId="33607"/>
    <cellStyle name="强调文字颜色 4 2 3" xfId="33608"/>
    <cellStyle name="强调文字颜色 4 2 3 2" xfId="33609"/>
    <cellStyle name="强调文字颜色 4 2 3 3" xfId="33610"/>
    <cellStyle name="强调文字颜色 4 2 4" xfId="33611"/>
    <cellStyle name="强调文字颜色 4 2 5" xfId="33612"/>
    <cellStyle name="强调文字颜色 4 3" xfId="33613"/>
    <cellStyle name="强调文字颜色 4 3 2" xfId="33614"/>
    <cellStyle name="强调文字颜色 4 3 2 2" xfId="33615"/>
    <cellStyle name="强调文字颜色 4 3 2 3" xfId="33616"/>
    <cellStyle name="强调文字颜色 4 3 3" xfId="33617"/>
    <cellStyle name="强调文字颜色 4 3 4" xfId="33618"/>
    <cellStyle name="强调文字颜色 4 5" xfId="33619"/>
    <cellStyle name="强调文字颜色 4 5 2" xfId="33620"/>
    <cellStyle name="强调文字颜色 4 5 3" xfId="33621"/>
    <cellStyle name="强调文字颜色 4 6" xfId="33622"/>
    <cellStyle name="强调文字颜色 5 2" xfId="33623"/>
    <cellStyle name="强调文字颜色 5 2 2" xfId="33624"/>
    <cellStyle name="强调文字颜色 5 2 2 2" xfId="33625"/>
    <cellStyle name="强调文字颜色 5 2 2 2 2" xfId="33626"/>
    <cellStyle name="强调文字颜色 5 2 2 3" xfId="33627"/>
    <cellStyle name="强调文字颜色 5 2 2 4" xfId="33628"/>
    <cellStyle name="强调文字颜色 5 2 3" xfId="33629"/>
    <cellStyle name="强调文字颜色 5 2 3 2" xfId="33630"/>
    <cellStyle name="强调文字颜色 5 2 3 3" xfId="33631"/>
    <cellStyle name="强调文字颜色 5 2 4" xfId="33632"/>
    <cellStyle name="强调文字颜色 5 2 5" xfId="33633"/>
    <cellStyle name="强调文字颜色 5 3" xfId="33634"/>
    <cellStyle name="强调文字颜色 5 3 2" xfId="33635"/>
    <cellStyle name="强调文字颜色 5 3 2 2" xfId="33636"/>
    <cellStyle name="强调文字颜色 5 3 2 3" xfId="33637"/>
    <cellStyle name="强调文字颜色 5 3 3" xfId="33638"/>
    <cellStyle name="强调文字颜色 5 3 4" xfId="33639"/>
    <cellStyle name="强调文字颜色 5 4" xfId="33640"/>
    <cellStyle name="强调文字颜色 5 5" xfId="33641"/>
    <cellStyle name="强调文字颜色 5 5 2" xfId="33642"/>
    <cellStyle name="强调文字颜色 5 5 3" xfId="33643"/>
    <cellStyle name="强调文字颜色 5 6" xfId="33644"/>
    <cellStyle name="强调文字颜色 6 2" xfId="33645"/>
    <cellStyle name="强调文字颜色 6 2 2" xfId="33646"/>
    <cellStyle name="强调文字颜色 6 2 2 2" xfId="33647"/>
    <cellStyle name="强调文字颜色 6 2 2 2 2" xfId="33648"/>
    <cellStyle name="强调文字颜色 6 2 2 3" xfId="33649"/>
    <cellStyle name="强调文字颜色 6 2 2 4" xfId="33650"/>
    <cellStyle name="强调文字颜色 6 2 3" xfId="33651"/>
    <cellStyle name="强调文字颜色 6 2 3 2" xfId="33652"/>
    <cellStyle name="强调文字颜色 6 2 3 3" xfId="33653"/>
    <cellStyle name="强调文字颜色 6 2 4" xfId="33654"/>
    <cellStyle name="强调文字颜色 6 2 5" xfId="33655"/>
    <cellStyle name="强调文字颜色 6 3" xfId="33656"/>
    <cellStyle name="强调文字颜色 6 3 2" xfId="33657"/>
    <cellStyle name="强调文字颜色 6 3 2 2" xfId="33658"/>
    <cellStyle name="强调文字颜色 6 3 2 3" xfId="33659"/>
    <cellStyle name="强调文字颜色 6 5" xfId="33660"/>
    <cellStyle name="强调文字颜色 6 5 2" xfId="33661"/>
    <cellStyle name="强调文字颜色 6 6" xfId="33662"/>
    <cellStyle name="超連結 2" xfId="33663"/>
    <cellStyle name="超链接 2" xfId="33664"/>
    <cellStyle name="链接单元格 2 2" xfId="33665"/>
    <cellStyle name="链接单元格 2 2 2" xfId="33666"/>
    <cellStyle name="链接单元格 2 2 2 2" xfId="33667"/>
    <cellStyle name="链接单元格 2 2 2 3" xfId="33668"/>
    <cellStyle name="链接单元格 2 2 3" xfId="33669"/>
    <cellStyle name="链接单元格 2 2 4" xfId="33670"/>
    <cellStyle name="链接单元格 2 3" xfId="33671"/>
    <cellStyle name="链接单元格 2 3 2" xfId="33672"/>
    <cellStyle name="链接单元格 2 3 3" xfId="33673"/>
    <cellStyle name="链接单元格 2 4" xfId="33674"/>
    <cellStyle name="链接单元格 2 5" xfId="33675"/>
    <cellStyle name="链接单元格 3" xfId="33676"/>
    <cellStyle name="链接单元格 3 2" xfId="33677"/>
    <cellStyle name="链接单元格 3 2 2" xfId="33678"/>
    <cellStyle name="链接单元格 3 2 3" xfId="33679"/>
    <cellStyle name="链接单元格 3 3" xfId="33680"/>
    <cellStyle name="链接单元格 3 4" xfId="33681"/>
    <cellStyle name="链接单元格 4" xfId="33682"/>
    <cellStyle name="链接单元格 5" xfId="33683"/>
    <cellStyle name="链接单元格 5 2" xfId="33684"/>
    <cellStyle name="集計" xfId="33685"/>
    <cellStyle name="項目行" xfId="33686"/>
    <cellStyle name="寘嬫愗傝 [0.00]_laroux_12畡卩畯" xfId="33687"/>
    <cellStyle name="寘嬫愗傝_laroux_1arou" xfId="33688"/>
    <cellStyle name="解释性文本 2" xfId="33689"/>
    <cellStyle name="解释性文本 2 2" xfId="33690"/>
    <cellStyle name="解释性文本 2 2 2" xfId="33691"/>
    <cellStyle name="解释性文本 2 2 2 2" xfId="33692"/>
    <cellStyle name="解释性文本 2 2 2 3" xfId="33693"/>
    <cellStyle name="解释性文本 2 2 3" xfId="33694"/>
    <cellStyle name="解释性文本 2 2 4" xfId="33695"/>
    <cellStyle name="解释性文本 2 3" xfId="33696"/>
    <cellStyle name="解释性文本 2 3 2" xfId="33697"/>
    <cellStyle name="解释性文本 2 3 3" xfId="33698"/>
    <cellStyle name="解释性文本 2 4" xfId="33699"/>
    <cellStyle name="解释性文本 2 5" xfId="33700"/>
    <cellStyle name="解释性文本 3" xfId="33701"/>
    <cellStyle name="解释性文本 3 2" xfId="33702"/>
    <cellStyle name="解释性文本 3 2 2" xfId="33703"/>
    <cellStyle name="解释性文本 3 2 3" xfId="33704"/>
    <cellStyle name="解释性文本 3 3" xfId="33705"/>
    <cellStyle name="解释性文本 3 4" xfId="33706"/>
    <cellStyle name="解释性文本 4" xfId="33707"/>
    <cellStyle name="解释性文本 5" xfId="33708"/>
    <cellStyle name="解释性文本 5 2" xfId="33709"/>
    <cellStyle name="解释性文本 5 3" xfId="33710"/>
    <cellStyle name="输入 2" xfId="33711"/>
    <cellStyle name="输入 2 2" xfId="33712"/>
    <cellStyle name="输入 2 2 2" xfId="33713"/>
    <cellStyle name="输入 2 2 2 2" xfId="33714"/>
    <cellStyle name="输入 2 2 2 3" xfId="33715"/>
    <cellStyle name="输入 2 2 2 4" xfId="33716"/>
    <cellStyle name="输入 2 2 2 5" xfId="33717"/>
    <cellStyle name="输入 2 2 3" xfId="33718"/>
    <cellStyle name="输入 2 2 4" xfId="33719"/>
    <cellStyle name="输入 2 3" xfId="33720"/>
    <cellStyle name="输入 2 3 2" xfId="33721"/>
    <cellStyle name="输入 2 3 2 2" xfId="33722"/>
    <cellStyle name="输入 2 3 2 3" xfId="33723"/>
    <cellStyle name="输入 2 3 3" xfId="33724"/>
    <cellStyle name="输入 2 3 3 2" xfId="33725"/>
    <cellStyle name="输入 2 3 3 3" xfId="33726"/>
    <cellStyle name="输入 2 3 4" xfId="33727"/>
    <cellStyle name="输入 2 3 5" xfId="33728"/>
    <cellStyle name="输入 3 2" xfId="33729"/>
    <cellStyle name="输入 3 2 2" xfId="33730"/>
    <cellStyle name="输入 3 2 2 2" xfId="33731"/>
    <cellStyle name="输入 3 2 2 3" xfId="33732"/>
    <cellStyle name="输入 3 2 3" xfId="33733"/>
    <cellStyle name="输入 3 2 3 2" xfId="33734"/>
    <cellStyle name="输入 3 2 3 3" xfId="33735"/>
    <cellStyle name="输入 3 2 5" xfId="33736"/>
    <cellStyle name="输入 3 3" xfId="33737"/>
    <cellStyle name="输入 3 4" xfId="33738"/>
    <cellStyle name="输入 4" xfId="33739"/>
    <cellStyle name="输入 4 2" xfId="33740"/>
    <cellStyle name="输入 4 2 2" xfId="33741"/>
    <cellStyle name="输入 4 2 2 2" xfId="33742"/>
    <cellStyle name="输入 4 2 2 3" xfId="33743"/>
    <cellStyle name="输入 4 2 3" xfId="33744"/>
    <cellStyle name="输入 4 2 3 2" xfId="33745"/>
    <cellStyle name="输入 4 2 3 3" xfId="33746"/>
    <cellStyle name="输入 4 2 4" xfId="33747"/>
    <cellStyle name="输入 4 2 5" xfId="33748"/>
    <cellStyle name="输入 5" xfId="33749"/>
    <cellStyle name="输入 5 2" xfId="33750"/>
    <cellStyle name="输入 5 3" xfId="33751"/>
    <cellStyle name="输入 5 4" xfId="33752"/>
    <cellStyle name="输入 6" xfId="33753"/>
    <cellStyle name="输入 6 3" xfId="33754"/>
    <cellStyle name="输入 7" xfId="33755"/>
    <cellStyle name="输出 2" xfId="33756"/>
    <cellStyle name="输出 2 2 2" xfId="33757"/>
    <cellStyle name="输出 2 2 2 2" xfId="33758"/>
    <cellStyle name="输出 2 2 2 4" xfId="33759"/>
    <cellStyle name="输出 2 2 2 5" xfId="33760"/>
    <cellStyle name="输出 2 2 3" xfId="33761"/>
    <cellStyle name="输出 2 3" xfId="33762"/>
    <cellStyle name="输出 2 3 2" xfId="33763"/>
    <cellStyle name="输出 2 3 2 2" xfId="33764"/>
    <cellStyle name="输出 2 3 2 3" xfId="33765"/>
    <cellStyle name="输出 2 3 3" xfId="33766"/>
    <cellStyle name="输出 2 3 3 2" xfId="33767"/>
    <cellStyle name="输出 2 3 4" xfId="33768"/>
    <cellStyle name="输出 2 3 5" xfId="33769"/>
    <cellStyle name="输出 2 4" xfId="33770"/>
    <cellStyle name="输出 2 5" xfId="33771"/>
    <cellStyle name="输出 3" xfId="33772"/>
    <cellStyle name="输出 3 2" xfId="33773"/>
    <cellStyle name="输出 3 2 2" xfId="33774"/>
    <cellStyle name="输出 3 2 2 2" xfId="33775"/>
    <cellStyle name="输出 3 2 2 3" xfId="33776"/>
    <cellStyle name="输出 3 2 3" xfId="33777"/>
    <cellStyle name="输出 3 2 3 2" xfId="33778"/>
    <cellStyle name="输出 3 2 3 3" xfId="33779"/>
    <cellStyle name="输出 3 2 4" xfId="33780"/>
    <cellStyle name="输出 3 2 5" xfId="33781"/>
    <cellStyle name="输出 3 3" xfId="33782"/>
    <cellStyle name="输出 4" xfId="33783"/>
    <cellStyle name="输出 4 2" xfId="33784"/>
    <cellStyle name="输出 4 2 2 2" xfId="33785"/>
    <cellStyle name="输出 4 2 2 3" xfId="33786"/>
    <cellStyle name="输出 4 2 3" xfId="33787"/>
    <cellStyle name="输出 4 2 3 2" xfId="33788"/>
    <cellStyle name="输出 4 2 3 3" xfId="33789"/>
    <cellStyle name="输出 4 2 4" xfId="33790"/>
    <cellStyle name="输出 4 2 5" xfId="33791"/>
    <cellStyle name="输出 5" xfId="33792"/>
    <cellStyle name="输出 5 2" xfId="33793"/>
    <cellStyle name="输出 5 3" xfId="33794"/>
    <cellStyle name="输出 6" xfId="33795"/>
    <cellStyle name="输出 6 2" xfId="33796"/>
    <cellStyle name="输出 6 3" xfId="33797"/>
    <cellStyle name="說明文字 2" xfId="33798"/>
    <cellStyle name="輔色2 2" xfId="33799"/>
    <cellStyle name="輔色3 2" xfId="33800"/>
    <cellStyle name="輔色4 2" xfId="33801"/>
    <cellStyle name="輔色5 2" xfId="33802"/>
    <cellStyle name="輔色6 2" xfId="33803"/>
    <cellStyle name="標準_10000j" xfId="33804"/>
    <cellStyle name="標題 1 2" xfId="33805"/>
    <cellStyle name="標題 2 2" xfId="33806"/>
    <cellStyle name="標題 3 2" xfId="33807"/>
    <cellStyle name="標題 4 2" xfId="33808"/>
    <cellStyle name="標題 5" xfId="33809"/>
    <cellStyle name="樣式 1" xfId="33810"/>
    <cellStyle name="樣式 1 3" xfId="33811"/>
    <cellStyle name="樣式 1 4" xfId="33812"/>
    <cellStyle name="樣式 2" xfId="33813"/>
    <cellStyle name="輸入 2" xfId="33814"/>
    <cellStyle name="輸入 2 2" xfId="33815"/>
    <cellStyle name="輸入 2 2 2" xfId="33816"/>
    <cellStyle name="輸入 2 2 3" xfId="33817"/>
    <cellStyle name="輸出 2" xfId="33818"/>
    <cellStyle name="輸出 2 2" xfId="33819"/>
    <cellStyle name="輸出 2 2 2" xfId="33820"/>
    <cellStyle name="輸出 2 2 3" xfId="33821"/>
    <cellStyle name="隨後的超耣結" xfId="33822"/>
    <cellStyle name="檢查儲存格 2" xfId="33823"/>
    <cellStyle name="믅됞_laroux" xfId="33824"/>
    <cellStyle name="백분율_95" xfId="33825"/>
    <cellStyle name="壞 2" xfId="33826"/>
    <cellStyle name="壞_~7519239" xfId="33827"/>
    <cellStyle name="壞_2010-05 費用分析0604" xfId="33828"/>
    <cellStyle name="壞_201005人數彙總" xfId="33829"/>
    <cellStyle name="壞_2010銷售明細實績-201006" xfId="33830"/>
    <cellStyle name="壞_2011年 KPI  QA 12 15" xfId="33831"/>
    <cellStyle name="壞_2011年 KPI  QA 12 15 2" xfId="33832"/>
    <cellStyle name="壞_Bolt RET RFQ20110117_by Steven" xfId="33833"/>
    <cellStyle name="壞_Bolt RFI ME BOM -1206" xfId="33834"/>
    <cellStyle name="壞_Bolt RFQ Template NRE-Uni BOM- EMC  certification - 20110222_by ADT" xfId="33835"/>
    <cellStyle name="壞_Bolt RFQ Template NRE-Uni BOM- EMC  certification_by ADT" xfId="33836"/>
    <cellStyle name="壞_Bristol EE cost_10.29_fm FD" xfId="33837"/>
    <cellStyle name="壞_Bristol EV3 BOM quote_02252011 (2)" xfId="33838"/>
    <cellStyle name="壞_Bristol EV3 TC breakdown worksheet_03172011_JCopinion" xfId="33839"/>
    <cellStyle name="壞_Bristol LEFT LED EV1 BOM (2)" xfId="33840"/>
    <cellStyle name="壞_Bristol ME parts quotation 20101021-Rev4" xfId="33841"/>
    <cellStyle name="壞_Bristol ME parts quotation 20101021-Rev4_Bristol RFQ response _20101102_internal (4)" xfId="33842"/>
    <cellStyle name="壞_Bristol ME parts quotation 20101021-Rev4_Bristol RFQ response _20101102_internal (4)_Bristol MP quote update_08182011_MS" xfId="33843"/>
    <cellStyle name="壞_Bristol ME parts quotation 20101021-Rev4_Bristol RFQ response _20101102_internal (4)_Bristol TC Estimate Update 08012011" xfId="33844"/>
    <cellStyle name="壞_Bristol ME parts quotation 20101021-Rev4_Bristol RFQ response _20101102_internal (4)_Bristol TC Estimate Update 08042011_MS" xfId="33845"/>
    <cellStyle name="壞_Bristol ME parts quotation 20101021-Rev4_Bristol RFQ response _20101102_internal (4)_Bristol TC Estimate Update 08112011_internal working file" xfId="33846"/>
    <cellStyle name="壞_Bristol ME parts tooling cost 20101022 updated" xfId="33847"/>
    <cellStyle name="壞_Bristol MP quote update_08182011_MS" xfId="33848"/>
    <cellStyle name="壞_Bristol Oct20 BOM with cost total" xfId="33849"/>
    <cellStyle name="壞_Bristol RFQ Cleansheet_template" xfId="33850"/>
    <cellStyle name="壞_Bristol RFQ response _20101013_update" xfId="33851"/>
    <cellStyle name="壞_Bristol RFQ response _20101102_internal (4)" xfId="33852"/>
    <cellStyle name="壞_Bristol TC Estimate Update 07292011" xfId="33853"/>
    <cellStyle name="壞_Bristol TC Estimate Update 07292011_internal from Tony" xfId="33854"/>
    <cellStyle name="壞_Bristol TC Estimate Update 08012011" xfId="33855"/>
    <cellStyle name="壞_Bristol TC Estimate Update 08042011_MS" xfId="33856"/>
    <cellStyle name="壞_Bristol TC Estimate Update 08112011_internal working file" xfId="33857"/>
    <cellStyle name="壞_Bristol TC estimate update_03162011" xfId="33858"/>
    <cellStyle name="壞_BRISTOL_EV2_TeamCenter_BOM_Foxlink 110107" xfId="33859"/>
    <cellStyle name="壞_Creek Assembly Fixture  Test Equipment RFQ_20090427" xfId="33860"/>
    <cellStyle name="壞_Creek Assembly Fixture  Test Equipment RFQ_20090427 2" xfId="33861"/>
    <cellStyle name="壞_Creek Assembly Fixture  Test Equipment RFQ_20090427 2 2" xfId="33862"/>
    <cellStyle name="壞_Creek Assembly Fixture  Test Equipment RFQ_20090427 2 2 2" xfId="33863"/>
    <cellStyle name="壞_Creek Assembly Fixture  Test Equipment RFQ_20090427 2 2 3" xfId="33864"/>
    <cellStyle name="壞_Creek Assembly Fixture  Test Equipment RFQ_20090427 2 3" xfId="33865"/>
    <cellStyle name="壞_Creek Assembly Fixture  Test Equipment RFQ_20090427 2 4" xfId="33866"/>
    <cellStyle name="壞_Creek Assembly Fixture  Test Equipment RFQ_20090427 3" xfId="33867"/>
    <cellStyle name="壞_Creek Assembly Fixture  Test Equipment RFQ_20090427 3 2" xfId="33868"/>
    <cellStyle name="壞_Creek Assembly Fixture  Test Equipment RFQ_20090427 3 3" xfId="33869"/>
    <cellStyle name="壞_Creek Assembly Fixture  Test Equipment RFQ_20090427 4" xfId="33870"/>
    <cellStyle name="壞_Creek Assembly Fixture  Test Equipment RFQ_20090427 5" xfId="33871"/>
    <cellStyle name="壞_Creek Assembly Fixture  Test Equipment RFQ_20090427_Bolt RFQ Proposal_Foxlink_ (Pricing Summary) 2 25 2011" xfId="33872"/>
    <cellStyle name="壞_Creek Assembly Fixture  Test Equipment RFQ_20090427_Bolt RFQ Proposal_Foxlink_ (Pricing Summary) 2 25 2011 2" xfId="33873"/>
    <cellStyle name="壞_Creek Assembly Fixture  Test Equipment RFQ_20090427_Bolt RFQ Proposal_Foxlink_ (Pricing Summary) 2 25 2011 2 2 3" xfId="33874"/>
    <cellStyle name="壞_Creek Assembly Fixture  Test Equipment RFQ_20090427_Bolt RFQ Proposal_Foxlink_ (Pricing Summary) 2 25 2011 2 3" xfId="33875"/>
    <cellStyle name="壞_Creek Assembly Fixture  Test Equipment RFQ_20090427_Bolt RFQ Proposal_Foxlink_ (Pricing Summary) 2 25 2011 3" xfId="33876"/>
    <cellStyle name="壞_Creek Assembly Fixture  Test Equipment RFQ_20090427_Bolt RFQ Proposal_Foxlink_ (Pricing Summary) 2 25 2011 3 2" xfId="33877"/>
    <cellStyle name="壞_Creek Assembly Fixture  Test Equipment RFQ_20090427_Bolt RFQ Proposal_Foxlink_ (Pricing Summary) 2 25 2011 3 3" xfId="33878"/>
    <cellStyle name="壞_Creek Assembly Fixture  Test Equipment RFQ_20090427_Bolt RFQ Proposal_Foxlink_ (Pricing Summary) 2 25 2011 4" xfId="33879"/>
    <cellStyle name="壞_Creek Assembly Fixture  Test Equipment RFQ_20090427_Bolt RFQ Proposal_Foxlink_ (Pricing Summary) 2 25 2011 4 2" xfId="33880"/>
    <cellStyle name="壞_Creek Assembly Fixture  Test Equipment RFQ_20090427_Bolt RFQ Proposal_Foxlink_ (Pricing Summary) 2 25 2011 4 3" xfId="33881"/>
    <cellStyle name="壞_Creek Assembly Fixture  Test Equipment RFQ_20090427_Bolt RFQ Proposal_Foxlink_ (Pricing Summary) 2 25 2011 5" xfId="33882"/>
    <cellStyle name="壞_Creek Assembly Fixture  Test Equipment RFQ_20090427_Bolt RFQ Proposal_Foxlink_ (Pricing Summary) 2 25 2011 5 2" xfId="33883"/>
    <cellStyle name="壞_Creek Assembly Fixture  Test Equipment RFQ_20090427_Bolt RFQ Proposal_Foxlink_ (Pricing Summary) 2 25 2011 6" xfId="33884"/>
    <cellStyle name="壞_Creek Assembly Fixture  Test Equipment RFQ_20090427_Bolt RFQ Proposal_Foxlink_ (Pricing Summary) 2 25 2011 7" xfId="33885"/>
    <cellStyle name="壞_Creek Assembly Fixture  Test Equipment RFQ_20090427_Bolt RFQ_Foxlink_03.1 2011" xfId="33886"/>
    <cellStyle name="壞_Creek Assembly Fixture  Test Equipment RFQ_20090427_Bolt RFQ_Foxlink_03.1 2011 2" xfId="33887"/>
    <cellStyle name="壞_Creek Assembly Fixture  Test Equipment RFQ_20090427_Bolt RFQ_Foxlink_03.1 2011 2 2" xfId="33888"/>
    <cellStyle name="壞_Creek Assembly Fixture  Test Equipment RFQ_20090427_Bolt RFQ_Foxlink_03.1 2011 3" xfId="33889"/>
    <cellStyle name="壞_Creek Assembly Fixture  Test Equipment RFQ_20090427_Bolt RFQ_Foxlink_03.1 2011 3 2" xfId="33890"/>
    <cellStyle name="壞_Creek Assembly Fixture  Test Equipment RFQ_20090427_Bolt RFQ_Foxlink_03.1 2011 3 3" xfId="33891"/>
    <cellStyle name="壞_Creek Assembly Fixture  Test Equipment RFQ_20090427_Bolt RFQ_Foxlink_03.1 2011 4" xfId="33892"/>
    <cellStyle name="壞_Creek Assembly Fixture  Test Equipment RFQ_20090427_Bolt RFQ_Foxlink_03.1 2011 5" xfId="33893"/>
    <cellStyle name="壞_Creek Assembly Fixture  Test Equipment RFQ_20090427_Bolt RFQ_Foxlink_03.1 2011_nego meeting@MACH" xfId="33894"/>
    <cellStyle name="壞_Creek Assembly Fixture  Test Equipment RFQ_20090427_Bolt RFQ_Foxlink_03.1 2011_nego meeting@MACH 2" xfId="33895"/>
    <cellStyle name="壞_Creek Assembly Fixture  Test Equipment RFQ_20090427_Bolt RFQ_Foxlink_03.1 2011_nego meeting@MACH 2 3" xfId="33896"/>
    <cellStyle name="壞_Creek Assembly Fixture  Test Equipment RFQ_20090427_Bolt RFQ_Foxlink_03.1 2011_nego meeting@MACH 3" xfId="33897"/>
    <cellStyle name="壞_Creek Assembly Fixture  Test Equipment RFQ_20090427_Bolt RFQ_Foxlink_03.1 2011_nego meeting@MACH 3 2" xfId="33898"/>
    <cellStyle name="壞_Creek Assembly Fixture  Test Equipment RFQ_20090427_Bolt RFQ_Foxlink_03.1 2011_nego meeting@MACH 3 3" xfId="33899"/>
    <cellStyle name="壞_Creek Assembly Fixture  Test Equipment RFQ_20090427_Bolt RFQ_Foxlink_03.1 2011_nego meeting@MACH 4" xfId="33900"/>
    <cellStyle name="壞_Creek Assembly Fixture  Test Equipment RFQ_20090427_Bolt RFQ_Foxlink_03.1 2011_nego meeting@MACH 5" xfId="33901"/>
    <cellStyle name="壞_Creek Assembly Fixture  Test Equipment RFQ_20090427_Bristol UniBom_Foxlink_02082011 RevA" xfId="33902"/>
    <cellStyle name="壞_Creek Assembly Fixture  Test Equipment RFQ_20090427_Foxlink_Shadow RFQ NREUni BOM_12032009" xfId="33903"/>
    <cellStyle name="壞_Creek Assembly Fixture  Test Equipment RFQ_20090427_Foxlink_Shadow RFQ NREUni BOM_12032009 2" xfId="33904"/>
    <cellStyle name="壞_Creek Assembly Fixture  Test Equipment RFQ_20090427_Foxlink_Shadow RFQ NREUni BOM_12032009 2 2" xfId="33905"/>
    <cellStyle name="壞_Creek Assembly Fixture  Test Equipment RFQ_20090427_Foxlink_Shadow RFQ NREUni BOM_12032009 2 2 2" xfId="33906"/>
    <cellStyle name="壞_Creek Assembly Fixture  Test Equipment RFQ_20090427_Foxlink_Shadow RFQ NREUni BOM_12032009 2 2 3" xfId="33907"/>
    <cellStyle name="壞_Creek Assembly Fixture  Test Equipment RFQ_20090427_Foxlink_Shadow RFQ NREUni BOM_12032009 2 3" xfId="33908"/>
    <cellStyle name="壞_Creek Assembly Fixture  Test Equipment RFQ_20090427_Foxlink_Shadow RFQ NREUni BOM_12032009 2 4" xfId="33909"/>
    <cellStyle name="壞_Creek Assembly Fixture  Test Equipment RFQ_20090427_Foxlink_Shadow RFQ NREUni BOM_12032009 3" xfId="33910"/>
    <cellStyle name="壞_Creek Assembly Fixture  Test Equipment RFQ_20090427_Foxlink_Shadow RFQ NREUni BOM_12032009 3 2" xfId="33911"/>
    <cellStyle name="壞_Creek Assembly Fixture  Test Equipment RFQ_20090427_Foxlink_Shadow RFQ NREUni BOM_12032009 3 3" xfId="33912"/>
    <cellStyle name="壞_Creek Assembly Fixture  Test Equipment RFQ_20090427_Foxlink_Shadow RFQ NREUni BOM_12032009_Bolt RFQ Proposal_Foxlink_ (Pricing Summary) 2 25 2011" xfId="33913"/>
    <cellStyle name="壞_Creek Assembly Fixture  Test Equipment RFQ_20090427_Foxlink_Shadow RFQ NREUni BOM_12032009_Bolt RFQ Proposal_Foxlink_ (Pricing Summary) 2 25 2011 2" xfId="33914"/>
    <cellStyle name="壞_Creek Assembly Fixture  Test Equipment RFQ_20090427_Foxlink_Shadow RFQ NREUni BOM_12032009_Bolt RFQ Proposal_Foxlink_ (Pricing Summary) 2 25 2011 2 2" xfId="33915"/>
    <cellStyle name="壞_Creek Assembly Fixture  Test Equipment RFQ_20090427_Foxlink_Shadow RFQ NREUni BOM_12032009_Bolt RFQ Proposal_Foxlink_ (Pricing Summary) 2 25 2011 2 2 2" xfId="33916"/>
    <cellStyle name="壞_Creek Assembly Fixture  Test Equipment RFQ_20090427_Foxlink_Shadow RFQ NREUni BOM_12032009_Bolt RFQ Proposal_Foxlink_ (Pricing Summary) 2 25 2011 2 2 3" xfId="33917"/>
    <cellStyle name="壞_Creek Assembly Fixture  Test Equipment RFQ_20090427_Foxlink_Shadow RFQ NREUni BOM_12032009_Bolt RFQ Proposal_Foxlink_ (Pricing Summary) 2 25 2011 2 3" xfId="33918"/>
    <cellStyle name="壞_Creek Assembly Fixture  Test Equipment RFQ_20090427_Foxlink_Shadow RFQ NREUni BOM_12032009_Bolt RFQ Proposal_Foxlink_ (Pricing Summary) 2 25 2011 2 4" xfId="33919"/>
    <cellStyle name="壞_Creek Assembly Fixture  Test Equipment RFQ_20090427_Foxlink_Shadow RFQ NREUni BOM_12032009_Bolt RFQ Proposal_Foxlink_ (Pricing Summary) 2 25 2011 3" xfId="33920"/>
    <cellStyle name="壞_Creek Assembly Fixture  Test Equipment RFQ_20090427_Foxlink_Shadow RFQ NREUni BOM_12032009_Bolt RFQ Proposal_Foxlink_ (Pricing Summary) 2 25 2011 3 2" xfId="33921"/>
    <cellStyle name="壞_Creek Assembly Fixture  Test Equipment RFQ_20090427_Foxlink_Shadow RFQ NREUni BOM_12032009_Bolt RFQ Proposal_Foxlink_ (Pricing Summary) 2 25 2011 3 3" xfId="33922"/>
    <cellStyle name="壞_Creek Assembly Fixture  Test Equipment RFQ_20090427_Foxlink_Shadow RFQ NREUni BOM_12032009_Bolt RFQ Proposal_Foxlink_ (Pricing Summary) 2 25 2011 4" xfId="33923"/>
    <cellStyle name="壞_Creek Assembly Fixture  Test Equipment RFQ_20090427_Foxlink_Shadow RFQ NREUni BOM_12032009_Bolt RFQ Proposal_Foxlink_ (Pricing Summary) 2 25 2011 5 2" xfId="33924"/>
    <cellStyle name="壞_Creek Assembly Fixture  Test Equipment RFQ_20090427_Xl0000002_Leopard RFQ ME BOM Costs-0618-2 2 2 2" xfId="33925"/>
    <cellStyle name="壞_Creek Assembly Fixture  Test Equipment RFQ_20090427_Foxlink_Shadow RFQ NREUni BOM_12032009_Bolt RFQ Proposal_Foxlink_ (Pricing Summary) 2 25 2011 5 3" xfId="33926"/>
    <cellStyle name="壞_Creek Assembly Fixture  Test Equipment RFQ_20090427_Foxlink_Shadow RFQ NREUni BOM_12032009_Bolt RFQ Proposal_Foxlink_ (Pricing Summary) 2 25 2011 7" xfId="33927"/>
    <cellStyle name="壞_Creek Assembly Fixture  Test Equipment RFQ_20090427_Foxlink_Shadow RFQ NREUni BOM_12032009_Bolt RFQ_Foxlink_03.1 2011" xfId="33928"/>
    <cellStyle name="壞_Creek Assembly Fixture  Test Equipment RFQ_20090427_Foxlink_Shadow RFQ NREUni BOM_12032009_Bolt RFQ_Foxlink_03.1 2011 2" xfId="33929"/>
    <cellStyle name="壞_Creek Assembly Fixture  Test Equipment RFQ_20090427_Foxlink_Shadow RFQ NREUni BOM_12032009_Bolt RFQ_Foxlink_03.1 2011 2 2" xfId="33930"/>
    <cellStyle name="壞_Creek Assembly Fixture  Test Equipment RFQ_20090427_Foxlink_Shadow RFQ NREUni BOM_12032009_Bolt RFQ_Foxlink_03.1 2011 2 3" xfId="33931"/>
    <cellStyle name="壞_Creek Assembly Fixture  Test Equipment RFQ_20090427_Foxlink_Shadow RFQ NREUni BOM_12032009_Bolt RFQ_Foxlink_03.1 2011 3" xfId="33932"/>
    <cellStyle name="壞_Creek Assembly Fixture  Test Equipment RFQ_20090427_Foxlink_Shadow RFQ NREUni BOM_12032009_Bolt RFQ_Foxlink_03.1 2011 3 2" xfId="33933"/>
    <cellStyle name="壞_Creek Assembly Fixture  Test Equipment RFQ_20090427_Foxlink_Shadow RFQ NREUni BOM_12032009_Bolt RFQ_Foxlink_03.1 2011 3 3" xfId="33934"/>
    <cellStyle name="壞_Creek Assembly Fixture  Test Equipment RFQ_20090427_Foxlink_Shadow RFQ NREUni BOM_12032009_Bolt RFQ_Foxlink_03.1 2011 4" xfId="33935"/>
    <cellStyle name="壞_Creek Assembly Fixture  Test Equipment RFQ_20090427_Foxlink_Shadow RFQ NREUni BOM_12032009_Bolt RFQ_Foxlink_03.1 2011 5" xfId="33936"/>
    <cellStyle name="壞_Creek Assembly Fixture  Test Equipment RFQ_20090427_Foxlink_Shadow RFQ NREUni BOM_12032009_Bolt RFQ_Foxlink_03.1 2011_nego meeting@MACH" xfId="33937"/>
    <cellStyle name="壞_Creek Assembly Fixture  Test Equipment RFQ_20090427_Foxlink_Shadow RFQ NREUni BOM_12032009_Bolt RFQ_Foxlink_03.1 2011_nego meeting@MACH 2" xfId="33938"/>
    <cellStyle name="壞_Creek Assembly Fixture  Test Equipment RFQ_20090427_Foxlink_Shadow RFQ NREUni BOM_12032009_Bolt RFQ_Foxlink_03.1 2011_nego meeting@MACH 2 2" xfId="33939"/>
    <cellStyle name="壞_Creek Assembly Fixture  Test Equipment RFQ_20090427_Foxlink_Shadow RFQ NREUni BOM_12032009_Bolt RFQ_Foxlink_03.1 2011_nego meeting@MACH 2 3" xfId="33940"/>
    <cellStyle name="壞_Creek Assembly Fixture  Test Equipment RFQ_20090427_Foxlink_Shadow RFQ NREUni BOM_12032009_Bolt RFQ_Foxlink_03.1 2011_nego meeting@MACH 3" xfId="33941"/>
    <cellStyle name="壞_Creek Assembly Fixture  Test Equipment RFQ_20090427_Foxlink_Shadow RFQ NREUni BOM_12032009_Bolt RFQ_Foxlink_03.1 2011_nego meeting@MACH 3 2" xfId="33942"/>
    <cellStyle name="壞_Creek Assembly Fixture  Test Equipment RFQ_20090427_Foxlink_Shadow RFQ NREUni BOM_12032009_Bolt RFQ_Foxlink_03.1 2011_nego meeting@MACH 3 3" xfId="33943"/>
    <cellStyle name="壞_Creek Assembly Fixture  Test Equipment RFQ_20090427_Foxlink_Shadow RFQ NREUni BOM_12032009_Bolt RFQ_Foxlink_03.1 2011_nego meeting@MACH 4" xfId="33944"/>
    <cellStyle name="壞_Creek Assembly Fixture  Test Equipment RFQ_20090427_Foxlink_Shadow RFQ NREUni BOM_12032009_Bolt RFQ_Foxlink_03.1 2011_nego meeting@MACH 5" xfId="33945"/>
    <cellStyle name="壞_Creek Assembly Fixture  Test Equipment RFQ_20090427_Jackson and Shadow BOM cost_mainfile_2010 0324 rev.1" xfId="33946"/>
    <cellStyle name="壞_Creek Assembly Fixture  Test Equipment RFQ_20090427_Jackson and Shadow BOM cost_mainfile_2010 0324 rev.1_Bristol UniBom_Foxlink_02082011 RevA" xfId="33947"/>
    <cellStyle name="壞_Creek Assembly Fixture  Test Equipment RFQ_20090427_Jackson EE BOM " xfId="33948"/>
    <cellStyle name="壞_Creek Assembly Fixture  Test Equipment RFQ_20090427_Jackson NRE Uni BOM_update _05072010 rev K" xfId="33949"/>
    <cellStyle name="壞_Creek Assembly Fixture  Test Equipment RFQ_20090427_Lemur RFQ ME BOM Costs-0623" xfId="33950"/>
    <cellStyle name="壞_Creek Assembly Fixture  Test Equipment RFQ_20090427_Leopard Lemur Squirrel UniBom-06.22.2010_EE cost _update_internal" xfId="33951"/>
    <cellStyle name="壞_Creek Assembly Fixture  Test Equipment RFQ_20090427_Leopard Lemur Squirrel UniBom-06.22.2010_EE cost _update_internal 2" xfId="33952"/>
    <cellStyle name="壞_Creek Assembly Fixture  Test Equipment RFQ_20090427_Leopard Lemur Squirrel UniBom-06.22.2010_EE cost _update_internal 2 2" xfId="33953"/>
    <cellStyle name="壞_Creek Assembly Fixture  Test Equipment RFQ_20090427_Leopard Lemur Squirrel UniBom-06.22.2010_EE cost _update_internal 2 2 3" xfId="33954"/>
    <cellStyle name="壞_Creek Assembly Fixture  Test Equipment RFQ_20090427_Leopard Lemur Squirrel UniBom-06.22.2010_EE cost _update_internal 2 3" xfId="33955"/>
    <cellStyle name="壞_Creek Assembly Fixture  Test Equipment RFQ_20090427_Leopard Lemur Squirrel UniBom-06.22.2010_EE cost _update_internal 2 4" xfId="33956"/>
    <cellStyle name="壞_Creek Assembly Fixture  Test Equipment RFQ_20090427_Leopard Lemur Squirrel UniBom-06.22.2010_EE cost _update_internal 3" xfId="33957"/>
    <cellStyle name="壞_Creek Assembly Fixture  Test Equipment RFQ_20090427_Leopard Lemur Squirrel UniBom-06.22.2010_EE cost _update_internal 3 2" xfId="33958"/>
    <cellStyle name="壞_Creek Assembly Fixture  Test Equipment RFQ_20090427_Leopard Lemur Squirrel UniBom-06.22.2010_EE cost _update_internal 3 3" xfId="33959"/>
    <cellStyle name="壞_Creek Assembly Fixture  Test Equipment RFQ_20090427_Leopard Lemur Squirrel UniBom-06.22.2010_EE cost _update_internal_Bolt RFQ Proposal_Foxlink_ (Pricing Summary) 2 25 2011" xfId="33960"/>
    <cellStyle name="壞_Creek Assembly Fixture  Test Equipment RFQ_20090427_Leopard Lemur Squirrel UniBom-06.22.2010_EE cost _update_internal_Bolt RFQ Proposal_Foxlink_ (Pricing Summary) 2 25 2011 2" xfId="33961"/>
    <cellStyle name="壞_Creek Assembly Fixture  Test Equipment RFQ_20090427_Leopard Lemur Squirrel UniBom-06.22.2010_EE cost _update_internal_Bolt RFQ Proposal_Foxlink_ (Pricing Summary) 2 25 2011 2 2" xfId="33962"/>
    <cellStyle name="壞_Creek Assembly Fixture  Test Equipment RFQ_20090427_Leopard Lemur Squirrel UniBom-06.22.2010_EE cost _update_internal_Bolt RFQ Proposal_Foxlink_ (Pricing Summary) 2 25 2011 2 2 2" xfId="33963"/>
    <cellStyle name="壞_Creek Assembly Fixture  Test Equipment RFQ_20090427_Leopard Lemur Squirrel UniBom-06.22.2010_EE cost _update_internal_Bolt RFQ Proposal_Foxlink_ (Pricing Summary) 2 25 2011 2 2 3" xfId="33964"/>
    <cellStyle name="壞_Creek Assembly Fixture  Test Equipment RFQ_20090427_Leopard Lemur Squirrel UniBom-06.22.2010_EE cost _update_internal_Bolt RFQ Proposal_Foxlink_ (Pricing Summary) 2 25 2011 2 3" xfId="33965"/>
    <cellStyle name="壞_Creek Assembly Fixture  Test Equipment RFQ_20090427_Leopard Lemur Squirrel UniBom-06.22.2010_EE cost _update_internal_Bolt RFQ Proposal_Foxlink_ (Pricing Summary) 2 25 2011 2 4" xfId="33966"/>
    <cellStyle name="壞_Creek Assembly Fixture  Test Equipment RFQ_20090427_Leopard Lemur Squirrel UniBom-06.22.2010_EE cost _update_internal_Bolt RFQ Proposal_Foxlink_ (Pricing Summary) 2 25 2011 3" xfId="33967"/>
    <cellStyle name="壞_Creek Assembly Fixture  Test Equipment RFQ_20090427_Leopard Lemur Squirrel UniBom-06.22.2010_EE cost _update_internal_Bolt RFQ Proposal_Foxlink_ (Pricing Summary) 2 25 2011 3 2" xfId="33968"/>
    <cellStyle name="壞_Creek Assembly Fixture  Test Equipment RFQ_20090427_Leopard Lemur Squirrel UniBom-06.22.2010_EE cost _update_internal_Bolt RFQ Proposal_Foxlink_ (Pricing Summary) 2 25 2011 3 3" xfId="33969"/>
    <cellStyle name="壞_Creek Assembly Fixture  Test Equipment RFQ_20090427_Leopard Lemur Squirrel UniBom-06.22.2010_EE cost _update_internal_Bolt RFQ Proposal_Foxlink_ (Pricing Summary) 2 25 2011 4" xfId="33970"/>
    <cellStyle name="壞_Creek Assembly Fixture  Test Equipment RFQ_20090427_Leopard Lemur Squirrel UniBom-06.22.2010_EE cost _update_internal_Bolt RFQ Proposal_Foxlink_ (Pricing Summary) 2 25 2011 4 2" xfId="33971"/>
    <cellStyle name="壞_Creek Assembly Fixture  Test Equipment RFQ_20090427_Leopard Lemur Squirrel UniBom-06.22.2010_EE cost _update_internal_Bolt RFQ Proposal_Foxlink_ (Pricing Summary) 2 25 2011 4 3" xfId="33972"/>
    <cellStyle name="壞_Creek Assembly Fixture  Test Equipment RFQ_20090427_Leopard Lemur Squirrel UniBom-06.22.2010_EE cost _update_internal_Bolt RFQ Proposal_Foxlink_ (Pricing Summary) 2 25 2011 5" xfId="33973"/>
    <cellStyle name="壞_Creek Assembly Fixture  Test Equipment RFQ_20090427_Leopard Lemur Squirrel UniBom-06.22.2010_EE cost _update_internal_Bolt RFQ Proposal_Foxlink_ (Pricing Summary) 2 25 2011 5 2" xfId="33974"/>
    <cellStyle name="壞_Creek Assembly Fixture  Test Equipment RFQ_20090427_Leopard Lemur Squirrel UniBom-06.22.2010_EE cost _update_internal_Bolt RFQ Proposal_Foxlink_ (Pricing Summary) 2 25 2011 5 3" xfId="33975"/>
    <cellStyle name="壞_Creek Assembly Fixture  Test Equipment RFQ_20090427_Leopard Lemur Squirrel UniBom-06.22.2010_EE cost _update_internal_Bolt RFQ Proposal_Foxlink_ (Pricing Summary) 2 25 2011 6" xfId="33976"/>
    <cellStyle name="壞_Creek Assembly Fixture  Test Equipment RFQ_20090427_Leopard Lemur Squirrel UniBom-06.22.2010_EE cost _update_internal_Bolt RFQ Proposal_Foxlink_ (Pricing Summary) 2 25 2011 7" xfId="33977"/>
    <cellStyle name="壞_Creek Assembly Fixture  Test Equipment RFQ_20090427_Leopard Lemur Squirrel UniBom-06.22.2010_EE cost _update_internal_Bolt RFQ_Foxlink_03.1 2011" xfId="33978"/>
    <cellStyle name="壞_Creek Assembly Fixture  Test Equipment RFQ_20090427_Leopard Lemur Squirrel UniBom-06.22.2010_EE cost _update_internal_Bolt RFQ_Foxlink_03.1 2011 2" xfId="33979"/>
    <cellStyle name="壞_Creek Assembly Fixture  Test Equipment RFQ_20090427_Leopard Lemur Squirrel UniBom-06.22.2010_EE cost _update_internal_Bolt RFQ_Foxlink_03.1 2011 2 2" xfId="33980"/>
    <cellStyle name="壞_Creek Assembly Fixture  Test Equipment RFQ_20090427_Leopard Lemur Squirrel UniBom-06.22.2010_EE cost _update_internal_Bolt RFQ_Foxlink_03.1 2011 2 3" xfId="33981"/>
    <cellStyle name="壞_Creek Assembly Fixture  Test Equipment RFQ_20090427_Leopard Lemur Squirrel UniBom-06.22.2010_EE cost _update_internal_Bolt RFQ_Foxlink_03.1 2011 3" xfId="33982"/>
    <cellStyle name="壞_Creek Assembly Fixture  Test Equipment RFQ_20090427_Leopard Lemur Squirrel UniBom-06.22.2010_EE cost _update_internal_Bolt RFQ_Foxlink_03.1 2011 3 2" xfId="33983"/>
    <cellStyle name="壞_Creek Assembly Fixture  Test Equipment RFQ_20090427_Leopard Lemur Squirrel UniBom-06.22.2010_EE cost _update_internal_Bolt RFQ_Foxlink_03.1 2011 3 3" xfId="33984"/>
    <cellStyle name="壞_Creek Assembly Fixture  Test Equipment RFQ_20090427_Leopard Lemur Squirrel UniBom-06.22.2010_EE cost _update_internal_Bolt RFQ_Foxlink_03.1 2011 4" xfId="33985"/>
    <cellStyle name="壞_Creek Assembly Fixture  Test Equipment RFQ_20090427_Leopard Lemur Squirrel UniBom-06.22.2010_EE cost _update_internal_Bolt RFQ_Foxlink_03.1 2011 5" xfId="33986"/>
    <cellStyle name="壞_Creek Assembly Fixture  Test Equipment RFQ_20090427_Leopard Lemur Squirrel UniBom-06.22.2010_EE cost _update_internal_Bolt RFQ_Foxlink_03.1 2011_nego meeting@MACH" xfId="33987"/>
    <cellStyle name="壞_Creek Assembly Fixture  Test Equipment RFQ_20090427_Leopard Lemur Squirrel UniBom-06.22.2010_EE cost _update_internal_Bolt RFQ_Foxlink_03.1 2011_nego meeting@MACH 2" xfId="33988"/>
    <cellStyle name="壞_Creek Assembly Fixture  Test Equipment RFQ_20090427_Leopard Lemur Squirrel UniBom-06.22.2010_EE cost _update_internal_Bolt RFQ_Foxlink_03.1 2011_nego meeting@MACH 2 2" xfId="33989"/>
    <cellStyle name="壞_Creek Assembly Fixture  Test Equipment RFQ_20090427_Leopard Lemur Squirrel UniBom-06.22.2010_EE cost _update_internal_Bolt RFQ_Foxlink_03.1 2011_nego meeting@MACH 3" xfId="33990"/>
    <cellStyle name="壞_Creek Assembly Fixture  Test Equipment RFQ_20090427_Leopard Lemur Squirrel UniBom-06.22.2010_EE cost _update_internal_Bolt RFQ_Foxlink_03.1 2011_nego meeting@MACH 3 2" xfId="33991"/>
    <cellStyle name="壞_Creek Assembly Fixture  Test Equipment RFQ_20090427_Leopard Lemur Squirrel UniBom-06.22.2010_EE cost _update_internal_Bolt RFQ_Foxlink_03.1 2011_nego meeting@MACH 5" xfId="33992"/>
    <cellStyle name="壞_Creek Assembly Fixture  Test Equipment RFQ_20090427_Leopard RFQ ME BOM Costs-0623" xfId="33993"/>
    <cellStyle name="壞_Creek Assembly Fixture  Test Equipment RFQ_20090427_Leopard RFQ ME BOM Costs-0618" xfId="33994"/>
    <cellStyle name="壞_Creek Assembly Fixture  Test Equipment RFQ_20090427_Leopard RFQ ME BOM Costs-0618 2" xfId="33995"/>
    <cellStyle name="壞_Creek Assembly Fixture  Test Equipment RFQ_20090427_Leopard RFQ ME BOM Costs-0618 2 2" xfId="33996"/>
    <cellStyle name="壞_Creek Assembly Fixture  Test Equipment RFQ_20090427_Leopard RFQ ME BOM Costs-0618 2 2 2" xfId="33997"/>
    <cellStyle name="壞_Creek Assembly Fixture  Test Equipment RFQ_20090427_Leopard RFQ ME BOM Costs-0618 2 2 3" xfId="33998"/>
    <cellStyle name="壞_Creek Assembly Fixture  Test Equipment RFQ_20090427_Leopard RFQ ME BOM Costs-0618 2 3" xfId="33999"/>
    <cellStyle name="壞_Creek Assembly Fixture  Test Equipment RFQ_20090427_Leopard RFQ ME BOM Costs-0618 2 4" xfId="34000"/>
    <cellStyle name="壞_Creek Assembly Fixture  Test Equipment RFQ_20090427_Leopard RFQ ME BOM Costs-0618 3" xfId="34001"/>
    <cellStyle name="壞_Creek Assembly Fixture  Test Equipment RFQ_20090427_Leopard RFQ ME BOM Costs-0618 3 2" xfId="34002"/>
    <cellStyle name="壞_Creek EE BOM cost_20090425_Creek RFQ feedback 04_28_2009_FD Update_Leopard_UniBOM_ME_0531_Bolt RFQ Proposal_Foxlink_ (Pricing Summary) 2 25 2011 2" xfId="34003"/>
    <cellStyle name="壞_Creek Assembly Fixture  Test Equipment RFQ_20090427_Leopard RFQ ME BOM Costs-0618 3 3" xfId="34004"/>
    <cellStyle name="壞_Creek Assembly Fixture  Test Equipment RFQ_20090427_Leopard RFQ ME BOM Costs-0618_Bolt RFQ Proposal_Foxlink_ (Pricing Summary) 2 25 2011" xfId="34005"/>
    <cellStyle name="壞_Creek Assembly Fixture  Test Equipment RFQ_20090427_Leopard RFQ ME BOM Costs-0618_Bolt RFQ Proposal_Foxlink_ (Pricing Summary) 2 25 2011 2" xfId="34006"/>
    <cellStyle name="壞_Creek Assembly Fixture  Test Equipment RFQ_20090427_Leopard RFQ ME BOM Costs-0618_Bolt RFQ Proposal_Foxlink_ (Pricing Summary) 2 25 2011 2 2" xfId="34007"/>
    <cellStyle name="壞_Creek Assembly Fixture  Test Equipment RFQ_20090427_Leopard RFQ ME BOM Costs-0618_Bolt RFQ Proposal_Foxlink_ (Pricing Summary) 2 25 2011 2 2 2" xfId="34008"/>
    <cellStyle name="壞_Creek Assembly Fixture  Test Equipment RFQ_20090427_Leopard RFQ ME BOM Costs-0618_Bolt RFQ Proposal_Foxlink_ (Pricing Summary) 2 25 2011 2 2 3" xfId="34009"/>
    <cellStyle name="壞_Creek Assembly Fixture  Test Equipment RFQ_20090427_Leopard RFQ ME BOM Costs-0618_Bolt RFQ Proposal_Foxlink_ (Pricing Summary) 2 25 2011 2 3" xfId="34010"/>
    <cellStyle name="壞_Creek Assembly Fixture  Test Equipment RFQ_20090427_Leopard RFQ ME BOM Costs-0618_Bolt RFQ Proposal_Foxlink_ (Pricing Summary) 2 25 2011 2 4" xfId="34011"/>
    <cellStyle name="壞_Creek Assembly Fixture  Test Equipment RFQ_20090427_Leopard RFQ ME BOM Costs-0618_Bolt RFQ Proposal_Foxlink_ (Pricing Summary) 2 25 2011 3" xfId="34012"/>
    <cellStyle name="壞_Creek Assembly Fixture  Test Equipment RFQ_20090427_Leopard RFQ ME BOM Costs-0618_Bolt RFQ Proposal_Foxlink_ (Pricing Summary) 2 25 2011 3 2" xfId="34013"/>
    <cellStyle name="壞_Creek Assembly Fixture  Test Equipment RFQ_20090427_Leopard RFQ ME BOM Costs-0618_Bolt RFQ Proposal_Foxlink_ (Pricing Summary) 2 25 2011 3 3" xfId="34014"/>
    <cellStyle name="壞_Creek Assembly Fixture  Test Equipment RFQ_20090427_Leopard RFQ ME BOM Costs-0618_Bolt RFQ Proposal_Foxlink_ (Pricing Summary) 2 25 2011 4" xfId="34015"/>
    <cellStyle name="壞_Creek Assembly Fixture  Test Equipment RFQ_20090427_Leopard RFQ ME BOM Costs-0618_Bolt RFQ Proposal_Foxlink_ (Pricing Summary) 2 25 2011 4 2" xfId="34016"/>
    <cellStyle name="壞_Creek Assembly Fixture  Test Equipment RFQ_20090427_Leopard RFQ ME BOM Costs-0618_Bolt RFQ Proposal_Foxlink_ (Pricing Summary) 2 25 2011 4 3" xfId="34017"/>
    <cellStyle name="壞_Creek Assembly Fixture  Test Equipment RFQ_20090427_Leopard RFQ ME BOM Costs-0618_Bolt RFQ Proposal_Foxlink_ (Pricing Summary) 2 25 2011 5" xfId="34018"/>
    <cellStyle name="壞_Creek Assembly Fixture  Test Equipment RFQ_20090427_Leopard RFQ ME BOM Costs-0618_Bolt RFQ Proposal_Foxlink_ (Pricing Summary) 2 25 2011 5 2" xfId="34019"/>
    <cellStyle name="壞_Creek Assembly Fixture  Test Equipment RFQ_20090427_Leopard RFQ ME BOM Costs-0618_Bolt RFQ Proposal_Foxlink_ (Pricing Summary) 2 25 2011 5 3" xfId="34020"/>
    <cellStyle name="壞_Creek Assembly Fixture  Test Equipment RFQ_20090427_Leopard RFQ ME BOM Costs-0618_Bolt RFQ Proposal_Foxlink_ (Pricing Summary) 2 25 2011 6" xfId="34021"/>
    <cellStyle name="壞_Creek Assembly Fixture  Test Equipment RFQ_20090427_Leopard RFQ ME BOM Costs-0618_Bolt RFQ Proposal_Foxlink_ (Pricing Summary) 2 25 2011 7" xfId="34022"/>
    <cellStyle name="壞_Creek Assembly Fixture  Test Equipment RFQ_20090427_Leopard RFQ ME BOM Costs-0618_Bolt RFQ_Foxlink_03.1 2011" xfId="34023"/>
    <cellStyle name="壞_Creek Assembly Fixture  Test Equipment RFQ_20090427_Leopard RFQ ME BOM Costs-0618_Bolt RFQ_Foxlink_03.1 2011 2" xfId="34024"/>
    <cellStyle name="壞_Creek Assembly Fixture  Test Equipment RFQ_20090427_Leopard RFQ ME BOM Costs-0618_Bolt RFQ_Foxlink_03.1 2011 2 2" xfId="34025"/>
    <cellStyle name="壞_Creek Assembly Fixture  Test Equipment RFQ_20090427_Leopard RFQ ME BOM Costs-0618_Bolt RFQ_Foxlink_03.1 2011 2 3" xfId="34026"/>
    <cellStyle name="壞_Creek Assembly Fixture  Test Equipment RFQ_20090427_Leopard RFQ ME BOM Costs-0618_Bolt RFQ_Foxlink_03.1 2011 3" xfId="34027"/>
    <cellStyle name="壞_Creek Assembly Fixture  Test Equipment RFQ_20090427_Leopard RFQ ME BOM Costs-0618_Bolt RFQ_Foxlink_03.1 2011 3 2" xfId="34028"/>
    <cellStyle name="壞_Creek Assembly Fixture  Test Equipment RFQ_20090427_Leopard RFQ ME BOM Costs-0618_Bolt RFQ_Foxlink_03.1 2011 3 3" xfId="34029"/>
    <cellStyle name="壞_Creek Assembly Fixture  Test Equipment RFQ_20090427_Leopard RFQ ME BOM Costs-0618_Bolt RFQ_Foxlink_03.1 2011 4" xfId="34030"/>
    <cellStyle name="壞_Creek Assembly Fixture  Test Equipment RFQ_20090427_Leopard RFQ ME BOM Costs-0618_Bolt RFQ_Foxlink_03.1 2011 5" xfId="34031"/>
    <cellStyle name="壞_Creek Assembly Fixture  Test Equipment RFQ_20090427_Leopard RFQ ME BOM Costs-0618_Bolt RFQ_Foxlink_03.1 2011_nego meeting@MACH" xfId="34032"/>
    <cellStyle name="壞_Creek Assembly Fixture  Test Equipment RFQ_20090427_Leopard RFQ ME BOM Costs-0618_Bolt RFQ_Foxlink_03.1 2011_nego meeting@MACH 2" xfId="34033"/>
    <cellStyle name="壞_Creek Assembly Fixture  Test Equipment RFQ_20090427_Leopard RFQ ME BOM Costs-0618_Bolt RFQ_Foxlink_03.1 2011_nego meeting@MACH 2 2" xfId="34034"/>
    <cellStyle name="壞_Creek Assembly Fixture  Test Equipment RFQ_20090427_Leopard RFQ ME BOM Costs-0618_Bolt RFQ_Foxlink_03.1 2011_nego meeting@MACH 2 3" xfId="34035"/>
    <cellStyle name="壞_Creek Assembly Fixture  Test Equipment RFQ_20090427_Leopard RFQ ME BOM Costs-0618_Bolt RFQ_Foxlink_03.1 2011_nego meeting@MACH 3" xfId="34036"/>
    <cellStyle name="壞_Creek Assembly Fixture  Test Equipment RFQ_20090427_Leopard RFQ ME BOM Costs-0618_Bolt RFQ_Foxlink_03.1 2011_nego meeting@MACH 3 2" xfId="34037"/>
    <cellStyle name="壞_Creek Assembly Fixture  Test Equipment RFQ_20090427_Leopard RFQ ME BOM Costs-0618_Bolt RFQ_Foxlink_03.1 2011_nego meeting@MACH 3 3" xfId="34038"/>
    <cellStyle name="壞_Creek Assembly Fixture  Test Equipment RFQ_20090427_Leopard RFQ ME BOM Costs-0618-2" xfId="34039"/>
    <cellStyle name="壞_Creek Assembly Fixture  Test Equipment RFQ_20090427_Leopard RFQ ME BOM Costs-0618-2 2" xfId="34040"/>
    <cellStyle name="壞_Creek Assembly Fixture  Test Equipment RFQ_20090427_Leopard RFQ ME BOM Costs-0618-2 2 2" xfId="34041"/>
    <cellStyle name="壞_Creek Assembly Fixture  Test Equipment RFQ_20090427_Leopard RFQ ME BOM Costs-0618-2 2 2 2" xfId="34042"/>
    <cellStyle name="壞_Creek Assembly Fixture  Test Equipment RFQ_20090427_Leopard RFQ ME BOM Costs-0618-2 2 2 3" xfId="34043"/>
    <cellStyle name="壞_Creek Assembly Fixture  Test Equipment RFQ_20090427_Leopard RFQ ME BOM Costs-0618-2 2 3" xfId="34044"/>
    <cellStyle name="壞_Creek Assembly Fixture  Test Equipment RFQ_20090427_Leopard RFQ ME BOM Costs-0618-2 2 4" xfId="34045"/>
    <cellStyle name="壞_Creek Assembly Fixture  Test Equipment RFQ_20090427_Leopard RFQ ME BOM Costs-0618-2 3" xfId="34046"/>
    <cellStyle name="壞_Creek Assembly Fixture  Test Equipment RFQ_20090427_Leopard RFQ ME BOM Costs-0618-2 3 2" xfId="34047"/>
    <cellStyle name="壞_Creek Assembly Fixture  Test Equipment RFQ_20090427_Leopard RFQ ME BOM Costs-0618-2 3 3" xfId="34048"/>
    <cellStyle name="壞_Creek Assembly Fixture  Test Equipment RFQ_20090427_Leopard RFQ ME BOM Costs-0618-2_Bolt RFQ Proposal_Foxlink_ (Pricing Summary) 2 25 2011" xfId="34049"/>
    <cellStyle name="壞_Creek Assembly Fixture  Test Equipment RFQ_20090427_Leopard RFQ ME BOM Costs-0618-2_Bolt RFQ Proposal_Foxlink_ (Pricing Summary) 2 25 2011 2" xfId="34050"/>
    <cellStyle name="壞_Creek Assembly Fixture  Test Equipment RFQ_20090427_Leopard RFQ ME BOM Costs-0618-2_Bolt RFQ Proposal_Foxlink_ (Pricing Summary) 2 25 2011 2 2" xfId="34051"/>
    <cellStyle name="壞_Creek Assembly Fixture  Test Equipment RFQ_20090427_Leopard RFQ ME BOM Costs-0618-2_Bolt RFQ Proposal_Foxlink_ (Pricing Summary) 2 25 2011 2 2 2" xfId="34052"/>
    <cellStyle name="壞_Creek Assembly Fixture  Test Equipment RFQ_20090427_Leopard RFQ ME BOM Costs-0618-2_Bolt RFQ Proposal_Foxlink_ (Pricing Summary) 2 25 2011 2 2 3" xfId="34053"/>
    <cellStyle name="壞_Creek Assembly Fixture  Test Equipment RFQ_20090427_Leopard RFQ ME BOM Costs-0618-2_Bolt RFQ Proposal_Foxlink_ (Pricing Summary) 2 25 2011 2 4" xfId="34054"/>
    <cellStyle name="壞_Creek Assembly Fixture  Test Equipment RFQ_20090427_Leopard RFQ ME BOM Costs-0618-2_Bolt RFQ Proposal_Foxlink_ (Pricing Summary) 2 25 2011 3" xfId="34055"/>
    <cellStyle name="壞_Creek Assembly Fixture  Test Equipment RFQ_20090427_Leopard RFQ ME BOM Costs-0618-2_Bolt RFQ Proposal_Foxlink_ (Pricing Summary) 2 25 2011 3 2" xfId="34056"/>
    <cellStyle name="壞_Creek Assembly Fixture  Test Equipment RFQ_20090427_Leopard RFQ ME BOM Costs-0618-2_Bolt RFQ Proposal_Foxlink_ (Pricing Summary) 2 25 2011 3 3" xfId="34057"/>
    <cellStyle name="壞_Creek Assembly Fixture  Test Equipment RFQ_20090427_Leopard RFQ ME BOM Costs-0618-2_Bolt RFQ Proposal_Foxlink_ (Pricing Summary) 2 25 2011 5" xfId="34058"/>
    <cellStyle name="壞_Creek Assembly Fixture  Test Equipment RFQ_20090427_Leopard RFQ ME BOM Costs-0618-2_Bolt RFQ Proposal_Foxlink_ (Pricing Summary) 2 25 2011 5 2" xfId="34059"/>
    <cellStyle name="壞_Creek Assembly Fixture  Test Equipment RFQ_20090427_Leopard RFQ ME BOM Costs-0618-2_Bolt RFQ Proposal_Foxlink_ (Pricing Summary) 2 25 2011 5 3" xfId="34060"/>
    <cellStyle name="壞_Creek Assembly Fixture  Test Equipment RFQ_20090427_Leopard RFQ ME BOM Costs-0618-2_Bolt RFQ Proposal_Foxlink_ (Pricing Summary) 2 25 2011 6" xfId="34061"/>
    <cellStyle name="壞_Creek Assembly Fixture  Test Equipment RFQ_20090427_Leopard RFQ ME BOM Costs-0618-2_Bolt RFQ Proposal_Foxlink_ (Pricing Summary) 2 25 2011 7" xfId="34062"/>
    <cellStyle name="壞_Creek Assembly Fixture  Test Equipment RFQ_20090427_Leopard RFQ ME BOM Costs-0618-2_Bolt RFQ_Foxlink_03.1 2011" xfId="34063"/>
    <cellStyle name="壞_Creek Assembly Fixture  Test Equipment RFQ_20090427_Leopard RFQ ME BOM Costs-0618-2_Bolt RFQ_Foxlink_03.1 2011 2" xfId="34064"/>
    <cellStyle name="壞_Creek Assembly Fixture  Test Equipment RFQ_20090427_Leopard RFQ ME BOM Costs-0618-2_Bolt RFQ_Foxlink_03.1 2011 2 2" xfId="34065"/>
    <cellStyle name="壞_Creek Assembly Fixture  Test Equipment RFQ_20090427_Leopard RFQ ME BOM Costs-0618-2_Bolt RFQ_Foxlink_03.1 2011 2 3" xfId="34066"/>
    <cellStyle name="壞_Creek Assembly Fixture  Test Equipment RFQ_20090427_Leopard RFQ ME BOM Costs-0618-2_Bolt RFQ_Foxlink_03.1 2011 3 3" xfId="34067"/>
    <cellStyle name="壞_Creek Assembly Fixture  Test Equipment RFQ_20090427_Leopard RFQ ME BOM Costs-0618-2_Bolt RFQ_Foxlink_03.1 2011 4" xfId="34068"/>
    <cellStyle name="壞_Creek Assembly Fixture  Test Equipment RFQ_20090427_Leopard RFQ ME BOM Costs-0618-2_Bolt RFQ_Foxlink_03.1 2011 5" xfId="34069"/>
    <cellStyle name="壞_Creek Assembly Fixture  Test Equipment RFQ_20090427_Leopard RFQ ME BOM Costs-0618-2_Bolt RFQ_Foxlink_03.1 2011_nego meeting@MACH 2" xfId="34070"/>
    <cellStyle name="壞_Creek Assembly Fixture  Test Equipment RFQ_20090427_Leopard RFQ ME BOM Costs-0618-2_Bolt RFQ_Foxlink_03.1 2011_nego meeting@MACH 2 2" xfId="34071"/>
    <cellStyle name="壞_Creek Assembly Fixture  Test Equipment RFQ_20090427_Leopard RFQ ME BOM Costs-0618-2_Bolt RFQ_Foxlink_03.1 2011_nego meeting@MACH 2 3" xfId="34072"/>
    <cellStyle name="壞_Creek Assembly Fixture  Test Equipment RFQ_20090427_Leopard RFQ ME BOM Costs-0618-2_Bolt RFQ_Foxlink_03.1 2011_nego meeting@MACH 3" xfId="34073"/>
    <cellStyle name="壞_Creek Assembly Fixture  Test Equipment RFQ_20090427_Leopard RFQ ME BOM Costs-0618-2_Bolt RFQ_Foxlink_03.1 2011_nego meeting@MACH 3 3" xfId="34074"/>
    <cellStyle name="壞_Creek Assembly Fixture  Test Equipment RFQ_20090427_Leopard RFQ ME BOM Costs-0618-2_Bolt RFQ_Foxlink_03.1 2011_nego meeting@MACH 4" xfId="34075"/>
    <cellStyle name="壞_Creek Assembly Fixture  Test Equipment RFQ_20090427_Leopard RFQ ME BOM Costs-0618-2_Bolt RFQ_Foxlink_03.1 2011_nego meeting@MACH 5" xfId="34076"/>
    <cellStyle name="壞_Creek Assembly Fixture  Test Equipment RFQ_20090427_Leopard UniBom_Foxlink_12092010 RevD-jen" xfId="34077"/>
    <cellStyle name="壞_Creek Assembly Fixture  Test Equipment RFQ_20090427_Leopard UniBom_Foxlink_12272010 RevF_shirley" xfId="34078"/>
    <cellStyle name="壞_Creek Assembly Fixture  Test Equipment RFQ_20090427_Leopard UniBom_Foxlink_6 21 2010-ME_nego" xfId="34079"/>
    <cellStyle name="壞_Creek Assembly Fixture  Test Equipment RFQ_20090427_Leopard UniBom_Foxlink_6 21 2010-ME_nego 2" xfId="34080"/>
    <cellStyle name="壞_Creek Assembly Fixture  Test Equipment RFQ_20090427_Leopard UniBom_Foxlink_6 21 2010-ME_nego 2 2" xfId="34081"/>
    <cellStyle name="壞_Creek Assembly Fixture  Test Equipment RFQ_20090427_Leopard UniBom_Foxlink_6 21 2010-ME_nego 2 2 2" xfId="34082"/>
    <cellStyle name="壞_Creek Assembly Fixture  Test Equipment RFQ_20090427_Leopard UniBom_Foxlink_6 21 2010-ME_nego 2 2 3" xfId="34083"/>
    <cellStyle name="壞_Creek Assembly Fixture  Test Equipment RFQ_20090427_Leopard UniBom_Foxlink_6 21 2010-ME_nego 2 3" xfId="34084"/>
    <cellStyle name="壞_Creek Assembly Fixture  Test Equipment RFQ_20090427_Leopard UniBom_Foxlink_6 21 2010-ME_nego 2 4" xfId="34085"/>
    <cellStyle name="壞_Creek Assembly Fixture  Test Equipment RFQ_20090427_Leopard UniBom_Foxlink_6 21 2010-ME_nego 3" xfId="34086"/>
    <cellStyle name="壞_Creek Assembly Fixture  Test Equipment RFQ_20090427_Leopard UniBom_Foxlink_6 21 2010-ME_nego 3 2" xfId="34087"/>
    <cellStyle name="壞_Creek Assembly Fixture  Test Equipment RFQ_20090427_Leopard UniBom_Foxlink_6 21 2010-ME_nego 3 3" xfId="34088"/>
    <cellStyle name="壞_Creek Assembly Fixture  Test Equipment RFQ_20090427_Leopard UniBom_Foxlink_6 21 2010-ME_nego_Bolt RFQ Proposal_Foxlink_ (Pricing Summary) 2 25 2011" xfId="34089"/>
    <cellStyle name="壞_Creek Assembly Fixture  Test Equipment RFQ_20090427_Leopard UniBom_Foxlink_6 21 2010-ME_nego_Bolt RFQ Proposal_Foxlink_ (Pricing Summary) 2 25 2011 2" xfId="34090"/>
    <cellStyle name="壞_Creek Assembly Fixture  Test Equipment RFQ_20090427_Leopard UniBom_Foxlink_6 21 2010-ME_nego_Bolt RFQ Proposal_Foxlink_ (Pricing Summary) 2 25 2011 2 2 2" xfId="34091"/>
    <cellStyle name="壞_Creek Assembly Fixture  Test Equipment RFQ_20090427_Leopard UniBom_Foxlink_6 21 2010-ME_nego_Bolt RFQ Proposal_Foxlink_ (Pricing Summary) 2 25 2011 2 2 3" xfId="34092"/>
    <cellStyle name="壞_Creek Assembly Fixture  Test Equipment RFQ_20090427_Leopard UniBom_Foxlink_6 21 2010-ME_nego_Bolt RFQ Proposal_Foxlink_ (Pricing Summary) 2 25 2011 2 4" xfId="34093"/>
    <cellStyle name="壞_Creek Assembly Fixture  Test Equipment RFQ_20090427_Leopard UniBom_Foxlink_6 21 2010-ME_nego_Bolt RFQ Proposal_Foxlink_ (Pricing Summary) 2 25 2011 3" xfId="34094"/>
    <cellStyle name="壞_Creek Assembly Fixture  Test Equipment RFQ_20090427_Leopard UniBom_Foxlink_6 21 2010-ME_nego_Bolt RFQ Proposal_Foxlink_ (Pricing Summary) 2 25 2011 3 2" xfId="34095"/>
    <cellStyle name="壞_Creek Assembly Fixture  Test Equipment RFQ_20090427_Leopard UniBom_Foxlink_6 21 2010-ME_nego_Bolt RFQ Proposal_Foxlink_ (Pricing Summary) 2 25 2011 3 3" xfId="34096"/>
    <cellStyle name="壞_Creek Assembly Fixture  Test Equipment RFQ_20090427_Leopard UniBom_Foxlink_6 21 2010-ME_nego_Bolt RFQ Proposal_Foxlink_ (Pricing Summary) 2 25 2011 4" xfId="34097"/>
    <cellStyle name="壞_Creek Assembly Fixture  Test Equipment RFQ_20090427_Leopard UniBom_Foxlink_6 21 2010-ME_nego_Bolt RFQ Proposal_Foxlink_ (Pricing Summary) 2 25 2011 4 2" xfId="34098"/>
    <cellStyle name="壞_Creek Assembly Fixture  Test Equipment RFQ_20090427_Leopard UniBom_Foxlink_6 21 2010-ME_nego_Bolt RFQ Proposal_Foxlink_ (Pricing Summary) 2 25 2011 4 3" xfId="34099"/>
    <cellStyle name="壞_Creek Assembly Fixture  Test Equipment RFQ_20090427_Leopard UniBom_Foxlink_6 21 2010-ME_nego_Bolt RFQ Proposal_Foxlink_ (Pricing Summary) 2 25 2011 5" xfId="34100"/>
    <cellStyle name="壞_Creek Assembly Fixture  Test Equipment RFQ_20090427_Leopard UniBom_Foxlink_6 21 2010-ME_nego_Bolt RFQ Proposal_Foxlink_ (Pricing Summary) 2 25 2011 5 2" xfId="34101"/>
    <cellStyle name="壞_Creek Assembly Fixture  Test Equipment RFQ_20090427_Leopard UniBom_Foxlink_6 21 2010-ME_nego_Bolt RFQ Proposal_Foxlink_ (Pricing Summary) 2 25 2011 6" xfId="34102"/>
    <cellStyle name="壞_Creek Assembly Fixture  Test Equipment RFQ_20090427_Leopard UniBom_Foxlink_6 21 2010-ME_nego_Bolt RFQ Proposal_Foxlink_ (Pricing Summary) 2 25 2011 7" xfId="34103"/>
    <cellStyle name="壞_Creek Assembly Fixture  Test Equipment RFQ_20090427_Leopard UniBom_Foxlink_6 21 2010-ME_nego_Bolt RFQ_Foxlink_03.1 2011" xfId="34104"/>
    <cellStyle name="壞_Creek Assembly Fixture  Test Equipment RFQ_20090427_Leopard UniBom_Foxlink_6 21 2010-ME_nego_Bolt RFQ_Foxlink_03.1 2011_nego meeting@MACH" xfId="34105"/>
    <cellStyle name="壞_Creek Assembly Fixture  Test Equipment RFQ_20090427_Leopard UniBom_Foxlink_6 21 2010-ME_nego_Bolt RFQ_Foxlink_03.1 2011_nego meeting@MACH 2" xfId="34106"/>
    <cellStyle name="壞_Creek Assembly Fixture  Test Equipment RFQ_20090427_Leopard UniBom_Foxlink_6 21 2010-ME_nego_Bolt RFQ_Foxlink_03.1 2011_nego meeting@MACH 2 2" xfId="34107"/>
    <cellStyle name="壞_Creek Assembly Fixture  Test Equipment RFQ_20090427_Leopard UniBom_Foxlink_6 21 2010-ME_nego_Bolt RFQ_Foxlink_03.1 2011_nego meeting@MACH 2 3" xfId="34108"/>
    <cellStyle name="壞_Creek Assembly Fixture  Test Equipment RFQ_20090427_Leopard UniBom_Foxlink_6 21 2010-ME_nego_Bolt RFQ_Foxlink_03.1 2011_nego meeting@MACH 3" xfId="34109"/>
    <cellStyle name="壞_Creek Assembly Fixture  Test Equipment RFQ_20090427_Leopard UniBom_Foxlink_6 21 2010-ME_nego_Bolt RFQ_Foxlink_03.1 2011_nego meeting@MACH 3 2" xfId="34110"/>
    <cellStyle name="壞_Creek Assembly Fixture  Test Equipment RFQ_20090427_Leopard UniBom_Foxlink_6 21 2010-ME_nego_Bolt RFQ_Foxlink_03.1 2011_nego meeting@MACH 3 3" xfId="34111"/>
    <cellStyle name="壞_Creek Assembly Fixture  Test Equipment RFQ_20090427_Leopard UniBom_Foxlink_6 21 2010-ME_nego_Bolt RFQ_Foxlink_03.1 2011_nego meeting@MACH 4" xfId="34112"/>
    <cellStyle name="壞_Creek Assembly Fixture  Test Equipment RFQ_20090427_Leopard UniBom_Foxlink_6 21 2010-ME_nego_Bolt RFQ_Foxlink_03.1 2011_nego meeting@MACH 5" xfId="34113"/>
    <cellStyle name="壞_Creek Assembly Fixture  Test Equipment RFQ_20090427_Leopard UniBom_Foxlink_6 21 2010-nego" xfId="34114"/>
    <cellStyle name="壞_Creek Assembly Fixture  Test Equipment RFQ_20090427_Leopard UniBom_true cost_6.23.2010" xfId="34115"/>
    <cellStyle name="壞_Creek Assembly Fixture  Test Equipment RFQ_20090427_Leopard UniBom-06 22 2010_update_internal" xfId="34116"/>
    <cellStyle name="壞_Creek Assembly Fixture  Test Equipment RFQ_20090427_Leopard_UniBOM_ME_0531" xfId="34117"/>
    <cellStyle name="壞_Creek Assembly Fixture  Test Equipment RFQ_20090427_Leopard_UniBOM_ME_0531 2 2" xfId="34118"/>
    <cellStyle name="壞_Creek Assembly Fixture  Test Equipment RFQ_20090427_Leopard_UniBOM_ME_0531 2 2 2" xfId="34119"/>
    <cellStyle name="壞_Creek Assembly Fixture  Test Equipment RFQ_20090427_Leopard_UniBOM_ME_0531 2 2 3" xfId="34120"/>
    <cellStyle name="壞_Creek Assembly Fixture  Test Equipment RFQ_20090427_Leopard_UniBOM_ME_0531 2 3" xfId="34121"/>
    <cellStyle name="壞_Creek Assembly Fixture  Test Equipment RFQ_20090427_Leopard_UniBOM_ME_0531 2 4" xfId="34122"/>
    <cellStyle name="壞_Creek Assembly Fixture  Test Equipment RFQ_20090427_Leopard_UniBOM_ME_0531 3" xfId="34123"/>
    <cellStyle name="壞_Creek Assembly Fixture  Test Equipment RFQ_20090427_Leopard_UniBOM_ME_0531 3 2" xfId="34124"/>
    <cellStyle name="壞_Creek Assembly Fixture  Test Equipment RFQ_20090427_Leopard_UniBOM_ME_0531 3 3" xfId="34125"/>
    <cellStyle name="壞_Creek Assembly Fixture  Test Equipment RFQ_20090427_Leopard_UniBOM_ME_0531_Bolt RFQ Proposal_Foxlink_ (Pricing Summary) 2 25 2011" xfId="34126"/>
    <cellStyle name="壞_Creek Assembly Fixture  Test Equipment RFQ_20090427_Leopard_UniBOM_ME_0531_Bolt RFQ Proposal_Foxlink_ (Pricing Summary) 2 25 2011 2" xfId="34127"/>
    <cellStyle name="壞_Creek Assembly Fixture  Test Equipment RFQ_20090427_Leopard_UniBOM_ME_0531_Bolt RFQ Proposal_Foxlink_ (Pricing Summary) 2 25 2011 2 2" xfId="34128"/>
    <cellStyle name="壞_Creek Assembly Fixture  Test Equipment RFQ_20090427_Leopard_UniBOM_ME_0531_Bolt RFQ Proposal_Foxlink_ (Pricing Summary) 2 25 2011 2 2 3" xfId="34129"/>
    <cellStyle name="壞_Creek Assembly Fixture  Test Equipment RFQ_20090427_Leopard_UniBOM_ME_0531_Bolt RFQ Proposal_Foxlink_ (Pricing Summary) 2 25 2011 2 3" xfId="34130"/>
    <cellStyle name="壞_Creek Assembly Fixture  Test Equipment RFQ_20090427_Leopard_UniBOM_ME_0531_Bolt RFQ Proposal_Foxlink_ (Pricing Summary) 2 25 2011 2 4" xfId="34131"/>
    <cellStyle name="壞_Creek Assembly Fixture  Test Equipment RFQ_20090427_Leopard_UniBOM_ME_0531_Bolt RFQ Proposal_Foxlink_ (Pricing Summary) 2 25 2011 3" xfId="34132"/>
    <cellStyle name="壞_Creek Assembly Fixture  Test Equipment RFQ_20090427_Leopard_UniBOM_ME_0531_Bolt RFQ Proposal_Foxlink_ (Pricing Summary) 2 25 2011 3 2" xfId="34133"/>
    <cellStyle name="壞_Creek Assembly Fixture  Test Equipment RFQ_20090427_Leopard_UniBOM_ME_0531_Bolt RFQ Proposal_Foxlink_ (Pricing Summary) 2 25 2011 3 3" xfId="34134"/>
    <cellStyle name="壞_Creek Assembly Fixture  Test Equipment RFQ_20090427_Leopard_UniBOM_ME_0531_Bolt RFQ Proposal_Foxlink_ (Pricing Summary) 2 25 2011 4 2" xfId="34135"/>
    <cellStyle name="壞_Creek Assembly Fixture  Test Equipment RFQ_20090427_Leopard_UniBOM_ME_0531_Bolt RFQ Proposal_Foxlink_ (Pricing Summary) 2 25 2011 4 3" xfId="34136"/>
    <cellStyle name="壞_Creek Assembly Fixture  Test Equipment RFQ_20090427_Leopard_UniBOM_ME_0531_Bolt RFQ Proposal_Foxlink_ (Pricing Summary) 2 25 2011 5" xfId="34137"/>
    <cellStyle name="壞_Creek Assembly Fixture  Test Equipment RFQ_20090427_Leopard_UniBOM_ME_0531_Bolt RFQ Proposal_Foxlink_ (Pricing Summary) 2 25 2011 6" xfId="34138"/>
    <cellStyle name="壞_Creek Assembly Fixture  Test Equipment RFQ_20090427_Leopard_UniBOM_ME_0531_Bolt RFQ Proposal_Foxlink_ (Pricing Summary) 2 25 2011 7" xfId="34139"/>
    <cellStyle name="壞_Creek Assembly Fixture  Test Equipment RFQ_20090427_Leopard_UniBOM_ME_0531_Bolt RFQ_Foxlink_03.1 2011" xfId="34140"/>
    <cellStyle name="壞_Creek Assembly Fixture  Test Equipment RFQ_20090427_Leopard_UniBOM_ME_0531_Bolt RFQ_Foxlink_03.1 2011 2" xfId="34141"/>
    <cellStyle name="壞_Creek Assembly Fixture  Test Equipment RFQ_20090427_Leopard_UniBOM_ME_0531_Bolt RFQ_Foxlink_03.1 2011 2 2" xfId="34142"/>
    <cellStyle name="壞_Creek Assembly Fixture  Test Equipment RFQ_20090427_Leopard_UniBOM_ME_0531_Bolt RFQ_Foxlink_03.1 2011 2 3" xfId="34143"/>
    <cellStyle name="壞_Creek Assembly Fixture  Test Equipment RFQ_20090427_Leopard_UniBOM_ME_0531_Bolt RFQ_Foxlink_03.1 2011 3" xfId="34144"/>
    <cellStyle name="壞_Creek Assembly Fixture  Test Equipment RFQ_20090427_Leopard_UniBOM_ME_0531_Bolt RFQ_Foxlink_03.1 2011 3 2" xfId="34145"/>
    <cellStyle name="壞_Creek Assembly Fixture  Test Equipment RFQ_20090427_Leopard_UniBOM_ME_0531_Bolt RFQ_Foxlink_03.1 2011 3 3" xfId="34146"/>
    <cellStyle name="壞_Creek Assembly Fixture  Test Equipment RFQ_20090427_Leopard_UniBOM_ME_0531_Bolt RFQ_Foxlink_03.1 2011 4" xfId="34147"/>
    <cellStyle name="壞_Creek Assembly Fixture  Test Equipment RFQ_20090427_Leopard_UniBOM_ME_0531_Bolt RFQ_Foxlink_03.1 2011 5" xfId="34148"/>
    <cellStyle name="壞_Creek Assembly Fixture  Test Equipment RFQ_20090427_Leopard_UniBOM_ME_0531_Bolt RFQ_Foxlink_03.1 2011_nego meeting@MACH 2" xfId="34149"/>
    <cellStyle name="壞_Creek Assembly Fixture  Test Equipment RFQ_20090427_Leopard_UniBOM_ME_0531_Bolt RFQ_Foxlink_03.1 2011_nego meeting@MACH 2 2" xfId="34150"/>
    <cellStyle name="壞_Creek Assembly Fixture  Test Equipment RFQ_20090427_Leopard_UniBOM_ME_0531_Bolt RFQ_Foxlink_03.1 2011_nego meeting@MACH 2 3" xfId="34151"/>
    <cellStyle name="壞_Creek Assembly Fixture  Test Equipment RFQ_20090427_Leopard_UniBOM_ME_0602" xfId="34152"/>
    <cellStyle name="壞_Creek Assembly Fixture  Test Equipment RFQ_20090427_Leopard_UniBOM_ME_0602 2" xfId="34153"/>
    <cellStyle name="壞_Creek Assembly Fixture  Test Equipment RFQ_20090427_Leopard_UniBOM_ME_0602 2 2" xfId="34154"/>
    <cellStyle name="壞_Creek Assembly Fixture  Test Equipment RFQ_20090427_Leopard_UniBOM_ME_0602 2 2 2" xfId="34155"/>
    <cellStyle name="壞_Creek Assembly Fixture  Test Equipment RFQ_20090427_Leopard_UniBOM_ME_0602 2 2 3" xfId="34156"/>
    <cellStyle name="壞_Creek Assembly Fixture  Test Equipment RFQ_20090427_Leopard_UniBOM_ME_0602 2 3" xfId="34157"/>
    <cellStyle name="壞_Creek Assembly Fixture  Test Equipment RFQ_20090427_Leopard_UniBOM_ME_0602 2 4" xfId="34158"/>
    <cellStyle name="壞_Creek Assembly Fixture  Test Equipment RFQ_20090427_Leopard_UniBOM_ME_0602 3" xfId="34159"/>
    <cellStyle name="壞_Creek Assembly Fixture  Test Equipment RFQ_20090427_Leopard_UniBOM_ME_0602 3 2" xfId="34160"/>
    <cellStyle name="壞_Creek Assembly Fixture  Test Equipment RFQ_20090427_Leopard_UniBOM_ME_0602 3 3" xfId="34161"/>
    <cellStyle name="壞_Creek Assembly Fixture  Test Equipment RFQ_20090427_Leopard_UniBOM_ME_0602_Bolt RFQ Proposal_Foxlink_ (Pricing Summary) 2 25 2011" xfId="34162"/>
    <cellStyle name="壞_Creek Assembly Fixture  Test Equipment RFQ_20090427_Leopard_UniBOM_ME_0602_Bolt RFQ Proposal_Foxlink_ (Pricing Summary) 2 25 2011 2" xfId="34163"/>
    <cellStyle name="壞_Creek Assembly Fixture  Test Equipment RFQ_20090427_Leopard_UniBOM_ME_0602_Bolt RFQ Proposal_Foxlink_ (Pricing Summary) 2 25 2011 2 2" xfId="34164"/>
    <cellStyle name="壞_Creek Assembly Fixture  Test Equipment RFQ_20090427_Leopard_UniBOM_ME_0602_Bolt RFQ Proposal_Foxlink_ (Pricing Summary) 2 25 2011 2 2 2" xfId="34165"/>
    <cellStyle name="壞_Creek Assembly Fixture  Test Equipment RFQ_20090427_Leopard_UniBOM_ME_0602_Bolt RFQ Proposal_Foxlink_ (Pricing Summary) 2 25 2011 2 2 3" xfId="34166"/>
    <cellStyle name="壞_Creek Assembly Fixture  Test Equipment RFQ_20090427_Leopard_UniBOM_ME_0602_Bolt RFQ Proposal_Foxlink_ (Pricing Summary) 2 25 2011 2 3" xfId="34167"/>
    <cellStyle name="壞_Creek Assembly Fixture  Test Equipment RFQ_20090427_Leopard_UniBOM_ME_0602_Bolt RFQ Proposal_Foxlink_ (Pricing Summary) 2 25 2011 3" xfId="34168"/>
    <cellStyle name="壞_Creek Assembly Fixture  Test Equipment RFQ_20090427_Leopard_UniBOM_ME_0602_Bolt RFQ Proposal_Foxlink_ (Pricing Summary) 2 25 2011 3 2" xfId="34169"/>
    <cellStyle name="壞_Creek Assembly Fixture  Test Equipment RFQ_20090427_Leopard_UniBOM_ME_0602_Bolt RFQ Proposal_Foxlink_ (Pricing Summary) 2 25 2011 3 3" xfId="34170"/>
    <cellStyle name="壞_Creek Assembly Fixture  Test Equipment RFQ_20090427_Leopard_UniBOM_ME_0602_Bolt RFQ Proposal_Foxlink_ (Pricing Summary) 2 25 2011 4" xfId="34171"/>
    <cellStyle name="壞_Creek Assembly Fixture  Test Equipment RFQ_20090427_Leopard_UniBOM_ME_0602_Bolt RFQ Proposal_Foxlink_ (Pricing Summary) 2 25 2011 4 2" xfId="34172"/>
    <cellStyle name="壞_Creek Assembly Fixture  Test Equipment RFQ_20090427_Leopard_UniBOM_ME_0602_Bolt RFQ Proposal_Foxlink_ (Pricing Summary) 2 25 2011 4 3" xfId="34173"/>
    <cellStyle name="壞_Creek Assembly Fixture  Test Equipment RFQ_20090427_Leopard_UniBOM_ME_0602_Bolt RFQ Proposal_Foxlink_ (Pricing Summary) 2 25 2011 5" xfId="34174"/>
    <cellStyle name="壞_Creek Assembly Fixture  Test Equipment RFQ_20090427_Leopard_UniBOM_ME_0602_Bolt RFQ Proposal_Foxlink_ (Pricing Summary) 2 25 2011 5 2" xfId="34175"/>
    <cellStyle name="壞_Creek Assembly Fixture  Test Equipment RFQ_20090427_Leopard_UniBOM_ME_0602_Bolt RFQ Proposal_Foxlink_ (Pricing Summary) 2 25 2011 5 3" xfId="34176"/>
    <cellStyle name="壞_Creek Assembly Fixture  Test Equipment RFQ_20090427_Leopard_UniBOM_ME_0602_Bolt RFQ Proposal_Foxlink_ (Pricing Summary) 2 25 2011 6" xfId="34177"/>
    <cellStyle name="壞_Creek Assembly Fixture  Test Equipment RFQ_20090427_Leopard_UniBOM_ME_0602_Bolt RFQ Proposal_Foxlink_ (Pricing Summary) 2 25 2011 7" xfId="34178"/>
    <cellStyle name="壞_Creek Assembly Fixture  Test Equipment RFQ_20090427_Leopard_UniBOM_ME_0602_Bolt RFQ_Foxlink_03.1 2011" xfId="34179"/>
    <cellStyle name="壞_Creek Assembly Fixture  Test Equipment RFQ_20090427_Leopard_UniBOM_ME_0602_Bolt RFQ_Foxlink_03.1 2011 2" xfId="34180"/>
    <cellStyle name="壞_Creek Assembly Fixture  Test Equipment RFQ_20090427_Leopard_UniBOM_ME_0602_Bolt RFQ_Foxlink_03.1 2011 2 2" xfId="34181"/>
    <cellStyle name="壞_Creek Assembly Fixture  Test Equipment RFQ_20090427_Leopard_UniBOM_ME_0602_Bolt RFQ_Foxlink_03.1 2011 2 3" xfId="34182"/>
    <cellStyle name="壞_Creek Assembly Fixture  Test Equipment RFQ_20090427_Leopard_UniBOM_ME_0602_Bolt RFQ_Foxlink_03.1 2011 3" xfId="34183"/>
    <cellStyle name="壞_Creek Assembly Fixture  Test Equipment RFQ_20090427_Leopard_UniBOM_ME_0602_Bolt RFQ_Foxlink_03.1 2011 3 2" xfId="34184"/>
    <cellStyle name="壞_Creek Assembly Fixture  Test Equipment RFQ_20090427_Leopard_UniBOM_ME_0602_Bolt RFQ_Foxlink_03.1 2011 3 3" xfId="34185"/>
    <cellStyle name="壞_Creek Assembly Fixture  Test Equipment RFQ_20090427_Leopard_UniBOM_ME_0602_Bolt RFQ_Foxlink_03.1 2011 4" xfId="34186"/>
    <cellStyle name="壞_Creek Assembly Fixture  Test Equipment RFQ_20090427_Leopard_UniBOM_ME_0602_Bolt RFQ_Foxlink_03.1 2011 5" xfId="34187"/>
    <cellStyle name="壞_Creek Assembly Fixture  Test Equipment RFQ_20090427_Leopard_UniBOM_ME_0602_Bolt RFQ_Foxlink_03.1 2011_nego meeting@MACH 2" xfId="34188"/>
    <cellStyle name="壞_Creek Assembly Fixture  Test Equipment RFQ_20090427_Leopard_UniBOM_ME_0602_Bolt RFQ_Foxlink_03.1 2011_nego meeting@MACH 2 2" xfId="34189"/>
    <cellStyle name="壞_Creek Assembly Fixture  Test Equipment RFQ_20090427_Leopard_UniBOM_ME_0602_Bolt RFQ_Foxlink_03.1 2011_nego meeting@MACH 2 3" xfId="34190"/>
    <cellStyle name="壞_Creek Assembly Fixture  Test Equipment RFQ_20090427_Leopard_UniBOM_ME_0602_Bolt RFQ_Foxlink_03.1 2011_nego meeting@MACH 3" xfId="34191"/>
    <cellStyle name="壞_Creek Assembly Fixture  Test Equipment RFQ_20090427_Leopard_UniBOM_ME_0602_Bolt RFQ_Foxlink_03.1 2011_nego meeting@MACH 3 2" xfId="34192"/>
    <cellStyle name="壞_Creek Assembly Fixture  Test Equipment RFQ_20090427_Leopard_UniBOM_ME_0602_Bolt RFQ_Foxlink_03.1 2011_nego meeting@MACH 4" xfId="34193"/>
    <cellStyle name="壞_Creek Assembly Fixture  Test Equipment RFQ_20090427_Leopard_UniBOM_ME_0602_Bolt RFQ_Foxlink_03.1 2011_nego meeting@MACH 5" xfId="34194"/>
    <cellStyle name="壞_Creek Assembly Fixture  Test Equipment RFQ_20090427_Leopard_UniBOM_ME_0602-1" xfId="34195"/>
    <cellStyle name="壞_Creek Assembly Fixture  Test Equipment RFQ_20090427_Leopard_UniBOM_ME_0602-1 2" xfId="34196"/>
    <cellStyle name="壞_Creek Assembly Fixture  Test Equipment RFQ_20090427_Leopard_UniBOM_ME_0602-1 2 2" xfId="34197"/>
    <cellStyle name="壞_Creek Assembly Fixture  Test Equipment RFQ_20090427_Leopard_UniBOM_ME_0602-1 2 2 2" xfId="34198"/>
    <cellStyle name="壞_Creek Assembly Fixture  Test Equipment RFQ_20090427_Leopard_UniBOM_ME_0602-1 2 2 3" xfId="34199"/>
    <cellStyle name="壞_Creek Assembly Fixture  Test Equipment RFQ_20090427_Leopard_UniBOM_ME_0602-1 2 3" xfId="34200"/>
    <cellStyle name="壞_Creek Assembly Fixture  Test Equipment RFQ_20090427_Leopard_UniBOM_ME_0602-1 2 4" xfId="34201"/>
    <cellStyle name="壞_Creek Assembly Fixture  Test Equipment RFQ_20090427_Leopard_UniBOM_ME_0602-1 3" xfId="34202"/>
    <cellStyle name="壞_Creek Assembly Fixture  Test Equipment RFQ_20090427_Leopard_UniBOM_ME_0602-1 3 2" xfId="34203"/>
    <cellStyle name="壞_Creek Assembly Fixture  Test Equipment RFQ_20090427_Leopard_UniBOM_ME_0602-1 3 3" xfId="34204"/>
    <cellStyle name="壞_Creek Assembly Fixture  Test Equipment RFQ_20090427_Leopard_UniBOM_ME_0602-1_Bolt RFQ Proposal_Foxlink_ (Pricing Summary) 2 25 2011" xfId="34205"/>
    <cellStyle name="壞_Creek Assembly Fixture  Test Equipment RFQ_20090427_Leopard_UniBOM_ME_0602-1_Bolt RFQ Proposal_Foxlink_ (Pricing Summary) 2 25 2011 2" xfId="34206"/>
    <cellStyle name="壞_Creek Assembly Fixture  Test Equipment RFQ_20090427_Leopard_UniBOM_ME_0602-1_Bolt RFQ Proposal_Foxlink_ (Pricing Summary) 2 25 2011 2 2" xfId="34207"/>
    <cellStyle name="壞_Creek Assembly Fixture  Test Equipment RFQ_20090427_Leopard_UniBOM_ME_0602-1_Bolt RFQ Proposal_Foxlink_ (Pricing Summary) 2 25 2011 2 2 2" xfId="34208"/>
    <cellStyle name="壞_Creek Assembly Fixture  Test Equipment RFQ_20090427_Leopard_UniBOM_ME_0602-1_Bolt RFQ Proposal_Foxlink_ (Pricing Summary) 2 25 2011 2 2 3" xfId="34209"/>
    <cellStyle name="壞_Creek Assembly Fixture  Test Equipment RFQ_20090427_Leopard_UniBOM_ME_0602-1_Bolt RFQ Proposal_Foxlink_ (Pricing Summary) 2 25 2011 2 3" xfId="34210"/>
    <cellStyle name="壞_Creek Assembly Fixture  Test Equipment RFQ_20090427_Leopard_UniBOM_ME_0602-1_Bolt RFQ Proposal_Foxlink_ (Pricing Summary) 2 25 2011 2 4" xfId="34211"/>
    <cellStyle name="壞_Creek Assembly Fixture  Test Equipment RFQ_20090427_Leopard_UniBOM_ME_0602-1_Bolt RFQ Proposal_Foxlink_ (Pricing Summary) 2 25 2011 3" xfId="34212"/>
    <cellStyle name="壞_Creek Assembly Fixture  Test Equipment RFQ_20090427_Leopard_UniBOM_ME_0602-1_Bolt RFQ Proposal_Foxlink_ (Pricing Summary) 2 25 2011 3 2" xfId="34213"/>
    <cellStyle name="壞_Creek Assembly Fixture  Test Equipment RFQ_20090427_Leopard_UniBOM_ME_0602-1_Bolt RFQ Proposal_Foxlink_ (Pricing Summary) 2 25 2011 3 3" xfId="34214"/>
    <cellStyle name="壞_Creek Assembly Fixture  Test Equipment RFQ_20090427_Leopard_UniBOM_ME_0602-1_Bolt RFQ Proposal_Foxlink_ (Pricing Summary) 2 25 2011 4" xfId="34215"/>
    <cellStyle name="壞_Creek Assembly Fixture  Test Equipment RFQ_20090427_Leopard_UniBOM_ME_0602-1_Bolt RFQ Proposal_Foxlink_ (Pricing Summary) 2 25 2011 4 2" xfId="34216"/>
    <cellStyle name="壞_Creek Assembly Fixture  Test Equipment RFQ_20090427_Leopard_UniBOM_ME_0602-1_Bolt RFQ Proposal_Foxlink_ (Pricing Summary) 2 25 2011 4 3" xfId="34217"/>
    <cellStyle name="壞_Creek Assembly Fixture  Test Equipment RFQ_20090427_Leopard_UniBOM_ME_0602-1_Bolt RFQ Proposal_Foxlink_ (Pricing Summary) 2 25 2011 5" xfId="34218"/>
    <cellStyle name="壞_Creek Assembly Fixture  Test Equipment RFQ_20090427_Leopard_UniBOM_ME_0602-1_Bolt RFQ Proposal_Foxlink_ (Pricing Summary) 2 25 2011 5 2" xfId="34219"/>
    <cellStyle name="壞_Creek Assembly Fixture  Test Equipment RFQ_20090427_Leopard_UniBOM_ME_0602-1_Bolt RFQ Proposal_Foxlink_ (Pricing Summary) 2 25 2011 5 3" xfId="34220"/>
    <cellStyle name="壞_Creek Assembly Fixture  Test Equipment RFQ_20090427_Leopard_UniBOM_ME_0602-1_Bolt RFQ Proposal_Foxlink_ (Pricing Summary) 2 25 2011 6" xfId="34221"/>
    <cellStyle name="壞_Creek Assembly Fixture  Test Equipment RFQ_20090427_Leopard_UniBOM_ME_0602-1_Bolt RFQ Proposal_Foxlink_ (Pricing Summary) 2 25 2011 7" xfId="34222"/>
    <cellStyle name="壞_Creek Assembly Fixture  Test Equipment RFQ_20090427_Leopard_UniBOM_ME_0602-1_Bolt RFQ_Foxlink_03.1 2011" xfId="34223"/>
    <cellStyle name="壞_Creek Assembly Fixture  Test Equipment RFQ_20090427_Leopard_UniBOM_ME_0602-1_Bolt RFQ_Foxlink_03.1 2011 2" xfId="34224"/>
    <cellStyle name="壞_Creek Assembly Fixture  Test Equipment RFQ_20090427_Leopard_UniBOM_ME_0602-1_Bolt RFQ_Foxlink_03.1 2011 2 3" xfId="34225"/>
    <cellStyle name="壞_Creek Assembly Fixture  Test Equipment RFQ_20090427_Leopard_UniBOM_ME_0602-1_Bolt RFQ_Foxlink_03.1 2011 3" xfId="34226"/>
    <cellStyle name="壞_Creek Assembly Fixture  Test Equipment RFQ_20090427_Leopard_UniBOM_ME_0602-1_Bolt RFQ_Foxlink_03.1 2011 3 2" xfId="34227"/>
    <cellStyle name="壞_Creek Assembly Fixture  Test Equipment RFQ_20090427_Leopard_UniBOM_ME_0602-1_Bolt RFQ_Foxlink_03.1 2011 3 3" xfId="34228"/>
    <cellStyle name="壞_Creek Assembly Fixture  Test Equipment RFQ_20090427_Leopard_UniBOM_ME_0602-1_Bolt RFQ_Foxlink_03.1 2011 4" xfId="34229"/>
    <cellStyle name="壞_Creek Assembly Fixture  Test Equipment RFQ_20090427_Leopard_UniBOM_ME_0602-1_Bolt RFQ_Foxlink_03.1 2011 5" xfId="34230"/>
    <cellStyle name="壞_Creek Assembly Fixture  Test Equipment RFQ_20090427_Leopard_UniBOM_ME_0602-1_Bolt RFQ_Foxlink_03.1 2011_nego meeting@MACH" xfId="34231"/>
    <cellStyle name="壞_Creek Assembly Fixture  Test Equipment RFQ_20090427_Leopard_UniBOM_ME_0602-1_Bolt RFQ_Foxlink_03.1 2011_nego meeting@MACH 2" xfId="34232"/>
    <cellStyle name="壞_Creek Assembly Fixture  Test Equipment RFQ_20090427_Leopard_UniBOM_ME_0602-1_Bolt RFQ_Foxlink_03.1 2011_nego meeting@MACH 2 2" xfId="34233"/>
    <cellStyle name="壞_Creek Assembly Fixture  Test Equipment RFQ_20090427_Leopard_UniBOM_ME_0602-1_Bolt RFQ_Foxlink_03.1 2011_nego meeting@MACH 3" xfId="34234"/>
    <cellStyle name="壞_Creek Assembly Fixture  Test Equipment RFQ_20090427_Leopard_UniBOM_ME_0602-1_Bolt RFQ_Foxlink_03.1 2011_nego meeting@MACH 3 2" xfId="34235"/>
    <cellStyle name="壞_Creek Assembly Fixture  Test Equipment RFQ_20090427_Leopard_UniBOM_ME_0602-1_Bolt RFQ_Foxlink_03.1 2011_nego meeting@MACH 3 3" xfId="34236"/>
    <cellStyle name="壞_Creek Assembly Fixture  Test Equipment RFQ_20090427_Leopard_UniBOM_ME_0602-1_Bolt RFQ_Foxlink_03.1 2011_nego meeting@MACH 4" xfId="34237"/>
    <cellStyle name="壞_Creek Assembly Fixture  Test Equipment RFQ_20090427_Leopard_UniBOM_ME_0602-1_Bolt RFQ_Foxlink_03.1 2011_nego meeting@MACH 5" xfId="34238"/>
    <cellStyle name="壞_Creek Assembly Fixture  Test Equipment RFQ_20090427_Leopard_UniBOM_ME_0603-2" xfId="34239"/>
    <cellStyle name="壞_Creek Assembly Fixture  Test Equipment RFQ_20090427_Leopard_UniBOM_ME_0603-2 2" xfId="34240"/>
    <cellStyle name="壞_Creek Assembly Fixture  Test Equipment RFQ_20090427_Leopard_UniBOM_ME_0603-2 2 2" xfId="34241"/>
    <cellStyle name="壞_Creek Assembly Fixture  Test Equipment RFQ_20090427_Leopard_UniBOM_ME_0603-2 2 2 2" xfId="34242"/>
    <cellStyle name="壞_Creek Assembly Fixture  Test Equipment RFQ_20090427_Xl0000002_Leopard RFQ ME BOM Costs-0618_Bolt RFQ Proposal_Foxlink_ (Pricing Summary) 2 25 2011 2 2" xfId="34243"/>
    <cellStyle name="壞_Creek Assembly Fixture  Test Equipment RFQ_20090427_Leopard_UniBOM_ME_0603-2 2 2 3" xfId="34244"/>
    <cellStyle name="壞_Creek Assembly Fixture  Test Equipment RFQ_20090427_Leopard_UniBOM_ME_0603-2 2 3" xfId="34245"/>
    <cellStyle name="壞_Creek Assembly Fixture  Test Equipment RFQ_20090427_Leopard_UniBOM_ME_0603-2 2 4" xfId="34246"/>
    <cellStyle name="壞_Creek Assembly Fixture  Test Equipment RFQ_20090427_Leopard_UniBOM_ME_0603-2 3" xfId="34247"/>
    <cellStyle name="壞_Creek Assembly Fixture  Test Equipment RFQ_20090427_Leopard_UniBOM_ME_0603-2 3 2" xfId="34248"/>
    <cellStyle name="壞_Creek Assembly Fixture  Test Equipment RFQ_20090427_Leopard_UniBOM_ME_0603-2_Bolt RFQ Proposal_Foxlink_ (Pricing Summary) 2 25 2011" xfId="34249"/>
    <cellStyle name="壞_Creek Assembly Fixture  Test Equipment RFQ_20090427_Leopard_UniBOM_ME_0603-2_Bolt RFQ Proposal_Foxlink_ (Pricing Summary) 2 25 2011 2" xfId="34250"/>
    <cellStyle name="壞_Creek Assembly Fixture  Test Equipment RFQ_20090427_Leopard_UniBOM_ME_0603-2_Bolt RFQ Proposal_Foxlink_ (Pricing Summary) 2 25 2011 2 2" xfId="34251"/>
    <cellStyle name="壞_Creek Assembly Fixture  Test Equipment RFQ_20090427_Leopard_UniBOM_ME_0603-2_Bolt RFQ Proposal_Foxlink_ (Pricing Summary) 2 25 2011 2 2 2" xfId="34252"/>
    <cellStyle name="壞_Creek Assembly Fixture  Test Equipment RFQ_20090427_Leopard_UniBOM_ME_0603-2_Bolt RFQ Proposal_Foxlink_ (Pricing Summary) 2 25 2011 2 2 3" xfId="34253"/>
    <cellStyle name="壞_Creek Assembly Fixture  Test Equipment RFQ_20090427_Leopard_UniBOM_ME_0603-2_Bolt RFQ Proposal_Foxlink_ (Pricing Summary) 2 25 2011 2 3" xfId="34254"/>
    <cellStyle name="壞_Creek Assembly Fixture  Test Equipment RFQ_20090427_Leopard_UniBOM_ME_0603-2_Bolt RFQ Proposal_Foxlink_ (Pricing Summary) 2 25 2011 3" xfId="34255"/>
    <cellStyle name="壞_Creek Assembly Fixture  Test Equipment RFQ_20090427_Leopard_UniBOM_ME_0603-2_Bolt RFQ Proposal_Foxlink_ (Pricing Summary) 2 25 2011 3 2" xfId="34256"/>
    <cellStyle name="壞_Creek Assembly Fixture  Test Equipment RFQ_20090427_Leopard_UniBOM_ME_0603-2_Bolt RFQ Proposal_Foxlink_ (Pricing Summary) 2 25 2011 3 3" xfId="34257"/>
    <cellStyle name="壞_Creek Assembly Fixture  Test Equipment RFQ_20090427_Leopard_UniBOM_ME_0603-2_Bolt RFQ Proposal_Foxlink_ (Pricing Summary) 2 25 2011 4" xfId="34258"/>
    <cellStyle name="壞_Creek Assembly Fixture  Test Equipment RFQ_20090427_Leopard_UniBOM_ME_0603-2_Bolt RFQ Proposal_Foxlink_ (Pricing Summary) 2 25 2011 4 2" xfId="34259"/>
    <cellStyle name="壞_Creek Assembly Fixture  Test Equipment RFQ_20090427_Leopard_UniBOM_ME_0603-2_Bolt RFQ Proposal_Foxlink_ (Pricing Summary) 2 25 2011 4 3" xfId="34260"/>
    <cellStyle name="壞_Creek Assembly Fixture  Test Equipment RFQ_20090427_Leopard_UniBOM_ME_0603-2_Bolt RFQ Proposal_Foxlink_ (Pricing Summary) 2 25 2011 5" xfId="34261"/>
    <cellStyle name="壞_Creek Assembly Fixture  Test Equipment RFQ_20090427_Leopard_UniBOM_ME_0603-2_Bolt RFQ Proposal_Foxlink_ (Pricing Summary) 2 25 2011 5 2" xfId="34262"/>
    <cellStyle name="壞_Creek Assembly Fixture  Test Equipment RFQ_20090427_Leopard_UniBOM_ME_0603-2_Bolt RFQ Proposal_Foxlink_ (Pricing Summary) 2 25 2011 5 3" xfId="34263"/>
    <cellStyle name="壞_Creek Assembly Fixture  Test Equipment RFQ_20090427_Leopard_UniBOM_ME_0603-2_Bolt RFQ Proposal_Foxlink_ (Pricing Summary) 2 25 2011 6" xfId="34264"/>
    <cellStyle name="壞_Creek Assembly Fixture  Test Equipment RFQ_20090427_Leopard_UniBOM_ME_0603-2_Bolt RFQ Proposal_Foxlink_ (Pricing Summary) 2 25 2011 7" xfId="34265"/>
    <cellStyle name="壞_Creek Assembly Fixture  Test Equipment RFQ_20090427_Leopard_UniBOM_ME_0603-2_Bolt RFQ_Foxlink_03.1 2011" xfId="34266"/>
    <cellStyle name="壞_Creek Assembly Fixture  Test Equipment RFQ_20090427_Leopard_UniBOM_ME_0603-2_Bolt RFQ_Foxlink_03.1 2011 2 2" xfId="34267"/>
    <cellStyle name="壞_Creek Assembly Fixture  Test Equipment RFQ_20090427_Leopard_UniBOM_ME_0603-2_Bolt RFQ_Foxlink_03.1 2011 3" xfId="34268"/>
    <cellStyle name="壞_Creek Assembly Fixture  Test Equipment RFQ_20090427_Leopard_UniBOM_ME_0603-2_Bolt RFQ_Foxlink_03.1 2011 3 2" xfId="34269"/>
    <cellStyle name="壞_Creek Assembly Fixture  Test Equipment RFQ_20090427_Leopard_UniBOM_ME_0603-2_Bolt RFQ_Foxlink_03.1 2011 3 3" xfId="34270"/>
    <cellStyle name="壞_Creek Assembly Fixture  Test Equipment RFQ_20090427_Leopard_UniBOM_ME_0603-2_Bolt RFQ_Foxlink_03.1 2011 5" xfId="34271"/>
    <cellStyle name="壞_Creek Assembly Fixture  Test Equipment RFQ_20090427_Leopard_UniBOM_ME_0603-2_Bolt RFQ_Foxlink_03.1 2011_nego meeting@MACH" xfId="34272"/>
    <cellStyle name="壞_Creek Assembly Fixture  Test Equipment RFQ_20090427_Leopard_UniBOM_ME_0603-2_Bolt RFQ_Foxlink_03.1 2011_nego meeting@MACH 2" xfId="34273"/>
    <cellStyle name="壞_Creek Assembly Fixture  Test Equipment RFQ_20090427_Leopard_UniBOM_ME_0603-2_Bolt RFQ_Foxlink_03.1 2011_nego meeting@MACH 2 2" xfId="34274"/>
    <cellStyle name="壞_Creek Assembly Fixture  Test Equipment RFQ_20090427_Leopard_UniBOM_ME_0603-2_Bolt RFQ_Foxlink_03.1 2011_nego meeting@MACH 2 3" xfId="34275"/>
    <cellStyle name="壞_Creek Assembly Fixture  Test Equipment RFQ_20090427_Leopard_UniBOM_ME_0603-2_Bolt RFQ_Foxlink_03.1 2011_nego meeting@MACH 3" xfId="34276"/>
    <cellStyle name="壞_Creek Assembly Fixture  Test Equipment RFQ_20090427_Leopard_UniBOM_ME_0603-2_Bolt RFQ_Foxlink_03.1 2011_nego meeting@MACH 3 2" xfId="34277"/>
    <cellStyle name="壞_Creek Assembly Fixture  Test Equipment RFQ_20090427_Leopard_UniBOM_ME_0603-2_Bolt RFQ_Foxlink_03.1 2011_nego meeting@MACH 3 3" xfId="34278"/>
    <cellStyle name="壞_Creek Assembly Fixture  Test Equipment RFQ_20090427_Leopard_UniBOM_ME_0603-2_Bolt RFQ_Foxlink_03.1 2011_nego meeting@MACH 4" xfId="34279"/>
    <cellStyle name="壞_Creek Assembly Fixture  Test Equipment RFQ_20090427_Leopard_UniBOM_ME_0603-2_Bolt RFQ_Foxlink_03.1 2011_nego meeting@MACH 5" xfId="34280"/>
    <cellStyle name="壞_Creek Assembly Fixture  Test Equipment RFQ_20090427_Squirrel RFQ ME BOM Costs-0623" xfId="34281"/>
    <cellStyle name="壞_Creek Assembly Fixture  Test Equipment RFQ_20090427_Squirrel RFQ ME BOM Costs-0623 2" xfId="34282"/>
    <cellStyle name="壞_Creek Assembly Fixture  Test Equipment RFQ_20090427_Squirrel RFQ ME BOM Costs-0623 2 2" xfId="34283"/>
    <cellStyle name="壞_Creek Assembly Fixture  Test Equipment RFQ_20090427_Squirrel RFQ ME BOM Costs-0623 2 2 2" xfId="34284"/>
    <cellStyle name="壞_Creek Assembly Fixture  Test Equipment RFQ_20090427_Squirrel RFQ ME BOM Costs-0623 2 2 3" xfId="34285"/>
    <cellStyle name="壞_Creek Assembly Fixture  Test Equipment RFQ_20090427_Squirrel RFQ ME BOM Costs-0623 2 3" xfId="34286"/>
    <cellStyle name="壞_Creek Assembly Fixture  Test Equipment RFQ_20090427_Squirrel RFQ ME BOM Costs-0623 2 4" xfId="34287"/>
    <cellStyle name="壞_Creek Assembly Fixture  Test Equipment RFQ_20090427_Squirrel RFQ ME BOM Costs-0623 3" xfId="34288"/>
    <cellStyle name="壞_Creek Assembly Fixture  Test Equipment RFQ_20090427_Squirrel RFQ ME BOM Costs-0623 3 2" xfId="34289"/>
    <cellStyle name="壞_Creek Assembly Fixture  Test Equipment RFQ_20090427_Squirrel RFQ ME BOM Costs-0623 3 3" xfId="34290"/>
    <cellStyle name="壞_Creek Assembly Fixture  Test Equipment RFQ_20090427_Squirrel RFQ ME BOM Costs-0623_Bolt RFQ Proposal_Foxlink_ (Pricing Summary) 2 25 2011" xfId="34291"/>
    <cellStyle name="壞_Creek Assembly Fixture  Test Equipment RFQ_20090427_Squirrel RFQ ME BOM Costs-0623_Bolt RFQ Proposal_Foxlink_ (Pricing Summary) 2 25 2011 2" xfId="34292"/>
    <cellStyle name="壞_Creek Assembly Fixture  Test Equipment RFQ_20090427_Squirrel RFQ ME BOM Costs-0623_Bolt RFQ Proposal_Foxlink_ (Pricing Summary) 2 25 2011 2 2" xfId="34293"/>
    <cellStyle name="壞_Creek Assembly Fixture  Test Equipment RFQ_20090427_Squirrel RFQ ME BOM Costs-0623_Bolt RFQ Proposal_Foxlink_ (Pricing Summary) 2 25 2011 2 2 2" xfId="34294"/>
    <cellStyle name="壞_Creek Assembly Fixture  Test Equipment RFQ_20090427_Squirrel RFQ ME BOM Costs-0623_Bolt RFQ Proposal_Foxlink_ (Pricing Summary) 2 25 2011 2 2 3" xfId="34295"/>
    <cellStyle name="壞_Creek Assembly Fixture  Test Equipment RFQ_20090427_Squirrel RFQ ME BOM Costs-0623_Bolt RFQ Proposal_Foxlink_ (Pricing Summary) 2 25 2011 2 3" xfId="34296"/>
    <cellStyle name="壞_Creek Assembly Fixture  Test Equipment RFQ_20090427_Squirrel RFQ ME BOM Costs-0623_Bolt RFQ Proposal_Foxlink_ (Pricing Summary) 2 25 2011 2 4" xfId="34297"/>
    <cellStyle name="壞_Creek Assembly Fixture  Test Equipment RFQ_20090427_Squirrel RFQ ME BOM Costs-0623_Bolt RFQ Proposal_Foxlink_ (Pricing Summary) 2 25 2011 3" xfId="34298"/>
    <cellStyle name="壞_Creek Assembly Fixture  Test Equipment RFQ_20090427_Squirrel RFQ ME BOM Costs-0623_Bolt RFQ Proposal_Foxlink_ (Pricing Summary) 2 25 2011 3 2" xfId="34299"/>
    <cellStyle name="壞_Creek Assembly Fixture  Test Equipment RFQ_20090427_Squirrel RFQ ME BOM Costs-0623_Bolt RFQ Proposal_Foxlink_ (Pricing Summary) 2 25 2011 3 3" xfId="34300"/>
    <cellStyle name="壞_Creek Assembly Fixture  Test Equipment RFQ_20090427_Squirrel RFQ ME BOM Costs-0623_Bolt RFQ Proposal_Foxlink_ (Pricing Summary) 2 25 2011 4" xfId="34301"/>
    <cellStyle name="壞_Creek Assembly Fixture  Test Equipment RFQ_20090427_Squirrel RFQ ME BOM Costs-0623_Bolt RFQ Proposal_Foxlink_ (Pricing Summary) 2 25 2011 4 2" xfId="34302"/>
    <cellStyle name="壞_Creek Assembly Fixture  Test Equipment RFQ_20090427_Squirrel RFQ ME BOM Costs-0623_Bolt RFQ Proposal_Foxlink_ (Pricing Summary) 2 25 2011 4 3" xfId="34303"/>
    <cellStyle name="壞_Creek Assembly Fixture  Test Equipment RFQ_20090427_Squirrel RFQ ME BOM Costs-0623_Bolt RFQ Proposal_Foxlink_ (Pricing Summary) 2 25 2011 5" xfId="34304"/>
    <cellStyle name="壞_Creek Assembly Fixture  Test Equipment RFQ_20090427_Squirrel RFQ ME BOM Costs-0623_Bolt RFQ Proposal_Foxlink_ (Pricing Summary) 2 25 2011 5 2" xfId="34305"/>
    <cellStyle name="壞_Creek Assembly Fixture  Test Equipment RFQ_20090427_Squirrel RFQ ME BOM Costs-0623_Bolt RFQ Proposal_Foxlink_ (Pricing Summary) 2 25 2011 5 3" xfId="34306"/>
    <cellStyle name="壞_Creek Assembly Fixture  Test Equipment RFQ_20090427_Squirrel RFQ ME BOM Costs-0623_Bolt RFQ Proposal_Foxlink_ (Pricing Summary) 2 25 2011 6" xfId="34307"/>
    <cellStyle name="壞_Creek Assembly Fixture  Test Equipment RFQ_20090427_Squirrel RFQ ME BOM Costs-0623_Bolt RFQ_Foxlink_03.1 2011" xfId="34308"/>
    <cellStyle name="壞_Creek Assembly Fixture  Test Equipment RFQ_20090427_Squirrel RFQ ME BOM Costs-0623_Bolt RFQ_Foxlink_03.1 2011 2" xfId="34309"/>
    <cellStyle name="壞_Creek Assembly Fixture  Test Equipment RFQ_20090427_Squirrel RFQ ME BOM Costs-0623_Bolt RFQ_Foxlink_03.1 2011 2 2" xfId="34310"/>
    <cellStyle name="壞_Creek Assembly Fixture  Test Equipment RFQ_20090427_Squirrel RFQ ME BOM Costs-0623_Bolt RFQ_Foxlink_03.1 2011 2 3" xfId="34311"/>
    <cellStyle name="壞_Creek Assembly Fixture  Test Equipment RFQ_20090427_Squirrel RFQ ME BOM Costs-0623_Bolt RFQ_Foxlink_03.1 2011 3" xfId="34312"/>
    <cellStyle name="壞_Creek Assembly Fixture  Test Equipment RFQ_20090427_Squirrel RFQ ME BOM Costs-0623_Bolt RFQ_Foxlink_03.1 2011 3 2" xfId="34313"/>
    <cellStyle name="壞_Creek Assembly Fixture  Test Equipment RFQ_20090427_Squirrel RFQ ME BOM Costs-0623_Bolt RFQ_Foxlink_03.1 2011 3 3" xfId="34314"/>
    <cellStyle name="壞_Creek Assembly Fixture  Test Equipment RFQ_20090427_Squirrel RFQ ME BOM Costs-0623_Bolt RFQ_Foxlink_03.1 2011 4" xfId="34315"/>
    <cellStyle name="壞_Creek Assembly Fixture  Test Equipment RFQ_20090427_Squirrel RFQ ME BOM Costs-0623_Bolt RFQ_Foxlink_03.1 2011 5" xfId="34316"/>
    <cellStyle name="壞_Creek Assembly Fixture  Test Equipment RFQ_20090427_Squirrel RFQ ME BOM Costs-0623_Bolt RFQ_Foxlink_03.1 2011_nego meeting@MACH" xfId="34317"/>
    <cellStyle name="壞_Creek Assembly Fixture  Test Equipment RFQ_20090427_Squirrel RFQ ME BOM Costs-0623_Bolt RFQ_Foxlink_03.1 2011_nego meeting@MACH 2 2" xfId="34318"/>
    <cellStyle name="壞_Creek Assembly Fixture  Test Equipment RFQ_20090427_Squirrel RFQ ME BOM Costs-0623_Bolt RFQ_Foxlink_03.1 2011_nego meeting@MACH 2 3" xfId="34319"/>
    <cellStyle name="壞_Creek Assembly Fixture  Test Equipment RFQ_20090427_Squirrel RFQ ME BOM Costs-0623_Bolt RFQ_Foxlink_03.1 2011_nego meeting@MACH 3 2" xfId="34320"/>
    <cellStyle name="壞_Creek Assembly Fixture  Test Equipment RFQ_20090427_Squirrel RFQ ME BOM Costs-0623_Bolt RFQ_Foxlink_03.1 2011_nego meeting@MACH 3 3" xfId="34321"/>
    <cellStyle name="壞_Creek Assembly Fixture  Test Equipment RFQ_20090427_Squirrel RFQ ME BOM Costs-0623_Bolt RFQ_Foxlink_03.1 2011_nego meeting@MACH 4" xfId="34322"/>
    <cellStyle name="壞_Creek Assembly Fixture  Test Equipment RFQ_20090427_Squirrel RFQ ME BOM Costs-0623_Bolt RFQ_Foxlink_03.1 2011_nego meeting@MACH 5" xfId="34323"/>
    <cellStyle name="壞_Creek Assembly Fixture  Test Equipment RFQ_20090427_Squirrel RFQ ME BOM Costs-0624" xfId="34324"/>
    <cellStyle name="壞_Creek Assembly Fixture  Test Equipment RFQ_20090427_Squirrel UniBom_Foxlink_6 28 2010" xfId="34325"/>
    <cellStyle name="壞_Creek Assembly Fixture  Test Equipment RFQ_20090427_Squirrel UniBom_Foxlink_7.27.2010" xfId="34326"/>
    <cellStyle name="壞_Creek Assembly Fixture  Test Equipment RFQ_20090427_Squirrel UniBom-06 23 2010_update_internal" xfId="34327"/>
    <cellStyle name="壞_Creek Assembly Fixture  Test Equipment RFQ_20090427_Squirrel UniBom-06.23.2010_update_internal" xfId="34328"/>
    <cellStyle name="壞_Creek Assembly Fixture  Test Equipment RFQ_20090427_Squirrel UniBom-06.23.2010_update_internal 2" xfId="34329"/>
    <cellStyle name="壞_Creek Assembly Fixture  Test Equipment RFQ_20090427_Squirrel UniBom-06.23.2010_update_internal 2 2" xfId="34330"/>
    <cellStyle name="壞_Creek Assembly Fixture  Test Equipment RFQ_20090427_Squirrel UniBom-06.23.2010_update_internal 2 2 3" xfId="34331"/>
    <cellStyle name="壞_Creek Assembly Fixture  Test Equipment RFQ_20090427_Squirrel UniBom-06.23.2010_update_internal 2 3" xfId="34332"/>
    <cellStyle name="壞_Creek Assembly Fixture  Test Equipment RFQ_20090427_Squirrel UniBom-06.23.2010_update_internal 2 4" xfId="34333"/>
    <cellStyle name="壞_Creek Assembly Fixture  Test Equipment RFQ_20090427_Squirrel UniBom-06.23.2010_update_internal 3" xfId="34334"/>
    <cellStyle name="壞_Creek Assembly Fixture  Test Equipment RFQ_20090427_Squirrel UniBom-06.23.2010_update_internal 3 2" xfId="34335"/>
    <cellStyle name="壞_Creek Assembly Fixture  Test Equipment RFQ_20090427_Squirrel UniBom-06.23.2010_update_internal 3 3" xfId="34336"/>
    <cellStyle name="壞_Creek Assembly Fixture  Test Equipment RFQ_20090427_Squirrel UniBom-06.23.2010_update_internal 4" xfId="34337"/>
    <cellStyle name="壞_Creek Assembly Fixture  Test Equipment RFQ_20090427_Squirrel UniBom-06.23.2010_update_internal_Bolt RFQ Proposal_Foxlink_ (Pricing Summary) 2 25 2011" xfId="34338"/>
    <cellStyle name="壞_Creek Assembly Fixture  Test Equipment RFQ_20090427_Squirrel UniBom-06.23.2010_update_internal_Bolt RFQ Proposal_Foxlink_ (Pricing Summary) 2 25 2011 2" xfId="34339"/>
    <cellStyle name="壞_Creek Assembly Fixture  Test Equipment RFQ_20090427_Squirrel UniBom-06.23.2010_update_internal_Bolt RFQ Proposal_Foxlink_ (Pricing Summary) 2 25 2011 2 2 2" xfId="34340"/>
    <cellStyle name="壞_Creek Assembly Fixture  Test Equipment RFQ_20090427_Squirrel UniBom-06.23.2010_update_internal_Bolt RFQ Proposal_Foxlink_ (Pricing Summary) 2 25 2011 2 2 3" xfId="34341"/>
    <cellStyle name="壞_Creek Assembly Fixture  Test Equipment RFQ_20090427_Squirrel UniBom-06.23.2010_update_internal_Bolt RFQ Proposal_Foxlink_ (Pricing Summary) 2 25 2011 2 4" xfId="34342"/>
    <cellStyle name="壞_Creek Assembly Fixture  Test Equipment RFQ_20090427_Squirrel UniBom-06.23.2010_update_internal_Bolt RFQ Proposal_Foxlink_ (Pricing Summary) 2 25 2011 3 2" xfId="34343"/>
    <cellStyle name="壞_Creek Assembly Fixture  Test Equipment RFQ_20090427_Squirrel UniBom-06.23.2010_update_internal_Bolt RFQ Proposal_Foxlink_ (Pricing Summary) 2 25 2011 3 3" xfId="34344"/>
    <cellStyle name="壞_Creek Assembly Fixture  Test Equipment RFQ_20090427_Squirrel UniBom-06.23.2010_update_internal_Bolt RFQ Proposal_Foxlink_ (Pricing Summary) 2 25 2011 4" xfId="34345"/>
    <cellStyle name="壞_Creek Assembly Fixture  Test Equipment RFQ_20090427_Squirrel UniBom-06.23.2010_update_internal_Bolt RFQ Proposal_Foxlink_ (Pricing Summary) 2 25 2011 4 2" xfId="34346"/>
    <cellStyle name="壞_Creek Assembly Fixture  Test Equipment RFQ_20090427_Squirrel UniBom-06.23.2010_update_internal_Bolt RFQ Proposal_Foxlink_ (Pricing Summary) 2 25 2011 4 3" xfId="34347"/>
    <cellStyle name="壞_Creek Assembly Fixture  Test Equipment RFQ_20090427_Squirrel UniBom-06.23.2010_update_internal_Bolt RFQ Proposal_Foxlink_ (Pricing Summary) 2 25 2011 5" xfId="34348"/>
    <cellStyle name="壞_Creek Assembly Fixture  Test Equipment RFQ_20090427_Squirrel UniBom-06.23.2010_update_internal_Bolt RFQ Proposal_Foxlink_ (Pricing Summary) 2 25 2011 5 2" xfId="34349"/>
    <cellStyle name="壞_Creek Assembly Fixture  Test Equipment RFQ_20090427_Squirrel UniBom-06.23.2010_update_internal_Bolt RFQ Proposal_Foxlink_ (Pricing Summary) 2 25 2011 5 3" xfId="34350"/>
    <cellStyle name="壞_Creek Assembly Fixture  Test Equipment RFQ_20090427_Squirrel UniBom-06.23.2010_update_internal_Bolt RFQ Proposal_Foxlink_ (Pricing Summary) 2 25 2011 6" xfId="34351"/>
    <cellStyle name="壞_Creek Assembly Fixture  Test Equipment RFQ_20090427_Squirrel UniBom-06.23.2010_update_internal_Bolt RFQ Proposal_Foxlink_ (Pricing Summary) 2 25 2011 7" xfId="34352"/>
    <cellStyle name="壞_Creek Assembly Fixture  Test Equipment RFQ_20090427_Squirrel UniBom-06.23.2010_update_internal_Bolt RFQ_Foxlink_03.1 2011" xfId="34353"/>
    <cellStyle name="壞_Creek Assembly Fixture  Test Equipment RFQ_20090427_Squirrel UniBom-06.23.2010_update_internal_Bolt RFQ_Foxlink_03.1 2011 2" xfId="34354"/>
    <cellStyle name="壞_Creek Assembly Fixture  Test Equipment RFQ_20090427_Squirrel UniBom-06.23.2010_update_internal_Bolt RFQ_Foxlink_03.1 2011 2 2" xfId="34355"/>
    <cellStyle name="壞_Creek Assembly Fixture  Test Equipment RFQ_20090427_Squirrel UniBom-06.23.2010_update_internal_Bolt RFQ_Foxlink_03.1 2011 2 3" xfId="34356"/>
    <cellStyle name="壞_Creek Assembly Fixture  Test Equipment RFQ_20090427_Squirrel UniBom-06.23.2010_update_internal_Bolt RFQ_Foxlink_03.1 2011 3" xfId="34357"/>
    <cellStyle name="壞_Creek Assembly Fixture  Test Equipment RFQ_20090427_Squirrel UniBom-06.23.2010_update_internal_Bolt RFQ_Foxlink_03.1 2011 3 2" xfId="34358"/>
    <cellStyle name="壞_Creek Assembly Fixture  Test Equipment RFQ_20090427_Squirrel UniBom-06.23.2010_update_internal_Bolt RFQ_Foxlink_03.1 2011 3 3" xfId="34359"/>
    <cellStyle name="壞_Creek Assembly Fixture  Test Equipment RFQ_20090427_Squirrel UniBom-06.23.2010_update_internal_Bolt RFQ_Foxlink_03.1 2011 4" xfId="34360"/>
    <cellStyle name="壞_Creek Assembly Fixture  Test Equipment RFQ_20090427_Squirrel UniBom-06.23.2010_update_internal_Bolt RFQ_Foxlink_03.1 2011 5" xfId="34361"/>
    <cellStyle name="壞_Creek Assembly Fixture  Test Equipment RFQ_20090427_Squirrel UniBom-06.23.2010_update_internal_Bolt RFQ_Foxlink_03.1 2011_nego meeting@MACH 3 2" xfId="34362"/>
    <cellStyle name="壞_Creek Assembly Fixture  Test Equipment RFQ_20090427_Squirrel UniBom-06.23.2010_update_internal_Bolt RFQ_Foxlink_03.1 2011_nego meeting@MACH 3 3" xfId="34363"/>
    <cellStyle name="壞_Creek Assembly Fixture  Test Equipment RFQ_20090427_Squirrel UniBom-06.23.2010_update_internal_Bolt RFQ_Foxlink_03.1 2011_nego meeting@MACH 5" xfId="34364"/>
    <cellStyle name="壞_Creek Assembly Fixture  Test Equipment RFQ_20090427_Xl0000002" xfId="34365"/>
    <cellStyle name="壞_Creek Assembly Fixture  Test Equipment RFQ_20090427_Xl0000002 2" xfId="34366"/>
    <cellStyle name="壞_Creek Assembly Fixture  Test Equipment RFQ_20090427_Xl0000002 2 2" xfId="34367"/>
    <cellStyle name="壞_Creek Assembly Fixture  Test Equipment RFQ_20090427_Xl0000002 2 2 2" xfId="34368"/>
    <cellStyle name="壞_Creek Assembly Fixture  Test Equipment RFQ_20090427_Xl0000002 2 2 3" xfId="34369"/>
    <cellStyle name="壞_Creek Assembly Fixture  Test Equipment RFQ_20090427_Xl0000002 2 3" xfId="34370"/>
    <cellStyle name="壞_Creek Assembly Fixture  Test Equipment RFQ_20090427_Xl0000002 3" xfId="34371"/>
    <cellStyle name="壞_Creek Assembly Fixture  Test Equipment RFQ_20090427_Xl0000002 3 2" xfId="34372"/>
    <cellStyle name="壞_Creek Assembly Fixture  Test Equipment RFQ_20090427_Xl0000002 3 3" xfId="34373"/>
    <cellStyle name="壞_Creek Assembly Fixture  Test Equipment RFQ_20090427_Xl0000002 4" xfId="34374"/>
    <cellStyle name="壞_Creek Assembly Fixture  Test Equipment RFQ_20090427_Xl0000002 5" xfId="34375"/>
    <cellStyle name="壞_Creek Assembly Fixture  Test Equipment RFQ_20090427_Xl0000002_Bolt RFQ Proposal_Foxlink_ (Pricing Summary) 2 25 2011" xfId="34376"/>
    <cellStyle name="壞_Creek Assembly Fixture  Test Equipment RFQ_20090427_Xl0000002_Bolt RFQ Proposal_Foxlink_ (Pricing Summary) 2 25 2011 2 2" xfId="34377"/>
    <cellStyle name="壞_Creek Assembly Fixture  Test Equipment RFQ_20090427_Xl0000002_Bolt RFQ Proposal_Foxlink_ (Pricing Summary) 2 25 2011 2 2 2" xfId="34378"/>
    <cellStyle name="壞_Creek Assembly Fixture  Test Equipment RFQ_20090427_Xl0000002_Bolt RFQ Proposal_Foxlink_ (Pricing Summary) 2 25 2011 2 2 3" xfId="34379"/>
    <cellStyle name="壞_Creek Assembly Fixture  Test Equipment RFQ_20090427_Xl0000002_Bolt RFQ Proposal_Foxlink_ (Pricing Summary) 2 25 2011 2 3" xfId="34380"/>
    <cellStyle name="壞_Creek Assembly Fixture  Test Equipment RFQ_20090427_Xl0000002_Bolt RFQ Proposal_Foxlink_ (Pricing Summary) 2 25 2011 2 4" xfId="34381"/>
    <cellStyle name="壞_Creek Assembly Fixture  Test Equipment RFQ_20090427_Xl0000002_Bolt RFQ Proposal_Foxlink_ (Pricing Summary) 2 25 2011 3" xfId="34382"/>
    <cellStyle name="壞_Creek Assembly Fixture  Test Equipment RFQ_20090427_Xl0000002_Bolt RFQ Proposal_Foxlink_ (Pricing Summary) 2 25 2011 3 2" xfId="34383"/>
    <cellStyle name="壞_Creek Assembly Fixture  Test Equipment RFQ_20090427_Xl0000002_Bolt RFQ Proposal_Foxlink_ (Pricing Summary) 2 25 2011 3 3" xfId="34384"/>
    <cellStyle name="壞_Creek Assembly Fixture  Test Equipment RFQ_20090427_Xl0000002_Bolt RFQ Proposal_Foxlink_ (Pricing Summary) 2 25 2011 4" xfId="34385"/>
    <cellStyle name="壞_Creek Assembly Fixture  Test Equipment RFQ_20090427_Xl0000002_Bolt RFQ Proposal_Foxlink_ (Pricing Summary) 2 25 2011 4 2" xfId="34386"/>
    <cellStyle name="壞_Creek Assembly Fixture  Test Equipment RFQ_20090427_Xl0000002_Bolt RFQ Proposal_Foxlink_ (Pricing Summary) 2 25 2011 4 3" xfId="34387"/>
    <cellStyle name="壞_Creek Assembly Fixture  Test Equipment RFQ_20090427_Xl0000002_Bolt RFQ Proposal_Foxlink_ (Pricing Summary) 2 25 2011 5" xfId="34388"/>
    <cellStyle name="壞_Creek Assembly Fixture  Test Equipment RFQ_20090427_Xl0000002_Bolt RFQ Proposal_Foxlink_ (Pricing Summary) 2 25 2011 5 2" xfId="34389"/>
    <cellStyle name="壞_Creek Assembly Fixture  Test Equipment RFQ_20090427_Xl0000002_Bolt RFQ Proposal_Foxlink_ (Pricing Summary) 2 25 2011 5 3" xfId="34390"/>
    <cellStyle name="壞_Creek Assembly Fixture  Test Equipment RFQ_20090427_Xl0000002_Bolt RFQ Proposal_Foxlink_ (Pricing Summary) 2 25 2011 7" xfId="34391"/>
    <cellStyle name="壞_Creek Assembly Fixture  Test Equipment RFQ_20090427_Xl0000002_Bolt RFQ_Foxlink_03.1 2011" xfId="34392"/>
    <cellStyle name="壞_Creek Assembly Fixture  Test Equipment RFQ_20090427_Xl0000002_Bolt RFQ_Foxlink_03.1 2011 2" xfId="34393"/>
    <cellStyle name="壞_Creek Assembly Fixture  Test Equipment RFQ_20090427_Xl0000002_Bolt RFQ_Foxlink_03.1 2011 2 2" xfId="34394"/>
    <cellStyle name="壞_Creek Assembly Fixture  Test Equipment RFQ_20090427_Xl0000002_Bolt RFQ_Foxlink_03.1 2011 2 3" xfId="34395"/>
    <cellStyle name="壞_Creek Assembly Fixture  Test Equipment RFQ_20090427_Xl0000002_Bolt RFQ_Foxlink_03.1 2011 3" xfId="34396"/>
    <cellStyle name="壞_Creek Assembly Fixture  Test Equipment RFQ_20090427_Xl0000002_Bolt RFQ_Foxlink_03.1 2011 3 2" xfId="34397"/>
    <cellStyle name="壞_Creek Assembly Fixture  Test Equipment RFQ_20090427_Xl0000002_Bolt RFQ_Foxlink_03.1 2011 3 3" xfId="34398"/>
    <cellStyle name="壞_Creek Assembly Fixture  Test Equipment RFQ_20090427_Xl0000002_Bolt RFQ_Foxlink_03.1 2011 4" xfId="34399"/>
    <cellStyle name="壞_Creek Assembly Fixture  Test Equipment RFQ_20090427_Xl0000002_Bolt RFQ_Foxlink_03.1 2011 5" xfId="34400"/>
    <cellStyle name="壞_Creek Assembly Fixture  Test Equipment RFQ_20090427_Xl0000002_Bolt RFQ_Foxlink_03.1 2011_nego meeting@MACH" xfId="34401"/>
    <cellStyle name="壞_Creek Assembly Fixture  Test Equipment RFQ_20090427_Xl0000002_Bolt RFQ_Foxlink_03.1 2011_nego meeting@MACH 2" xfId="34402"/>
    <cellStyle name="壞_Creek Assembly Fixture  Test Equipment RFQ_20090427_Xl0000002_Bolt RFQ_Foxlink_03.1 2011_nego meeting@MACH 3" xfId="34403"/>
    <cellStyle name="壞_Creek Assembly Fixture  Test Equipment RFQ_20090427_Xl0000002_Bolt RFQ_Foxlink_03.1 2011_nego meeting@MACH 4" xfId="34404"/>
    <cellStyle name="壞_Creek Assembly Fixture  Test Equipment RFQ_20090427_Xl0000002_Bolt RFQ_Foxlink_03.1 2011_nego meeting@MACH 5" xfId="34405"/>
    <cellStyle name="壞_Creek Assembly Fixture  Test Equipment RFQ_20090427_Xl0000002_Bristol UniBom_Foxlink_02082011 RevA" xfId="34406"/>
    <cellStyle name="壞_Creek Assembly Fixture  Test Equipment RFQ_20090427_Xl0000002_Foxlink_Shadow RFQ NREUni BOM_12032009 2 2" xfId="34407"/>
    <cellStyle name="壞_Creek Assembly Fixture  Test Equipment RFQ_20090427_Xl0000002_Foxlink_Shadow RFQ NREUni BOM_12032009 2 2 2" xfId="34408"/>
    <cellStyle name="壞_Creek Assembly Fixture  Test Equipment RFQ_20090427_Xl0000002_Foxlink_Shadow RFQ NREUni BOM_12032009 2 2 3" xfId="34409"/>
    <cellStyle name="壞_Creek Assembly Fixture  Test Equipment RFQ_20090427_Xl0000002_Foxlink_Shadow RFQ NREUni BOM_12032009 2 3" xfId="34410"/>
    <cellStyle name="壞_Creek Assembly Fixture  Test Equipment RFQ_20090427_Xl0000002_Foxlink_Shadow RFQ NREUni BOM_12032009 2 4" xfId="34411"/>
    <cellStyle name="壞_Creek Assembly Fixture  Test Equipment RFQ_20090427_Xl0000002_Foxlink_Shadow RFQ NREUni BOM_12032009 3" xfId="34412"/>
    <cellStyle name="壞_Creek Assembly Fixture  Test Equipment RFQ_20090427_Xl0000002_Foxlink_Shadow RFQ NREUni BOM_12032009_Bolt RFQ Proposal_Foxlink_ (Pricing Summary) 2 25 2011" xfId="34413"/>
    <cellStyle name="壞_Creek Assembly Fixture  Test Equipment RFQ_20090427_Xl0000002_Foxlink_Shadow RFQ NREUni BOM_12032009_Bolt RFQ Proposal_Foxlink_ (Pricing Summary) 2 25 2011 2" xfId="34414"/>
    <cellStyle name="壞_Creek Assembly Fixture  Test Equipment RFQ_20090427_Xl0000002_Foxlink_Shadow RFQ NREUni BOM_12032009_Bolt RFQ Proposal_Foxlink_ (Pricing Summary) 2 25 2011 2 2" xfId="34415"/>
    <cellStyle name="壞_Creek Assembly Fixture  Test Equipment RFQ_20090427_Xl0000002_Foxlink_Shadow RFQ NREUni BOM_12032009_Bolt RFQ Proposal_Foxlink_ (Pricing Summary) 2 25 2011 2 2 2" xfId="34416"/>
    <cellStyle name="壞_Creek Assembly Fixture  Test Equipment RFQ_20090427_Xl0000002_Foxlink_Shadow RFQ NREUni BOM_12032009_Bolt RFQ Proposal_Foxlink_ (Pricing Summary) 2 25 2011 2 2 3" xfId="34417"/>
    <cellStyle name="壞_Creek Assembly Fixture  Test Equipment RFQ_20090427_Xl0000002_Foxlink_Shadow RFQ NREUni BOM_12032009_Bolt RFQ Proposal_Foxlink_ (Pricing Summary) 2 25 2011 2 3" xfId="34418"/>
    <cellStyle name="壞_Creek Assembly Fixture  Test Equipment RFQ_20090427_Xl0000002_Foxlink_Shadow RFQ NREUni BOM_12032009_Bolt RFQ Proposal_Foxlink_ (Pricing Summary) 2 25 2011 2 4" xfId="34419"/>
    <cellStyle name="壞_Creek Assembly Fixture  Test Equipment RFQ_20090427_Xl0000002_Foxlink_Shadow RFQ NREUni BOM_12032009_Bolt RFQ Proposal_Foxlink_ (Pricing Summary) 2 25 2011 3" xfId="34420"/>
    <cellStyle name="壞_Creek Assembly Fixture  Test Equipment RFQ_20090427_Xl0000002_Foxlink_Shadow RFQ NREUni BOM_12032009_Bolt RFQ Proposal_Foxlink_ (Pricing Summary) 2 25 2011 3 2" xfId="34421"/>
    <cellStyle name="壞_Creek Assembly Fixture  Test Equipment RFQ_20090427_Xl0000002_Foxlink_Shadow RFQ NREUni BOM_12032009_Bolt RFQ Proposal_Foxlink_ (Pricing Summary) 2 25 2011 3 3" xfId="34422"/>
    <cellStyle name="壞_Creek Assembly Fixture  Test Equipment RFQ_20090427_Xl0000002_Foxlink_Shadow RFQ NREUni BOM_12032009_Bolt RFQ Proposal_Foxlink_ (Pricing Summary) 2 25 2011 4" xfId="34423"/>
    <cellStyle name="壞_Creek Assembly Fixture  Test Equipment RFQ_20090427_Xl0000002_Foxlink_Shadow RFQ NREUni BOM_12032009_Bolt RFQ Proposal_Foxlink_ (Pricing Summary) 2 25 2011 4 2" xfId="34424"/>
    <cellStyle name="壞_Creek Assembly Fixture  Test Equipment RFQ_20090427_Xl0000002_Foxlink_Shadow RFQ NREUni BOM_12032009_Bolt RFQ Proposal_Foxlink_ (Pricing Summary) 2 25 2011 4 3" xfId="34425"/>
    <cellStyle name="壞_Creek Assembly Fixture  Test Equipment RFQ_20090427_Xl0000002_Foxlink_Shadow RFQ NREUni BOM_12032009_Bolt RFQ Proposal_Foxlink_ (Pricing Summary) 2 25 2011 5" xfId="34426"/>
    <cellStyle name="壞_Creek Assembly Fixture  Test Equipment RFQ_20090427_Xl0000002_Foxlink_Shadow RFQ NREUni BOM_12032009_Bolt RFQ Proposal_Foxlink_ (Pricing Summary) 2 25 2011 5 2" xfId="34427"/>
    <cellStyle name="壞_Creek Assembly Fixture  Test Equipment RFQ_20090427_Xl0000002_Foxlink_Shadow RFQ NREUni BOM_12032009_Bolt RFQ Proposal_Foxlink_ (Pricing Summary) 2 25 2011 5 3" xfId="34428"/>
    <cellStyle name="壞_Creek Assembly Fixture  Test Equipment RFQ_20090427_Xl0000002_Foxlink_Shadow RFQ NREUni BOM_12032009_Bolt RFQ Proposal_Foxlink_ (Pricing Summary) 2 25 2011 6" xfId="34429"/>
    <cellStyle name="壞_Creek Assembly Fixture  Test Equipment RFQ_20090427_Xl0000002_Foxlink_Shadow RFQ NREUni BOM_12032009_Bolt RFQ Proposal_Foxlink_ (Pricing Summary) 2 25 2011 7" xfId="34430"/>
    <cellStyle name="壞_Creek Assembly Fixture  Test Equipment RFQ_20090427_Xl0000002_Foxlink_Shadow RFQ NREUni BOM_12032009_Bolt RFQ_Foxlink_03.1 2011" xfId="34431"/>
    <cellStyle name="壞_Creek Assembly Fixture  Test Equipment RFQ_20090427_Xl0000002_Foxlink_Shadow RFQ NREUni BOM_12032009_Bolt RFQ_Foxlink_03.1 2011 2" xfId="34432"/>
    <cellStyle name="壞_Creek Assembly Fixture  Test Equipment RFQ_20090427_Xl0000002_Foxlink_Shadow RFQ NREUni BOM_12032009_Bolt RFQ_Foxlink_03.1 2011 2 2" xfId="34433"/>
    <cellStyle name="壞_Creek Assembly Fixture  Test Equipment RFQ_20090427_Xl0000002_Foxlink_Shadow RFQ NREUni BOM_12032009_Bolt RFQ_Foxlink_03.1 2011 2 3" xfId="34434"/>
    <cellStyle name="壞_Creek Assembly Fixture  Test Equipment RFQ_20090427_Xl0000002_Foxlink_Shadow RFQ NREUni BOM_12032009_Bolt RFQ_Foxlink_03.1 2011 3" xfId="34435"/>
    <cellStyle name="壞_Creek Assembly Fixture  Test Equipment RFQ_20090427_Xl0000002_Foxlink_Shadow RFQ NREUni BOM_12032009_Bolt RFQ_Foxlink_03.1 2011 3 2" xfId="34436"/>
    <cellStyle name="壞_Creek Assembly Fixture  Test Equipment RFQ_20090427_Xl0000002_Foxlink_Shadow RFQ NREUni BOM_12032009_Bolt RFQ_Foxlink_03.1 2011 3 3" xfId="34437"/>
    <cellStyle name="壞_Creek Assembly Fixture  Test Equipment RFQ_20090427_Xl0000002_Foxlink_Shadow RFQ NREUni BOM_12032009_Bolt RFQ_Foxlink_03.1 2011 4" xfId="34438"/>
    <cellStyle name="壞_Creek Assembly Fixture  Test Equipment RFQ_20090427_Xl0000002_Foxlink_Shadow RFQ NREUni BOM_12032009_Bolt RFQ_Foxlink_03.1 2011_nego meeting@MACH" xfId="34439"/>
    <cellStyle name="壞_Creek Assembly Fixture  Test Equipment RFQ_20090427_Xl0000002_Foxlink_Shadow RFQ NREUni BOM_12032009_Bolt RFQ_Foxlink_03.1 2011_nego meeting@MACH 2" xfId="34440"/>
    <cellStyle name="壞_Creek Assembly Fixture  Test Equipment RFQ_20090427_Xl0000002_Foxlink_Shadow RFQ NREUni BOM_12032009_Bolt RFQ_Foxlink_03.1 2011_nego meeting@MACH 2 2" xfId="34441"/>
    <cellStyle name="壞_Creek Assembly Fixture  Test Equipment RFQ_20090427_Xl0000002_Foxlink_Shadow RFQ NREUni BOM_12032009_Bolt RFQ_Foxlink_03.1 2011_nego meeting@MACH 2 3" xfId="34442"/>
    <cellStyle name="壞_Creek Assembly Fixture  Test Equipment RFQ_20090427_Xl0000002_Foxlink_Shadow RFQ NREUni BOM_12032009_Bolt RFQ_Foxlink_03.1 2011_nego meeting@MACH 3" xfId="34443"/>
    <cellStyle name="壞_Creek Assembly Fixture  Test Equipment RFQ_20090427_Xl0000002_Foxlink_Shadow RFQ NREUni BOM_12032009_Bolt RFQ_Foxlink_03.1 2011_nego meeting@MACH 3 2" xfId="34444"/>
    <cellStyle name="壞_Creek Assembly Fixture  Test Equipment RFQ_20090427_Xl0000002_Foxlink_Shadow RFQ NREUni BOM_12032009_Bolt RFQ_Foxlink_03.1 2011_nego meeting@MACH 3 3" xfId="34445"/>
    <cellStyle name="壞_Creek Assembly Fixture  Test Equipment RFQ_20090427_Xl0000002_Foxlink_Shadow RFQ NREUni BOM_12032009_Bolt RFQ_Foxlink_03.1 2011_nego meeting@MACH 4" xfId="34446"/>
    <cellStyle name="壞_Creek Assembly Fixture  Test Equipment RFQ_20090427_Xl0000002_Foxlink_Shadow RFQ NREUni BOM_12032009_Bolt RFQ_Foxlink_03.1 2011_nego meeting@MACH 5" xfId="34447"/>
    <cellStyle name="壞_Creek Assembly Fixture  Test Equipment RFQ_20090427_Xl0000002_Jackson and Shadow BOM cost_mainfile_2010 0324 rev.1" xfId="34448"/>
    <cellStyle name="壞_Creek Assembly Fixture  Test Equipment RFQ_20090427_Xl0000002_Jackson and Shadow BOM cost_mainfile_2010 0324 rev.1_Bristol UniBom_Foxlink_02082011 RevA" xfId="34449"/>
    <cellStyle name="壞_Creek Assembly Fixture  Test Equipment RFQ_20090427_Xl0000002_Jackson and Shadow BOM cost_mainfile_2010 0324 rev.1_Leopard UniBom_Foxlink_12092010 RevD-jen" xfId="34450"/>
    <cellStyle name="壞_Creek Assembly Fixture  Test Equipment RFQ_20090427_Xl0000002_Jackson and Shadow BOM cost_mainfile_2010 0324 rev.1_Leopard UniBom_Foxlink_12272010 RevF_shirley" xfId="34451"/>
    <cellStyle name="壞_Creek Assembly Fixture  Test Equipment RFQ_20090427_Xl0000002_Jackson EE BOM " xfId="34452"/>
    <cellStyle name="壞_Creek Assembly Fixture  Test Equipment RFQ_20090427_Xl0000002_Jackson NRE Uni BOM_update _05072010 rev K" xfId="34453"/>
    <cellStyle name="壞_Creek Assembly Fixture  Test Equipment RFQ_20090427_Xl0000002_Lemur RFQ ME BOM Costs-0623" xfId="34454"/>
    <cellStyle name="壞_Creek Assembly Fixture  Test Equipment RFQ_20090427_Xl0000002_Leopard Lemur Squirrel UniBom-06.22.2010_EE cost _update_internal" xfId="34455"/>
    <cellStyle name="壞_Creek Assembly Fixture  Test Equipment RFQ_20090427_Xl0000002_Leopard Lemur Squirrel UniBom-06.22.2010_EE cost _update_internal 2" xfId="34456"/>
    <cellStyle name="壞_Creek Assembly Fixture  Test Equipment RFQ_20090427_Xl0000002_Leopard Lemur Squirrel UniBom-06.22.2010_EE cost _update_internal 2 2" xfId="34457"/>
    <cellStyle name="壞_Creek Assembly Fixture  Test Equipment RFQ_20090427_Xl0000002_Leopard Lemur Squirrel UniBom-06.22.2010_EE cost _update_internal 2 2 2" xfId="34458"/>
    <cellStyle name="壞_Creek Assembly Fixture  Test Equipment RFQ_20090427_Xl0000002_Leopard Lemur Squirrel UniBom-06.22.2010_EE cost _update_internal 2 2 3" xfId="34459"/>
    <cellStyle name="壞_Creek Assembly Fixture  Test Equipment RFQ_20090427_Xl0000002_Leopard Lemur Squirrel UniBom-06.22.2010_EE cost _update_internal 2 3" xfId="34460"/>
    <cellStyle name="壞_Creek Assembly Fixture  Test Equipment RFQ_20090427_Xl0000002_Leopard Lemur Squirrel UniBom-06.22.2010_EE cost _update_internal 2 4" xfId="34461"/>
    <cellStyle name="壞_Creek Assembly Fixture  Test Equipment RFQ_20090427_Xl0000002_Leopard Lemur Squirrel UniBom-06.22.2010_EE cost _update_internal 3" xfId="34462"/>
    <cellStyle name="壞_Creek Assembly Fixture  Test Equipment RFQ_20090427_Xl0000002_Leopard Lemur Squirrel UniBom-06.22.2010_EE cost _update_internal 3 2" xfId="34463"/>
    <cellStyle name="壞_Creek Assembly Fixture  Test Equipment RFQ_20090427_Xl0000002_Leopard Lemur Squirrel UniBom-06.22.2010_EE cost _update_internal 3 3" xfId="34464"/>
    <cellStyle name="壞_Creek Assembly Fixture  Test Equipment RFQ_20090427_Xl0000002_Leopard Lemur Squirrel UniBom-06.22.2010_EE cost _update_internal_Bolt RFQ Proposal_Foxlink_ (Pricing Summary) 2 25 2011" xfId="34465"/>
    <cellStyle name="壞_Creek Assembly Fixture  Test Equipment RFQ_20090427_Xl0000002_Leopard Lemur Squirrel UniBom-06.22.2010_EE cost _update_internal_Bolt RFQ Proposal_Foxlink_ (Pricing Summary) 2 25 2011 2" xfId="34466"/>
    <cellStyle name="壞_Creek Assembly Fixture  Test Equipment RFQ_20090427_Xl0000002_Leopard Lemur Squirrel UniBom-06.22.2010_EE cost _update_internal_Bolt RFQ Proposal_Foxlink_ (Pricing Summary) 2 25 2011 2 2" xfId="34467"/>
    <cellStyle name="壞_Creek Assembly Fixture  Test Equipment RFQ_20090427_Xl0000002_Leopard Lemur Squirrel UniBom-06.22.2010_EE cost _update_internal_Bolt RFQ Proposal_Foxlink_ (Pricing Summary) 2 25 2011 2 2 2" xfId="34468"/>
    <cellStyle name="壞_Creek Assembly Fixture  Test Equipment RFQ_20090427_Xl0000002_Leopard Lemur Squirrel UniBom-06.22.2010_EE cost _update_internal_Bolt RFQ Proposal_Foxlink_ (Pricing Summary) 2 25 2011 2 2 3" xfId="34469"/>
    <cellStyle name="壞_Creek Assembly Fixture  Test Equipment RFQ_20090427_Xl0000002_Leopard Lemur Squirrel UniBom-06.22.2010_EE cost _update_internal_Bolt RFQ Proposal_Foxlink_ (Pricing Summary) 2 25 2011 2 3" xfId="34470"/>
    <cellStyle name="壞_Creek Assembly Fixture  Test Equipment RFQ_20090427_Xl0000002_Leopard Lemur Squirrel UniBom-06.22.2010_EE cost _update_internal_Bolt RFQ Proposal_Foxlink_ (Pricing Summary) 2 25 2011 3" xfId="34471"/>
    <cellStyle name="壞_Creek Assembly Fixture  Test Equipment RFQ_20090427_Xl0000002_Leopard Lemur Squirrel UniBom-06.22.2010_EE cost _update_internal_Bolt RFQ Proposal_Foxlink_ (Pricing Summary) 2 25 2011 3 2" xfId="34472"/>
    <cellStyle name="壞_Creek Assembly Fixture  Test Equipment RFQ_20090427_Xl0000002_Leopard Lemur Squirrel UniBom-06.22.2010_EE cost _update_internal_Bolt RFQ Proposal_Foxlink_ (Pricing Summary) 2 25 2011 4" xfId="34473"/>
    <cellStyle name="壞_Creek Assembly Fixture  Test Equipment RFQ_20090427_Xl0000002_Leopard Lemur Squirrel UniBom-06.22.2010_EE cost _update_internal_Bolt RFQ Proposal_Foxlink_ (Pricing Summary) 2 25 2011 4 3" xfId="34474"/>
    <cellStyle name="壞_Creek Assembly Fixture  Test Equipment RFQ_20090427_Xl0000002_Leopard Lemur Squirrel UniBom-06.22.2010_EE cost _update_internal_Bolt RFQ Proposal_Foxlink_ (Pricing Summary) 2 25 2011 5" xfId="34475"/>
    <cellStyle name="壞_Creek Assembly Fixture  Test Equipment RFQ_20090427_Xl0000002_Leopard Lemur Squirrel UniBom-06.22.2010_EE cost _update_internal_Bolt RFQ Proposal_Foxlink_ (Pricing Summary) 2 25 2011 5 2" xfId="34476"/>
    <cellStyle name="壞_Creek Assembly Fixture  Test Equipment RFQ_20090427_Xl0000002_Leopard Lemur Squirrel UniBom-06.22.2010_EE cost _update_internal_Bolt RFQ Proposal_Foxlink_ (Pricing Summary) 2 25 2011 6" xfId="34477"/>
    <cellStyle name="壞_Creek Assembly Fixture  Test Equipment RFQ_20090427_Xl0000002_Leopard Lemur Squirrel UniBom-06.22.2010_EE cost _update_internal_Bolt RFQ Proposal_Foxlink_ (Pricing Summary) 2 25 2011 7" xfId="34478"/>
    <cellStyle name="壞_Creek Assembly Fixture  Test Equipment RFQ_20090427_Xl0000002_Leopard Lemur Squirrel UniBom-06.22.2010_EE cost _update_internal_Bolt RFQ_Foxlink_03.1 2011" xfId="34479"/>
    <cellStyle name="壞_Creek Assembly Fixture  Test Equipment RFQ_20090427_Xl0000002_Leopard Lemur Squirrel UniBom-06.22.2010_EE cost _update_internal_Bolt RFQ_Foxlink_03.1 2011 2" xfId="34480"/>
    <cellStyle name="壞_Creek Assembly Fixture  Test Equipment RFQ_20090427_Xl0000002_Leopard Lemur Squirrel UniBom-06.22.2010_EE cost _update_internal_Bolt RFQ_Foxlink_03.1 2011 2 3" xfId="34481"/>
    <cellStyle name="壞_Creek Assembly Fixture  Test Equipment RFQ_20090427_Xl0000002_Leopard Lemur Squirrel UniBom-06.22.2010_EE cost _update_internal_Bolt RFQ_Foxlink_03.1 2011 3" xfId="34482"/>
    <cellStyle name="壞_Creek Assembly Fixture  Test Equipment RFQ_20090427_Xl0000002_Leopard Lemur Squirrel UniBom-06.22.2010_EE cost _update_internal_Bolt RFQ_Foxlink_03.1 2011 3 2" xfId="34483"/>
    <cellStyle name="壞_Creek Assembly Fixture  Test Equipment RFQ_20090427_Xl0000002_Leopard Lemur Squirrel UniBom-06.22.2010_EE cost _update_internal_Bolt RFQ_Foxlink_03.1 2011 3 3" xfId="34484"/>
    <cellStyle name="壞_Creek Assembly Fixture  Test Equipment RFQ_20090427_Xl0000002_Leopard Lemur Squirrel UniBom-06.22.2010_EE cost _update_internal_Bolt RFQ_Foxlink_03.1 2011 4" xfId="34485"/>
    <cellStyle name="壞_Creek Assembly Fixture  Test Equipment RFQ_20090427_Xl0000002_Leopard Lemur Squirrel UniBom-06.22.2010_EE cost _update_internal_Bolt RFQ_Foxlink_03.1 2011 5" xfId="34486"/>
    <cellStyle name="壞_Creek Assembly Fixture  Test Equipment RFQ_20090427_Xl0000002_Leopard Lemur Squirrel UniBom-06.22.2010_EE cost _update_internal_Bolt RFQ_Foxlink_03.1 2011_nego meeting@MACH" xfId="34487"/>
    <cellStyle name="壞_Creek Assembly Fixture  Test Equipment RFQ_20090427_Xl0000002_Leopard Lemur Squirrel UniBom-06.22.2010_EE cost _update_internal_Bolt RFQ_Foxlink_03.1 2011_nego meeting@MACH 2" xfId="34488"/>
    <cellStyle name="壞_Creek Assembly Fixture  Test Equipment RFQ_20090427_Xl0000002_Leopard Lemur Squirrel UniBom-06.22.2010_EE cost _update_internal_Bolt RFQ_Foxlink_03.1 2011_nego meeting@MACH 2 2" xfId="34489"/>
    <cellStyle name="壞_Creek Assembly Fixture  Test Equipment RFQ_20090427_Xl0000002_Leopard Lemur Squirrel UniBom-06.22.2010_EE cost _update_internal_Bolt RFQ_Foxlink_03.1 2011_nego meeting@MACH 2 3" xfId="34490"/>
    <cellStyle name="壞_Creek Assembly Fixture  Test Equipment RFQ_20090427_Xl0000002_Leopard Lemur Squirrel UniBom-06.22.2010_EE cost _update_internal_Bolt RFQ_Foxlink_03.1 2011_nego meeting@MACH 3" xfId="34491"/>
    <cellStyle name="壞_Creek Assembly Fixture  Test Equipment RFQ_20090427_Xl0000002_Leopard Lemur Squirrel UniBom-06.22.2010_EE cost _update_internal_Bolt RFQ_Foxlink_03.1 2011_nego meeting@MACH 3 2" xfId="34492"/>
    <cellStyle name="壞_Creek Assembly Fixture  Test Equipment RFQ_20090427_Xl0000002_Leopard Lemur Squirrel UniBom-06.22.2010_EE cost _update_internal_Bolt RFQ_Foxlink_03.1 2011_nego meeting@MACH 4" xfId="34493"/>
    <cellStyle name="壞_Creek Assembly Fixture  Test Equipment RFQ_20090427_Xl0000002_Leopard Lemur Squirrel UniBom-06.22.2010_EE cost _update_internal_Bolt RFQ_Foxlink_03.1 2011_nego meeting@MACH 5" xfId="34494"/>
    <cellStyle name="壞_Creek Assembly Fixture  Test Equipment RFQ_20090427_Xl0000002_Leopard RFQ ME BOM Costs-0623" xfId="34495"/>
    <cellStyle name="壞_Creek Assembly Fixture  Test Equipment RFQ_20090427_Xl0000002_Leopard RFQ ME BOM Costs-0618" xfId="34496"/>
    <cellStyle name="壞_Creek Assembly Fixture  Test Equipment RFQ_20090427_Xl0000002_Leopard RFQ ME BOM Costs-0618 2" xfId="34497"/>
    <cellStyle name="壞_Creek Assembly Fixture  Test Equipment RFQ_20090427_Xl0000002_Leopard RFQ ME BOM Costs-0618 2 2" xfId="34498"/>
    <cellStyle name="壞_Creek Assembly Fixture  Test Equipment RFQ_20090427_Xl0000002_Leopard RFQ ME BOM Costs-0618 2 2 2" xfId="34499"/>
    <cellStyle name="壞_Creek Assembly Fixture  Test Equipment RFQ_20090427_Xl0000002_Leopard RFQ ME BOM Costs-0618 2 2 3" xfId="34500"/>
    <cellStyle name="壞_Creek Assembly Fixture  Test Equipment RFQ_20090427_Xl0000002_Leopard RFQ ME BOM Costs-0618 2 3" xfId="34501"/>
    <cellStyle name="壞_Creek Assembly Fixture  Test Equipment RFQ_20090427_Xl0000002_Leopard RFQ ME BOM Costs-0618 2 4" xfId="34502"/>
    <cellStyle name="壞_Creek Assembly Fixture  Test Equipment RFQ_20090427_Xl0000002_Leopard RFQ ME BOM Costs-0618 3" xfId="34503"/>
    <cellStyle name="壞_Creek Assembly Fixture  Test Equipment RFQ_20090427_Xl0000002_Leopard RFQ ME BOM Costs-0618 3 2" xfId="34504"/>
    <cellStyle name="壞_Creek Assembly Fixture  Test Equipment RFQ_20090427_Xl0000002_Leopard RFQ ME BOM Costs-0618_Bolt RFQ Proposal_Foxlink_ (Pricing Summary) 2 25 2011" xfId="34505"/>
    <cellStyle name="壞_Creek Assembly Fixture  Test Equipment RFQ_20090427_Xl0000002_Leopard RFQ ME BOM Costs-0618_Bolt RFQ Proposal_Foxlink_ (Pricing Summary) 2 25 2011 2" xfId="34506"/>
    <cellStyle name="壞_Creek Assembly Fixture  Test Equipment RFQ_20090427_Xl0000002_Leopard RFQ ME BOM Costs-0618_Bolt RFQ Proposal_Foxlink_ (Pricing Summary) 2 25 2011 2 2 2" xfId="34507"/>
    <cellStyle name="壞_Creek Assembly Fixture  Test Equipment RFQ_20090427_Xl0000002_Leopard RFQ ME BOM Costs-0618_Bolt RFQ Proposal_Foxlink_ (Pricing Summary) 2 25 2011 2 2 3" xfId="34508"/>
    <cellStyle name="壞_Creek Assembly Fixture  Test Equipment RFQ_20090427_Xl0000002_Leopard RFQ ME BOM Costs-0618_Bolt RFQ Proposal_Foxlink_ (Pricing Summary) 2 25 2011 2 3" xfId="34509"/>
    <cellStyle name="壞_Creek Assembly Fixture  Test Equipment RFQ_20090427_Xl0000002_Leopard RFQ ME BOM Costs-0618_Bolt RFQ Proposal_Foxlink_ (Pricing Summary) 2 25 2011 2 3 2" xfId="34510"/>
    <cellStyle name="壞_Creek Assembly Fixture  Test Equipment RFQ_20090427_Xl0000002_Leopard RFQ ME BOM Costs-0618_Bolt RFQ Proposal_Foxlink_ (Pricing Summary) 2 25 2011 2 3 3" xfId="34511"/>
    <cellStyle name="壞_Creek Assembly Fixture  Test Equipment RFQ_20090427_Xl0000002_Leopard RFQ ME BOM Costs-0618_Bolt RFQ Proposal_Foxlink_ (Pricing Summary) 2 25 2011 3" xfId="34512"/>
    <cellStyle name="壞_Creek Assembly Fixture  Test Equipment RFQ_20090427_Xl0000002_Leopard RFQ ME BOM Costs-0618_Bolt RFQ Proposal_Foxlink_ (Pricing Summary) 2 25 2011 4" xfId="34513"/>
    <cellStyle name="壞_Creek Assembly Fixture  Test Equipment RFQ_20090427_Xl0000002_Leopard RFQ ME BOM Costs-0618_Bolt RFQ Proposal_Foxlink_ (Pricing Summary) 2 25 2011 4 2" xfId="34514"/>
    <cellStyle name="壞_Creek Assembly Fixture  Test Equipment RFQ_20090427_Xl0000002_Leopard RFQ ME BOM Costs-0618_Bolt RFQ Proposal_Foxlink_ (Pricing Summary) 2 25 2011 4 3" xfId="34515"/>
    <cellStyle name="壞_Creek Assembly Fixture  Test Equipment RFQ_20090427_Xl0000002_Leopard RFQ ME BOM Costs-0618_Bolt RFQ Proposal_Foxlink_ (Pricing Summary) 2 25 2011 5" xfId="34516"/>
    <cellStyle name="壞_Creek Assembly Fixture  Test Equipment RFQ_20090427_Xl0000002_Leopard RFQ ME BOM Costs-0618_Bolt RFQ Proposal_Foxlink_ (Pricing Summary) 2 25 2011 5 2" xfId="34517"/>
    <cellStyle name="壞_Creek Assembly Fixture  Test Equipment RFQ_20090427_Xl0000002_Leopard RFQ ME BOM Costs-0618_Bolt RFQ Proposal_Foxlink_ (Pricing Summary) 2 25 2011 6 2" xfId="34518"/>
    <cellStyle name="壞_Creek Assembly Fixture  Test Equipment RFQ_20090427_Xl0000002_Leopard RFQ ME BOM Costs-0618_Bolt RFQ Proposal_Foxlink_ (Pricing Summary) 2 25 2011 6 3" xfId="34519"/>
    <cellStyle name="壞_Creek Assembly Fixture  Test Equipment RFQ_20090427_Xl0000002_Leopard RFQ ME BOM Costs-0618_Bolt RFQ Proposal_Foxlink_ (Pricing Summary) 2 25 2011 7" xfId="34520"/>
    <cellStyle name="壞_Creek Assembly Fixture  Test Equipment RFQ_20090427_Xl0000002_Leopard RFQ ME BOM Costs-0618_Bolt RFQ Proposal_Foxlink_ (Pricing Summary) 2 25 2011 8" xfId="34521"/>
    <cellStyle name="壞_Creek Assembly Fixture  Test Equipment RFQ_20090427_Xl0000002_Leopard RFQ ME BOM Costs-0618_Bolt RFQ_Foxlink_03.1 2011" xfId="34522"/>
    <cellStyle name="壞_Creek Assembly Fixture  Test Equipment RFQ_20090427_Xl0000002_Leopard RFQ ME BOM Costs-0618_Bolt RFQ_Foxlink_03.1 2011 2" xfId="34523"/>
    <cellStyle name="壞_Creek Assembly Fixture  Test Equipment RFQ_20090427_Xl0000002_Leopard RFQ ME BOM Costs-0618_Bolt RFQ_Foxlink_03.1 2011 2 2" xfId="34524"/>
    <cellStyle name="壞_Creek Assembly Fixture  Test Equipment RFQ_20090427_Xl0000002_Leopard RFQ ME BOM Costs-0618_Bolt RFQ_Foxlink_03.1 2011 2 3" xfId="34525"/>
    <cellStyle name="壞_Creek Assembly Fixture  Test Equipment RFQ_20090427_Xl0000002_Leopard RFQ ME BOM Costs-0618_Bolt RFQ_Foxlink_03.1 2011 3" xfId="34526"/>
    <cellStyle name="壞_Creek Assembly Fixture  Test Equipment RFQ_20090427_Xl0000002_Leopard RFQ ME BOM Costs-0618_Bolt RFQ_Foxlink_03.1 2011 3 2" xfId="34527"/>
    <cellStyle name="壞_Creek Assembly Fixture  Test Equipment RFQ_20090427_Xl0000002_Leopard RFQ ME BOM Costs-0618_Bolt RFQ_Foxlink_03.1 2011 3 3" xfId="34528"/>
    <cellStyle name="壞_Creek Assembly Fixture  Test Equipment RFQ_20090427_Xl0000002_Leopard RFQ ME BOM Costs-0618_Bolt RFQ_Foxlink_03.1 2011 4" xfId="34529"/>
    <cellStyle name="壞_Creek Assembly Fixture  Test Equipment RFQ_20090427_Xl0000002_Leopard RFQ ME BOM Costs-0618_Bolt RFQ_Foxlink_03.1 2011 5" xfId="34530"/>
    <cellStyle name="壞_Creek Assembly Fixture  Test Equipment RFQ_20090427_Xl0000002_Leopard RFQ ME BOM Costs-0618_Bolt RFQ_Foxlink_03.1 2011_nego meeting@MACH" xfId="34531"/>
    <cellStyle name="壞_Creek Assembly Fixture  Test Equipment RFQ_20090427_Xl0000002_Leopard RFQ ME BOM Costs-0618_Bolt RFQ_Foxlink_03.1 2011_nego meeting@MACH 2" xfId="34532"/>
    <cellStyle name="壞_Creek Assembly Fixture  Test Equipment RFQ_20090427_Xl0000002_Leopard RFQ ME BOM Costs-0618_Bolt RFQ_Foxlink_03.1 2011_nego meeting@MACH 2 2" xfId="34533"/>
    <cellStyle name="壞_Creek Assembly Fixture  Test Equipment RFQ_20090427_Xl0000002_Leopard RFQ ME BOM Costs-0618_Bolt RFQ_Foxlink_03.1 2011_nego meeting@MACH 2 3" xfId="34534"/>
    <cellStyle name="壞_Creek Assembly Fixture  Test Equipment RFQ_20090427_Xl0000002_Leopard RFQ ME BOM Costs-0618_Bolt RFQ_Foxlink_03.1 2011_nego meeting@MACH 3" xfId="34535"/>
    <cellStyle name="壞_Creek Assembly Fixture  Test Equipment RFQ_20090427_Xl0000002_Leopard RFQ ME BOM Costs-0618_Bolt RFQ_Foxlink_03.1 2011_nego meeting@MACH 3 2" xfId="34536"/>
    <cellStyle name="壞_Creek Assembly Fixture  Test Equipment RFQ_20090427_Xl0000002_Leopard RFQ ME BOM Costs-0618_Bolt RFQ_Foxlink_03.1 2011_nego meeting@MACH 3 3" xfId="34537"/>
    <cellStyle name="壞_Creek Assembly Fixture  Test Equipment RFQ_20090427_Xl0000002_Leopard RFQ ME BOM Costs-0618_Bolt RFQ_Foxlink_03.1 2011_nego meeting@MACH 5" xfId="34538"/>
    <cellStyle name="壞_Creek Assembly Fixture  Test Equipment RFQ_20090427_Xl0000002_Leopard RFQ ME BOM Costs-0618-2 2" xfId="34539"/>
    <cellStyle name="壞_Creek Assembly Fixture  Test Equipment RFQ_20090427_Xl0000002_Leopard RFQ ME BOM Costs-0618-2 2 2" xfId="34540"/>
    <cellStyle name="壞_Creek Assembly Fixture  Test Equipment RFQ_20090427_Xl0000002_Leopard RFQ ME BOM Costs-0618-2 2 2 3" xfId="34541"/>
    <cellStyle name="壞_Creek Assembly Fixture  Test Equipment RFQ_20090427_Xl0000002_Leopard RFQ ME BOM Costs-0618-2 2 3" xfId="34542"/>
    <cellStyle name="壞_Creek Assembly Fixture  Test Equipment RFQ_20090427_Xl0000002_Leopard RFQ ME BOM Costs-0618-2 2 3 2" xfId="34543"/>
    <cellStyle name="壞_Creek Assembly Fixture  Test Equipment RFQ_20090427_Xl0000002_Leopard RFQ ME BOM Costs-0618-2 2 3 3" xfId="34544"/>
    <cellStyle name="壞_Creek Assembly Fixture  Test Equipment RFQ_20090427_Xl0000002_Leopard RFQ ME BOM Costs-0618-2 3" xfId="34545"/>
    <cellStyle name="壞_Creek Assembly Fixture  Test Equipment RFQ_20090427_Xl0000002_Leopard RFQ ME BOM Costs-0618-2 3 2" xfId="34546"/>
    <cellStyle name="壞_Creek Assembly Fixture  Test Equipment RFQ_20090427_Xl0000002_Leopard RFQ ME BOM Costs-0618-2 3 3" xfId="34547"/>
    <cellStyle name="壞_Creek Assembly Fixture  Test Equipment RFQ_20090427_Xl0000002_Leopard RFQ ME BOM Costs-0618-2 4" xfId="34548"/>
    <cellStyle name="壞_Creek Assembly Fixture  Test Equipment RFQ_20090427_Xl0000002_Leopard RFQ ME BOM Costs-0618-2 4 2" xfId="34549"/>
    <cellStyle name="壞_Creek Assembly Fixture  Test Equipment RFQ_20090427_Xl0000002_Leopard RFQ ME BOM Costs-0618-2 4 3" xfId="34550"/>
    <cellStyle name="壞_Creek Assembly Fixture  Test Equipment RFQ_20090427_Xl0000002_Leopard RFQ ME BOM Costs-0618-2_Bolt RFQ Proposal_Foxlink_ (Pricing Summary) 2 25 2011" xfId="34551"/>
    <cellStyle name="壞_Creek Assembly Fixture  Test Equipment RFQ_20090427_Xl0000002_Leopard RFQ ME BOM Costs-0618-2_Bolt RFQ Proposal_Foxlink_ (Pricing Summary) 2 25 2011 2 2" xfId="34552"/>
    <cellStyle name="壞_Creek Assembly Fixture  Test Equipment RFQ_20090427_Xl0000002_Leopard RFQ ME BOM Costs-0618-2_Bolt RFQ Proposal_Foxlink_ (Pricing Summary) 2 25 2011 2 2 2" xfId="34553"/>
    <cellStyle name="壞_Creek Assembly Fixture  Test Equipment RFQ_20090427_Xl0000002_Leopard RFQ ME BOM Costs-0618-2_Bolt RFQ Proposal_Foxlink_ (Pricing Summary) 2 25 2011 2 2 3" xfId="34554"/>
    <cellStyle name="壞_Creek Assembly Fixture  Test Equipment RFQ_20090427_Xl0000002_Leopard RFQ ME BOM Costs-0618-2_Bolt RFQ Proposal_Foxlink_ (Pricing Summary) 2 25 2011 2 3" xfId="34555"/>
    <cellStyle name="壞_Creek Assembly Fixture  Test Equipment RFQ_20090427_Xl0000002_Leopard RFQ ME BOM Costs-0618-2_Bolt RFQ Proposal_Foxlink_ (Pricing Summary) 2 25 2011 2 3 2" xfId="34556"/>
    <cellStyle name="壞_Creek Assembly Fixture  Test Equipment RFQ_20090427_Xl0000002_Leopard RFQ ME BOM Costs-0618-2_Bolt RFQ Proposal_Foxlink_ (Pricing Summary) 2 25 2011 2 3 3" xfId="34557"/>
    <cellStyle name="壞_Creek Assembly Fixture  Test Equipment RFQ_20090427_Xl0000002_Leopard RFQ ME BOM Costs-0618-2_Bolt RFQ Proposal_Foxlink_ (Pricing Summary) 2 25 2011 3" xfId="34558"/>
    <cellStyle name="壞_Creek Assembly Fixture  Test Equipment RFQ_20090427_Xl0000002_Leopard RFQ ME BOM Costs-0618-2_Bolt RFQ Proposal_Foxlink_ (Pricing Summary) 2 25 2011 4" xfId="34559"/>
    <cellStyle name="壞_Creek Assembly Fixture  Test Equipment RFQ_20090427_Xl0000002_Leopard RFQ ME BOM Costs-0618-2_Bolt RFQ Proposal_Foxlink_ (Pricing Summary) 2 25 2011 4 2" xfId="34560"/>
    <cellStyle name="壞_Creek Assembly Fixture  Test Equipment RFQ_20090427_Xl0000002_Leopard RFQ ME BOM Costs-0618-2_Bolt RFQ Proposal_Foxlink_ (Pricing Summary) 2 25 2011 4 3" xfId="34561"/>
    <cellStyle name="壞_Creek Assembly Fixture  Test Equipment RFQ_20090427_Xl0000002_Leopard RFQ ME BOM Costs-0618-2_Bolt RFQ Proposal_Foxlink_ (Pricing Summary) 2 25 2011 5" xfId="34562"/>
    <cellStyle name="壞_Creek Assembly Fixture  Test Equipment RFQ_20090427_Xl0000002_Leopard RFQ ME BOM Costs-0618-2_Bolt RFQ Proposal_Foxlink_ (Pricing Summary) 2 25 2011 5 2" xfId="34563"/>
    <cellStyle name="壞_Creek Assembly Fixture  Test Equipment RFQ_20090427_Xl0000002_Leopard RFQ ME BOM Costs-0618-2_Bolt RFQ Proposal_Foxlink_ (Pricing Summary) 2 25 2011 5 3" xfId="34564"/>
    <cellStyle name="壞_Creek Assembly Fixture  Test Equipment RFQ_20090427_Xl0000002_Leopard RFQ ME BOM Costs-0618-2_Bolt RFQ Proposal_Foxlink_ (Pricing Summary) 2 25 2011 6" xfId="34565"/>
    <cellStyle name="壞_Creek Assembly Fixture  Test Equipment RFQ_20090427_Xl0000002_Leopard RFQ ME BOM Costs-0618-2_Bolt RFQ Proposal_Foxlink_ (Pricing Summary) 2 25 2011 6 2" xfId="34566"/>
    <cellStyle name="壞_Creek Assembly Fixture  Test Equipment RFQ_20090427_Xl0000002_Leopard RFQ ME BOM Costs-0618-2_Bolt RFQ Proposal_Foxlink_ (Pricing Summary) 2 25 2011 6 3" xfId="34567"/>
    <cellStyle name="壞_Creek Assembly Fixture  Test Equipment RFQ_20090427_Xl0000002_Leopard RFQ ME BOM Costs-0618-2_Bolt RFQ Proposal_Foxlink_ (Pricing Summary) 2 25 2011 7" xfId="34568"/>
    <cellStyle name="壞_Creek Assembly Fixture  Test Equipment RFQ_20090427_Xl0000002_Leopard RFQ ME BOM Costs-0618-2_Bolt RFQ Proposal_Foxlink_ (Pricing Summary) 2 25 2011 8" xfId="34569"/>
    <cellStyle name="壞_Creek Assembly Fixture  Test Equipment RFQ_20090427_Xl0000002_Leopard RFQ ME BOM Costs-0618-2_Bolt RFQ_Foxlink_03.1 2011" xfId="34570"/>
    <cellStyle name="壞_Creek Assembly Fixture  Test Equipment RFQ_20090427_Xl0000002_Leopard RFQ ME BOM Costs-0618-2_Bolt RFQ_Foxlink_03.1 2011 2" xfId="34571"/>
    <cellStyle name="壞_Creek Assembly Fixture  Test Equipment RFQ_20090427_Xl0000002_Leopard RFQ ME BOM Costs-0618-2_Bolt RFQ_Foxlink_03.1 2011 2 2" xfId="34572"/>
    <cellStyle name="壞_Creek Assembly Fixture  Test Equipment RFQ_20090427_Xl0000002_Leopard RFQ ME BOM Costs-0618-2_Bolt RFQ_Foxlink_03.1 2011 3" xfId="34573"/>
    <cellStyle name="壞_Creek Assembly Fixture  Test Equipment RFQ_20090427_Xl0000002_Leopard RFQ ME BOM Costs-0618-2_Bolt RFQ_Foxlink_03.1 2011 3 2" xfId="34574"/>
    <cellStyle name="壞_Creek Assembly Fixture  Test Equipment RFQ_20090427_Xl0000002_Leopard RFQ ME BOM Costs-0618-2_Bolt RFQ_Foxlink_03.1 2011 4" xfId="34575"/>
    <cellStyle name="壞_Creek Assembly Fixture  Test Equipment RFQ_20090427_Xl0000002_Leopard RFQ ME BOM Costs-0618-2_Bolt RFQ_Foxlink_03.1 2011 5" xfId="34576"/>
    <cellStyle name="壞_Creek Assembly Fixture  Test Equipment RFQ_20090427_Xl0000002_Leopard RFQ ME BOM Costs-0618-2_Bolt RFQ_Foxlink_03.1 2011_nego meeting@MACH" xfId="34577"/>
    <cellStyle name="壞_Creek Assembly Fixture  Test Equipment RFQ_20090427_Xl0000002_Leopard RFQ ME BOM Costs-0618-2_Bolt RFQ_Foxlink_03.1 2011_nego meeting@MACH 2" xfId="34578"/>
    <cellStyle name="壞_Creek Assembly Fixture  Test Equipment RFQ_20090427_Xl0000002_Leopard RFQ ME BOM Costs-0618-2_Bolt RFQ_Foxlink_03.1 2011_nego meeting@MACH 2 2" xfId="34579"/>
    <cellStyle name="壞_Creek Assembly Fixture  Test Equipment RFQ_20090427_Xl0000002_Leopard RFQ ME BOM Costs-0618-2_Bolt RFQ_Foxlink_03.1 2011_nego meeting@MACH 2 3" xfId="34580"/>
    <cellStyle name="壞_Creek Assembly Fixture  Test Equipment RFQ_20090427_Xl0000002_Leopard RFQ ME BOM Costs-0618-2_Bolt RFQ_Foxlink_03.1 2011_nego meeting@MACH 3" xfId="34581"/>
    <cellStyle name="壞_Creek Assembly Fixture  Test Equipment RFQ_20090427_Xl0000002_Leopard RFQ ME BOM Costs-0618-2_Bolt RFQ_Foxlink_03.1 2011_nego meeting@MACH 3 2" xfId="34582"/>
    <cellStyle name="壞_Creek Assembly Fixture  Test Equipment RFQ_20090427_Xl0000002_Leopard RFQ ME BOM Costs-0618-2_Bolt RFQ_Foxlink_03.1 2011_nego meeting@MACH 3 3" xfId="34583"/>
    <cellStyle name="壞_Creek Assembly Fixture  Test Equipment RFQ_20090427_Xl0000002_Leopard RFQ ME BOM Costs-0618-2_Bolt RFQ_Foxlink_03.1 2011_nego meeting@MACH 4" xfId="34584"/>
    <cellStyle name="壞_Creek Assembly Fixture  Test Equipment RFQ_20090427_Xl0000002_Leopard RFQ ME BOM Costs-0618-2_Bolt RFQ_Foxlink_03.1 2011_nego meeting@MACH 5" xfId="34585"/>
    <cellStyle name="壞_Creek Assembly Fixture  Test Equipment RFQ_20090427_Xl0000002_Leopard UniBom_Foxlink_6 21 2010-ME_nego 2 2" xfId="34586"/>
    <cellStyle name="壞_Creek Assembly Fixture  Test Equipment RFQ_20090427_Xl0000002_Leopard UniBom_Foxlink_6 21 2010-ME_nego 2 2 2" xfId="34587"/>
    <cellStyle name="壞_Creek Assembly Fixture  Test Equipment RFQ_20090427_Xl0000002_Leopard UniBom_Foxlink_6 21 2010-ME_nego 2 2 3" xfId="34588"/>
    <cellStyle name="壞_Creek Assembly Fixture  Test Equipment RFQ_20090427_Xl0000002_Leopard UniBom_Foxlink_6 21 2010-ME_nego 2 3" xfId="34589"/>
    <cellStyle name="壞_Creek Assembly Fixture  Test Equipment RFQ_20090427_Xl0000002_Leopard UniBom_Foxlink_6 21 2010-ME_nego 2 3 2" xfId="34590"/>
    <cellStyle name="壞_Creek Assembly Fixture  Test Equipment RFQ_20090427_Xl0000002_Leopard UniBom_Foxlink_6 21 2010-ME_nego 2 3 3" xfId="34591"/>
    <cellStyle name="壞_Creek Assembly Fixture  Test Equipment RFQ_20090427_Xl0000002_Leopard UniBom_Foxlink_6 21 2010-ME_nego 3 2" xfId="34592"/>
    <cellStyle name="壞_Erie Assembly Fixture  Test Equip Cost_20090716_Foxlink_Shadow RFQ NREUni BOM_12032009_Bolt RFQ Proposal_Foxlink_ (Pricing Summary) 2 25 2011 4 2" xfId="34593"/>
    <cellStyle name="壞_Creek Assembly Fixture  Test Equipment RFQ_20090427_Xl0000002_Leopard UniBom_Foxlink_6 21 2010-ME_nego 3 3" xfId="34594"/>
    <cellStyle name="壞_Creek Assembly Fixture  Test Equipment RFQ_20090427_Xl0000002_Leopard UniBom_Foxlink_6 21 2010-ME_nego 4 2" xfId="34595"/>
    <cellStyle name="壞_Erie Assembly Fixture  Test Equip Cost_20090716_Foxlink_Shadow RFQ NREUni BOM_12032009_Bolt RFQ Proposal_Foxlink_ (Pricing Summary) 2 25 2011 5 2" xfId="34596"/>
    <cellStyle name="壞_Creek Assembly Fixture  Test Equipment RFQ_20090427_Xl0000002_Leopard UniBom_Foxlink_6 21 2010-ME_nego 4 3" xfId="34597"/>
    <cellStyle name="壞_Creek Assembly Fixture  Test Equipment RFQ_20090427_Xl0000002_Leopard UniBom_Foxlink_6 21 2010-ME_nego_Bolt RFQ Proposal_Foxlink_ (Pricing Summary) 2 25 2011" xfId="34598"/>
    <cellStyle name="壞_Creek Assembly Fixture  Test Equipment RFQ_20090427_Xl0000002_Leopard UniBom_Foxlink_6 21 2010-ME_nego_Bolt RFQ Proposal_Foxlink_ (Pricing Summary) 2 25 2011 2" xfId="34599"/>
    <cellStyle name="壞_Creek Assembly Fixture  Test Equipment RFQ_20090427_Xl0000002_Leopard UniBom_Foxlink_6 21 2010-ME_nego_Bolt RFQ Proposal_Foxlink_ (Pricing Summary) 2 25 2011 2 2" xfId="34600"/>
    <cellStyle name="壞_Creek Assembly Fixture  Test Equipment RFQ_20090427_Xl0000002_Leopard UniBom_Foxlink_6 21 2010-ME_nego_Bolt RFQ Proposal_Foxlink_ (Pricing Summary) 2 25 2011 2 2 2" xfId="34601"/>
    <cellStyle name="壞_Creek Assembly Fixture  Test Equipment RFQ_20090427_Xl0000002_Leopard UniBom_Foxlink_6 21 2010-ME_nego_Bolt RFQ Proposal_Foxlink_ (Pricing Summary) 2 25 2011 2 2 3" xfId="34602"/>
    <cellStyle name="壞_Creek Assembly Fixture  Test Equipment RFQ_20090427_Xl0000002_Leopard UniBom_Foxlink_6 21 2010-ME_nego_Bolt RFQ Proposal_Foxlink_ (Pricing Summary) 2 25 2011 2 3" xfId="34603"/>
    <cellStyle name="壞_Creek Assembly Fixture  Test Equipment RFQ_20090427_Xl0000002_Leopard UniBom_Foxlink_6 21 2010-ME_nego_Bolt RFQ Proposal_Foxlink_ (Pricing Summary) 2 25 2011 2 3 2" xfId="34604"/>
    <cellStyle name="壞_Creek Assembly Fixture  Test Equipment RFQ_20090427_Xl0000002_Leopard UniBom_Foxlink_6 21 2010-ME_nego_Bolt RFQ Proposal_Foxlink_ (Pricing Summary) 2 25 2011 2 3 3" xfId="34605"/>
    <cellStyle name="壞_Creek Assembly Fixture  Test Equipment RFQ_20090427_Xl0000002_Leopard UniBom_Foxlink_6 21 2010-ME_nego_Bolt RFQ Proposal_Foxlink_ (Pricing Summary) 2 25 2011 3" xfId="34606"/>
    <cellStyle name="壞_Creek Assembly Fixture  Test Equipment RFQ_20090427_Xl0000002_Leopard UniBom_Foxlink_6 21 2010-ME_nego_Bolt RFQ Proposal_Foxlink_ (Pricing Summary) 2 25 2011 4" xfId="34607"/>
    <cellStyle name="壞_Creek Assembly Fixture  Test Equipment RFQ_20090427_Xl0000002_Leopard UniBom_Foxlink_6 21 2010-ME_nego_Bolt RFQ Proposal_Foxlink_ (Pricing Summary) 2 25 2011 4 2" xfId="34608"/>
    <cellStyle name="壞_Creek Assembly Fixture  Test Equipment RFQ_20090427_Xl0000002_Leopard UniBom_Foxlink_6 21 2010-ME_nego_Bolt RFQ Proposal_Foxlink_ (Pricing Summary) 2 25 2011 4 3" xfId="34609"/>
    <cellStyle name="壞_Creek Assembly Fixture  Test Equipment RFQ_20090427_Xl0000002_Leopard UniBom_Foxlink_6 21 2010-ME_nego_Bolt RFQ Proposal_Foxlink_ (Pricing Summary) 2 25 2011 5 2" xfId="34610"/>
    <cellStyle name="壞_Creek Assembly Fixture  Test Equipment RFQ_20090427_Xl0000002_Leopard UniBom_Foxlink_6 21 2010-ME_nego_Bolt RFQ Proposal_Foxlink_ (Pricing Summary) 2 25 2011 5 3" xfId="34611"/>
    <cellStyle name="壞_Creek Assembly Fixture  Test Equipment RFQ_20090427_Xl0000002_Leopard UniBom_Foxlink_6 21 2010-ME_nego_Bolt RFQ Proposal_Foxlink_ (Pricing Summary) 2 25 2011 6" xfId="34612"/>
    <cellStyle name="壞_Creek Assembly Fixture  Test Equipment RFQ_20090427_Xl0000002_Leopard UniBom_Foxlink_6 21 2010-ME_nego_Bolt RFQ Proposal_Foxlink_ (Pricing Summary) 2 25 2011 6 2" xfId="34613"/>
    <cellStyle name="壞_Creek Assembly Fixture  Test Equipment RFQ_20090427_Xl0000002_Leopard UniBom_Foxlink_6 21 2010-ME_nego_Bolt RFQ Proposal_Foxlink_ (Pricing Summary) 2 25 2011 6 3" xfId="34614"/>
    <cellStyle name="壞_Creek Assembly Fixture  Test Equipment RFQ_20090427_Xl0000002_Leopard UniBom_Foxlink_6 21 2010-ME_nego_Bolt RFQ Proposal_Foxlink_ (Pricing Summary) 2 25 2011 7" xfId="34615"/>
    <cellStyle name="壞_Creek Assembly Fixture  Test Equipment RFQ_20090427_Xl0000002_Leopard UniBom_Foxlink_6 21 2010-ME_nego_Bolt RFQ Proposal_Foxlink_ (Pricing Summary) 2 25 2011 8" xfId="34616"/>
    <cellStyle name="壞_Creek Assembly Fixture  Test Equipment RFQ_20090427_Xl0000002_Leopard UniBom_Foxlink_6 21 2010-ME_nego_Bolt RFQ_Foxlink_03.1 2011" xfId="34617"/>
    <cellStyle name="壞_Creek Assembly Fixture  Test Equipment RFQ_20090427_Xl0000002_Leopard UniBom_Foxlink_6 21 2010-ME_nego_Bolt RFQ_Foxlink_03.1 2011 2" xfId="34618"/>
    <cellStyle name="壞_Creek Assembly Fixture  Test Equipment RFQ_20090427_Xl0000002_Leopard UniBom_Foxlink_6 21 2010-ME_nego_Bolt RFQ_Foxlink_03.1 2011 2 2" xfId="34619"/>
    <cellStyle name="壞_Creek Assembly Fixture  Test Equipment RFQ_20090427_Xl0000002_Leopard UniBom_Foxlink_6 21 2010-ME_nego_Bolt RFQ_Foxlink_03.1 2011 3" xfId="34620"/>
    <cellStyle name="壞_Creek Assembly Fixture  Test Equipment RFQ_20090427_Xl0000002_Leopard UniBom_Foxlink_6 21 2010-ME_nego_Bolt RFQ_Foxlink_03.1 2011 3 2" xfId="34621"/>
    <cellStyle name="壞_Creek Assembly Fixture  Test Equipment RFQ_20090427_Xl0000002_Leopard UniBom_Foxlink_6 21 2010-ME_nego_Bolt RFQ_Foxlink_03.1 2011 4" xfId="34622"/>
    <cellStyle name="壞_Creek Assembly Fixture  Test Equipment RFQ_20090427_Xl0000002_Leopard UniBom_Foxlink_6 21 2010-ME_nego_Bolt RFQ_Foxlink_03.1 2011 5" xfId="34623"/>
    <cellStyle name="壞_Creek Assembly Fixture  Test Equipment RFQ_20090427_Xl0000002_Leopard UniBom_Foxlink_6 21 2010-ME_nego_Bolt RFQ_Foxlink_03.1 2011_nego meeting@MACH" xfId="34624"/>
    <cellStyle name="壞_Creek Assembly Fixture  Test Equipment RFQ_20090427_Xl0000002_Leopard UniBom_Foxlink_6 21 2010-ME_nego_Bolt RFQ_Foxlink_03.1 2011_nego meeting@MACH 2" xfId="34625"/>
    <cellStyle name="壞_Creek Assembly Fixture  Test Equipment RFQ_20090427_Xl0000002_Leopard UniBom_Foxlink_6 21 2010-ME_nego_Bolt RFQ_Foxlink_03.1 2011_nego meeting@MACH 2 2" xfId="34626"/>
    <cellStyle name="壞_Creek Assembly Fixture  Test Equipment RFQ_20090427_Xl0000002_Leopard UniBom_Foxlink_6 21 2010-ME_nego_Bolt RFQ_Foxlink_03.1 2011_nego meeting@MACH 2 3" xfId="34627"/>
    <cellStyle name="壞_Creek Assembly Fixture  Test Equipment RFQ_20090427_Xl0000002_Leopard UniBom_Foxlink_6 21 2010-ME_nego_Bolt RFQ_Foxlink_03.1 2011_nego meeting@MACH 3 2" xfId="34628"/>
    <cellStyle name="壞_Creek Assembly Fixture  Test Equipment RFQ_20090427_Xl0000002_Leopard UniBom_Foxlink_6 21 2010-ME_nego_Bolt RFQ_Foxlink_03.1 2011_nego meeting@MACH 3 3" xfId="34629"/>
    <cellStyle name="壞_Creek Assembly Fixture  Test Equipment RFQ_20090427_Xl0000002_Leopard UniBom_Foxlink_6 21 2010-ME_nego_Bolt RFQ_Foxlink_03.1 2011_nego meeting@MACH 5" xfId="34630"/>
    <cellStyle name="壞_Creek Assembly Fixture  Test Equipment RFQ_20090427_Xl0000002_Leopard UniBom_Foxlink_6 21 2010-nego" xfId="34631"/>
    <cellStyle name="壞_Creek Assembly Fixture  Test Equipment RFQ_20090427_Xl0000002_Leopard UniBom_true cost_6.23.2010" xfId="34632"/>
    <cellStyle name="壞_Creek Assembly Fixture  Test Equipment RFQ_20090427_Xl0000002_Leopard UniBom-06 22 2010_update_internal" xfId="34633"/>
    <cellStyle name="壞_Creek Assembly Fixture  Test Equipment RFQ_20090427_Xl0000002_Leopard_UniBOM_ME_0531" xfId="34634"/>
    <cellStyle name="壞_Creek Assembly Fixture  Test Equipment RFQ_20090427_Xl0000002_Leopard_UniBOM_ME_0531 2" xfId="34635"/>
    <cellStyle name="壞_Creek Assembly Fixture  Test Equipment RFQ_20090427_Xl0000002_Leopard_UniBOM_ME_0531 2 2" xfId="34636"/>
    <cellStyle name="壞_Creek Assembly Fixture  Test Equipment RFQ_20090427_Xl0000002_Leopard_UniBOM_ME_0531 2 2 2" xfId="34637"/>
    <cellStyle name="壞_Creek Assembly Fixture  Test Equipment RFQ_20090427_Xl0000002_Leopard_UniBOM_ME_0531 2 2 3" xfId="34638"/>
    <cellStyle name="壞_Creek Assembly Fixture  Test Equipment RFQ_20090427_Xl0000002_Leopard_UniBOM_ME_0531 2 3" xfId="34639"/>
    <cellStyle name="壞_Erie Assembly Fixture  Test Equip Cost_20090716_Jackson and Shadow test cost update _7th Feb 2010 (2)_Bristol TC Estimate Update 07292011" xfId="34640"/>
    <cellStyle name="壞_Creek Assembly Fixture  Test Equipment RFQ_20090427_Xl0000002_Leopard_UniBOM_ME_0531 2 3 2" xfId="34641"/>
    <cellStyle name="壞_Creek Assembly Fixture  Test Equipment RFQ_20090427_Xl0000002_Leopard_UniBOM_ME_0531 2 3 3" xfId="34642"/>
    <cellStyle name="壞_Creek Assembly Fixture  Test Equipment RFQ_20090427_Xl0000002_Leopard_UniBOM_ME_0531 3" xfId="34643"/>
    <cellStyle name="壞_Creek Assembly Fixture  Test Equipment RFQ_20090427_Xl0000002_Leopard_UniBOM_ME_0531 3 2" xfId="34644"/>
    <cellStyle name="壞_Creek Assembly Fixture  Test Equipment RFQ_20090427_Xl0000002_Leopard_UniBOM_ME_0531 3 3" xfId="34645"/>
    <cellStyle name="壞_Creek Assembly Fixture  Test Equipment RFQ_20090427_Xl0000002_Leopard_UniBOM_ME_0531 4" xfId="34646"/>
    <cellStyle name="壞_Creek Assembly Fixture  Test Equipment RFQ_20090427_Xl0000002_Leopard_UniBOM_ME_0531 4 2" xfId="34647"/>
    <cellStyle name="壞_Creek Assembly Fixture  Test Equipment RFQ_20090427_Xl0000002_Leopard_UniBOM_ME_0531 4 3" xfId="34648"/>
    <cellStyle name="壞_Creek Assembly Fixture  Test Equipment RFQ_20090427_Xl0000002_Leopard_UniBOM_ME_0531_Bolt RFQ Proposal_Foxlink_ (Pricing Summary) 2 25 2011" xfId="34649"/>
    <cellStyle name="壞_Creek Assembly Fixture  Test Equipment RFQ_20090427_Xl0000002_Leopard_UniBOM_ME_0531_Bolt RFQ Proposal_Foxlink_ (Pricing Summary) 2 25 2011 2" xfId="34650"/>
    <cellStyle name="壞_Creek Assembly Fixture  Test Equipment RFQ_20090427_Xl0000002_Leopard_UniBOM_ME_0531_Bolt RFQ Proposal_Foxlink_ (Pricing Summary) 2 25 2011 2 2 2" xfId="34651"/>
    <cellStyle name="壞_Creek Assembly Fixture  Test Equipment RFQ_20090427_Xl0000002_Leopard_UniBOM_ME_0531_Bolt RFQ Proposal_Foxlink_ (Pricing Summary) 2 25 2011 2 2 3" xfId="34652"/>
    <cellStyle name="壞_Creek Assembly Fixture  Test Equipment RFQ_20090427_Xl0000002_Leopard_UniBOM_ME_0531_Bolt RFQ Proposal_Foxlink_ (Pricing Summary) 2 25 2011 2 3" xfId="34653"/>
    <cellStyle name="壞_Creek Assembly Fixture  Test Equipment RFQ_20090427_Xl0000002_Leopard_UniBOM_ME_0531_Bolt RFQ Proposal_Foxlink_ (Pricing Summary) 2 25 2011 2 3 3" xfId="34654"/>
    <cellStyle name="壞_Creek Assembly Fixture  Test Equipment RFQ_20090427_Xl0000002_Leopard_UniBOM_ME_0531_Bolt RFQ Proposal_Foxlink_ (Pricing Summary) 2 25 2011 3" xfId="34655"/>
    <cellStyle name="壞_Creek Assembly Fixture  Test Equipment RFQ_20090427_Xl0000002_Leopard_UniBOM_ME_0531_Bolt RFQ Proposal_Foxlink_ (Pricing Summary) 2 25 2011 4" xfId="34656"/>
    <cellStyle name="壞_Creek Assembly Fixture  Test Equipment RFQ_20090427_Xl0000002_Leopard_UniBOM_ME_0531_Bolt RFQ Proposal_Foxlink_ (Pricing Summary) 2 25 2011 4 2" xfId="34657"/>
    <cellStyle name="壞_Creek Assembly Fixture  Test Equipment RFQ_20090427_Xl0000002_Leopard_UniBOM_ME_0531_Bolt RFQ Proposal_Foxlink_ (Pricing Summary) 2 25 2011 4 3" xfId="34658"/>
    <cellStyle name="壞_Creek Assembly Fixture  Test Equipment RFQ_20090427_Xl0000002_Leopard_UniBOM_ME_0531_Bolt RFQ Proposal_Foxlink_ (Pricing Summary) 2 25 2011 5" xfId="34659"/>
    <cellStyle name="壞_Creek Assembly Fixture  Test Equipment RFQ_20090427_Xl0000002_Leopard_UniBOM_ME_0531_Bolt RFQ Proposal_Foxlink_ (Pricing Summary) 2 25 2011 5 3" xfId="34660"/>
    <cellStyle name="壞_Creek Assembly Fixture  Test Equipment RFQ_20090427_Xl0000002_Leopard_UniBOM_ME_0531_Bolt RFQ Proposal_Foxlink_ (Pricing Summary) 2 25 2011 6" xfId="34661"/>
    <cellStyle name="壞_Creek Assembly Fixture  Test Equipment RFQ_20090427_Xl0000002_Leopard_UniBOM_ME_0531_Bolt RFQ Proposal_Foxlink_ (Pricing Summary) 2 25 2011 6 2" xfId="34662"/>
    <cellStyle name="壞_Creek Assembly Fixture  Test Equipment RFQ_20090427_Xl0000002_Leopard_UniBOM_ME_0531_Bolt RFQ Proposal_Foxlink_ (Pricing Summary) 2 25 2011 6 3" xfId="34663"/>
    <cellStyle name="壞_Creek Assembly Fixture  Test Equipment RFQ_20090427_Xl0000002_Leopard_UniBOM_ME_0531_Bolt RFQ Proposal_Foxlink_ (Pricing Summary) 2 25 2011 7" xfId="34664"/>
    <cellStyle name="壞_Creek Assembly Fixture  Test Equipment RFQ_20090427_Xl0000002_Leopard_UniBOM_ME_0531_Bolt RFQ Proposal_Foxlink_ (Pricing Summary) 2 25 2011 8" xfId="34665"/>
    <cellStyle name="壞_Creek Assembly Fixture  Test Equipment RFQ_20090427_Xl0000002_Leopard_UniBOM_ME_0531_Bolt RFQ_Foxlink_03.1 2011" xfId="34666"/>
    <cellStyle name="壞_Creek Assembly Fixture  Test Equipment RFQ_20090427_Xl0000002_Leopard_UniBOM_ME_0531_Bolt RFQ_Foxlink_03.1 2011 2" xfId="34667"/>
    <cellStyle name="壞_Creek Assembly Fixture  Test Equipment RFQ_20090427_Xl0000002_Leopard_UniBOM_ME_0531_Bolt RFQ_Foxlink_03.1 2011 2 2" xfId="34668"/>
    <cellStyle name="壞_Creek Assembly Fixture  Test Equipment RFQ_20090427_Xl0000002_Leopard_UniBOM_ME_0531_Bolt RFQ_Foxlink_03.1 2011 2 3" xfId="34669"/>
    <cellStyle name="壞_Creek Assembly Fixture  Test Equipment RFQ_20090427_Xl0000002_Leopard_UniBOM_ME_0531_Bolt RFQ_Foxlink_03.1 2011 3" xfId="34670"/>
    <cellStyle name="壞_Creek Assembly Fixture  Test Equipment RFQ_20090427_Xl0000002_Leopard_UniBOM_ME_0531_Bolt RFQ_Foxlink_03.1 2011 3 2" xfId="34671"/>
    <cellStyle name="壞_Creek Assembly Fixture  Test Equipment RFQ_20090427_Xl0000002_Leopard_UniBOM_ME_0531_Bolt RFQ_Foxlink_03.1 2011 3 3" xfId="34672"/>
    <cellStyle name="壞_Creek Assembly Fixture  Test Equipment RFQ_20090427_Xl0000002_Leopard_UniBOM_ME_0531_Bolt RFQ_Foxlink_03.1 2011 4" xfId="34673"/>
    <cellStyle name="壞_Creek Assembly Fixture  Test Equipment RFQ_20090427_Xl0000002_Leopard_UniBOM_ME_0531_Bolt RFQ_Foxlink_03.1 2011 5" xfId="34674"/>
    <cellStyle name="壞_Creek Assembly Fixture  Test Equipment RFQ_20090427_Xl0000002_Leopard_UniBOM_ME_0531_Bolt RFQ_Foxlink_03.1 2011_nego meeting@MACH" xfId="34675"/>
    <cellStyle name="壞_Creek Assembly Fixture  Test Equipment RFQ_20090427_Xl0000002_Leopard_UniBOM_ME_0531_Bolt RFQ_Foxlink_03.1 2011_nego meeting@MACH 2" xfId="34676"/>
    <cellStyle name="壞_Creek Assembly Fixture  Test Equipment RFQ_20090427_Xl0000002_Leopard_UniBOM_ME_0531_Bolt RFQ_Foxlink_03.1 2011_nego meeting@MACH 2 3" xfId="34677"/>
    <cellStyle name="壞_Creek Assembly Fixture  Test Equipment RFQ_20090427_Xl0000002_Leopard_UniBOM_ME_0531_Bolt RFQ_Foxlink_03.1 2011_nego meeting@MACH 3 2" xfId="34678"/>
    <cellStyle name="壞_Creek Assembly Fixture  Test Equipment RFQ_20090427_Xl0000002_Leopard_UniBOM_ME_0531_Bolt RFQ_Foxlink_03.1 2011_nego meeting@MACH 3 3" xfId="34679"/>
    <cellStyle name="壞_Creek Assembly Fixture  Test Equipment RFQ_20090427_Xl0000002_Leopard_UniBOM_ME_0531_Bolt RFQ_Foxlink_03.1 2011_nego meeting@MACH 4" xfId="34680"/>
    <cellStyle name="壞_Creek Assembly Fixture  Test Equipment RFQ_20090427_Xl0000002_Leopard_UniBOM_ME_0531_Bolt RFQ_Foxlink_03.1 2011_nego meeting@MACH 5" xfId="34681"/>
    <cellStyle name="壞_Creek Assembly Fixture  Test Equipment RFQ_20090427_Xl0000002_Leopard_UniBOM_ME_0602" xfId="34682"/>
    <cellStyle name="壞_Creek Assembly Fixture  Test Equipment RFQ_20090427_Xl0000002_Leopard_UniBOM_ME_0602 2" xfId="34683"/>
    <cellStyle name="壞_Creek Assembly Fixture  Test Equipment RFQ_20090427_Xl0000002_Leopard_UniBOM_ME_0602 2 2" xfId="34684"/>
    <cellStyle name="壞_Creek Assembly Fixture  Test Equipment RFQ_20090427_Xl0000002_Leopard_UniBOM_ME_0602 2 2 3" xfId="34685"/>
    <cellStyle name="壞_Creek Assembly Fixture  Test Equipment RFQ_20090427_Xl0000002_Leopard_UniBOM_ME_0602 2 3" xfId="34686"/>
    <cellStyle name="壞_Creek Assembly Fixture  Test Equipment RFQ_20090427_Xl0000002_Leopard_UniBOM_ME_0602 2 3 2" xfId="34687"/>
    <cellStyle name="壞_Creek Assembly Fixture  Test Equipment RFQ_20090427_Xl0000002_Leopard_UniBOM_ME_0602 2 3 3" xfId="34688"/>
    <cellStyle name="壞_Creek Assembly Fixture  Test Equipment RFQ_20090427_Xl0000002_Leopard_UniBOM_ME_0602 3" xfId="34689"/>
    <cellStyle name="壞_Creek Assembly Fixture  Test Equipment RFQ_20090427_Xl0000002_Leopard_UniBOM_ME_0602 3 2" xfId="34690"/>
    <cellStyle name="壞_Creek Assembly Fixture  Test Equipment RFQ_20090427_Xl0000002_Leopard_UniBOM_ME_0602 4" xfId="34691"/>
    <cellStyle name="壞_Creek Assembly Fixture  Test Equipment RFQ_20090427_Xl0000002_Leopard_UniBOM_ME_0602 4 2" xfId="34692"/>
    <cellStyle name="壞_Creek Assembly Fixture  Test Equipment RFQ_20090427_Xl0000002_Leopard_UniBOM_ME_0602 4 3" xfId="34693"/>
    <cellStyle name="壞_Creek Assembly Fixture  Test Equipment RFQ_20090427_Xl0000002_Leopard_UniBOM_ME_0602_Bolt RFQ Proposal_Foxlink_ (Pricing Summary) 2 25 2011 2 2 2" xfId="34694"/>
    <cellStyle name="壞_Creek Assembly Fixture  Test Equipment RFQ_20090427_Xl0000002_Leopard_UniBOM_ME_0602_Bolt RFQ Proposal_Foxlink_ (Pricing Summary) 2 25 2011 2 3 2" xfId="34695"/>
    <cellStyle name="壞_Creek Assembly Fixture  Test Equipment RFQ_20090427_Xl0000002_Leopard_UniBOM_ME_0602_Bolt RFQ Proposal_Foxlink_ (Pricing Summary) 2 25 2011 3" xfId="34696"/>
    <cellStyle name="壞_Creek Assembly Fixture  Test Equipment RFQ_20090427_Xl0000002_Leopard_UniBOM_ME_0602_Bolt RFQ Proposal_Foxlink_ (Pricing Summary) 2 25 2011 4" xfId="34697"/>
    <cellStyle name="壞_Creek Assembly Fixture  Test Equipment RFQ_20090427_Xl0000002_Leopard_UniBOM_ME_0602_Bolt RFQ Proposal_Foxlink_ (Pricing Summary) 2 25 2011 4 2" xfId="34698"/>
    <cellStyle name="壞_Creek Assembly Fixture  Test Equipment RFQ_20090427_Xl0000002_Leopard_UniBOM_ME_0602_Bolt RFQ Proposal_Foxlink_ (Pricing Summary) 2 25 2011 4 3" xfId="34699"/>
    <cellStyle name="壞_Creek Assembly Fixture  Test Equipment RFQ_20090427_Xl0000002_Leopard_UniBOM_ME_0602_Bolt RFQ Proposal_Foxlink_ (Pricing Summary) 2 25 2011 5" xfId="34700"/>
    <cellStyle name="壞_Creek Assembly Fixture  Test Equipment RFQ_20090427_Xl0000002_Leopard_UniBOM_ME_0602_Bolt RFQ Proposal_Foxlink_ (Pricing Summary) 2 25 2011 5 2" xfId="34701"/>
    <cellStyle name="壞_Creek Assembly Fixture  Test Equipment RFQ_20090427_Xl0000002_Leopard_UniBOM_ME_0602_Bolt RFQ Proposal_Foxlink_ (Pricing Summary) 2 25 2011 5 3" xfId="34702"/>
    <cellStyle name="壞_Creek Assembly Fixture  Test Equipment RFQ_20090427_Xl0000002_Leopard_UniBOM_ME_0602_Bolt RFQ Proposal_Foxlink_ (Pricing Summary) 2 25 2011 6" xfId="34703"/>
    <cellStyle name="壞_Creek Assembly Fixture  Test Equipment RFQ_20090427_Xl0000002_Leopard_UniBOM_ME_0602_Bolt RFQ Proposal_Foxlink_ (Pricing Summary) 2 25 2011 6 2" xfId="34704"/>
    <cellStyle name="壞_Creek Assembly Fixture  Test Equipment RFQ_20090427_Xl0000002_Leopard_UniBOM_ME_0602_Bolt RFQ Proposal_Foxlink_ (Pricing Summary) 2 25 2011 6 3" xfId="34705"/>
    <cellStyle name="壞_Creek Assembly Fixture  Test Equipment RFQ_20090427_Xl0000002_Leopard_UniBOM_ME_0602_Bolt RFQ Proposal_Foxlink_ (Pricing Summary) 2 25 2011 7" xfId="34706"/>
    <cellStyle name="壞_Creek Assembly Fixture  Test Equipment RFQ_20090427_Xl0000002_Leopard_UniBOM_ME_0602_Bolt RFQ Proposal_Foxlink_ (Pricing Summary) 2 25 2011 8" xfId="34707"/>
    <cellStyle name="壞_Creek Assembly Fixture  Test Equipment RFQ_20090427_Xl0000002_Leopard_UniBOM_ME_0602_Bolt RFQ_Foxlink_03.1 2011" xfId="34708"/>
    <cellStyle name="壞_Creek Assembly Fixture  Test Equipment RFQ_20090427_Xl0000002_Leopard_UniBOM_ME_0602_Bolt RFQ_Foxlink_03.1 2011 2" xfId="34709"/>
    <cellStyle name="壞_Creek Assembly Fixture  Test Equipment RFQ_20090427_Xl0000002_Leopard_UniBOM_ME_0602_Bolt RFQ_Foxlink_03.1 2011 2 2" xfId="34710"/>
    <cellStyle name="壞_Creek Assembly Fixture  Test Equipment RFQ_20090427_Xl0000002_Leopard_UniBOM_ME_0602_Bolt RFQ_Foxlink_03.1 2011 2 3" xfId="34711"/>
    <cellStyle name="壞_Creek Assembly Fixture  Test Equipment RFQ_20090427_Xl0000002_Leopard_UniBOM_ME_0602_Bolt RFQ_Foxlink_03.1 2011 3" xfId="34712"/>
    <cellStyle name="壞_Creek Assembly Fixture  Test Equipment RFQ_20090427_Xl0000002_Leopard_UniBOM_ME_0602_Bolt RFQ_Foxlink_03.1 2011 3 2" xfId="34713"/>
    <cellStyle name="壞_Creek Assembly Fixture  Test Equipment RFQ_20090427_Xl0000002_Leopard_UniBOM_ME_0602_Bolt RFQ_Foxlink_03.1 2011 3 3" xfId="34714"/>
    <cellStyle name="壞_Creek Assembly Fixture  Test Equipment RFQ_20090427_Xl0000002_Leopard_UniBOM_ME_0602_Bolt RFQ_Foxlink_03.1 2011 4" xfId="34715"/>
    <cellStyle name="壞_Creek Assembly Fixture  Test Equipment RFQ_20090427_Xl0000002_Leopard_UniBOM_ME_0602_Bolt RFQ_Foxlink_03.1 2011_nego meeting@MACH" xfId="34716"/>
    <cellStyle name="壞_Creek Assembly Fixture  Test Equipment RFQ_20090427_Xl0000002_Leopard_UniBOM_ME_0602_Bolt RFQ_Foxlink_03.1 2011_nego meeting@MACH 2" xfId="34717"/>
    <cellStyle name="壞_Creek Assembly Fixture  Test Equipment RFQ_20090427_Xl0000002_Leopard_UniBOM_ME_0602_Bolt RFQ_Foxlink_03.1 2011_nego meeting@MACH 2 2" xfId="34718"/>
    <cellStyle name="壞_Creek Assembly Fixture  Test Equipment RFQ_20090427_Xl0000002_Leopard_UniBOM_ME_0602_Bolt RFQ_Foxlink_03.1 2011_nego meeting@MACH 2 3" xfId="34719"/>
    <cellStyle name="壞_Creek Assembly Fixture  Test Equipment RFQ_20090427_Xl0000002_Leopard_UniBOM_ME_0602_Bolt RFQ_Foxlink_03.1 2011_nego meeting@MACH 3" xfId="34720"/>
    <cellStyle name="壞_Creek Assembly Fixture  Test Equipment RFQ_20090427_Xl0000002_Leopard_UniBOM_ME_0602_Bolt RFQ_Foxlink_03.1 2011_nego meeting@MACH 3 2" xfId="34721"/>
    <cellStyle name="壞_Creek Assembly Fixture  Test Equipment RFQ_20090427_Xl0000002_Leopard_UniBOM_ME_0602_Bolt RFQ_Foxlink_03.1 2011_nego meeting@MACH 4" xfId="34722"/>
    <cellStyle name="壞_Creek Assembly Fixture  Test Equipment RFQ_20090427_Xl0000002_Leopard_UniBOM_ME_0602_Bolt RFQ_Foxlink_03.1 2011_nego meeting@MACH 5" xfId="34723"/>
    <cellStyle name="壞_Creek Assembly Fixture  Test Equipment RFQ_20090427_Xl0000002_Leopard_UniBOM_ME_0602-1" xfId="34724"/>
    <cellStyle name="壞_Creek Assembly Fixture  Test Equipment RFQ_20090427_Xl0000002_Leopard_UniBOM_ME_0602-1 2" xfId="34725"/>
    <cellStyle name="壞_Creek Assembly Fixture  Test Equipment RFQ_20090427_Xl0000002_Leopard_UniBOM_ME_0602-1 2 2" xfId="34726"/>
    <cellStyle name="壞_Creek Assembly Fixture  Test Equipment RFQ_20090427_Xl0000002_Leopard_UniBOM_ME_0602-1 2 2 2" xfId="34727"/>
    <cellStyle name="壞_Creek Assembly Fixture  Test Equipment RFQ_20090427_Xl0000002_Leopard_UniBOM_ME_0602-1 2 2 3" xfId="34728"/>
    <cellStyle name="壞_Creek Assembly Fixture  Test Equipment RFQ_20090427_Xl0000002_Leopard_UniBOM_ME_0602-1 2 3" xfId="34729"/>
    <cellStyle name="壞_Creek Assembly Fixture  Test Equipment RFQ_20090427_Xl0000002_Leopard_UniBOM_ME_0602-1 2 3 2" xfId="34730"/>
    <cellStyle name="壞_Creek Assembly Fixture  Test Equipment RFQ_20090427_Xl0000002_Leopard_UniBOM_ME_0602-1 2 3 3" xfId="34731"/>
    <cellStyle name="壞_Creek Assembly Fixture  Test Equipment RFQ_20090427_Xl0000002_Leopard_UniBOM_ME_0602-1 3" xfId="34732"/>
    <cellStyle name="壞_Creek Assembly Fixture  Test Equipment RFQ_20090427_Xl0000002_Leopard_UniBOM_ME_0602-1 3 2" xfId="34733"/>
    <cellStyle name="壞_Creek Assembly Fixture  Test Equipment RFQ_20090427_Xl0000002_Leopard_UniBOM_ME_0602-1 3 3" xfId="34734"/>
    <cellStyle name="壞_Creek Assembly Fixture  Test Equipment RFQ_20090427_Xl0000002_Leopard_UniBOM_ME_0602-1 4" xfId="34735"/>
    <cellStyle name="壞_Creek Assembly Fixture  Test Equipment RFQ_20090427_Xl0000002_Leopard_UniBOM_ME_0602-1 4 2" xfId="34736"/>
    <cellStyle name="壞_Creek Assembly Fixture  Test Equipment RFQ_20090427_Xl0000002_Leopard_UniBOM_ME_0602-1 4 3" xfId="34737"/>
    <cellStyle name="壞_Creek Assembly Fixture  Test Equipment RFQ_20090427_Xl0000002_Leopard_UniBOM_ME_0602-1_Bolt RFQ Proposal_Foxlink_ (Pricing Summary) 2 25 2011" xfId="34738"/>
    <cellStyle name="壞_Creek Assembly Fixture  Test Equipment RFQ_20090427_Xl0000002_Leopard_UniBOM_ME_0602-1_Bolt RFQ Proposal_Foxlink_ (Pricing Summary) 2 25 2011 2 2" xfId="34739"/>
    <cellStyle name="壞_Creek Assembly Fixture  Test Equipment RFQ_20090427_Xl0000002_Leopard_UniBOM_ME_0602-1_Bolt RFQ Proposal_Foxlink_ (Pricing Summary) 2 25 2011 2 2 2" xfId="34740"/>
    <cellStyle name="壞_Creek Assembly Fixture  Test Equipment RFQ_20090427_Xl0000002_Leopard_UniBOM_ME_0602-1_Bolt RFQ Proposal_Foxlink_ (Pricing Summary) 2 25 2011 2 2 3" xfId="34741"/>
    <cellStyle name="壞_Creek Assembly Fixture  Test Equipment RFQ_20090427_Xl0000002_Leopard_UniBOM_ME_0602-1_Bolt RFQ Proposal_Foxlink_ (Pricing Summary) 2 25 2011 2 3" xfId="34742"/>
    <cellStyle name="壞_Creek Assembly Fixture  Test Equipment RFQ_20090427_Xl0000002_Leopard_UniBOM_ME_0602-1_Bolt RFQ Proposal_Foxlink_ (Pricing Summary) 2 25 2011 2 3 2" xfId="34743"/>
    <cellStyle name="壞_Creek Assembly Fixture  Test Equipment RFQ_20090427_Xl0000002_Leopard_UniBOM_ME_0602-1_Bolt RFQ Proposal_Foxlink_ (Pricing Summary) 2 25 2011 2 3 3" xfId="34744"/>
    <cellStyle name="壞_Creek Assembly Fixture  Test Equipment RFQ_20090427_Xl0000002_Leopard_UniBOM_ME_0602-1_Bolt RFQ Proposal_Foxlink_ (Pricing Summary) 2 25 2011 4" xfId="34745"/>
    <cellStyle name="壞_Creek Assembly Fixture  Test Equipment RFQ_20090427_Xl0000002_Leopard_UniBOM_ME_0602-1_Bolt RFQ Proposal_Foxlink_ (Pricing Summary) 2 25 2011 4 3" xfId="34746"/>
    <cellStyle name="壞_Creek Assembly Fixture  Test Equipment RFQ_20090427_Xl0000002_Leopard_UniBOM_ME_0602-1_Bolt RFQ Proposal_Foxlink_ (Pricing Summary) 2 25 2011 5" xfId="34747"/>
    <cellStyle name="壞_Creek Assembly Fixture  Test Equipment RFQ_20090427_Xl0000002_Leopard_UniBOM_ME_0602-1_Bolt RFQ Proposal_Foxlink_ (Pricing Summary) 2 25 2011 5 2" xfId="34748"/>
    <cellStyle name="壞_Creek Assembly Fixture  Test Equipment RFQ_20090427_Xl0000002_Leopard_UniBOM_ME_0602-1_Bolt RFQ Proposal_Foxlink_ (Pricing Summary) 2 25 2011 5 3" xfId="34749"/>
    <cellStyle name="壞_Creek Assembly Fixture  Test Equipment RFQ_20090427_Xl0000002_Leopard_UniBOM_ME_0602-1_Bolt RFQ Proposal_Foxlink_ (Pricing Summary) 2 25 2011 6" xfId="34750"/>
    <cellStyle name="壞_Creek Assembly Fixture  Test Equipment RFQ_20090427_Xl0000002_Leopard_UniBOM_ME_0602-1_Bolt RFQ Proposal_Foxlink_ (Pricing Summary) 2 25 2011 6 2" xfId="34751"/>
    <cellStyle name="壞_Creek Assembly Fixture  Test Equipment RFQ_20090427_Xl0000002_Leopard_UniBOM_ME_0602-1_Bolt RFQ Proposal_Foxlink_ (Pricing Summary) 2 25 2011 7" xfId="34752"/>
    <cellStyle name="壞_Creek Assembly Fixture  Test Equipment RFQ_20090427_Xl0000002_Leopard_UniBOM_ME_0602-1_Bolt RFQ Proposal_Foxlink_ (Pricing Summary) 2 25 2011 8" xfId="34753"/>
    <cellStyle name="壞_Creek Assembly Fixture  Test Equipment RFQ_20090427_Xl0000002_Leopard_UniBOM_ME_0602-1_Bolt RFQ_Foxlink_03.1 2011" xfId="34754"/>
    <cellStyle name="壞_Creek Assembly Fixture  Test Equipment RFQ_20090427_Xl0000002_Leopard_UniBOM_ME_0602-1_Bolt RFQ_Foxlink_03.1 2011 2" xfId="34755"/>
    <cellStyle name="壞_Creek Assembly Fixture  Test Equipment RFQ_20090427_Xl0000002_Leopard_UniBOM_ME_0602-1_Bolt RFQ_Foxlink_03.1 2011 2 3" xfId="34756"/>
    <cellStyle name="壞_Creek Assembly Fixture  Test Equipment RFQ_20090427_Xl0000002_Leopard_UniBOM_ME_0602-1_Bolt RFQ_Foxlink_03.1 2011 3" xfId="34757"/>
    <cellStyle name="壞_Creek Assembly Fixture  Test Equipment RFQ_20090427_Xl0000002_Leopard_UniBOM_ME_0602-1_Bolt RFQ_Foxlink_03.1 2011 3 2" xfId="34758"/>
    <cellStyle name="壞_Creek Assembly Fixture  Test Equipment RFQ_20090427_Xl0000002_Leopard_UniBOM_ME_0602-1_Bolt RFQ_Foxlink_03.1 2011 3 3" xfId="34759"/>
    <cellStyle name="壞_Creek Assembly Fixture  Test Equipment RFQ_20090427_Xl0000002_Leopard_UniBOM_ME_0602-1_Bolt RFQ_Foxlink_03.1 2011 4" xfId="34760"/>
    <cellStyle name="壞_Creek Assembly Fixture  Test Equipment RFQ_20090427_Xl0000002_Leopard_UniBOM_ME_0602-1_Bolt RFQ_Foxlink_03.1 2011 5" xfId="34761"/>
    <cellStyle name="壞_Creek Assembly Fixture  Test Equipment RFQ_20090427_Xl0000002_Leopard_UniBOM_ME_0602-1_Bolt RFQ_Foxlink_03.1 2011_nego meeting@MACH" xfId="34762"/>
    <cellStyle name="壞_Creek Assembly Fixture  Test Equipment RFQ_20090427_Xl0000002_Leopard_UniBOM_ME_0602-1_Bolt RFQ_Foxlink_03.1 2011_nego meeting@MACH 2 2" xfId="34763"/>
    <cellStyle name="壞_Creek Assembly Fixture  Test Equipment RFQ_20090427_Xl0000002_Leopard_UniBOM_ME_0602-1_Bolt RFQ_Foxlink_03.1 2011_nego meeting@MACH 3" xfId="34764"/>
    <cellStyle name="壞_Creek Assembly Fixture  Test Equipment RFQ_20090427_Xl0000002_Leopard_UniBOM_ME_0602-1_Bolt RFQ_Foxlink_03.1 2011_nego meeting@MACH 3 2" xfId="34765"/>
    <cellStyle name="壞_Creek Assembly Fixture  Test Equipment RFQ_20090427_Xl0000002_Leopard_UniBOM_ME_0602-1_Bolt RFQ_Foxlink_03.1 2011_nego meeting@MACH 3 3" xfId="34766"/>
    <cellStyle name="壞_Creek Assembly Fixture  Test Equipment RFQ_20090427_Xl0000002_Leopard_UniBOM_ME_0602-1_Bolt RFQ_Foxlink_03.1 2011_nego meeting@MACH 4" xfId="34767"/>
    <cellStyle name="壞_Creek Assembly Fixture  Test Equipment RFQ_20090427_Xl0000002_Leopard_UniBOM_ME_0602-1_Bolt RFQ_Foxlink_03.1 2011_nego meeting@MACH 5" xfId="34768"/>
    <cellStyle name="壞_Creek Assembly Fixture  Test Equipment RFQ_20090427_Xl0000002_Leopard_UniBOM_ME_0603-2 2" xfId="34769"/>
    <cellStyle name="壞_Creek Assembly Fixture  Test Equipment RFQ_20090427_Xl0000002_Leopard_UniBOM_ME_0603-2 2 2" xfId="34770"/>
    <cellStyle name="壞_Creek Assembly Fixture  Test Equipment RFQ_20090427_Xl0000002_Leopard_UniBOM_ME_0603-2 2 2 2" xfId="34771"/>
    <cellStyle name="壞_Creek Assembly Fixture  Test Equipment RFQ_20090427_Xl0000002_Leopard_UniBOM_ME_0603-2 2 2 3" xfId="34772"/>
    <cellStyle name="壞_Creek Assembly Fixture  Test Equipment RFQ_20090427_Xl0000002_Leopard_UniBOM_ME_0603-2 3 2" xfId="34773"/>
    <cellStyle name="壞_Creek Assembly Fixture  Test Equipment RFQ_20090427_Xl0000002_Leopard_UniBOM_ME_0603-2 4" xfId="34774"/>
    <cellStyle name="壞_Creek Assembly Fixture  Test Equipment RFQ_20090427_Xl0000002_Leopard_UniBOM_ME_0603-2 4 3" xfId="34775"/>
    <cellStyle name="壞_Creek Assembly Fixture  Test Equipment RFQ_20090427_Xl0000002_Leopard_UniBOM_ME_0603-2_Bolt RFQ Proposal_Foxlink_ (Pricing Summary) 2 25 2011" xfId="34776"/>
    <cellStyle name="壞_Creek Assembly Fixture  Test Equipment RFQ_20090427_Xl0000002_Leopard_UniBOM_ME_0603-2_Bolt RFQ Proposal_Foxlink_ (Pricing Summary) 2 25 2011 2" xfId="34777"/>
    <cellStyle name="壞_Creek Assembly Fixture  Test Equipment RFQ_20090427_Xl0000002_Leopard_UniBOM_ME_0603-2_Bolt RFQ Proposal_Foxlink_ (Pricing Summary) 2 25 2011 2 2" xfId="34778"/>
    <cellStyle name="壞_Creek Assembly Fixture  Test Equipment RFQ_20090427_Xl0000002_Leopard_UniBOM_ME_0603-2_Bolt RFQ Proposal_Foxlink_ (Pricing Summary) 2 25 2011 2 2 2" xfId="34779"/>
    <cellStyle name="壞_Creek Assembly Fixture  Test Equipment RFQ_20090427_Xl0000002_Leopard_UniBOM_ME_0603-2_Bolt RFQ Proposal_Foxlink_ (Pricing Summary) 2 25 2011 2 2 3" xfId="34780"/>
    <cellStyle name="壞_Creek Assembly Fixture  Test Equipment RFQ_20090427_Xl0000002_Leopard_UniBOM_ME_0603-2_Bolt RFQ Proposal_Foxlink_ (Pricing Summary) 2 25 2011 2 3 2" xfId="34781"/>
    <cellStyle name="壞_Creek Assembly Fixture  Test Equipment RFQ_20090427_Xl0000002_Leopard_UniBOM_ME_0603-2_Bolt RFQ Proposal_Foxlink_ (Pricing Summary) 2 25 2011 2 3 3" xfId="34782"/>
    <cellStyle name="壞_Creek Assembly Fixture  Test Equipment RFQ_20090427_Xl0000002_Leopard_UniBOM_ME_0603-2_Bolt RFQ Proposal_Foxlink_ (Pricing Summary) 2 25 2011 3" xfId="34783"/>
    <cellStyle name="壞_Creek Assembly Fixture  Test Equipment RFQ_20090427_Xl0000002_Leopard_UniBOM_ME_0603-2_Bolt RFQ Proposal_Foxlink_ (Pricing Summary) 2 25 2011 4" xfId="34784"/>
    <cellStyle name="壞_Creek Assembly Fixture  Test Equipment RFQ_20090427_Xl0000002_Leopard_UniBOM_ME_0603-2_Bolt RFQ Proposal_Foxlink_ (Pricing Summary) 2 25 2011 5" xfId="34785"/>
    <cellStyle name="壞_Creek Assembly Fixture  Test Equipment RFQ_20090427_Xl0000002_Leopard_UniBOM_ME_0603-2_Bolt RFQ Proposal_Foxlink_ (Pricing Summary) 2 25 2011 5 2" xfId="34786"/>
    <cellStyle name="壞_Creek Assembly Fixture  Test Equipment RFQ_20090427_Xl0000002_Leopard_UniBOM_ME_0603-2_Bolt RFQ Proposal_Foxlink_ (Pricing Summary) 2 25 2011 5 3" xfId="34787"/>
    <cellStyle name="壞_Creek Assembly Fixture  Test Equipment RFQ_20090427_Xl0000002_Leopard_UniBOM_ME_0603-2_Bolt RFQ Proposal_Foxlink_ (Pricing Summary) 2 25 2011 7" xfId="34788"/>
    <cellStyle name="壞_Creek Assembly Fixture  Test Equipment RFQ_20090427_Xl0000002_Leopard_UniBOM_ME_0603-2_Bolt RFQ Proposal_Foxlink_ (Pricing Summary) 2 25 2011 8" xfId="34789"/>
    <cellStyle name="壞_Creek Assembly Fixture  Test Equipment RFQ_20090427_Xl0000002_Leopard_UniBOM_ME_0603-2_Bolt RFQ_Foxlink_03.1 2011" xfId="34790"/>
    <cellStyle name="壞_Creek Assembly Fixture  Test Equipment RFQ_20090427_Xl0000002_Leopard_UniBOM_ME_0603-2_Bolt RFQ_Foxlink_03.1 2011 2 3" xfId="34791"/>
    <cellStyle name="壞_Creek Assembly Fixture  Test Equipment RFQ_20090427_Xl0000002_Leopard_UniBOM_ME_0603-2_Bolt RFQ_Foxlink_03.1 2011 3" xfId="34792"/>
    <cellStyle name="壞_Creek Assembly Fixture  Test Equipment RFQ_20090427_Xl0000002_Leopard_UniBOM_ME_0603-2_Bolt RFQ_Foxlink_03.1 2011 3 2" xfId="34793"/>
    <cellStyle name="壞_Creek Assembly Fixture  Test Equipment RFQ_20090427_Xl0000002_Leopard_UniBOM_ME_0603-2_Bolt RFQ_Foxlink_03.1 2011 3 3" xfId="34794"/>
    <cellStyle name="壞_Creek Assembly Fixture  Test Equipment RFQ_20090427_Xl0000002_Leopard_UniBOM_ME_0603-2_Bolt RFQ_Foxlink_03.1 2011 4" xfId="34795"/>
    <cellStyle name="壞_Creek Assembly Fixture  Test Equipment RFQ_20090427_Xl0000002_Leopard_UniBOM_ME_0603-2_Bolt RFQ_Foxlink_03.1 2011 5" xfId="34796"/>
    <cellStyle name="壞_Creek Assembly Fixture  Test Equipment RFQ_20090427_Xl0000002_Leopard_UniBOM_ME_0603-2_Bolt RFQ_Foxlink_03.1 2011_nego meeting@MACH" xfId="34797"/>
    <cellStyle name="壞_Creek Assembly Fixture  Test Equipment RFQ_20090427_Xl0000002_Leopard_UniBOM_ME_0603-2_Bolt RFQ_Foxlink_03.1 2011_nego meeting@MACH 2" xfId="34798"/>
    <cellStyle name="壞_Creek Assembly Fixture  Test Equipment RFQ_20090427_Xl0000002_Leopard_UniBOM_ME_0603-2_Bolt RFQ_Foxlink_03.1 2011_nego meeting@MACH 2 2" xfId="34799"/>
    <cellStyle name="壞_Creek Assembly Fixture  Test Equipment RFQ_20090427_Xl0000002_Leopard_UniBOM_ME_0603-2_Bolt RFQ_Foxlink_03.1 2011_nego meeting@MACH 2 3" xfId="34800"/>
    <cellStyle name="壞_Creek Assembly Fixture  Test Equipment RFQ_20090427_Xl0000002_Leopard_UniBOM_ME_0603-2_Bolt RFQ_Foxlink_03.1 2011_nego meeting@MACH 3" xfId="34801"/>
    <cellStyle name="壞_Creek Assembly Fixture  Test Equipment RFQ_20090427_Xl0000002_Leopard_UniBOM_ME_0603-2_Bolt RFQ_Foxlink_03.1 2011_nego meeting@MACH 3 2" xfId="34802"/>
    <cellStyle name="壞_Creek Assembly Fixture  Test Equipment RFQ_20090427_Xl0000002_Leopard_UniBOM_ME_0603-2_Bolt RFQ_Foxlink_03.1 2011_nego meeting@MACH 3 3" xfId="34803"/>
    <cellStyle name="壞_Creek Assembly Fixture  Test Equipment RFQ_20090427_Xl0000002_Leopard_UniBOM_ME_0603-2_Bolt RFQ_Foxlink_03.1 2011_nego meeting@MACH 4" xfId="34804"/>
    <cellStyle name="壞_Creek Assembly Fixture  Test Equipment RFQ_20090427_Xl0000002_Leopard_UniBOM_ME_0603-2_Bolt RFQ_Foxlink_03.1 2011_nego meeting@MACH 5" xfId="34805"/>
    <cellStyle name="壞_Creek Assembly Fixture  Test Equipment RFQ_20090427_Xl0000002_Squirrel RFQ ME BOM Costs-0623" xfId="34806"/>
    <cellStyle name="壞_Creek Assembly Fixture  Test Equipment RFQ_20090427_Xl0000002_Squirrel RFQ ME BOM Costs-0623 2" xfId="34807"/>
    <cellStyle name="壞_Creek Assembly Fixture  Test Equipment RFQ_20090427_Xl0000002_Squirrel RFQ ME BOM Costs-0623 2 2" xfId="34808"/>
    <cellStyle name="壞_Creek Assembly Fixture  Test Equipment RFQ_20090427_Xl0000002_Squirrel RFQ ME BOM Costs-0623 2 2 2" xfId="34809"/>
    <cellStyle name="壞_Creek Assembly Fixture  Test Equipment RFQ_20090427_Xl0000002_Squirrel RFQ ME BOM Costs-0623 2 2 3" xfId="34810"/>
    <cellStyle name="壞_Creek Assembly Fixture  Test Equipment RFQ_20090427_Xl0000002_Squirrel RFQ ME BOM Costs-0623 2 3" xfId="34811"/>
    <cellStyle name="壞_Creek Assembly Fixture  Test Equipment RFQ_20090427_Xl0000002_Squirrel RFQ ME BOM Costs-0623 2 3 2" xfId="34812"/>
    <cellStyle name="壞_Creek Assembly Fixture  Test Equipment RFQ_20090427_Xl0000002_Squirrel RFQ ME BOM Costs-0623 2 3 3" xfId="34813"/>
    <cellStyle name="壞_Creek Assembly Fixture  Test Equipment RFQ_20090427_Xl0000002_Squirrel RFQ ME BOM Costs-0623 3" xfId="34814"/>
    <cellStyle name="壞_Creek Assembly Fixture  Test Equipment RFQ_20090427_Xl0000002_Squirrel RFQ ME BOM Costs-0623 3 2" xfId="34815"/>
    <cellStyle name="壞_Creek Assembly Fixture  Test Equipment RFQ_20090427_Xl0000002_Squirrel RFQ ME BOM Costs-0623 3 3" xfId="34816"/>
    <cellStyle name="壞_Creek Assembly Fixture  Test Equipment RFQ_20090427_Xl0000002_Squirrel RFQ ME BOM Costs-0623 4" xfId="34817"/>
    <cellStyle name="壞_Creek Assembly Fixture  Test Equipment RFQ_20090427_Xl0000002_Squirrel RFQ ME BOM Costs-0623 4 2" xfId="34818"/>
    <cellStyle name="壞_Creek Assembly Fixture  Test Equipment RFQ_20090427_Xl0000002_Squirrel RFQ ME BOM Costs-0623 4 3" xfId="34819"/>
    <cellStyle name="壞_Creek Assembly Fixture  Test Equipment RFQ_20090427_Xl0000002_Squirrel RFQ ME BOM Costs-0623_Bolt RFQ Proposal_Foxlink_ (Pricing Summary) 2 25 2011" xfId="34820"/>
    <cellStyle name="壞_Creek Assembly Fixture  Test Equipment RFQ_20090427_Xl0000002_Squirrel RFQ ME BOM Costs-0623_Bolt RFQ Proposal_Foxlink_ (Pricing Summary) 2 25 2011 2" xfId="34821"/>
    <cellStyle name="壞_Creek Assembly Fixture  Test Equipment RFQ_20090427_Xl0000002_Squirrel RFQ ME BOM Costs-0623_Bolt RFQ Proposal_Foxlink_ (Pricing Summary) 2 25 2011 2 2" xfId="34822"/>
    <cellStyle name="壞_Creek Assembly Fixture  Test Equipment RFQ_20090427_Xl0000002_Squirrel RFQ ME BOM Costs-0623_Bolt RFQ Proposal_Foxlink_ (Pricing Summary) 2 25 2011 2 2 2" xfId="34823"/>
    <cellStyle name="壞_Creek Assembly Fixture  Test Equipment RFQ_20090427_Xl0000002_Squirrel RFQ ME BOM Costs-0623_Bolt RFQ Proposal_Foxlink_ (Pricing Summary) 2 25 2011 2 2 3" xfId="34824"/>
    <cellStyle name="壞_Creek Assembly Fixture  Test Equipment RFQ_20090427_Xl0000002_Squirrel RFQ ME BOM Costs-0623_Bolt RFQ Proposal_Foxlink_ (Pricing Summary) 2 25 2011 2 3" xfId="34825"/>
    <cellStyle name="壞_Creek Assembly Fixture  Test Equipment RFQ_20090427_Xl0000002_Squirrel RFQ ME BOM Costs-0623_Bolt RFQ Proposal_Foxlink_ (Pricing Summary) 2 25 2011 2 3 2" xfId="34826"/>
    <cellStyle name="壞_Creek Assembly Fixture  Test Equipment RFQ_20090427_Xl0000002_Squirrel RFQ ME BOM Costs-0623_Bolt RFQ Proposal_Foxlink_ (Pricing Summary) 2 25 2011 2 3 3" xfId="34827"/>
    <cellStyle name="壞_Creek Assembly Fixture  Test Equipment RFQ_20090427_Xl0000002_Squirrel RFQ ME BOM Costs-0623_Bolt RFQ Proposal_Foxlink_ (Pricing Summary) 2 25 2011 4 2" xfId="34828"/>
    <cellStyle name="壞_Creek Assembly Fixture  Test Equipment RFQ_20090427_Xl0000002_Squirrel RFQ ME BOM Costs-0623_Bolt RFQ Proposal_Foxlink_ (Pricing Summary) 2 25 2011 5" xfId="34829"/>
    <cellStyle name="壞_Creek Assembly Fixture  Test Equipment RFQ_20090427_Xl0000002_Squirrel RFQ ME BOM Costs-0623_Bolt RFQ Proposal_Foxlink_ (Pricing Summary) 2 25 2011 5 2" xfId="34830"/>
    <cellStyle name="壞_Creek Assembly Fixture  Test Equipment RFQ_20090427_Xl0000002_Squirrel RFQ ME BOM Costs-0623_Bolt RFQ Proposal_Foxlink_ (Pricing Summary) 2 25 2011 5 3" xfId="34831"/>
    <cellStyle name="壞_Creek Assembly Fixture  Test Equipment RFQ_20090427_Xl0000002_Squirrel RFQ ME BOM Costs-0623_Bolt RFQ Proposal_Foxlink_ (Pricing Summary) 2 25 2011 6" xfId="34832"/>
    <cellStyle name="壞_Creek Assembly Fixture  Test Equipment RFQ_20090427_Xl0000002_Squirrel RFQ ME BOM Costs-0623_Bolt RFQ Proposal_Foxlink_ (Pricing Summary) 2 25 2011 6 2" xfId="34833"/>
    <cellStyle name="壞_Creek Assembly Fixture  Test Equipment RFQ_20090427_Xl0000002_Squirrel RFQ ME BOM Costs-0623_Bolt RFQ Proposal_Foxlink_ (Pricing Summary) 2 25 2011 6 3" xfId="34834"/>
    <cellStyle name="壞_Creek Assembly Fixture  Test Equipment RFQ_20090427_Xl0000002_Squirrel RFQ ME BOM Costs-0623_Bolt RFQ Proposal_Foxlink_ (Pricing Summary) 2 25 2011 7" xfId="34835"/>
    <cellStyle name="壞_Creek Assembly Fixture  Test Equipment RFQ_20090427_Xl0000002_Squirrel RFQ ME BOM Costs-0623_Bolt RFQ Proposal_Foxlink_ (Pricing Summary) 2 25 2011 8" xfId="34836"/>
    <cellStyle name="壞_Creek Assembly Fixture  Test Equipment RFQ_20090427_Xl0000002_Squirrel RFQ ME BOM Costs-0623_Bolt RFQ_Foxlink_03.1 2011" xfId="34837"/>
    <cellStyle name="壞_Creek Assembly Fixture  Test Equipment RFQ_20090427_Xl0000002_Squirrel RFQ ME BOM Costs-0623_Bolt RFQ_Foxlink_03.1 2011 2" xfId="34838"/>
    <cellStyle name="壞_Creek Assembly Fixture  Test Equipment RFQ_20090427_Xl0000002_Squirrel RFQ ME BOM Costs-0623_Bolt RFQ_Foxlink_03.1 2011 2 2" xfId="34839"/>
    <cellStyle name="壞_Creek Assembly Fixture  Test Equipment RFQ_20090427_Xl0000002_Squirrel RFQ ME BOM Costs-0623_Bolt RFQ_Foxlink_03.1 2011 2 3" xfId="34840"/>
    <cellStyle name="壞_Creek Assembly Fixture  Test Equipment RFQ_20090427_Xl0000002_Squirrel RFQ ME BOM Costs-0623_Bolt RFQ_Foxlink_03.1 2011 3" xfId="34841"/>
    <cellStyle name="壞_Creek Assembly Fixture  Test Equipment RFQ_20090427_Xl0000002_Squirrel RFQ ME BOM Costs-0623_Bolt RFQ_Foxlink_03.1 2011 3 2" xfId="34842"/>
    <cellStyle name="壞_Creek Assembly Fixture  Test Equipment RFQ_20090427_Xl0000002_Squirrel RFQ ME BOM Costs-0623_Bolt RFQ_Foxlink_03.1 2011 3 3" xfId="34843"/>
    <cellStyle name="壞_Creek Assembly Fixture  Test Equipment RFQ_20090427_Xl0000002_Squirrel RFQ ME BOM Costs-0623_Bolt RFQ_Foxlink_03.1 2011 4" xfId="34844"/>
    <cellStyle name="壞_Creek Assembly Fixture  Test Equipment RFQ_20090427_Xl0000002_Squirrel RFQ ME BOM Costs-0623_Bolt RFQ_Foxlink_03.1 2011 5" xfId="34845"/>
    <cellStyle name="壞_Creek Assembly Fixture  Test Equipment RFQ_20090427_Xl0000002_Squirrel RFQ ME BOM Costs-0623_Bolt RFQ_Foxlink_03.1 2011_nego meeting@MACH" xfId="34846"/>
    <cellStyle name="壞_Creek Assembly Fixture  Test Equipment RFQ_20090427_Xl0000002_Squirrel RFQ ME BOM Costs-0623_Bolt RFQ_Foxlink_03.1 2011_nego meeting@MACH 2 2" xfId="34847"/>
    <cellStyle name="壞_Creek Assembly Fixture  Test Equipment RFQ_20090427_Xl0000002_Squirrel RFQ ME BOM Costs-0623_Bolt RFQ_Foxlink_03.1 2011_nego meeting@MACH 2 3" xfId="34848"/>
    <cellStyle name="壞_Creek Assembly Fixture  Test Equipment RFQ_20090427_Xl0000002_Squirrel RFQ ME BOM Costs-0623_Bolt RFQ_Foxlink_03.1 2011_nego meeting@MACH 3" xfId="34849"/>
    <cellStyle name="壞_Creek Assembly Fixture  Test Equipment RFQ_20090427_Xl0000002_Squirrel RFQ ME BOM Costs-0623_Bolt RFQ_Foxlink_03.1 2011_nego meeting@MACH 3 2" xfId="34850"/>
    <cellStyle name="壞_Creek Assembly Fixture  Test Equipment RFQ_20090427_Xl0000002_Squirrel RFQ ME BOM Costs-0623_Bolt RFQ_Foxlink_03.1 2011_nego meeting@MACH 4" xfId="34851"/>
    <cellStyle name="壞_Creek Assembly Fixture  Test Equipment RFQ_20090427_Xl0000002_Squirrel RFQ ME BOM Costs-0623_Bolt RFQ_Foxlink_03.1 2011_nego meeting@MACH 5" xfId="34852"/>
    <cellStyle name="壞_Creek Assembly Fixture  Test Equipment RFQ_20090427_Xl0000002_Squirrel RFQ ME BOM Costs-0624" xfId="34853"/>
    <cellStyle name="壞_Creek Assembly Fixture  Test Equipment RFQ_20090427_Xl0000002_Squirrel UniBom_Foxlink_6 28 2010" xfId="34854"/>
    <cellStyle name="壞_Creek Assembly Fixture  Test Equipment RFQ_20090427_Xl0000002_Squirrel UniBom-06 23 2010_update_internal" xfId="34855"/>
    <cellStyle name="壞_Creek Assembly Fixture  Test Equipment RFQ_20090427_Xl0000002_Squirrel UniBom-06.23.2010_update_internal" xfId="34856"/>
    <cellStyle name="壞_Creek Assembly Fixture  Test Equipment RFQ_20090427_Xl0000002_Squirrel UniBom-06.23.2010_update_internal 2 2" xfId="34857"/>
    <cellStyle name="壞_Creek Assembly Fixture  Test Equipment RFQ_20090427_Xl0000002_Squirrel UniBom-06.23.2010_update_internal 2 2 2" xfId="34858"/>
    <cellStyle name="壞_Creek Assembly Fixture  Test Equipment RFQ_20090427_Xl0000002_Squirrel UniBom-06.23.2010_update_internal 2 2 3" xfId="34859"/>
    <cellStyle name="壞_Creek Assembly Fixture  Test Equipment RFQ_20090427_Xl0000002_Squirrel UniBom-06.23.2010_update_internal 2 3" xfId="34860"/>
    <cellStyle name="壞_Creek Assembly Fixture  Test Equipment RFQ_20090427_Xl0000002_Squirrel UniBom-06.23.2010_update_internal 2 3 2" xfId="34861"/>
    <cellStyle name="壞_Creek Assembly Fixture  Test Equipment RFQ_20090427_Xl0000002_Squirrel UniBom-06.23.2010_update_internal 2 3 3" xfId="34862"/>
    <cellStyle name="壞_Creek Assembly Fixture  Test Equipment RFQ_20090427_Xl0000002_Squirrel UniBom-06.23.2010_update_internal 3" xfId="34863"/>
    <cellStyle name="壞_Creek Assembly Fixture  Test Equipment RFQ_20090427_Xl0000002_Squirrel UniBom-06.23.2010_update_internal 3 2" xfId="34864"/>
    <cellStyle name="壞_Creek Assembly Fixture  Test Equipment RFQ_20090427_Xl0000002_Squirrel UniBom-06.23.2010_update_internal 3 3" xfId="34865"/>
    <cellStyle name="壞_Creek Assembly Fixture  Test Equipment RFQ_20090427_Xl0000002_Squirrel UniBom-06.23.2010_update_internal 4" xfId="34866"/>
    <cellStyle name="壞_Creek Assembly Fixture  Test Equipment RFQ_20090427_Xl0000002_Squirrel UniBom-06.23.2010_update_internal 4 2" xfId="34867"/>
    <cellStyle name="壞_Creek Assembly Fixture  Test Equipment RFQ_20090427_Xl0000002_Squirrel UniBom-06.23.2010_update_internal 5" xfId="34868"/>
    <cellStyle name="壞_Creek Assembly Fixture  Test Equipment RFQ_20090427_Xl0000002_Squirrel UniBom-06.23.2010_update_internal 6" xfId="34869"/>
    <cellStyle name="壞_Creek Assembly Fixture  Test Equipment RFQ_20090427_Xl0000002_Squirrel UniBom-06.23.2010_update_internal_Bolt RFQ Proposal_Foxlink_ (Pricing Summary) 2 25 2011" xfId="34870"/>
    <cellStyle name="壞_Creek Assembly Fixture  Test Equipment RFQ_20090427_Xl0000002_Squirrel UniBom-06.23.2010_update_internal_Bolt RFQ Proposal_Foxlink_ (Pricing Summary) 2 25 2011 2 2" xfId="34871"/>
    <cellStyle name="壞_Creek Assembly Fixture  Test Equipment RFQ_20090427_Xl0000002_Squirrel UniBom-06.23.2010_update_internal_Bolt RFQ Proposal_Foxlink_ (Pricing Summary) 2 25 2011 2 2 2" xfId="34872"/>
    <cellStyle name="壞_Creek Assembly Fixture  Test Equipment RFQ_20090427_Xl0000002_Squirrel UniBom-06.23.2010_update_internal_Bolt RFQ Proposal_Foxlink_ (Pricing Summary) 2 25 2011 2 2 3" xfId="34873"/>
    <cellStyle name="壞_Creek Assembly Fixture  Test Equipment RFQ_20090427_Xl0000002_Squirrel UniBom-06.23.2010_update_internal_Bolt RFQ Proposal_Foxlink_ (Pricing Summary) 2 25 2011 2 3" xfId="34874"/>
    <cellStyle name="壞_Creek Assembly Fixture  Test Equipment RFQ_20090427_Xl0000002_Squirrel UniBom-06.23.2010_update_internal_Bolt RFQ Proposal_Foxlink_ (Pricing Summary) 2 25 2011 2 3 2" xfId="34875"/>
    <cellStyle name="壞_Creek Assembly Fixture  Test Equipment RFQ_20090427_Xl0000002_Squirrel UniBom-06.23.2010_update_internal_Bolt RFQ Proposal_Foxlink_ (Pricing Summary) 2 25 2011 2 3 3" xfId="34876"/>
    <cellStyle name="壞_Creek Assembly Fixture  Test Equipment RFQ_20090427_Xl0000002_Squirrel UniBom-06.23.2010_update_internal_Bolt RFQ Proposal_Foxlink_ (Pricing Summary) 2 25 2011 4" xfId="34877"/>
    <cellStyle name="壞_Creek Assembly Fixture  Test Equipment RFQ_20090427_Xl0000002_Squirrel UniBom-06.23.2010_update_internal_Bolt RFQ Proposal_Foxlink_ (Pricing Summary) 2 25 2011 4 2" xfId="34878"/>
    <cellStyle name="壞_Creek Assembly Fixture  Test Equipment RFQ_20090427_Xl0000002_Squirrel UniBom-06.23.2010_update_internal_Bolt RFQ Proposal_Foxlink_ (Pricing Summary) 2 25 2011 4 3" xfId="34879"/>
    <cellStyle name="壞_Creek Assembly Fixture  Test Equipment RFQ_20090427_Xl0000002_Squirrel UniBom-06.23.2010_update_internal_Bolt RFQ Proposal_Foxlink_ (Pricing Summary) 2 25 2011 5 2" xfId="34880"/>
    <cellStyle name="壞_Creek Assembly Fixture  Test Equipment RFQ_20090427_Xl0000002_Squirrel UniBom-06.23.2010_update_internal_Bolt RFQ Proposal_Foxlink_ (Pricing Summary) 2 25 2011 5 3" xfId="34881"/>
    <cellStyle name="壞_Creek Assembly Fixture  Test Equipment RFQ_20090427_Xl0000002_Squirrel UniBom-06.23.2010_update_internal_Bolt RFQ Proposal_Foxlink_ (Pricing Summary) 2 25 2011 6" xfId="34882"/>
    <cellStyle name="壞_Creek Assembly Fixture  Test Equipment RFQ_20090427_Xl0000002_Squirrel UniBom-06.23.2010_update_internal_Bolt RFQ Proposal_Foxlink_ (Pricing Summary) 2 25 2011 6 3" xfId="34883"/>
    <cellStyle name="壞_Creek Assembly Fixture  Test Equipment RFQ_20090427_Xl0000002_Squirrel UniBom-06.23.2010_update_internal_Bolt RFQ Proposal_Foxlink_ (Pricing Summary) 2 25 2011 7" xfId="34884"/>
    <cellStyle name="壞_Creek Assembly Fixture  Test Equipment RFQ_20090427_Xl0000002_Squirrel UniBom-06.23.2010_update_internal_Bolt RFQ Proposal_Foxlink_ (Pricing Summary) 2 25 2011 8" xfId="34885"/>
    <cellStyle name="壞_Creek Assembly Fixture  Test Equipment RFQ_20090427_Xl0000002_Squirrel UniBom-06.23.2010_update_internal_Bolt RFQ_Foxlink_03.1 2011" xfId="34886"/>
    <cellStyle name="壞_Creek Assembly Fixture  Test Equipment RFQ_20090427_Xl0000002_Squirrel UniBom-06.23.2010_update_internal_Bolt RFQ_Foxlink_03.1 2011 2" xfId="34887"/>
    <cellStyle name="壞_Creek Assembly Fixture  Test Equipment RFQ_20090427_Xl0000002_Squirrel UniBom-06.23.2010_update_internal_Bolt RFQ_Foxlink_03.1 2011 2 2" xfId="34888"/>
    <cellStyle name="壞_Creek Assembly Fixture  Test Equipment RFQ_20090427_Xl0000002_Squirrel UniBom-06.23.2010_update_internal_Bolt RFQ_Foxlink_03.1 2011 2 3" xfId="34889"/>
    <cellStyle name="壞_Creek Assembly Fixture  Test Equipment RFQ_20090427_Xl0000002_Squirrel UniBom-06.23.2010_update_internal_Bolt RFQ_Foxlink_03.1 2011 3" xfId="34890"/>
    <cellStyle name="壞_Creek Assembly Fixture  Test Equipment RFQ_20090427_Xl0000002_Squirrel UniBom-06.23.2010_update_internal_Bolt RFQ_Foxlink_03.1 2011 3 2" xfId="34891"/>
    <cellStyle name="壞_Creek Assembly Fixture  Test Equipment RFQ_20090427_Xl0000002_Squirrel UniBom-06.23.2010_update_internal_Bolt RFQ_Foxlink_03.1 2011 3 3" xfId="34892"/>
    <cellStyle name="壞_Creek Assembly Fixture  Test Equipment RFQ_20090427_Xl0000002_Squirrel UniBom-06.23.2010_update_internal_Bolt RFQ_Foxlink_03.1 2011 4" xfId="34893"/>
    <cellStyle name="壞_Creek Assembly Fixture  Test Equipment RFQ_20090427_Xl0000002_Squirrel UniBom-06.23.2010_update_internal_Bolt RFQ_Foxlink_03.1 2011_nego meeting@MACH" xfId="34894"/>
    <cellStyle name="壞_Creek Assembly Fixture  Test Equipment RFQ_20090427_Xl0000002_Squirrel UniBom-06.23.2010_update_internal_Bolt RFQ_Foxlink_03.1 2011_nego meeting@MACH 2" xfId="34895"/>
    <cellStyle name="壞_Creek Assembly Fixture  Test Equipment RFQ_20090427_Xl0000002_Squirrel UniBom-06.23.2010_update_internal_Bolt RFQ_Foxlink_03.1 2011_nego meeting@MACH 2 2" xfId="34896"/>
    <cellStyle name="壞_Creek Assembly Fixture  Test Equipment RFQ_20090427_Xl0000002_Squirrel UniBom-06.23.2010_update_internal_Bolt RFQ_Foxlink_03.1 2011_nego meeting@MACH 2 3" xfId="34897"/>
    <cellStyle name="壞_Creek Assembly Fixture  Test Equipment RFQ_20090427_Xl0000002_Squirrel UniBom-06.23.2010_update_internal_Bolt RFQ_Foxlink_03.1 2011_nego meeting@MACH 3" xfId="34898"/>
    <cellStyle name="壞_Creek Assembly Fixture  Test Equipment RFQ_20090427_Xl0000002_Squirrel UniBom-06.23.2010_update_internal_Bolt RFQ_Foxlink_03.1 2011_nego meeting@MACH 3 2" xfId="34899"/>
    <cellStyle name="壞_Creek Assembly Fixture  Test Equipment RFQ_20090427_Xl0000002_Squirrel UniBom-06.23.2010_update_internal_Bolt RFQ_Foxlink_03.1 2011_nego meeting@MACH 3 3" xfId="34900"/>
    <cellStyle name="壞_Creek Assembly Fixture  Test Equipment RFQ_20090427_Xl0000002_Squirrel UniBom-06.23.2010_update_internal_Bolt RFQ_Foxlink_03.1 2011_nego meeting@MACH 4" xfId="34901"/>
    <cellStyle name="壞_Creek Assembly Fixture  Test Equipment RFQ_20090427_Xl0000002_Squirrel UniBom-06.23.2010_update_internal_Bolt RFQ_Foxlink_03.1 2011_nego meeting@MACH 5" xfId="34902"/>
    <cellStyle name="壞_Creek EE BOM cost_20090425" xfId="34903"/>
    <cellStyle name="壞_Creek EE BOM cost_20090425 2" xfId="34904"/>
    <cellStyle name="壞_Creek EE BOM cost_20090425 2 2" xfId="34905"/>
    <cellStyle name="壞_Creek EE BOM cost_20090425 2 2 2" xfId="34906"/>
    <cellStyle name="壞_Creek EE BOM cost_20090425 2 2 3" xfId="34907"/>
    <cellStyle name="壞_Creek EE BOM cost_20090425 2 3" xfId="34908"/>
    <cellStyle name="壞_Creek EE BOM cost_20090425 2 3 2" xfId="34909"/>
    <cellStyle name="壞_Creek EE BOM cost_20090425 2 3 3" xfId="34910"/>
    <cellStyle name="壞_Creek EE BOM cost_20090425 3" xfId="34911"/>
    <cellStyle name="壞_Creek EE BOM cost_20090425 3 3" xfId="34912"/>
    <cellStyle name="壞_Creek EE BOM cost_20090425 4" xfId="34913"/>
    <cellStyle name="壞_Creek EE BOM cost_20090425 4 2" xfId="34914"/>
    <cellStyle name="壞_Creek EE BOM cost_20090425 4 3" xfId="34915"/>
    <cellStyle name="壞_Creek EE BOM cost_20090425 5" xfId="34916"/>
    <cellStyle name="壞_Creek EE BOM cost_20090425 6" xfId="34917"/>
    <cellStyle name="壞_Creek EE BOM cost_20090425_Bolt RFQ Proposal_Foxlink_ (Pricing Summary) 2 25 2011 2 2" xfId="34918"/>
    <cellStyle name="壞_Creek EE BOM cost_20090425_Bolt RFQ Proposal_Foxlink_ (Pricing Summary) 2 25 2011 2 2 2" xfId="34919"/>
    <cellStyle name="壞_Creek EE BOM cost_20090425_Bolt RFQ Proposal_Foxlink_ (Pricing Summary) 2 25 2011 2 2 3" xfId="34920"/>
    <cellStyle name="壞_Creek EE BOM cost_20090425_Bolt RFQ Proposal_Foxlink_ (Pricing Summary) 2 25 2011 2 3" xfId="34921"/>
    <cellStyle name="壞_Creek EE BOM cost_20090425_Bolt RFQ Proposal_Foxlink_ (Pricing Summary) 2 25 2011 2 3 2" xfId="34922"/>
    <cellStyle name="壞_Creek EE BOM cost_20090425_Bolt RFQ Proposal_Foxlink_ (Pricing Summary) 2 25 2011 2 3 3" xfId="34923"/>
    <cellStyle name="壞_Creek EE BOM cost_20090425_Bolt RFQ Proposal_Foxlink_ (Pricing Summary) 2 25 2011 3" xfId="34924"/>
    <cellStyle name="壞_Creek EE BOM cost_20090425_Bolt RFQ Proposal_Foxlink_ (Pricing Summary) 2 25 2011 4" xfId="34925"/>
    <cellStyle name="壞_Creek EE BOM cost_20090425_Bolt RFQ Proposal_Foxlink_ (Pricing Summary) 2 25 2011 4 2" xfId="34926"/>
    <cellStyle name="壞_Creek EE BOM cost_20090425_Bolt RFQ Proposal_Foxlink_ (Pricing Summary) 2 25 2011 4 3" xfId="34927"/>
    <cellStyle name="壞_Creek EE BOM cost_20090425_Bolt RFQ Proposal_Foxlink_ (Pricing Summary) 2 25 2011 5" xfId="34928"/>
    <cellStyle name="壞_Creek EE BOM cost_20090425_Bolt RFQ Proposal_Foxlink_ (Pricing Summary) 2 25 2011 5 2" xfId="34929"/>
    <cellStyle name="壞_Creek EE BOM cost_20090425_Bolt RFQ Proposal_Foxlink_ (Pricing Summary) 2 25 2011 5 3" xfId="34930"/>
    <cellStyle name="壞_Creek EE BOM cost_20090425_Bolt RFQ Proposal_Foxlink_ (Pricing Summary) 2 25 2011 6" xfId="34931"/>
    <cellStyle name="壞_Creek EE BOM cost_20090425_Bolt RFQ Proposal_Foxlink_ (Pricing Summary) 2 25 2011 6 2" xfId="34932"/>
    <cellStyle name="壞_Creek EE BOM cost_20090425_Bolt RFQ Proposal_Foxlink_ (Pricing Summary) 2 25 2011 6 3" xfId="34933"/>
    <cellStyle name="壞_Creek EE BOM cost_20090425_Bolt RFQ Proposal_Foxlink_ (Pricing Summary) 2 25 2011 7" xfId="34934"/>
    <cellStyle name="壞_Creek EE BOM cost_20090425_Bolt RFQ Proposal_Foxlink_ (Pricing Summary) 2 25 2011 8" xfId="34935"/>
    <cellStyle name="壞_Creek EE BOM cost_20090425_Bolt RFQ_Foxlink_03.1 2011" xfId="34936"/>
    <cellStyle name="壞_Creek EE BOM cost_20090425_Bolt RFQ_Foxlink_03.1 2011 2" xfId="34937"/>
    <cellStyle name="壞_Creek EE BOM cost_20090425_Bolt RFQ_Foxlink_03.1 2011 2 2" xfId="34938"/>
    <cellStyle name="壞_Creek EE BOM cost_20090425_Bolt RFQ_Foxlink_03.1 2011 2 3" xfId="34939"/>
    <cellStyle name="壞_Creek EE BOM cost_20090425_Bolt RFQ_Foxlink_03.1 2011 3" xfId="34940"/>
    <cellStyle name="壞_Creek EE BOM cost_20090425_Bolt RFQ_Foxlink_03.1 2011 3 2" xfId="34941"/>
    <cellStyle name="壞_Creek EE BOM cost_20090425_Bolt RFQ_Foxlink_03.1 2011 3 3" xfId="34942"/>
    <cellStyle name="壞_Creek EE BOM cost_20090425_Bolt RFQ_Foxlink_03.1 2011 4" xfId="34943"/>
    <cellStyle name="壞_Creek EE BOM cost_20090425_Bolt RFQ_Foxlink_03.1 2011 5" xfId="34944"/>
    <cellStyle name="壞_Creek EE BOM cost_20090425_Bolt RFQ_Foxlink_03.1 2011_nego meeting@MACH" xfId="34945"/>
    <cellStyle name="壞_Creek EE BOM cost_20090425_Bolt RFQ_Foxlink_03.1 2011_nego meeting@MACH 2" xfId="34946"/>
    <cellStyle name="壞_Creek EE BOM cost_20090425_Bolt RFQ_Foxlink_03.1 2011_nego meeting@MACH 2 2" xfId="34947"/>
    <cellStyle name="壞_Creek EE BOM cost_20090425_Bolt RFQ_Foxlink_03.1 2011_nego meeting@MACH 2 3" xfId="34948"/>
    <cellStyle name="壞_Creek EE BOM cost_20090425_Bolt RFQ_Foxlink_03.1 2011_nego meeting@MACH 3" xfId="34949"/>
    <cellStyle name="壞_Creek EE BOM cost_20090425_Bolt RFQ_Foxlink_03.1 2011_nego meeting@MACH 3 2" xfId="34950"/>
    <cellStyle name="壞_Creek EE BOM cost_20090425_Bolt RFQ_Foxlink_03.1 2011_nego meeting@MACH 3 3" xfId="34951"/>
    <cellStyle name="壞_Creek EE BOM cost_20090425_Bolt RFQ_Foxlink_03.1 2011_nego meeting@MACH 4" xfId="34952"/>
    <cellStyle name="壞_Creek EE BOM cost_20090425_Bolt RFQ_Foxlink_03.1 2011_nego meeting@MACH 5" xfId="34953"/>
    <cellStyle name="壞_Creek EE BOM cost_20090425_Bristol UniBom_Foxlink_02082011 RevA" xfId="34954"/>
    <cellStyle name="壞_Creek EE BOM cost_20090425_Creek RFQ feedback 04_28_2009_FD Update" xfId="34955"/>
    <cellStyle name="壞_Creek EE BOM cost_20090425_Creek RFQ feedback 04_28_2009_FD Update 2" xfId="34956"/>
    <cellStyle name="壞_Creek EE BOM cost_20090425_Creek RFQ feedback 04_28_2009_FD Update 2 2" xfId="34957"/>
    <cellStyle name="壞_Creek EE BOM cost_20090425_Creek RFQ feedback 04_28_2009_FD Update 2 2 2" xfId="34958"/>
    <cellStyle name="壞_Creek EE BOM cost_20090425_Creek RFQ feedback 04_28_2009_FD Update 2 2 3" xfId="34959"/>
    <cellStyle name="壞_Creek EE BOM cost_20090425_Creek RFQ feedback 04_28_2009_FD Update 2 3" xfId="34960"/>
    <cellStyle name="壞_Creek EE BOM cost_20090425_Creek RFQ feedback 04_28_2009_FD Update 2 3 2" xfId="34961"/>
    <cellStyle name="壞_Creek EE BOM cost_20090425_Creek RFQ feedback 04_28_2009_FD Update 2 3 3" xfId="34962"/>
    <cellStyle name="壞_Creek EE BOM cost_20090425_Creek RFQ feedback 04_28_2009_FD Update 3" xfId="34963"/>
    <cellStyle name="壞_Creek EE BOM cost_20090425_Creek RFQ feedback 04_28_2009_FD Update 3 2" xfId="34964"/>
    <cellStyle name="壞_Creek EE BOM cost_20090425_Creek RFQ feedback 04_28_2009_FD Update 3 3" xfId="34965"/>
    <cellStyle name="壞_Creek EE BOM cost_20090425_Creek RFQ feedback 04_28_2009_FD Update 4" xfId="34966"/>
    <cellStyle name="壞_Creek EE BOM cost_20090425_Creek RFQ feedback 04_28_2009_FD Update 4 2" xfId="34967"/>
    <cellStyle name="壞_Creek EE BOM cost_20090425_Creek RFQ feedback 04_28_2009_FD Update 4 3" xfId="34968"/>
    <cellStyle name="壞_Creek EE BOM cost_20090425_Creek RFQ feedback 04_28_2009_FD Update 5" xfId="34969"/>
    <cellStyle name="壞_Creek EE BOM cost_20090425_Creek RFQ feedback 04_28_2009_FD Update 6" xfId="34970"/>
    <cellStyle name="壞_Creek EE BOM cost_20090425_Creek RFQ feedback 04_28_2009_FD Update_Bolt RFQ Proposal_Foxlink_ (Pricing Summary) 2 25 2011" xfId="34971"/>
    <cellStyle name="壞_Creek EE BOM cost_20090425_Creek RFQ feedback 04_28_2009_FD Update_Bolt RFQ Proposal_Foxlink_ (Pricing Summary) 2 25 2011 2" xfId="34972"/>
    <cellStyle name="壞_Creek EE BOM cost_20090425_Creek RFQ feedback 04_28_2009_FD Update_Bolt RFQ Proposal_Foxlink_ (Pricing Summary) 2 25 2011 2 2" xfId="34973"/>
    <cellStyle name="壞_Creek EE BOM cost_20090425_Creek RFQ feedback 04_28_2009_FD Update_Bolt RFQ Proposal_Foxlink_ (Pricing Summary) 2 25 2011 2 2 2" xfId="34974"/>
    <cellStyle name="壞_Creek EE BOM cost_20090425_Creek RFQ feedback 04_28_2009_FD Update_Bolt RFQ Proposal_Foxlink_ (Pricing Summary) 2 25 2011 2 3" xfId="34975"/>
    <cellStyle name="壞_Creek EE BOM cost_20090425_Creek RFQ feedback 04_28_2009_FD Update_Bolt RFQ Proposal_Foxlink_ (Pricing Summary) 2 25 2011 2 3 2" xfId="34976"/>
    <cellStyle name="壞_Creek EE BOM cost_20090425_Creek RFQ feedback 04_28_2009_FD Update_Bolt RFQ Proposal_Foxlink_ (Pricing Summary) 2 25 2011 2 3 3" xfId="34977"/>
    <cellStyle name="壞_Creek EE BOM cost_20090425_Creek RFQ feedback 04_28_2009_FD Update_Bolt RFQ Proposal_Foxlink_ (Pricing Summary) 2 25 2011 3" xfId="34978"/>
    <cellStyle name="壞_Creek EE BOM cost_20090425_Creek RFQ feedback 04_28_2009_FD Update_Bolt RFQ Proposal_Foxlink_ (Pricing Summary) 2 25 2011 4" xfId="34979"/>
    <cellStyle name="壞_Creek EE BOM cost_20090425_Creek RFQ feedback 04_28_2009_FD Update_Bolt RFQ Proposal_Foxlink_ (Pricing Summary) 2 25 2011 4 2" xfId="34980"/>
    <cellStyle name="壞_Creek EE BOM cost_20090425_Creek RFQ feedback 04_28_2009_FD Update_Bolt RFQ Proposal_Foxlink_ (Pricing Summary) 2 25 2011 4 3" xfId="34981"/>
    <cellStyle name="壞_Creek EE BOM cost_20090425_Creek RFQ feedback 04_28_2009_FD Update_Bolt RFQ Proposal_Foxlink_ (Pricing Summary) 2 25 2011 5" xfId="34982"/>
    <cellStyle name="壞_Creek EE BOM cost_20090425_Creek RFQ feedback 04_28_2009_FD Update_Bolt RFQ Proposal_Foxlink_ (Pricing Summary) 2 25 2011 5 2" xfId="34983"/>
    <cellStyle name="壞_Creek EE BOM cost_20090425_Creek RFQ feedback 04_28_2009_FD Update_Bolt RFQ Proposal_Foxlink_ (Pricing Summary) 2 25 2011 5 3" xfId="34984"/>
    <cellStyle name="壞_Creek EE BOM cost_20090425_Creek RFQ feedback 04_28_2009_FD Update_Bolt RFQ Proposal_Foxlink_ (Pricing Summary) 2 25 2011 6" xfId="34985"/>
    <cellStyle name="壞_Creek EE BOM cost_20090425_Creek RFQ feedback 04_28_2009_FD Update_Bolt RFQ Proposal_Foxlink_ (Pricing Summary) 2 25 2011 6 2" xfId="34986"/>
    <cellStyle name="壞_Creek EE BOM cost_20090425_Creek RFQ feedback 04_28_2009_FD Update_Bolt RFQ Proposal_Foxlink_ (Pricing Summary) 2 25 2011 6 3" xfId="34987"/>
    <cellStyle name="壞_Creek EE BOM cost_20090425_Creek RFQ feedback 04_28_2009_FD Update_Bolt RFQ Proposal_Foxlink_ (Pricing Summary) 2 25 2011 7" xfId="34988"/>
    <cellStyle name="壞_Creek EE BOM cost_20090425_Creek RFQ feedback 04_28_2009_FD Update_Bolt RFQ_Foxlink_03.1 2011" xfId="34989"/>
    <cellStyle name="壞_Creek EE BOM cost_20090425_Creek RFQ feedback 04_28_2009_FD Update_Bolt RFQ_Foxlink_03.1 2011 2 3" xfId="34990"/>
    <cellStyle name="壞_Creek EE BOM cost_20090425_Creek RFQ feedback 04_28_2009_FD Update_Bolt RFQ_Foxlink_03.1 2011 3 2" xfId="34991"/>
    <cellStyle name="壞_Creek EE BOM cost_20090425_Creek RFQ feedback 04_28_2009_FD Update_Bolt RFQ_Foxlink_03.1 2011 3 3" xfId="34992"/>
    <cellStyle name="壞_Creek EE BOM cost_20090425_Creek RFQ feedback 04_28_2009_FD Update_Bolt RFQ_Foxlink_03.1 2011 4" xfId="34993"/>
    <cellStyle name="壞_Creek EE BOM cost_20090425_Creek RFQ feedback 04_28_2009_FD Update_Bolt RFQ_Foxlink_03.1 2011 5" xfId="34994"/>
    <cellStyle name="壞_Creek EE BOM cost_20090425_Creek RFQ feedback 04_28_2009_FD Update_Bolt RFQ_Foxlink_03.1 2011_nego meeting@MACH" xfId="34995"/>
    <cellStyle name="壞_Creek EE BOM cost_20090425_Creek RFQ feedback 04_28_2009_FD Update_Bolt RFQ_Foxlink_03.1 2011_nego meeting@MACH 2" xfId="34996"/>
    <cellStyle name="壞_Creek EE BOM cost_20090425_Creek RFQ feedback 04_28_2009_FD Update_Bolt RFQ_Foxlink_03.1 2011_nego meeting@MACH 2 2" xfId="34997"/>
    <cellStyle name="壞_Creek EE BOM cost_20090425_Creek RFQ feedback 04_28_2009_FD Update_Bolt RFQ_Foxlink_03.1 2011_nego meeting@MACH 2 3" xfId="34998"/>
    <cellStyle name="壞_Creek EE BOM cost_20090425_Creek RFQ feedback 04_28_2009_FD Update_Bolt RFQ_Foxlink_03.1 2011_nego meeting@MACH 3" xfId="34999"/>
    <cellStyle name="壞_Creek EE BOM cost_20090425_Creek RFQ feedback 04_28_2009_FD Update_Bolt RFQ_Foxlink_03.1 2011_nego meeting@MACH 3 2" xfId="35000"/>
    <cellStyle name="壞_Creek EE BOM cost_20090425_Creek RFQ feedback 04_28_2009_FD Update_Bolt RFQ_Foxlink_03.1 2011_nego meeting@MACH 3 3" xfId="35001"/>
    <cellStyle name="壞_Creek EE BOM cost_20090425_Creek RFQ feedback 04_28_2009_FD Update_Bolt RFQ_Foxlink_03.1 2011_nego meeting@MACH 4" xfId="35002"/>
    <cellStyle name="壞_Creek EE BOM cost_20090425_Creek RFQ feedback 04_28_2009_FD Update_Bolt RFQ_Foxlink_03.1 2011_nego meeting@MACH 5" xfId="35003"/>
    <cellStyle name="壞_Creek EE BOM cost_20090425_Creek RFQ feedback 04_28_2009_FD Update_Foxlink_Shadow RFQ NREUni BOM_12032009" xfId="35004"/>
    <cellStyle name="壞_Creek EE BOM cost_20090425_Creek RFQ feedback 04_28_2009_FD Update_Foxlink_Shadow RFQ NREUni BOM_12032009 2" xfId="35005"/>
    <cellStyle name="壞_Creek EE BOM cost_20090425_Creek RFQ feedback 04_28_2009_FD Update_Foxlink_Shadow RFQ NREUni BOM_12032009 2 2" xfId="35006"/>
    <cellStyle name="壞_Creek EE BOM cost_20090425_Creek RFQ feedback 04_28_2009_FD Update_Foxlink_Shadow RFQ NREUni BOM_12032009 2 2 2" xfId="35007"/>
    <cellStyle name="壞_Creek EE BOM cost_20090425_Creek RFQ feedback 04_28_2009_FD Update_Foxlink_Shadow RFQ NREUni BOM_12032009 2 2 3" xfId="35008"/>
    <cellStyle name="壞_Creek EE BOM cost_20090425_Creek RFQ feedback 04_28_2009_FD Update_Foxlink_Shadow RFQ NREUni BOM_12032009 2 3" xfId="35009"/>
    <cellStyle name="壞_Creek EE BOM cost_20090425_Creek RFQ feedback 04_28_2009_FD Update_Foxlink_Shadow RFQ NREUni BOM_12032009 2 3 2" xfId="35010"/>
    <cellStyle name="壞_Creek EE BOM cost_20090425_Creek RFQ feedback 04_28_2009_FD Update_Foxlink_Shadow RFQ NREUni BOM_12032009 2 3 3" xfId="35011"/>
    <cellStyle name="壞_Creek EE BOM cost_20090425_Creek RFQ feedback 04_28_2009_FD Update_Foxlink_Shadow RFQ NREUni BOM_12032009 3" xfId="35012"/>
    <cellStyle name="壞_Creek EE BOM cost_20090425_Creek RFQ feedback 04_28_2009_FD Update_Foxlink_Shadow RFQ NREUni BOM_12032009 3 2" xfId="35013"/>
    <cellStyle name="壞_Creek EE BOM cost_20090425_Creek RFQ feedback 04_28_2009_FD Update_Foxlink_Shadow RFQ NREUni BOM_12032009 3 3" xfId="35014"/>
    <cellStyle name="壞_Creek EE BOM cost_20090425_Creek RFQ feedback 04_28_2009_FD Update_Foxlink_Shadow RFQ NREUni BOM_12032009 4" xfId="35015"/>
    <cellStyle name="壞_Creek EE BOM cost_20090425_Creek RFQ feedback 04_28_2009_FD Update_Foxlink_Shadow RFQ NREUni BOM_12032009 4 2" xfId="35016"/>
    <cellStyle name="壞_Creek EE BOM cost_20090425_Creek RFQ feedback 04_28_2009_FD Update_Foxlink_Shadow RFQ NREUni BOM_12032009 4 3" xfId="35017"/>
    <cellStyle name="壞_Creek EE BOM cost_20090425_Creek RFQ feedback 04_28_2009_FD Update_Foxlink_Shadow RFQ NREUni BOM_12032009_Bolt RFQ Proposal_Foxlink_ (Pricing Summary) 2 25 2011" xfId="35018"/>
    <cellStyle name="壞_Creek EE BOM cost_20090425_Creek RFQ feedback 04_28_2009_FD Update_Foxlink_Shadow RFQ NREUni BOM_12032009_Bolt RFQ Proposal_Foxlink_ (Pricing Summary) 2 25 2011 2" xfId="35019"/>
    <cellStyle name="壞_Creek EE BOM cost_20090425_Creek RFQ feedback 04_28_2009_FD Update_Foxlink_Shadow RFQ NREUni BOM_12032009_Bolt RFQ Proposal_Foxlink_ (Pricing Summary) 2 25 2011 2 2" xfId="35020"/>
    <cellStyle name="壞_Creek EE BOM cost_20090425_Creek RFQ feedback 04_28_2009_FD Update_Foxlink_Shadow RFQ NREUni BOM_12032009_Bolt RFQ Proposal_Foxlink_ (Pricing Summary) 2 25 2011 2 2 2" xfId="35021"/>
    <cellStyle name="壞_Creek EE BOM cost_20090425_Creek RFQ feedback 04_28_2009_FD Update_Foxlink_Shadow RFQ NREUni BOM_12032009_Bolt RFQ Proposal_Foxlink_ (Pricing Summary) 2 25 2011 2 2 3" xfId="35022"/>
    <cellStyle name="壞_Creek EE BOM cost_20090425_Creek RFQ feedback 04_28_2009_FD Update_Foxlink_Shadow RFQ NREUni BOM_12032009_Bolt RFQ Proposal_Foxlink_ (Pricing Summary) 2 25 2011 2 3" xfId="35023"/>
    <cellStyle name="壞_Creek EE BOM cost_20090425_Creek RFQ feedback 04_28_2009_FD Update_Foxlink_Shadow RFQ NREUni BOM_12032009_Bolt RFQ Proposal_Foxlink_ (Pricing Summary) 2 25 2011 2 3 2" xfId="35024"/>
    <cellStyle name="壞_Creek EE BOM cost_20090425_Creek RFQ feedback 04_28_2009_FD Update_Foxlink_Shadow RFQ NREUni BOM_12032009_Bolt RFQ Proposal_Foxlink_ (Pricing Summary) 2 25 2011 2 3 3" xfId="35025"/>
    <cellStyle name="壞_Creek EE BOM cost_20090425_Creek RFQ feedback 04_28_2009_FD Update_Foxlink_Shadow RFQ NREUni BOM_12032009_Bolt RFQ Proposal_Foxlink_ (Pricing Summary) 2 25 2011 3" xfId="35026"/>
    <cellStyle name="壞_Creek EE BOM cost_20090425_Creek RFQ feedback 04_28_2009_FD Update_Foxlink_Shadow RFQ NREUni BOM_12032009_Bolt RFQ Proposal_Foxlink_ (Pricing Summary) 2 25 2011 4" xfId="35027"/>
    <cellStyle name="壞_Creek EE BOM cost_20090425_Creek RFQ feedback 04_28_2009_FD Update_Foxlink_Shadow RFQ NREUni BOM_12032009_Bolt RFQ Proposal_Foxlink_ (Pricing Summary) 2 25 2011 4 2" xfId="35028"/>
    <cellStyle name="壞_Creek EE BOM cost_20090425_Creek RFQ feedback 04_28_2009_FD Update_Foxlink_Shadow RFQ NREUni BOM_12032009_Bolt RFQ Proposal_Foxlink_ (Pricing Summary) 2 25 2011 4 3" xfId="35029"/>
    <cellStyle name="壞_Creek EE BOM cost_20090425_Creek RFQ feedback 04_28_2009_FD Update_Foxlink_Shadow RFQ NREUni BOM_12032009_Bolt RFQ Proposal_Foxlink_ (Pricing Summary) 2 25 2011 5" xfId="35030"/>
    <cellStyle name="壞_Creek EE BOM cost_20090425_Creek RFQ feedback 04_28_2009_FD Update_Foxlink_Shadow RFQ NREUni BOM_12032009_Bolt RFQ Proposal_Foxlink_ (Pricing Summary) 2 25 2011 5 2" xfId="35031"/>
    <cellStyle name="壞_Creek EE BOM cost_20090425_Creek RFQ feedback 04_28_2009_FD Update_Foxlink_Shadow RFQ NREUni BOM_12032009_Bolt RFQ Proposal_Foxlink_ (Pricing Summary) 2 25 2011 5 3" xfId="35032"/>
    <cellStyle name="壞_Creek EE BOM cost_20090425_Creek RFQ feedback 04_28_2009_FD Update_Foxlink_Shadow RFQ NREUni BOM_12032009_Bolt RFQ Proposal_Foxlink_ (Pricing Summary) 2 25 2011 6" xfId="35033"/>
    <cellStyle name="壞_Creek EE BOM cost_20090425_Creek RFQ feedback 04_28_2009_FD Update_Foxlink_Shadow RFQ NREUni BOM_12032009_Bolt RFQ Proposal_Foxlink_ (Pricing Summary) 2 25 2011 6 2" xfId="35034"/>
    <cellStyle name="壞_Creek EE BOM cost_20090425_Creek RFQ feedback 04_28_2009_FD Update_Foxlink_Shadow RFQ NREUni BOM_12032009_Bolt RFQ Proposal_Foxlink_ (Pricing Summary) 2 25 2011 6 3" xfId="35035"/>
    <cellStyle name="壞_Creek EE BOM cost_20090425_Creek RFQ feedback 04_28_2009_FD Update_Foxlink_Shadow RFQ NREUni BOM_12032009_Bolt RFQ Proposal_Foxlink_ (Pricing Summary) 2 25 2011 7" xfId="35036"/>
    <cellStyle name="壞_Creek EE BOM cost_20090425_Creek RFQ feedback 04_28_2009_FD Update_Foxlink_Shadow RFQ NREUni BOM_12032009_Bolt RFQ Proposal_Foxlink_ (Pricing Summary) 2 25 2011 8" xfId="35037"/>
    <cellStyle name="壞_Creek EE BOM cost_20090425_Creek RFQ feedback 04_28_2009_FD Update_Foxlink_Shadow RFQ NREUni BOM_12032009_Bolt RFQ_Foxlink_03.1 2011" xfId="35038"/>
    <cellStyle name="壞_Creek EE BOM cost_20090425_Creek RFQ feedback 04_28_2009_FD Update_Foxlink_Shadow RFQ NREUni BOM_12032009_Bolt RFQ_Foxlink_03.1 2011 2" xfId="35039"/>
    <cellStyle name="壞_Creek EE BOM cost_20090425_Creek RFQ feedback 04_28_2009_FD Update_Foxlink_Shadow RFQ NREUni BOM_12032009_Bolt RFQ_Foxlink_03.1 2011 2 2" xfId="35040"/>
    <cellStyle name="壞_Creek EE BOM cost_20090425_Creek RFQ feedback 04_28_2009_FD Update_Foxlink_Shadow RFQ NREUni BOM_12032009_Bolt RFQ_Foxlink_03.1 2011 2 3" xfId="35041"/>
    <cellStyle name="壞_Creek EE BOM cost_20090425_Creek RFQ feedback 04_28_2009_FD Update_Foxlink_Shadow RFQ NREUni BOM_12032009_Bolt RFQ_Foxlink_03.1 2011 3" xfId="35042"/>
    <cellStyle name="壞_Creek EE BOM cost_20090425_Creek RFQ feedback 04_28_2009_FD Update_Foxlink_Shadow RFQ NREUni BOM_12032009_Bolt RFQ_Foxlink_03.1 2011 3 3" xfId="35043"/>
    <cellStyle name="壞_Creek EE BOM cost_20090425_Creek RFQ feedback 04_28_2009_FD Update_Foxlink_Shadow RFQ NREUni BOM_12032009_Bolt RFQ_Foxlink_03.1 2011 4" xfId="35044"/>
    <cellStyle name="壞_Creek EE BOM cost_20090425_Creek RFQ feedback 04_28_2009_FD Update_Foxlink_Shadow RFQ NREUni BOM_12032009_Bolt RFQ_Foxlink_03.1 2011 5" xfId="35045"/>
    <cellStyle name="壞_Creek EE BOM cost_20090425_Creek RFQ feedback 04_28_2009_FD Update_Foxlink_Shadow RFQ NREUni BOM_12032009_Bolt RFQ_Foxlink_03.1 2011_nego meeting@MACH" xfId="35046"/>
    <cellStyle name="壞_Creek EE BOM cost_20090425_Creek RFQ feedback 04_28_2009_FD Update_Foxlink_Shadow RFQ NREUni BOM_12032009_Bolt RFQ_Foxlink_03.1 2011_nego meeting@MACH 2" xfId="35047"/>
    <cellStyle name="壞_Creek EE BOM cost_20090425_Creek RFQ feedback 04_28_2009_FD Update_Foxlink_Shadow RFQ NREUni BOM_12032009_Bolt RFQ_Foxlink_03.1 2011_nego meeting@MACH 2 2" xfId="35048"/>
    <cellStyle name="壞_Creek EE BOM cost_20090425_Creek RFQ feedback 04_28_2009_FD Update_Foxlink_Shadow RFQ NREUni BOM_12032009_Bolt RFQ_Foxlink_03.1 2011_nego meeting@MACH 2 3" xfId="35049"/>
    <cellStyle name="壞_Creek EE BOM cost_20090425_Creek RFQ feedback 04_28_2009_FD Update_Foxlink_Shadow RFQ NREUni BOM_12032009_Bolt RFQ_Foxlink_03.1 2011_nego meeting@MACH 3" xfId="35050"/>
    <cellStyle name="壞_Creek EE BOM cost_20090425_Creek RFQ feedback 04_28_2009_FD Update_Foxlink_Shadow RFQ NREUni BOM_12032009_Bolt RFQ_Foxlink_03.1 2011_nego meeting@MACH 3 2" xfId="35051"/>
    <cellStyle name="壞_Creek EE BOM cost_20090425_Creek RFQ feedback 04_28_2009_FD Update_Foxlink_Shadow RFQ NREUni BOM_12032009_Bolt RFQ_Foxlink_03.1 2011_nego meeting@MACH 3 3" xfId="35052"/>
    <cellStyle name="壞_Creek EE BOM cost_20090425_Creek RFQ feedback 04_28_2009_FD Update_Foxlink_Shadow RFQ NREUni BOM_12032009_Bolt RFQ_Foxlink_03.1 2011_nego meeting@MACH 4" xfId="35053"/>
    <cellStyle name="壞_Creek EE BOM cost_20090425_Creek RFQ feedback 04_28_2009_FD Update_Foxlink_Shadow RFQ NREUni BOM_12032009_Bolt RFQ_Foxlink_03.1 2011_nego meeting@MACH 5" xfId="35054"/>
    <cellStyle name="壞_Creek EE BOM cost_20090425_Creek RFQ feedback 04_28_2009_FD Update_Jackson and Shadow BOM cost_mainfile_2010 0324 rev.1" xfId="35055"/>
    <cellStyle name="壞_Creek EE BOM cost_20090425_Creek RFQ feedback 04_28_2009_FD Update_Jackson and Shadow BOM cost_mainfile_2010 0324 rev.1_Bristol UniBom_Foxlink_02082011 RevA" xfId="35056"/>
    <cellStyle name="壞_Creek EE BOM cost_20090425_Creek RFQ feedback 04_28_2009_FD Update_Jackson and Shadow BOM cost_mainfile_2010 0324 rev.1_Leopard UniBom_Foxlink_12092010 RevD-jen" xfId="35057"/>
    <cellStyle name="壞_Creek EE BOM cost_20090425_Creek RFQ feedback 04_28_2009_FD Update_Jackson and Shadow BOM cost_mainfile_2010 0324 rev.1_Leopard UniBom_Foxlink_12272010 RevF_shirley" xfId="35058"/>
    <cellStyle name="壞_Creek EE BOM cost_20090425_Creek RFQ feedback 04_28_2009_FD Update_Jackson EE BOM " xfId="35059"/>
    <cellStyle name="壞_Creek EE BOM cost_20090425_Creek RFQ feedback 04_28_2009_FD Update_Jackson NRE Uni BOM_update _05072010 rev K" xfId="35060"/>
    <cellStyle name="壞_Creek EE BOM cost_20090425_Creek RFQ feedback 04_28_2009_FD Update_Lemur RFQ ME BOM Costs-0623" xfId="35061"/>
    <cellStyle name="壞_Creek EE BOM cost_20090425_Creek RFQ feedback 04_28_2009_FD Update_Leopard Lemur Squirrel UniBom-06.22.2010_EE cost _update_internal 2" xfId="35062"/>
    <cellStyle name="壞_Creek EE BOM cost_20090425_Creek RFQ feedback 04_28_2009_FD Update_Leopard Lemur Squirrel UniBom-06.22.2010_EE cost _update_internal 2 2" xfId="35063"/>
    <cellStyle name="壞_Creek EE BOM cost_20090425_Creek RFQ feedback 04_28_2009_FD Update_Leopard Lemur Squirrel UniBom-06.22.2010_EE cost _update_internal 2 2 2" xfId="35064"/>
    <cellStyle name="壞_Creek EE BOM cost_20090425_Creek RFQ feedback 04_28_2009_FD Update_Leopard Lemur Squirrel UniBom-06.22.2010_EE cost _update_internal 2 2 3" xfId="35065"/>
    <cellStyle name="壞_Creek EE BOM cost_20090425_Creek RFQ feedback 04_28_2009_FD Update_Leopard Lemur Squirrel UniBom-06.22.2010_EE cost _update_internal 2 3" xfId="35066"/>
    <cellStyle name="壞_Creek EE BOM cost_20090425_Creek RFQ feedback 04_28_2009_FD Update_Leopard Lemur Squirrel UniBom-06.22.2010_EE cost _update_internal 2 3 2" xfId="35067"/>
    <cellStyle name="壞_Creek EE BOM cost_20090425_Creek RFQ feedback 04_28_2009_FD Update_Leopard Lemur Squirrel UniBom-06.22.2010_EE cost _update_internal 3" xfId="35068"/>
    <cellStyle name="壞_Creek EE BOM cost_20090425_Creek RFQ feedback 04_28_2009_FD Update_Leopard Lemur Squirrel UniBom-06.22.2010_EE cost _update_internal 3 2" xfId="35069"/>
    <cellStyle name="壞_Creek EE BOM cost_20090425_Creek RFQ feedback 04_28_2009_FD Update_Leopard Lemur Squirrel UniBom-06.22.2010_EE cost _update_internal 3 3" xfId="35070"/>
    <cellStyle name="壞_Creek EE BOM cost_20090425_Creek RFQ feedback 04_28_2009_FD Update_Leopard Lemur Squirrel UniBom-06.22.2010_EE cost _update_internal 4" xfId="35071"/>
    <cellStyle name="壞_Creek EE BOM cost_20090425_Creek RFQ feedback 04_28_2009_FD Update_Leopard Lemur Squirrel UniBom-06.22.2010_EE cost _update_internal 4 2" xfId="35072"/>
    <cellStyle name="壞_Creek EE BOM cost_20090425_Creek RFQ feedback 04_28_2009_FD Update_Leopard Lemur Squirrel UniBom-06.22.2010_EE cost _update_internal 4 3" xfId="35073"/>
    <cellStyle name="壞_Creek EE BOM cost_20090425_Creek RFQ feedback 04_28_2009_FD Update_Leopard Lemur Squirrel UniBom-06.22.2010_EE cost _update_internal_Bolt RFQ Proposal_Foxlink_ (Pricing Summary) 2 25 2011 2 2 2" xfId="35074"/>
    <cellStyle name="壞_Creek EE BOM cost_20090425_Creek RFQ feedback 04_28_2009_FD Update_Leopard Lemur Squirrel UniBom-06.22.2010_EE cost _update_internal_Bolt RFQ Proposal_Foxlink_ (Pricing Summary) 2 25 2011 2 2 3" xfId="35075"/>
    <cellStyle name="壞_Creek EE BOM cost_20090425_Creek RFQ feedback 04_28_2009_FD Update_Leopard Lemur Squirrel UniBom-06.22.2010_EE cost _update_internal_Bolt RFQ Proposal_Foxlink_ (Pricing Summary) 2 25 2011 2 3 2" xfId="35076"/>
    <cellStyle name="壞_Creek EE BOM cost_20090425_Creek RFQ feedback 04_28_2009_FD Update_Leopard Lemur Squirrel UniBom-06.22.2010_EE cost _update_internal_Bolt RFQ Proposal_Foxlink_ (Pricing Summary) 2 25 2011 2 3 3" xfId="35077"/>
    <cellStyle name="壞_Creek EE BOM cost_20090425_Creek RFQ feedback 04_28_2009_FD Update_Leopard Lemur Squirrel UniBom-06.22.2010_EE cost _update_internal_Bolt RFQ Proposal_Foxlink_ (Pricing Summary) 2 25 2011 4 2" xfId="35078"/>
    <cellStyle name="壞_Creek EE BOM cost_20090425_Creek RFQ feedback 04_28_2009_FD Update_Leopard Lemur Squirrel UniBom-06.22.2010_EE cost _update_internal_Bolt RFQ Proposal_Foxlink_ (Pricing Summary) 2 25 2011 4 3" xfId="35079"/>
    <cellStyle name="壞_Creek EE BOM cost_20090425_Creek RFQ feedback 04_28_2009_FD Update_Leopard Lemur Squirrel UniBom-06.22.2010_EE cost _update_internal_Bolt RFQ Proposal_Foxlink_ (Pricing Summary) 2 25 2011 5 2" xfId="35080"/>
    <cellStyle name="壞_Creek EE BOM cost_20090425_Creek RFQ feedback 04_28_2009_FD Update_Leopard Lemur Squirrel UniBom-06.22.2010_EE cost _update_internal_Bolt RFQ Proposal_Foxlink_ (Pricing Summary) 2 25 2011 5 3" xfId="35081"/>
    <cellStyle name="壞_Creek EE BOM cost_20090425_Creek RFQ feedback 04_28_2009_FD Update_Leopard Lemur Squirrel UniBom-06.22.2010_EE cost _update_internal_Bolt RFQ Proposal_Foxlink_ (Pricing Summary) 2 25 2011 6" xfId="35082"/>
    <cellStyle name="壞_Creek EE BOM cost_20090425_Creek RFQ feedback 04_28_2009_FD Update_Leopard Lemur Squirrel UniBom-06.22.2010_EE cost _update_internal_Bolt RFQ Proposal_Foxlink_ (Pricing Summary) 2 25 2011 6 2" xfId="35083"/>
    <cellStyle name="壞_Creek EE BOM cost_20090425_Creek RFQ feedback 04_28_2009_FD Update_Leopard Lemur Squirrel UniBom-06.22.2010_EE cost _update_internal_Bolt RFQ Proposal_Foxlink_ (Pricing Summary) 2 25 2011 6 3" xfId="35084"/>
    <cellStyle name="壞_Creek EE BOM cost_20090425_Creek RFQ feedback 04_28_2009_FD Update_Leopard Lemur Squirrel UniBom-06.22.2010_EE cost _update_internal_Bolt RFQ Proposal_Foxlink_ (Pricing Summary) 2 25 2011 7" xfId="35085"/>
    <cellStyle name="壞_Creek EE BOM cost_20090425_Creek RFQ feedback 04_28_2009_FD Update_Leopard Lemur Squirrel UniBom-06.22.2010_EE cost _update_internal_Bolt RFQ Proposal_Foxlink_ (Pricing Summary) 2 25 2011 8" xfId="35086"/>
    <cellStyle name="壞_Creek EE BOM cost_20090425_Creek RFQ feedback 04_28_2009_FD Update_Leopard Lemur Squirrel UniBom-06.22.2010_EE cost _update_internal_Bolt RFQ_Foxlink_03.1 2011" xfId="35087"/>
    <cellStyle name="壞_Creek EE BOM cost_20090425_Creek RFQ feedback 04_28_2009_FD Update_Leopard Lemur Squirrel UniBom-06.22.2010_EE cost _update_internal_Bolt RFQ_Foxlink_03.1 2011 2" xfId="35088"/>
    <cellStyle name="壞_Creek EE BOM cost_20090425_Creek RFQ feedback 04_28_2009_FD Update_Leopard Lemur Squirrel UniBom-06.22.2010_EE cost _update_internal_Bolt RFQ_Foxlink_03.1 2011 2 2" xfId="35089"/>
    <cellStyle name="壞_Creek EE BOM cost_20090425_Creek RFQ feedback 04_28_2009_FD Update_Leopard Lemur Squirrel UniBom-06.22.2010_EE cost _update_internal_Bolt RFQ_Foxlink_03.1 2011 2 3" xfId="35090"/>
    <cellStyle name="壞_Creek EE BOM cost_20090425_Creek RFQ feedback 04_28_2009_FD Update_Leopard Lemur Squirrel UniBom-06.22.2010_EE cost _update_internal_Bolt RFQ_Foxlink_03.1 2011 3" xfId="35091"/>
    <cellStyle name="壞_Creek EE BOM cost_20090425_Creek RFQ feedback 04_28_2009_FD Update_Leopard Lemur Squirrel UniBom-06.22.2010_EE cost _update_internal_Bolt RFQ_Foxlink_03.1 2011 3 2" xfId="35092"/>
    <cellStyle name="壞_Creek EE BOM cost_20090425_Creek RFQ feedback 04_28_2009_FD Update_Leopard Lemur Squirrel UniBom-06.22.2010_EE cost _update_internal_Bolt RFQ_Foxlink_03.1 2011 3 3" xfId="35093"/>
    <cellStyle name="壞_Creek EE BOM cost_20090425_Creek RFQ feedback 04_28_2009_FD Update_Leopard Lemur Squirrel UniBom-06.22.2010_EE cost _update_internal_Bolt RFQ_Foxlink_03.1 2011 4" xfId="35094"/>
    <cellStyle name="壞_Creek EE BOM cost_20090425_Creek RFQ feedback 04_28_2009_FD Update_Leopard Lemur Squirrel UniBom-06.22.2010_EE cost _update_internal_Bolt RFQ_Foxlink_03.1 2011 5" xfId="35095"/>
    <cellStyle name="壞_Creek EE BOM cost_20090425_Creek RFQ feedback 04_28_2009_FD Update_Leopard Lemur Squirrel UniBom-06.22.2010_EE cost _update_internal_Bolt RFQ_Foxlink_03.1 2011_nego meeting@MACH" xfId="35096"/>
    <cellStyle name="壞_Creek EE BOM cost_20090425_Creek RFQ feedback 04_28_2009_FD Update_Leopard Lemur Squirrel UniBom-06.22.2010_EE cost _update_internal_Bolt RFQ_Foxlink_03.1 2011_nego meeting@MACH 2" xfId="35097"/>
    <cellStyle name="壞_Creek EE BOM cost_20090425_Creek RFQ feedback 04_28_2009_FD Update_Leopard Lemur Squirrel UniBom-06.22.2010_EE cost _update_internal_Bolt RFQ_Foxlink_03.1 2011_nego meeting@MACH 2 2" xfId="35098"/>
    <cellStyle name="壞_Creek EE BOM cost_20090425_Creek RFQ feedback 04_28_2009_FD Update_Leopard Lemur Squirrel UniBom-06.22.2010_EE cost _update_internal_Bolt RFQ_Foxlink_03.1 2011_nego meeting@MACH 2 3" xfId="35099"/>
    <cellStyle name="壞_Creek EE BOM cost_20090425_Creek RFQ feedback 04_28_2009_FD Update_Leopard Lemur Squirrel UniBom-06.22.2010_EE cost _update_internal_Bolt RFQ_Foxlink_03.1 2011_nego meeting@MACH 3" xfId="35100"/>
    <cellStyle name="壞_Creek EE BOM cost_20090425_Creek RFQ feedback 04_28_2009_FD Update_Leopard Lemur Squirrel UniBom-06.22.2010_EE cost _update_internal_Bolt RFQ_Foxlink_03.1 2011_nego meeting@MACH 3 2" xfId="35101"/>
    <cellStyle name="壞_Creek EE BOM cost_20090425_Creek RFQ feedback 04_28_2009_FD Update_Leopard Lemur Squirrel UniBom-06.22.2010_EE cost _update_internal_Bolt RFQ_Foxlink_03.1 2011_nego meeting@MACH 3 3" xfId="35102"/>
    <cellStyle name="壞_Creek EE BOM cost_20090425_Creek RFQ feedback 04_28_2009_FD Update_Leopard Lemur Squirrel UniBom-06.22.2010_EE cost _update_internal_Bolt RFQ_Foxlink_03.1 2011_nego meeting@MACH 4" xfId="35103"/>
    <cellStyle name="壞_Creek EE BOM cost_20090425_Creek RFQ feedback 04_28_2009_FD Update_Leopard Lemur Squirrel UniBom-06.22.2010_EE cost _update_internal_Bolt RFQ_Foxlink_03.1 2011_nego meeting@MACH 5" xfId="35104"/>
    <cellStyle name="壞_Creek EE BOM cost_20090425_Creek RFQ feedback 04_28_2009_FD Update_Leopard RFQ ME BOM Costs-0623" xfId="35105"/>
    <cellStyle name="壞_Creek EE BOM cost_20090425_Creek RFQ feedback 04_28_2009_FD Update_Leopard RFQ ME BOM Costs-0618" xfId="35106"/>
    <cellStyle name="壞_Creek EE BOM cost_20090425_Creek RFQ feedback 04_28_2009_FD Update_Leopard RFQ ME BOM Costs-0618 2" xfId="35107"/>
    <cellStyle name="壞_Creek EE BOM cost_20090425_Creek RFQ feedback 04_28_2009_FD Update_Leopard RFQ ME BOM Costs-0618 2 2 2" xfId="35108"/>
    <cellStyle name="壞_Creek EE BOM cost_20090425_Creek RFQ feedback 04_28_2009_FD Update_Leopard RFQ ME BOM Costs-0618 2 2 3" xfId="35109"/>
    <cellStyle name="壞_Creek EE BOM cost_20090425_Creek RFQ feedback 04_28_2009_FD Update_Leopard RFQ ME BOM Costs-0618 2 3" xfId="35110"/>
    <cellStyle name="壞_Creek EE BOM cost_20090425_Creek RFQ feedback 04_28_2009_FD Update_Leopard RFQ ME BOM Costs-0618 2 3 3" xfId="35111"/>
    <cellStyle name="壞_Creek EE BOM cost_20090425_Creek RFQ feedback 04_28_2009_FD Update_Leopard RFQ ME BOM Costs-0618 3" xfId="35112"/>
    <cellStyle name="壞_Creek EE BOM cost_20090425_Creek RFQ feedback 04_28_2009_FD Update_Leopard RFQ ME BOM Costs-0618 3 3" xfId="35113"/>
    <cellStyle name="壞_Creek EE BOM cost_20090425_Creek RFQ feedback 04_28_2009_FD Update_Leopard RFQ ME BOM Costs-0618 4" xfId="35114"/>
    <cellStyle name="壞_Creek EE BOM cost_20090425_Creek RFQ feedback 04_28_2009_FD Update_Leopard RFQ ME BOM Costs-0618 4 2" xfId="35115"/>
    <cellStyle name="壞_Creek EE BOM cost_20090425_Creek RFQ feedback 04_28_2009_FD Update_Leopard RFQ ME BOM Costs-0618 4 3" xfId="35116"/>
    <cellStyle name="壞_Creek EE BOM cost_20090425_Creek RFQ feedback 04_28_2009_FD Update_Leopard RFQ ME BOM Costs-0618_Bolt RFQ Proposal_Foxlink_ (Pricing Summary) 2 25 2011" xfId="35117"/>
    <cellStyle name="壞_Creek EE BOM cost_20090425_Creek RFQ feedback 04_28_2009_FD Update_Leopard RFQ ME BOM Costs-0618_Bolt RFQ Proposal_Foxlink_ (Pricing Summary) 2 25 2011 2" xfId="35118"/>
    <cellStyle name="壞_Creek EE BOM cost_20090425_Creek RFQ feedback 04_28_2009_FD Update_Leopard RFQ ME BOM Costs-0618_Bolt RFQ Proposal_Foxlink_ (Pricing Summary) 2 25 2011 2 2" xfId="35119"/>
    <cellStyle name="壞_Creek EE BOM cost_20090425_Creek RFQ feedback 04_28_2009_FD Update_Leopard RFQ ME BOM Costs-0618_Bolt RFQ Proposal_Foxlink_ (Pricing Summary) 2 25 2011 2 2 2" xfId="35120"/>
    <cellStyle name="壞_Creek EE BOM cost_20090425_Creek RFQ feedback 04_28_2009_FD Update_Leopard RFQ ME BOM Costs-0618_Bolt RFQ Proposal_Foxlink_ (Pricing Summary) 2 25 2011 2 2 3" xfId="35121"/>
    <cellStyle name="壞_Creek EE BOM cost_20090425_Creek RFQ feedback 04_28_2009_FD Update_Leopard RFQ ME BOM Costs-0618_Bolt RFQ Proposal_Foxlink_ (Pricing Summary) 2 25 2011 2 3" xfId="35122"/>
    <cellStyle name="壞_Creek EE BOM cost_20090425_Creek RFQ feedback 04_28_2009_FD Update_Leopard RFQ ME BOM Costs-0618_Bolt RFQ Proposal_Foxlink_ (Pricing Summary) 2 25 2011 2 3 2" xfId="35123"/>
    <cellStyle name="壞_Creek EE BOM cost_20090425_Creek RFQ feedback 04_28_2009_FD Update_Leopard RFQ ME BOM Costs-0618_Bolt RFQ Proposal_Foxlink_ (Pricing Summary) 2 25 2011 2 3 3" xfId="35124"/>
    <cellStyle name="壞_Creek EE BOM cost_20090425_Creek RFQ feedback 04_28_2009_FD Update_Leopard RFQ ME BOM Costs-0618_Bolt RFQ Proposal_Foxlink_ (Pricing Summary) 2 25 2011 3" xfId="35125"/>
    <cellStyle name="壞_Creek EE BOM cost_20090425_Creek RFQ feedback 04_28_2009_FD Update_Leopard RFQ ME BOM Costs-0618_Bolt RFQ Proposal_Foxlink_ (Pricing Summary) 2 25 2011 4" xfId="35126"/>
    <cellStyle name="壞_Creek EE BOM cost_20090425_Creek RFQ feedback 04_28_2009_FD Update_Leopard RFQ ME BOM Costs-0618_Bolt RFQ Proposal_Foxlink_ (Pricing Summary) 2 25 2011 4 2" xfId="35127"/>
    <cellStyle name="壞_Creek EE BOM cost_20090425_Creek RFQ feedback 04_28_2009_FD Update_Leopard RFQ ME BOM Costs-0618_Bolt RFQ Proposal_Foxlink_ (Pricing Summary) 2 25 2011 5" xfId="35128"/>
    <cellStyle name="壞_Creek EE BOM cost_20090425_Creek RFQ feedback 04_28_2009_FD Update_Leopard RFQ ME BOM Costs-0618_Bolt RFQ Proposal_Foxlink_ (Pricing Summary) 2 25 2011 5 2" xfId="35129"/>
    <cellStyle name="壞_Creek EE BOM cost_20090425_Creek RFQ feedback 04_28_2009_FD Update_Leopard RFQ ME BOM Costs-0618_Bolt RFQ Proposal_Foxlink_ (Pricing Summary) 2 25 2011 5 3" xfId="35130"/>
    <cellStyle name="壞_Creek EE BOM cost_20090425_Creek RFQ feedback 04_28_2009_FD Update_Leopard RFQ ME BOM Costs-0618_Bolt RFQ Proposal_Foxlink_ (Pricing Summary) 2 25 2011 6" xfId="35131"/>
    <cellStyle name="壞_Creek EE BOM cost_20090425_Creek RFQ feedback 04_28_2009_FD Update_Leopard RFQ ME BOM Costs-0618_Bolt RFQ Proposal_Foxlink_ (Pricing Summary) 2 25 2011 6 2" xfId="35132"/>
    <cellStyle name="壞_Creek EE BOM cost_20090425_Creek RFQ feedback 04_28_2009_FD Update_Leopard RFQ ME BOM Costs-0618_Bolt RFQ Proposal_Foxlink_ (Pricing Summary) 2 25 2011 6 3" xfId="35133"/>
    <cellStyle name="壞_Creek EE BOM cost_20090425_Creek RFQ feedback 04_28_2009_FD Update_Leopard RFQ ME BOM Costs-0618_Bolt RFQ Proposal_Foxlink_ (Pricing Summary) 2 25 2011 7" xfId="35134"/>
    <cellStyle name="壞_Creek EE BOM cost_20090425_Creek RFQ feedback 04_28_2009_FD Update_Leopard RFQ ME BOM Costs-0618_Bolt RFQ Proposal_Foxlink_ (Pricing Summary) 2 25 2011 8" xfId="35135"/>
    <cellStyle name="壞_Creek EE BOM cost_20090425_Creek RFQ feedback 04_28_2009_FD Update_Leopard RFQ ME BOM Costs-0618_Bolt RFQ_Foxlink_03.1 2011" xfId="35136"/>
    <cellStyle name="壞_Creek EE BOM cost_20090425_Creek RFQ feedback 04_28_2009_FD Update_Leopard RFQ ME BOM Costs-0618_Bolt RFQ_Foxlink_03.1 2011 2" xfId="35137"/>
    <cellStyle name="壞_Creek EE BOM cost_20090425_Creek RFQ feedback 04_28_2009_FD Update_Leopard RFQ ME BOM Costs-0618_Bolt RFQ_Foxlink_03.1 2011 2 2" xfId="35138"/>
    <cellStyle name="壞_Creek EE BOM cost_20090425_Creek RFQ feedback 04_28_2009_FD Update_Leopard RFQ ME BOM Costs-0618_Bolt RFQ_Foxlink_03.1 2011 2 3" xfId="35139"/>
    <cellStyle name="壞_Creek EE BOM cost_20090425_Creek RFQ feedback 04_28_2009_FD Update_Leopard RFQ ME BOM Costs-0618_Bolt RFQ_Foxlink_03.1 2011 3" xfId="35140"/>
    <cellStyle name="壞_Creek EE BOM cost_20090425_Creek RFQ feedback 04_28_2009_FD Update_Leopard RFQ ME BOM Costs-0618_Bolt RFQ_Foxlink_03.1 2011 3 2" xfId="35141"/>
    <cellStyle name="壞_Creek EE BOM cost_20090425_Creek RFQ feedback 04_28_2009_FD Update_Leopard RFQ ME BOM Costs-0618_Bolt RFQ_Foxlink_03.1 2011 3 3" xfId="35142"/>
    <cellStyle name="壞_Creek EE BOM cost_20090425_Creek RFQ feedback 04_28_2009_FD Update_Leopard RFQ ME BOM Costs-0618_Bolt RFQ_Foxlink_03.1 2011 4" xfId="35143"/>
    <cellStyle name="壞_Creek EE BOM cost_20090425_Creek RFQ feedback 04_28_2009_FD Update_Leopard RFQ ME BOM Costs-0618_Bolt RFQ_Foxlink_03.1 2011 5" xfId="35144"/>
    <cellStyle name="壞_Creek EE BOM cost_20090425_Creek RFQ feedback 04_28_2009_FD Update_Leopard RFQ ME BOM Costs-0618_Bolt RFQ_Foxlink_03.1 2011_nego meeting@MACH" xfId="35145"/>
    <cellStyle name="壞_Creek EE BOM cost_20090425_Creek RFQ feedback 04_28_2009_FD Update_Leopard RFQ ME BOM Costs-0618_Bolt RFQ_Foxlink_03.1 2011_nego meeting@MACH 2" xfId="35146"/>
    <cellStyle name="壞_Creek EE BOM cost_20090425_Creek RFQ feedback 04_28_2009_FD Update_Leopard RFQ ME BOM Costs-0618_Bolt RFQ_Foxlink_03.1 2011_nego meeting@MACH 2 2" xfId="35147"/>
    <cellStyle name="壞_Creek EE BOM cost_20090425_Creek RFQ feedback 04_28_2009_FD Update_Leopard RFQ ME BOM Costs-0618_Bolt RFQ_Foxlink_03.1 2011_nego meeting@MACH 2 3" xfId="35148"/>
    <cellStyle name="壞_Creek EE BOM cost_20090425_Creek RFQ feedback 04_28_2009_FD Update_Leopard RFQ ME BOM Costs-0618_Bolt RFQ_Foxlink_03.1 2011_nego meeting@MACH 3" xfId="35149"/>
    <cellStyle name="壞_Creek EE BOM cost_20090425_Creek RFQ feedback 04_28_2009_FD Update_Leopard RFQ ME BOM Costs-0618_Bolt RFQ_Foxlink_03.1 2011_nego meeting@MACH 3 2" xfId="35150"/>
    <cellStyle name="壞_Creek EE BOM cost_20090425_Creek RFQ feedback 04_28_2009_FD Update_Leopard RFQ ME BOM Costs-0618_Bolt RFQ_Foxlink_03.1 2011_nego meeting@MACH 3 3" xfId="35151"/>
    <cellStyle name="壞_Creek EE BOM cost_20090425_Creek RFQ feedback 04_28_2009_FD Update_Leopard RFQ ME BOM Costs-0618_Bolt RFQ_Foxlink_03.1 2011_nego meeting@MACH 4" xfId="35152"/>
    <cellStyle name="壞_Creek EE BOM cost_20090425_Creek RFQ feedback 04_28_2009_FD Update_Leopard RFQ ME BOM Costs-0618_Bolt RFQ_Foxlink_03.1 2011_nego meeting@MACH 5" xfId="35153"/>
    <cellStyle name="壞_Creek EE BOM cost_20090425_Creek RFQ feedback 04_28_2009_FD Update_Leopard RFQ ME BOM Costs-0618-2" xfId="35154"/>
    <cellStyle name="壞_Creek EE BOM cost_20090425_Creek RFQ feedback 04_28_2009_FD Update_Leopard RFQ ME BOM Costs-0618-2 2" xfId="35155"/>
    <cellStyle name="壞_Creek EE BOM cost_20090425_Creek RFQ feedback 04_28_2009_FD Update_Leopard RFQ ME BOM Costs-0618-2 2 2" xfId="35156"/>
    <cellStyle name="壞_Creek EE BOM cost_20090425_Creek RFQ feedback 04_28_2009_FD Update_Leopard RFQ ME BOM Costs-0618-2 2 2 2" xfId="35157"/>
    <cellStyle name="壞_Creek EE BOM cost_20090425_Creek RFQ feedback 04_28_2009_FD Update_Leopard RFQ ME BOM Costs-0618-2 2 2 3" xfId="35158"/>
    <cellStyle name="壞_Creek EE BOM cost_20090425_Creek RFQ feedback 04_28_2009_FD Update_Leopard RFQ ME BOM Costs-0618-2 2 3" xfId="35159"/>
    <cellStyle name="壞_Creek EE BOM cost_20090425_Creek RFQ feedback 04_28_2009_FD Update_Leopard RFQ ME BOM Costs-0618-2 2 3 2" xfId="35160"/>
    <cellStyle name="壞_Creek EE BOM cost_20090425_Creek RFQ feedback 04_28_2009_FD Update_Leopard RFQ ME BOM Costs-0618-2 2 3 3" xfId="35161"/>
    <cellStyle name="壞_Creek EE BOM cost_20090425_Creek RFQ feedback 04_28_2009_FD Update_Leopard RFQ ME BOM Costs-0618-2 3" xfId="35162"/>
    <cellStyle name="壞_Creek EE BOM cost_20090425_Creek RFQ feedback 04_28_2009_FD Update_Leopard RFQ ME BOM Costs-0618-2 3 2" xfId="35163"/>
    <cellStyle name="壞_Creek EE BOM cost_20090425_Creek RFQ feedback 04_28_2009_FD Update_Leopard RFQ ME BOM Costs-0618-2 3 3" xfId="35164"/>
    <cellStyle name="壞_Creek EE BOM cost_20090425_Creek RFQ feedback 04_28_2009_FD Update_Leopard RFQ ME BOM Costs-0618-2 4" xfId="35165"/>
    <cellStyle name="壞_Creek EE BOM cost_20090425_Creek RFQ feedback 04_28_2009_FD Update_Leopard RFQ ME BOM Costs-0618-2 4 2" xfId="35166"/>
    <cellStyle name="壞_Creek EE BOM cost_20090425_Creek RFQ feedback 04_28_2009_FD Update_Leopard RFQ ME BOM Costs-0618-2 4 3" xfId="35167"/>
    <cellStyle name="壞_Creek EE BOM cost_20090425_Creek RFQ feedback 04_28_2009_FD Update_Leopard RFQ ME BOM Costs-0618-2_Bolt RFQ Proposal_Foxlink_ (Pricing Summary) 2 25 2011" xfId="35168"/>
    <cellStyle name="壞_Creek EE BOM cost_20090425_Creek RFQ feedback 04_28_2009_FD Update_Leopard RFQ ME BOM Costs-0618-2_Bolt RFQ Proposal_Foxlink_ (Pricing Summary) 2 25 2011 2" xfId="35169"/>
    <cellStyle name="壞_Creek EE BOM cost_20090425_Creek RFQ feedback 04_28_2009_FD Update_Leopard RFQ ME BOM Costs-0618-2_Bolt RFQ Proposal_Foxlink_ (Pricing Summary) 2 25 2011 2 2" xfId="35170"/>
    <cellStyle name="壞_Creek EE BOM cost_20090425_Creek RFQ feedback 04_28_2009_FD Update_Leopard RFQ ME BOM Costs-0618-2_Bolt RFQ Proposal_Foxlink_ (Pricing Summary) 2 25 2011 2 2 3" xfId="35171"/>
    <cellStyle name="壞_Creek EE BOM cost_20090425_Creek RFQ feedback 04_28_2009_FD Update_Leopard RFQ ME BOM Costs-0618-2_Bolt RFQ Proposal_Foxlink_ (Pricing Summary) 2 25 2011 2 3" xfId="35172"/>
    <cellStyle name="壞_Creek EE BOM cost_20090425_Creek RFQ feedback 04_28_2009_FD Update_Leopard RFQ ME BOM Costs-0618-2_Bolt RFQ Proposal_Foxlink_ (Pricing Summary) 2 25 2011 2 3 2" xfId="35173"/>
    <cellStyle name="壞_Creek EE BOM cost_20090425_Creek RFQ feedback 04_28_2009_FD Update_Leopard RFQ ME BOM Costs-0618-2_Bolt RFQ Proposal_Foxlink_ (Pricing Summary) 2 25 2011 2 3 3" xfId="35174"/>
    <cellStyle name="壞_Creek EE BOM cost_20090425_Creek RFQ feedback 04_28_2009_FD Update_Leopard RFQ ME BOM Costs-0618-2_Bolt RFQ Proposal_Foxlink_ (Pricing Summary) 2 25 2011 3" xfId="35175"/>
    <cellStyle name="壞_Creek EE BOM cost_20090425_Creek RFQ feedback 04_28_2009_FD Update_Leopard RFQ ME BOM Costs-0618-2_Bolt RFQ Proposal_Foxlink_ (Pricing Summary) 2 25 2011 4" xfId="35176"/>
    <cellStyle name="壞_Creek EE BOM cost_20090425_Creek RFQ feedback 04_28_2009_FD Update_Leopard RFQ ME BOM Costs-0618-2_Bolt RFQ Proposal_Foxlink_ (Pricing Summary) 2 25 2011 4 3" xfId="35177"/>
    <cellStyle name="壞_Creek EE BOM cost_20090425_Creek RFQ feedback 04_28_2009_FD Update_Leopard RFQ ME BOM Costs-0618-2_Bolt RFQ Proposal_Foxlink_ (Pricing Summary) 2 25 2011 5" xfId="35178"/>
    <cellStyle name="壞_Creek EE BOM cost_20090425_Creek RFQ feedback 04_28_2009_FD Update_Leopard RFQ ME BOM Costs-0618-2_Bolt RFQ Proposal_Foxlink_ (Pricing Summary) 2 25 2011 5 2" xfId="35179"/>
    <cellStyle name="壞_Creek EE BOM cost_20090425_Creek RFQ feedback 04_28_2009_FD Update_Leopard RFQ ME BOM Costs-0618-2_Bolt RFQ Proposal_Foxlink_ (Pricing Summary) 2 25 2011 5 3" xfId="35180"/>
    <cellStyle name="壞_Creek EE BOM cost_20090425_Creek RFQ feedback 04_28_2009_FD Update_Leopard RFQ ME BOM Costs-0618-2_Bolt RFQ Proposal_Foxlink_ (Pricing Summary) 2 25 2011 6" xfId="35181"/>
    <cellStyle name="壞_Creek EE BOM cost_20090425_Creek RFQ feedback 04_28_2009_FD Update_Leopard RFQ ME BOM Costs-0618-2_Bolt RFQ Proposal_Foxlink_ (Pricing Summary) 2 25 2011 6 2" xfId="35182"/>
    <cellStyle name="壞_Creek EE BOM cost_20090425_Creek RFQ feedback 04_28_2009_FD Update_Leopard RFQ ME BOM Costs-0618-2_Bolt RFQ Proposal_Foxlink_ (Pricing Summary) 2 25 2011 7" xfId="35183"/>
    <cellStyle name="壞_Creek EE BOM cost_20090425_Creek RFQ feedback 04_28_2009_FD Update_Leopard RFQ ME BOM Costs-0618-2_Bolt RFQ Proposal_Foxlink_ (Pricing Summary) 2 25 2011 8" xfId="35184"/>
    <cellStyle name="壞_Creek EE BOM cost_20090425_Creek RFQ feedback 04_28_2009_FD Update_Leopard RFQ ME BOM Costs-0618-2_Bolt RFQ_Foxlink_03.1 2011" xfId="35185"/>
    <cellStyle name="壞_Creek EE BOM cost_20090425_Creek RFQ feedback 04_28_2009_FD Update_Leopard RFQ ME BOM Costs-0618-2_Bolt RFQ_Foxlink_03.1 2011 2" xfId="35186"/>
    <cellStyle name="壞_Creek EE BOM cost_20090425_Creek RFQ feedback 04_28_2009_FD Update_Leopard RFQ ME BOM Costs-0618-2_Bolt RFQ_Foxlink_03.1 2011 2 2" xfId="35187"/>
    <cellStyle name="壞_Creek EE BOM cost_20090425_Creek RFQ feedback 04_28_2009_FD Update_Leopard RFQ ME BOM Costs-0618-2_Bolt RFQ_Foxlink_03.1 2011 2 3" xfId="35188"/>
    <cellStyle name="壞_Creek EE BOM cost_20090425_Creek RFQ feedback 04_28_2009_FD Update_Leopard RFQ ME BOM Costs-0618-2_Bolt RFQ_Foxlink_03.1 2011 3" xfId="35189"/>
    <cellStyle name="壞_Creek EE BOM cost_20090425_Creek RFQ feedback 04_28_2009_FD Update_Leopard RFQ ME BOM Costs-0618-2_Bolt RFQ_Foxlink_03.1 2011 3 2" xfId="35190"/>
    <cellStyle name="壞_Creek EE BOM cost_20090425_Creek RFQ feedback 04_28_2009_FD Update_Leopard RFQ ME BOM Costs-0618-2_Bolt RFQ_Foxlink_03.1 2011 3 3" xfId="35191"/>
    <cellStyle name="壞_Creek EE BOM cost_20090425_Creek RFQ feedback 04_28_2009_FD Update_Leopard RFQ ME BOM Costs-0618-2_Bolt RFQ_Foxlink_03.1 2011 4" xfId="35192"/>
    <cellStyle name="壞_Creek EE BOM cost_20090425_Creek RFQ feedback 04_28_2009_FD Update_Leopard RFQ ME BOM Costs-0618-2_Bolt RFQ_Foxlink_03.1 2011 5" xfId="35193"/>
    <cellStyle name="壞_Creek EE BOM cost_20090425_Creek RFQ feedback 04_28_2009_FD Update_Leopard RFQ ME BOM Costs-0618-2_Bolt RFQ_Foxlink_03.1 2011_nego meeting@MACH" xfId="35194"/>
    <cellStyle name="壞_Creek EE BOM cost_20090425_Creek RFQ feedback 04_28_2009_FD Update_Leopard RFQ ME BOM Costs-0618-2_Bolt RFQ_Foxlink_03.1 2011_nego meeting@MACH 2" xfId="35195"/>
    <cellStyle name="壞_Creek EE BOM cost_20090425_Creek RFQ feedback 04_28_2009_FD Update_Leopard RFQ ME BOM Costs-0618-2_Bolt RFQ_Foxlink_03.1 2011_nego meeting@MACH 2 2" xfId="35196"/>
    <cellStyle name="壞_Creek EE BOM cost_20090425_Creek RFQ feedback 04_28_2009_FD Update_Leopard RFQ ME BOM Costs-0618-2_Bolt RFQ_Foxlink_03.1 2011_nego meeting@MACH 2 3" xfId="35197"/>
    <cellStyle name="壞_Creek EE BOM cost_20090425_Creek RFQ feedback 04_28_2009_FD Update_Leopard RFQ ME BOM Costs-0618-2_Bolt RFQ_Foxlink_03.1 2011_nego meeting@MACH 3" xfId="35198"/>
    <cellStyle name="壞_Creek EE BOM cost_20090425_Creek RFQ feedback 04_28_2009_FD Update_Leopard RFQ ME BOM Costs-0618-2_Bolt RFQ_Foxlink_03.1 2011_nego meeting@MACH 3 2" xfId="35199"/>
    <cellStyle name="壞_Creek EE BOM cost_20090425_Creek RFQ feedback 04_28_2009_FD Update_Leopard RFQ ME BOM Costs-0618-2_Bolt RFQ_Foxlink_03.1 2011_nego meeting@MACH 3 3" xfId="35200"/>
    <cellStyle name="壞_Creek EE BOM cost_20090425_Creek RFQ feedback 04_28_2009_FD Update_Leopard RFQ ME BOM Costs-0618-2_Bolt RFQ_Foxlink_03.1 2011_nego meeting@MACH 4" xfId="35201"/>
    <cellStyle name="壞_Creek EE BOM cost_20090425_Creek RFQ feedback 04_28_2009_FD Update_Leopard RFQ ME BOM Costs-0618-2_Bolt RFQ_Foxlink_03.1 2011_nego meeting@MACH 5" xfId="35202"/>
    <cellStyle name="壞_Creek EE BOM cost_20090425_Creek RFQ feedback 04_28_2009_FD Update_Leopard UniBom_Foxlink_12092010 RevD-jen" xfId="35203"/>
    <cellStyle name="壞_Creek EE BOM cost_20090425_Creek RFQ feedback 04_28_2009_FD Update_Leopard UniBom_Foxlink_12272010 RevF_shirley" xfId="35204"/>
    <cellStyle name="壞_Creek EE BOM cost_20090425_Creek RFQ feedback 04_28_2009_FD Update_Leopard UniBom_Foxlink_6 21 2010-ME_nego" xfId="35205"/>
    <cellStyle name="壞_Creek EE BOM cost_20090425_Creek RFQ feedback 04_28_2009_FD Update_Leopard UniBom_Foxlink_6 21 2010-ME_nego 2" xfId="35206"/>
    <cellStyle name="壞_Creek EE BOM cost_20090425_Creek RFQ feedback 04_28_2009_FD Update_Leopard UniBom_Foxlink_6 21 2010-ME_nego 2 2" xfId="35207"/>
    <cellStyle name="壞_Creek EE BOM cost_20090425_Creek RFQ feedback 04_28_2009_FD Update_Leopard UniBom_Foxlink_6 21 2010-ME_nego 2 2 2" xfId="35208"/>
    <cellStyle name="壞_Creek EE BOM cost_20090425_Creek RFQ feedback 04_28_2009_FD Update_Leopard UniBom_Foxlink_6 21 2010-ME_nego 2 2 3" xfId="35209"/>
    <cellStyle name="壞_Creek EE BOM cost_20090425_Creek RFQ feedback 04_28_2009_FD Update_Leopard UniBom_Foxlink_6 21 2010-ME_nego 2 3" xfId="35210"/>
    <cellStyle name="壞_Creek EE BOM cost_20090425_Creek RFQ feedback 04_28_2009_FD Update_Leopard UniBom_Foxlink_6 21 2010-ME_nego 2 3 2" xfId="35211"/>
    <cellStyle name="壞_Creek EE BOM cost_20090425_Creek RFQ feedback 04_28_2009_FD Update_Leopard UniBom_Foxlink_6 21 2010-ME_nego 2 3 3" xfId="35212"/>
    <cellStyle name="壞_Creek EE BOM cost_20090425_Creek RFQ feedback 04_28_2009_FD Update_Leopard UniBom_Foxlink_6 21 2010-ME_nego 3" xfId="35213"/>
    <cellStyle name="壞_Creek EE BOM cost_20090425_Creek RFQ feedback 04_28_2009_FD Update_Leopard UniBom_Foxlink_6 21 2010-ME_nego 3 2" xfId="35214"/>
    <cellStyle name="壞_Creek EE BOM cost_20090425_Creek RFQ feedback 04_28_2009_FD Update_Leopard UniBom_Foxlink_6 21 2010-ME_nego 3 3" xfId="35215"/>
    <cellStyle name="壞_Creek EE BOM cost_20090425_Creek RFQ feedback 04_28_2009_FD Update_Leopard UniBom_Foxlink_6 21 2010-ME_nego 4" xfId="35216"/>
    <cellStyle name="壞_Creek EE BOM cost_20090425_Creek RFQ feedback 04_28_2009_FD Update_Leopard UniBom_Foxlink_6 21 2010-ME_nego 4 3" xfId="35217"/>
    <cellStyle name="壞_Creek EE BOM cost_20090425_Creek RFQ feedback 04_28_2009_FD Update_Leopard UniBom_Foxlink_6 21 2010-ME_nego_Bolt RFQ Proposal_Foxlink_ (Pricing Summary) 2 25 2011" xfId="35218"/>
    <cellStyle name="壞_Creek EE BOM cost_20090425_Creek RFQ feedback 04_28_2009_FD Update_Leopard UniBom_Foxlink_6 21 2010-ME_nego_Bolt RFQ Proposal_Foxlink_ (Pricing Summary) 2 25 2011 2 2" xfId="35219"/>
    <cellStyle name="壞_Creek EE BOM cost_20090425_Creek RFQ feedback 04_28_2009_FD Update_Leopard UniBom_Foxlink_6 21 2010-ME_nego_Bolt RFQ Proposal_Foxlink_ (Pricing Summary) 2 25 2011 2 2 2" xfId="35220"/>
    <cellStyle name="壞_Creek EE BOM cost_20090425_Creek RFQ feedback 04_28_2009_FD Update_Leopard UniBom_Foxlink_6 21 2010-ME_nego_Bolt RFQ Proposal_Foxlink_ (Pricing Summary) 2 25 2011 2 2 3" xfId="35221"/>
    <cellStyle name="壞_Creek EE BOM cost_20090425_Creek RFQ feedback 04_28_2009_FD Update_Leopard UniBom_Foxlink_6 21 2010-ME_nego_Bolt RFQ Proposal_Foxlink_ (Pricing Summary) 2 25 2011 2 3" xfId="35222"/>
    <cellStyle name="壞_Creek EE BOM cost_20090425_Creek RFQ feedback 04_28_2009_FD Update_Leopard UniBom_Foxlink_6 21 2010-ME_nego_Bolt RFQ Proposal_Foxlink_ (Pricing Summary) 2 25 2011 2 3 2" xfId="35223"/>
    <cellStyle name="壞_Creek EE BOM cost_20090425_Creek RFQ feedback 04_28_2009_FD Update_Leopard UniBom_Foxlink_6 21 2010-ME_nego_Bolt RFQ Proposal_Foxlink_ (Pricing Summary) 2 25 2011 2 3 3" xfId="35224"/>
    <cellStyle name="壞_Creek EE BOM cost_20090425_Creek RFQ feedback 04_28_2009_FD Update_Leopard UniBom_Foxlink_6 21 2010-ME_nego_Bolt RFQ Proposal_Foxlink_ (Pricing Summary) 2 25 2011 4 3" xfId="35225"/>
    <cellStyle name="壞_Creek EE BOM cost_20090425_Creek RFQ feedback 04_28_2009_FD Update_Leopard UniBom_Foxlink_6 21 2010-ME_nego_Bolt RFQ Proposal_Foxlink_ (Pricing Summary) 2 25 2011 5" xfId="35226"/>
    <cellStyle name="壞_Creek EE BOM cost_20090425_Creek RFQ feedback 04_28_2009_FD Update_Leopard UniBom_Foxlink_6 21 2010-ME_nego_Bolt RFQ Proposal_Foxlink_ (Pricing Summary) 2 25 2011 5 2" xfId="35227"/>
    <cellStyle name="壞_Creek EE BOM cost_20090425_Creek RFQ feedback 04_28_2009_FD Update_Leopard UniBom_Foxlink_6 21 2010-ME_nego_Bolt RFQ Proposal_Foxlink_ (Pricing Summary) 2 25 2011 5 3" xfId="35228"/>
    <cellStyle name="壞_Creek EE BOM cost_20090425_Creek RFQ feedback 04_28_2009_FD Update_Leopard UniBom_Foxlink_6 21 2010-ME_nego_Bolt RFQ Proposal_Foxlink_ (Pricing Summary) 2 25 2011 6" xfId="35229"/>
    <cellStyle name="壞_Creek EE BOM cost_20090425_Creek RFQ feedback 04_28_2009_FD Update_Leopard UniBom_Foxlink_6 21 2010-ME_nego_Bolt RFQ Proposal_Foxlink_ (Pricing Summary) 2 25 2011 6 2" xfId="35230"/>
    <cellStyle name="壞_Creek EE BOM cost_20090425_Creek RFQ feedback 04_28_2009_FD Update_Leopard UniBom_Foxlink_6 21 2010-ME_nego_Bolt RFQ Proposal_Foxlink_ (Pricing Summary) 2 25 2011 6 3" xfId="35231"/>
    <cellStyle name="壞_Creek EE BOM cost_20090425_Creek RFQ feedback 04_28_2009_FD Update_Leopard UniBom_Foxlink_6 21 2010-ME_nego_Bolt RFQ Proposal_Foxlink_ (Pricing Summary) 2 25 2011 7" xfId="35232"/>
    <cellStyle name="壞_Creek EE BOM cost_20090425_Creek RFQ feedback 04_28_2009_FD Update_Leopard UniBom_Foxlink_6 21 2010-ME_nego_Bolt RFQ_Foxlink_03.1 2011" xfId="35233"/>
    <cellStyle name="壞_Creek EE BOM cost_20090425_Creek RFQ feedback 04_28_2009_FD Update_Leopard UniBom_Foxlink_6 21 2010-ME_nego_Bolt RFQ_Foxlink_03.1 2011 2" xfId="35234"/>
    <cellStyle name="壞_Creek EE BOM cost_20090425_Creek RFQ feedback 04_28_2009_FD Update_Leopard UniBom_Foxlink_6 21 2010-ME_nego_Bolt RFQ_Foxlink_03.1 2011 2 2" xfId="35235"/>
    <cellStyle name="壞_Creek EE BOM cost_20090425_Creek RFQ feedback 04_28_2009_FD Update_Leopard UniBom_Foxlink_6 21 2010-ME_nego_Bolt RFQ_Foxlink_03.1 2011 2 3" xfId="35236"/>
    <cellStyle name="壞_Creek EE BOM cost_20090425_Creek RFQ feedback 04_28_2009_FD Update_Leopard UniBom_Foxlink_6 21 2010-ME_nego_Bolt RFQ_Foxlink_03.1 2011 3" xfId="35237"/>
    <cellStyle name="壞_Creek EE BOM cost_20090425_Creek RFQ feedback 04_28_2009_FD Update_Leopard UniBom_Foxlink_6 21 2010-ME_nego_Bolt RFQ_Foxlink_03.1 2011 3 2" xfId="35238"/>
    <cellStyle name="壞_Creek EE BOM cost_20090425_Creek RFQ feedback 04_28_2009_FD Update_Leopard UniBom_Foxlink_6 21 2010-ME_nego_Bolt RFQ_Foxlink_03.1 2011 3 3" xfId="35239"/>
    <cellStyle name="壞_Creek EE BOM cost_20090425_Creek RFQ feedback 04_28_2009_FD Update_Leopard UniBom_Foxlink_6 21 2010-ME_nego_Bolt RFQ_Foxlink_03.1 2011 4" xfId="35240"/>
    <cellStyle name="壞_Creek EE BOM cost_20090425_Creek RFQ feedback 04_28_2009_FD Update_Leopard UniBom_Foxlink_6 21 2010-ME_nego_Bolt RFQ_Foxlink_03.1 2011 5" xfId="35241"/>
    <cellStyle name="壞_Creek EE BOM cost_20090425_Creek RFQ feedback 04_28_2009_FD Update_Leopard UniBom_Foxlink_6 21 2010-ME_nego_Bolt RFQ_Foxlink_03.1 2011_nego meeting@MACH 2 2" xfId="35242"/>
    <cellStyle name="壞_Creek EE BOM cost_20090425_Creek RFQ feedback 04_28_2009_FD Update_Leopard UniBom_Foxlink_6 21 2010-ME_nego_Bolt RFQ_Foxlink_03.1 2011_nego meeting@MACH 2 3" xfId="35243"/>
    <cellStyle name="壞_Creek EE BOM cost_20090425_Creek RFQ feedback 04_28_2009_FD Update_Leopard UniBom_Foxlink_6 21 2010-ME_nego_Bolt RFQ_Foxlink_03.1 2011_nego meeting@MACH 3 2" xfId="35244"/>
    <cellStyle name="壞_Creek EE BOM cost_20090425_Creek RFQ feedback 04_28_2009_FD Update_Leopard UniBom_Foxlink_6 21 2010-ME_nego_Bolt RFQ_Foxlink_03.1 2011_nego meeting@MACH 4" xfId="35245"/>
    <cellStyle name="壞_Creek EE BOM cost_20090425_Creek RFQ feedback 04_28_2009_FD Update_Leopard UniBom_Foxlink_6 21 2010-ME_nego_Bolt RFQ_Foxlink_03.1 2011_nego meeting@MACH 5" xfId="35246"/>
    <cellStyle name="壞_Creek EE BOM cost_20090425_Creek RFQ feedback 04_28_2009_FD Update_Leopard UniBom_Foxlink_6 21 2010-nego" xfId="35247"/>
    <cellStyle name="壞_Creek EE BOM cost_20090425_Creek RFQ feedback 04_28_2009_FD Update_Leopard UniBom_true cost_6.23.2010" xfId="35248"/>
    <cellStyle name="壞_Creek EE BOM cost_20090425_Creek RFQ feedback 04_28_2009_FD Update_Leopard UniBom-06 22 2010_update_internal" xfId="35249"/>
    <cellStyle name="壞_Creek EE BOM cost_20090425_Creek RFQ feedback 04_28_2009_FD Update_Leopard_UniBOM_ME_0531 2" xfId="35250"/>
    <cellStyle name="壞_Creek EE BOM cost_20090425_Creek RFQ feedback 04_28_2009_FD Update_Leopard_UniBOM_ME_0531 2 2 2" xfId="35251"/>
    <cellStyle name="壞_Creek EE BOM cost_20090425_Creek RFQ feedback 04_28_2009_FD Update_Leopard_UniBOM_ME_0531 2 2 3" xfId="35252"/>
    <cellStyle name="壞_Creek EE BOM cost_20090425_Creek RFQ feedback 04_28_2009_FD Update_Leopard_UniBOM_ME_0531 2 3" xfId="35253"/>
    <cellStyle name="壞_Creek EE BOM cost_20090425_Creek RFQ feedback 04_28_2009_FD Update_Leopard_UniBOM_ME_0531 2 3 2" xfId="35254"/>
    <cellStyle name="壞_Creek EE BOM cost_20090425_Creek RFQ feedback 04_28_2009_FD Update_Leopard_UniBOM_ME_0531 2 3 3" xfId="35255"/>
    <cellStyle name="壞_Creek EE BOM cost_20090425_Creek RFQ feedback 04_28_2009_FD Update_Leopard_UniBOM_ME_0531 3" xfId="35256"/>
    <cellStyle name="壞_Creek EE BOM cost_20090425_Creek RFQ feedback 04_28_2009_FD Update_Leopard_UniBOM_ME_0531 3 3" xfId="35257"/>
    <cellStyle name="壞_Creek EE BOM cost_20090425_Creek RFQ feedback 04_28_2009_FD Update_Leopard_UniBOM_ME_0531 4" xfId="35258"/>
    <cellStyle name="壞_Creek EE BOM cost_20090425_Creek RFQ feedback 04_28_2009_FD Update_Leopard_UniBOM_ME_0531_Bolt RFQ Proposal_Foxlink_ (Pricing Summary) 2 25 2011" xfId="35259"/>
    <cellStyle name="壞_Creek EE BOM cost_20090425_Creek RFQ feedback 04_28_2009_FD Update_Leopard_UniBOM_ME_0531_Bolt RFQ Proposal_Foxlink_ (Pricing Summary) 2 25 2011 2 2" xfId="35260"/>
    <cellStyle name="壞_Creek EE BOM cost_20090425_Creek RFQ feedback 04_28_2009_FD Update_Leopard_UniBOM_ME_0531_Bolt RFQ Proposal_Foxlink_ (Pricing Summary) 2 25 2011 2 2 2" xfId="35261"/>
    <cellStyle name="壞_Creek EE BOM cost_20090425_Creek RFQ feedback 04_28_2009_FD Update_Leopard_UniBOM_ME_0531_Bolt RFQ Proposal_Foxlink_ (Pricing Summary) 2 25 2011 2 2 3" xfId="35262"/>
    <cellStyle name="壞_Creek EE BOM cost_20090425_Creek RFQ feedback 04_28_2009_FD Update_Leopard_UniBOM_ME_0531_Bolt RFQ Proposal_Foxlink_ (Pricing Summary) 2 25 2011 2 3" xfId="35263"/>
    <cellStyle name="壞_Creek EE BOM cost_20090425_Creek RFQ feedback 04_28_2009_FD Update_Leopard_UniBOM_ME_0531_Bolt RFQ Proposal_Foxlink_ (Pricing Summary) 2 25 2011 2 3 2" xfId="35264"/>
    <cellStyle name="壞_Creek EE BOM cost_20090425_Creek RFQ feedback 04_28_2009_FD Update_Leopard_UniBOM_ME_0531_Bolt RFQ Proposal_Foxlink_ (Pricing Summary) 2 25 2011 2 3 3" xfId="35265"/>
    <cellStyle name="壞_Creek EE BOM cost_20090425_Creek RFQ feedback 04_28_2009_FD Update_Leopard_UniBOM_ME_0531_Bolt RFQ Proposal_Foxlink_ (Pricing Summary) 2 25 2011 4" xfId="35266"/>
    <cellStyle name="壞_Creek EE BOM cost_20090425_Creek RFQ feedback 04_28_2009_FD Update_Leopard_UniBOM_ME_0531_Bolt RFQ Proposal_Foxlink_ (Pricing Summary) 2 25 2011 4 3" xfId="35267"/>
    <cellStyle name="壞_Creek EE BOM cost_20090425_Creek RFQ feedback 04_28_2009_FD Update_Leopard_UniBOM_ME_0531_Bolt RFQ Proposal_Foxlink_ (Pricing Summary) 2 25 2011 5" xfId="35268"/>
    <cellStyle name="壞_Creek EE BOM cost_20090425_Creek RFQ feedback 04_28_2009_FD Update_Leopard_UniBOM_ME_0531_Bolt RFQ Proposal_Foxlink_ (Pricing Summary) 2 25 2011 5 2" xfId="35269"/>
    <cellStyle name="壞_Creek EE BOM cost_20090425_Creek RFQ feedback 04_28_2009_FD Update_Leopard_UniBOM_ME_0531_Bolt RFQ Proposal_Foxlink_ (Pricing Summary) 2 25 2011 5 3" xfId="35270"/>
    <cellStyle name="壞_Creek EE BOM cost_20090425_Creek RFQ feedback 04_28_2009_FD Update_Leopard_UniBOM_ME_0531_Bolt RFQ Proposal_Foxlink_ (Pricing Summary) 2 25 2011 6" xfId="35271"/>
    <cellStyle name="壞_Creek EE BOM cost_20090425_Creek RFQ feedback 04_28_2009_FD Update_Leopard_UniBOM_ME_0531_Bolt RFQ Proposal_Foxlink_ (Pricing Summary) 2 25 2011 6 2" xfId="35272"/>
    <cellStyle name="壞_Creek EE BOM cost_20090425_Creek RFQ feedback 04_28_2009_FD Update_Leopard_UniBOM_ME_0531_Bolt RFQ Proposal_Foxlink_ (Pricing Summary) 2 25 2011 6 3" xfId="35273"/>
    <cellStyle name="壞_Creek EE BOM cost_20090425_Creek RFQ feedback 04_28_2009_FD Update_Leopard_UniBOM_ME_0531_Bolt RFQ Proposal_Foxlink_ (Pricing Summary) 2 25 2011 7" xfId="35274"/>
    <cellStyle name="壞_Creek EE BOM cost_20090425_Creek RFQ feedback 04_28_2009_FD Update_Leopard_UniBOM_ME_0531_Bolt RFQ Proposal_Foxlink_ (Pricing Summary) 2 25 2011 8" xfId="35275"/>
    <cellStyle name="壞_Creek EE BOM cost_20090425_Creek RFQ feedback 04_28_2009_FD Update_Leopard_UniBOM_ME_0531_Bolt RFQ_Foxlink_03.1 2011" xfId="35276"/>
    <cellStyle name="壞_Creek EE BOM cost_20090425_Creek RFQ feedback 04_28_2009_FD Update_Leopard_UniBOM_ME_0531_Bolt RFQ_Foxlink_03.1 2011 2" xfId="35277"/>
    <cellStyle name="壞_Creek EE BOM cost_20090425_Creek RFQ feedback 04_28_2009_FD Update_Leopard_UniBOM_ME_0531_Bolt RFQ_Foxlink_03.1 2011 2 2" xfId="35278"/>
    <cellStyle name="壞_Creek EE BOM cost_20090425_Creek RFQ feedback 04_28_2009_FD Update_Leopard_UniBOM_ME_0531_Bolt RFQ_Foxlink_03.1 2011 2 3" xfId="35279"/>
    <cellStyle name="壞_Creek EE BOM cost_20090425_Creek RFQ feedback 04_28_2009_FD Update_Leopard_UniBOM_ME_0531_Bolt RFQ_Foxlink_03.1 2011_nego meeting@MACH" xfId="35280"/>
    <cellStyle name="壞_Creek EE BOM cost_20090425_Creek RFQ feedback 04_28_2009_FD Update_Leopard_UniBOM_ME_0531_Bolt RFQ_Foxlink_03.1 2011_nego meeting@MACH 2 2" xfId="35281"/>
    <cellStyle name="壞_Creek EE BOM cost_20090425_Creek RFQ feedback 04_28_2009_FD Update_Leopard_UniBOM_ME_0531_Bolt RFQ_Foxlink_03.1 2011_nego meeting@MACH 2 3" xfId="35282"/>
    <cellStyle name="壞_Creek EE BOM cost_20090425_Creek RFQ feedback 04_28_2009_FD Update_Leopard_UniBOM_ME_0531_Bolt RFQ_Foxlink_03.1 2011_nego meeting@MACH 3" xfId="35283"/>
    <cellStyle name="壞_Creek EE BOM cost_20090425_Creek RFQ feedback 04_28_2009_FD Update_Leopard_UniBOM_ME_0531_Bolt RFQ_Foxlink_03.1 2011_nego meeting@MACH 3 3" xfId="35284"/>
    <cellStyle name="壞_Creek EE BOM cost_20090425_Creek RFQ feedback 04_28_2009_FD Update_Leopard_UniBOM_ME_0531_Bolt RFQ_Foxlink_03.1 2011_nego meeting@MACH 4" xfId="35285"/>
    <cellStyle name="壞_Creek EE BOM cost_20090425_Creek RFQ feedback 04_28_2009_FD Update_Leopard_UniBOM_ME_0531_Bolt RFQ_Foxlink_03.1 2011_nego meeting@MACH 5" xfId="35286"/>
    <cellStyle name="壞_Creek EE BOM cost_20090425_Creek RFQ feedback 04_28_2009_FD Update_Leopard_UniBOM_ME_0602" xfId="35287"/>
    <cellStyle name="壞_Creek EE BOM cost_20090425_Creek RFQ feedback 04_28_2009_FD Update_Leopard_UniBOM_ME_0602 2" xfId="35288"/>
    <cellStyle name="壞_Creek EE BOM cost_20090425_Creek RFQ feedback 04_28_2009_FD Update_Leopard_UniBOM_ME_0602 2 2" xfId="35289"/>
    <cellStyle name="壞_Creek EE BOM cost_20090425_Creek RFQ feedback 04_28_2009_FD Update_Leopard_UniBOM_ME_0602 2 2 2" xfId="35290"/>
    <cellStyle name="壞_Creek EE BOM cost_20090425_Creek RFQ feedback 04_28_2009_FD Update_Leopard_UniBOM_ME_0602 2 2 3" xfId="35291"/>
    <cellStyle name="壞_Creek EE BOM cost_20090425_Creek RFQ feedback 04_28_2009_FD Update_Leopard_UniBOM_ME_0602 2 3" xfId="35292"/>
    <cellStyle name="壞_Creek EE BOM cost_20090425_Creek RFQ feedback 04_28_2009_FD Update_Leopard_UniBOM_ME_0602 2 3 2" xfId="35293"/>
    <cellStyle name="壞_Creek EE BOM cost_20090425_Creek RFQ feedback 04_28_2009_FD Update_Leopard_UniBOM_ME_0602 2 3 3" xfId="35294"/>
    <cellStyle name="壞_Creek EE BOM cost_20090425_Creek RFQ feedback 04_28_2009_FD Update_Leopard_UniBOM_ME_0602 3" xfId="35295"/>
    <cellStyle name="壞_Creek EE BOM cost_20090425_Creek RFQ feedback 04_28_2009_FD Update_Leopard_UniBOM_ME_0602 3 2" xfId="35296"/>
    <cellStyle name="壞_Creek EE BOM cost_20090425_Creek RFQ feedback 04_28_2009_FD Update_Leopard_UniBOM_ME_0602 3 3" xfId="35297"/>
    <cellStyle name="壞_Creek EE BOM cost_20090425_Creek RFQ feedback 04_28_2009_FD Update_Leopard_UniBOM_ME_0602 4" xfId="35298"/>
    <cellStyle name="壞_Creek EE BOM cost_20090425_Creek RFQ feedback 04_28_2009_FD Update_Leopard_UniBOM_ME_0602 4 2" xfId="35299"/>
    <cellStyle name="壞_Creek EE BOM cost_20090425_Creek RFQ feedback 04_28_2009_FD Update_Leopard_UniBOM_ME_0602 4 3" xfId="35300"/>
    <cellStyle name="壞_Creek EE BOM cost_20090425_Creek RFQ feedback 04_28_2009_FD Update_Leopard_UniBOM_ME_0602_Bolt RFQ Proposal_Foxlink_ (Pricing Summary) 2 25 2011" xfId="35301"/>
    <cellStyle name="壞_Creek EE BOM cost_20090425_Creek RFQ feedback 04_28_2009_FD Update_Leopard_UniBOM_ME_0602_Bolt RFQ Proposal_Foxlink_ (Pricing Summary) 2 25 2011 2" xfId="35302"/>
    <cellStyle name="壞_Creek EE BOM cost_20090425_Creek RFQ feedback 04_28_2009_FD Update_Leopard_UniBOM_ME_0602_Bolt RFQ Proposal_Foxlink_ (Pricing Summary) 2 25 2011 2 2" xfId="35303"/>
    <cellStyle name="壞_Creek EE BOM cost_20090425_Creek RFQ feedback 04_28_2009_FD Update_Leopard_UniBOM_ME_0602_Bolt RFQ Proposal_Foxlink_ (Pricing Summary) 2 25 2011 2 2 2" xfId="35304"/>
    <cellStyle name="壞_Creek EE BOM cost_20090425_Creek RFQ feedback 04_28_2009_FD Update_Leopard_UniBOM_ME_0602_Bolt RFQ Proposal_Foxlink_ (Pricing Summary) 2 25 2011 2 2 3" xfId="35305"/>
    <cellStyle name="壞_Creek EE BOM cost_20090425_Creek RFQ feedback 04_28_2009_FD Update_Leopard_UniBOM_ME_0602_Bolt RFQ Proposal_Foxlink_ (Pricing Summary) 2 25 2011 2 3" xfId="35306"/>
    <cellStyle name="壞_Creek EE BOM cost_20090425_Creek RFQ feedback 04_28_2009_FD Update_Leopard_UniBOM_ME_0602_Bolt RFQ Proposal_Foxlink_ (Pricing Summary) 2 25 2011 2 3 2" xfId="35307"/>
    <cellStyle name="壞_Creek EE BOM cost_20090425_Creek RFQ feedback 04_28_2009_FD Update_Leopard_UniBOM_ME_0602_Bolt RFQ Proposal_Foxlink_ (Pricing Summary) 2 25 2011 2 3 3" xfId="35308"/>
    <cellStyle name="壞_Creek EE BOM cost_20090425_Creek RFQ feedback 04_28_2009_FD Update_Leopard_UniBOM_ME_0602_Bolt RFQ Proposal_Foxlink_ (Pricing Summary) 2 25 2011 3" xfId="35309"/>
    <cellStyle name="壞_Creek EE BOM cost_20090425_Creek RFQ feedback 04_28_2009_FD Update_Leopard_UniBOM_ME_0602_Bolt RFQ Proposal_Foxlink_ (Pricing Summary) 2 25 2011 4" xfId="35310"/>
    <cellStyle name="壞_Creek EE BOM cost_20090425_Creek RFQ feedback 04_28_2009_FD Update_Leopard_UniBOM_ME_0602_Bolt RFQ Proposal_Foxlink_ (Pricing Summary) 2 25 2011 4 2" xfId="35311"/>
    <cellStyle name="壞_Creek EE BOM cost_20090425_Creek RFQ feedback 04_28_2009_FD Update_Leopard_UniBOM_ME_0602_Bolt RFQ Proposal_Foxlink_ (Pricing Summary) 2 25 2011 4 3" xfId="35312"/>
    <cellStyle name="壞_Creek EE BOM cost_20090425_Creek RFQ feedback 04_28_2009_FD Update_Leopard_UniBOM_ME_0602_Bolt RFQ Proposal_Foxlink_ (Pricing Summary) 2 25 2011 5 2" xfId="35313"/>
    <cellStyle name="壞_Creek EE BOM cost_20090425_Creek RFQ feedback 04_28_2009_FD Update_Leopard_UniBOM_ME_0602_Bolt RFQ Proposal_Foxlink_ (Pricing Summary) 2 25 2011 5 3" xfId="35314"/>
    <cellStyle name="壞_Creek EE BOM cost_20090425_Creek RFQ feedback 04_28_2009_FD Update_Leopard_UniBOM_ME_0602_Bolt RFQ Proposal_Foxlink_ (Pricing Summary) 2 25 2011 6" xfId="35315"/>
    <cellStyle name="壞_Creek EE BOM cost_20090425_Creek RFQ feedback 04_28_2009_FD Update_Leopard_UniBOM_ME_0602_Bolt RFQ Proposal_Foxlink_ (Pricing Summary) 2 25 2011 6 3" xfId="35316"/>
    <cellStyle name="壞_Creek EE BOM cost_20090425_Creek RFQ feedback 04_28_2009_FD Update_Leopard_UniBOM_ME_0602_Bolt RFQ Proposal_Foxlink_ (Pricing Summary) 2 25 2011 7" xfId="35317"/>
    <cellStyle name="壞_Creek EE BOM cost_20090425_Creek RFQ feedback 04_28_2009_FD Update_Leopard_UniBOM_ME_0602_Bolt RFQ Proposal_Foxlink_ (Pricing Summary) 2 25 2011 8" xfId="35318"/>
    <cellStyle name="壞_Creek EE BOM cost_20090425_Creek RFQ feedback 04_28_2009_FD Update_Leopard_UniBOM_ME_0602_Bolt RFQ_Foxlink_03.1 2011" xfId="35319"/>
    <cellStyle name="壞_Creek EE BOM cost_20090425_Creek RFQ feedback 04_28_2009_FD Update_Leopard_UniBOM_ME_0602_Bolt RFQ_Foxlink_03.1 2011 2" xfId="35320"/>
    <cellStyle name="壞_Creek EE BOM cost_20090425_Creek RFQ feedback 04_28_2009_FD Update_Leopard_UniBOM_ME_0602_Bolt RFQ_Foxlink_03.1 2011 2 3" xfId="35321"/>
    <cellStyle name="壞_Creek EE BOM cost_20090425_Creek RFQ feedback 04_28_2009_FD Update_Leopard_UniBOM_ME_0602_Bolt RFQ_Foxlink_03.1 2011 3" xfId="35322"/>
    <cellStyle name="壞_Creek EE BOM cost_20090425_Creek RFQ feedback 04_28_2009_FD Update_Leopard_UniBOM_ME_0602_Bolt RFQ_Foxlink_03.1 2011 3 2" xfId="35323"/>
    <cellStyle name="壞_Creek EE BOM cost_20090425_Creek RFQ feedback 04_28_2009_FD Update_Leopard_UniBOM_ME_0602_Bolt RFQ_Foxlink_03.1 2011 3 3" xfId="35324"/>
    <cellStyle name="壞_Creek EE BOM cost_20090425_Creek RFQ feedback 04_28_2009_FD Update_Leopard_UniBOM_ME_0602_Bolt RFQ_Foxlink_03.1 2011 4" xfId="35325"/>
    <cellStyle name="壞_Creek EE BOM cost_20090425_Creek RFQ feedback 04_28_2009_FD Update_Leopard_UniBOM_ME_0602_Bolt RFQ_Foxlink_03.1 2011 5" xfId="35326"/>
    <cellStyle name="壞_Creek EE BOM cost_20090425_Creek RFQ feedback 04_28_2009_FD Update_Leopard_UniBOM_ME_0602_Bolt RFQ_Foxlink_03.1 2011_nego meeting@MACH" xfId="35327"/>
    <cellStyle name="壞_Creek EE BOM cost_20090425_Creek RFQ feedback 04_28_2009_FD Update_Leopard_UniBOM_ME_0602_Bolt RFQ_Foxlink_03.1 2011_nego meeting@MACH 2" xfId="35328"/>
    <cellStyle name="壞_Creek EE BOM cost_20090425_Creek RFQ feedback 04_28_2009_FD Update_Leopard_UniBOM_ME_0602_Bolt RFQ_Foxlink_03.1 2011_nego meeting@MACH 2 2" xfId="35329"/>
    <cellStyle name="壞_Creek EE BOM cost_20090425_Creek RFQ feedback 04_28_2009_FD Update_Leopard_UniBOM_ME_0602_Bolt RFQ_Foxlink_03.1 2011_nego meeting@MACH 2 3" xfId="35330"/>
    <cellStyle name="壞_Creek EE BOM cost_20090425_Creek RFQ feedback 04_28_2009_FD Update_Leopard_UniBOM_ME_0602_Bolt RFQ_Foxlink_03.1 2011_nego meeting@MACH 3" xfId="35331"/>
    <cellStyle name="壞_Creek EE BOM cost_20090425_Creek RFQ feedback 04_28_2009_FD Update_Leopard_UniBOM_ME_0602_Bolt RFQ_Foxlink_03.1 2011_nego meeting@MACH 3 2" xfId="35332"/>
    <cellStyle name="壞_Creek EE BOM cost_20090425_Creek RFQ feedback 04_28_2009_FD Update_Leopard_UniBOM_ME_0602_Bolt RFQ_Foxlink_03.1 2011_nego meeting@MACH 3 3" xfId="35333"/>
    <cellStyle name="壞_Creek EE BOM cost_20090425_Creek RFQ feedback 04_28_2009_FD Update_Leopard_UniBOM_ME_0602_Bolt RFQ_Foxlink_03.1 2011_nego meeting@MACH 4" xfId="35334"/>
    <cellStyle name="壞_Creek EE BOM cost_20090425_Creek RFQ feedback 04_28_2009_FD Update_Leopard_UniBOM_ME_0602_Bolt RFQ_Foxlink_03.1 2011_nego meeting@MACH 5" xfId="35335"/>
    <cellStyle name="壞_Creek EE BOM cost_20090425_Creek RFQ feedback 04_28_2009_FD Update_Leopard_UniBOM_ME_0602-1 2" xfId="35336"/>
    <cellStyle name="壞_Creek EE BOM cost_20090425_Creek RFQ feedback 04_28_2009_FD Update_Leopard_UniBOM_ME_0602-1 2 2" xfId="35337"/>
    <cellStyle name="壞_Creek EE BOM cost_20090425_Creek RFQ feedback 04_28_2009_FD Update_Leopard_UniBOM_ME_0602-1 2 2 2" xfId="35338"/>
    <cellStyle name="壞_Creek EE BOM cost_20090425_Creek RFQ feedback 04_28_2009_FD Update_Leopard_UniBOM_ME_0602-1 2 2 3" xfId="35339"/>
    <cellStyle name="壞_Creek EE BOM cost_20090425_Creek RFQ feedback 04_28_2009_FD Update_Leopard_UniBOM_ME_0602-1 2 3" xfId="35340"/>
    <cellStyle name="壞_Creek EE BOM cost_20090425_Creek RFQ feedback 04_28_2009_FD Update_Leopard_UniBOM_ME_0602-1 2 3 2" xfId="35341"/>
    <cellStyle name="壞_Creek EE BOM cost_20090425_Creek RFQ feedback 04_28_2009_FD Update_Leopard_UniBOM_ME_0602-1 2 3 3" xfId="35342"/>
    <cellStyle name="壞_Creek EE BOM cost_20090425_Creek RFQ feedback 04_28_2009_FD Update_Leopard_UniBOM_ME_0602-1 3" xfId="35343"/>
    <cellStyle name="壞_Creek EE BOM cost_20090425_Creek RFQ feedback 04_28_2009_FD Update_Leopard_UniBOM_ME_0602-1 3 2" xfId="35344"/>
    <cellStyle name="壞_Creek EE BOM cost_20090425_Creek RFQ feedback 04_28_2009_FD Update_Leopard_UniBOM_ME_0602-1 3 3" xfId="35345"/>
    <cellStyle name="壞_Creek EE BOM cost_20090425_Creek RFQ feedback 04_28_2009_FD Update_Leopard_UniBOM_ME_0602-1 4" xfId="35346"/>
    <cellStyle name="壞_Creek EE BOM cost_20090425_Creek RFQ feedback 04_28_2009_FD Update_Leopard_UniBOM_ME_0602-1 4 2" xfId="35347"/>
    <cellStyle name="壞_Creek EE BOM cost_20090425_Creek RFQ feedback 04_28_2009_FD Update_Leopard_UniBOM_ME_0602-1 4 3" xfId="35348"/>
    <cellStyle name="壞_Creek EE BOM cost_20090425_Creek RFQ feedback 04_28_2009_FD Update_Leopard_UniBOM_ME_0602-1_Bolt RFQ Proposal_Foxlink_ (Pricing Summary) 2 25 2011" xfId="35349"/>
    <cellStyle name="壞_Creek EE BOM cost_20090425_Creek RFQ feedback 04_28_2009_FD Update_Leopard_UniBOM_ME_0602-1_Bolt RFQ Proposal_Foxlink_ (Pricing Summary) 2 25 2011 2" xfId="35350"/>
    <cellStyle name="壞_Creek EE BOM cost_20090425_Creek RFQ feedback 04_28_2009_FD Update_Leopard_UniBOM_ME_0602-1_Bolt RFQ Proposal_Foxlink_ (Pricing Summary) 2 25 2011 2 2" xfId="35351"/>
    <cellStyle name="壞_Creek EE BOM cost_20090425_Creek RFQ feedback 04_28_2009_FD Update_Leopard_UniBOM_ME_0602-1_Bolt RFQ Proposal_Foxlink_ (Pricing Summary) 2 25 2011 2 2 2" xfId="35352"/>
    <cellStyle name="壞_Creek EE BOM cost_20090425_Creek RFQ feedback 04_28_2009_FD Update_Leopard_UniBOM_ME_0602-1_Bolt RFQ Proposal_Foxlink_ (Pricing Summary) 2 25 2011 2 2 3" xfId="35353"/>
    <cellStyle name="壞_Creek EE BOM cost_20090425_Creek RFQ feedback 04_28_2009_FD Update_Leopard_UniBOM_ME_0602-1_Bolt RFQ Proposal_Foxlink_ (Pricing Summary) 2 25 2011 2 3" xfId="35354"/>
    <cellStyle name="壞_Creek EE BOM cost_20090425_Creek RFQ feedback 04_28_2009_FD Update_Leopard_UniBOM_ME_0602-1_Bolt RFQ Proposal_Foxlink_ (Pricing Summary) 2 25 2011 2 3 2" xfId="35355"/>
    <cellStyle name="壞_Creek EE BOM cost_20090425_Creek RFQ feedback 04_28_2009_FD Update_Leopard_UniBOM_ME_0602-1_Bolt RFQ Proposal_Foxlink_ (Pricing Summary) 2 25 2011 2 3 3" xfId="35356"/>
    <cellStyle name="壞_Creek EE BOM cost_20090425_Creek RFQ feedback 04_28_2009_FD Update_Leopard_UniBOM_ME_0602-1_Bolt RFQ Proposal_Foxlink_ (Pricing Summary) 2 25 2011 3" xfId="35357"/>
    <cellStyle name="壞_Creek EE BOM cost_20090425_Creek RFQ feedback 04_28_2009_FD Update_Leopard_UniBOM_ME_0602-1_Bolt RFQ Proposal_Foxlink_ (Pricing Summary) 2 25 2011 4" xfId="35358"/>
    <cellStyle name="壞_Creek EE BOM cost_20090425_Creek RFQ feedback 04_28_2009_FD Update_Leopard_UniBOM_ME_0602-1_Bolt RFQ Proposal_Foxlink_ (Pricing Summary) 2 25 2011 4 2" xfId="35359"/>
    <cellStyle name="壞_Creek EE BOM cost_20090425_Creek RFQ feedback 04_28_2009_FD Update_Leopard_UniBOM_ME_0602-1_Bolt RFQ Proposal_Foxlink_ (Pricing Summary) 2 25 2011 4 3" xfId="35360"/>
    <cellStyle name="壞_Creek EE BOM cost_20090425_Creek RFQ feedback 04_28_2009_FD Update_Leopard_UniBOM_ME_0602-1_Bolt RFQ Proposal_Foxlink_ (Pricing Summary) 2 25 2011 5" xfId="35361"/>
    <cellStyle name="壞_Creek EE BOM cost_20090425_Creek RFQ feedback 04_28_2009_FD Update_Leopard_UniBOM_ME_0602-1_Bolt RFQ Proposal_Foxlink_ (Pricing Summary) 2 25 2011 5 2" xfId="35362"/>
    <cellStyle name="壞_Creek EE BOM cost_20090425_Creek RFQ feedback 04_28_2009_FD Update_Leopard_UniBOM_ME_0602-1_Bolt RFQ Proposal_Foxlink_ (Pricing Summary) 2 25 2011 5 3" xfId="35363"/>
    <cellStyle name="壞_Creek EE BOM cost_20090425_Creek RFQ feedback 04_28_2009_FD Update_Leopard_UniBOM_ME_0602-1_Bolt RFQ Proposal_Foxlink_ (Pricing Summary) 2 25 2011 6" xfId="35364"/>
    <cellStyle name="壞_Creek EE BOM cost_20090425_Creek RFQ feedback 04_28_2009_FD Update_Leopard_UniBOM_ME_0602-1_Bolt RFQ Proposal_Foxlink_ (Pricing Summary) 2 25 2011 6 2" xfId="35365"/>
    <cellStyle name="壞_Creek EE BOM cost_20090425_Creek RFQ feedback 04_28_2009_FD Update_Leopard_UniBOM_ME_0602-1_Bolt RFQ Proposal_Foxlink_ (Pricing Summary) 2 25 2011 6 3" xfId="35366"/>
    <cellStyle name="壞_Creek EE BOM cost_20090425_Creek RFQ feedback 04_28_2009_FD Update_Leopard_UniBOM_ME_0602-1_Bolt RFQ Proposal_Foxlink_ (Pricing Summary) 2 25 2011 7" xfId="35367"/>
    <cellStyle name="壞_Creek EE BOM cost_20090425_Creek RFQ feedback 04_28_2009_FD Update_Leopard_UniBOM_ME_0602-1_Bolt RFQ Proposal_Foxlink_ (Pricing Summary) 2 25 2011 8" xfId="35368"/>
    <cellStyle name="壞_Creek EE BOM cost_20090425_Creek RFQ feedback 04_28_2009_FD Update_Leopard_UniBOM_ME_0602-1_Bolt RFQ_Foxlink_03.1 2011" xfId="35369"/>
    <cellStyle name="壞_Creek EE BOM cost_20090425_Creek RFQ feedback 04_28_2009_FD Update_Leopard_UniBOM_ME_0602-1_Bolt RFQ_Foxlink_03.1 2011 2" xfId="35370"/>
    <cellStyle name="壞_Creek EE BOM cost_20090425_Creek RFQ feedback 04_28_2009_FD Update_Leopard_UniBOM_ME_0602-1_Bolt RFQ_Foxlink_03.1 2011 2 2" xfId="35371"/>
    <cellStyle name="壞_Creek EE BOM cost_20090425_Creek RFQ feedback 04_28_2009_FD Update_Leopard_UniBOM_ME_0602-1_Bolt RFQ_Foxlink_03.1 2011 2 3" xfId="35372"/>
    <cellStyle name="壞_Creek EE BOM cost_20090425_Creek RFQ feedback 04_28_2009_FD Update_Leopard_UniBOM_ME_0602-1_Bolt RFQ_Foxlink_03.1 2011 3" xfId="35373"/>
    <cellStyle name="壞_Creek EE BOM cost_20090425_Creek RFQ feedback 04_28_2009_FD Update_Leopard_UniBOM_ME_0602-1_Bolt RFQ_Foxlink_03.1 2011 3 2" xfId="35374"/>
    <cellStyle name="壞_Creek EE BOM cost_20090425_Creek RFQ feedback 04_28_2009_FD Update_Leopard_UniBOM_ME_0602-1_Bolt RFQ_Foxlink_03.1 2011 4" xfId="35375"/>
    <cellStyle name="壞_Creek EE BOM cost_20090425_Creek RFQ feedback 04_28_2009_FD Update_Leopard_UniBOM_ME_0602-1_Bolt RFQ_Foxlink_03.1 2011 5" xfId="35376"/>
    <cellStyle name="壞_Creek EE BOM cost_20090425_Creek RFQ feedback 04_28_2009_FD Update_Leopard_UniBOM_ME_0602-1_Bolt RFQ_Foxlink_03.1 2011_nego meeting@MACH" xfId="35377"/>
    <cellStyle name="壞_Creek EE BOM cost_20090425_Creek RFQ feedback 04_28_2009_FD Update_Leopard_UniBOM_ME_0602-1_Bolt RFQ_Foxlink_03.1 2011_nego meeting@MACH 2" xfId="35378"/>
    <cellStyle name="壞_Creek EE BOM cost_20090425_Creek RFQ feedback 04_28_2009_FD Update_Leopard_UniBOM_ME_0602-1_Bolt RFQ_Foxlink_03.1 2011_nego meeting@MACH 2 2" xfId="35379"/>
    <cellStyle name="壞_Creek EE BOM cost_20090425_Creek RFQ feedback 04_28_2009_FD Update_Leopard_UniBOM_ME_0602-1_Bolt RFQ_Foxlink_03.1 2011_nego meeting@MACH 2 3" xfId="35380"/>
    <cellStyle name="壞_Creek EE BOM cost_20090425_Creek RFQ feedback 04_28_2009_FD Update_Leopard_UniBOM_ME_0602-1_Bolt RFQ_Foxlink_03.1 2011_nego meeting@MACH 3" xfId="35381"/>
    <cellStyle name="壞_Creek EE BOM cost_20090425_Creek RFQ feedback 04_28_2009_FD Update_Leopard_UniBOM_ME_0602-1_Bolt RFQ_Foxlink_03.1 2011_nego meeting@MACH 3 2" xfId="35382"/>
    <cellStyle name="壞_Creek EE BOM cost_20090425_Creek RFQ feedback 04_28_2009_FD Update_Leopard_UniBOM_ME_0602-1_Bolt RFQ_Foxlink_03.1 2011_nego meeting@MACH 3 3" xfId="35383"/>
    <cellStyle name="壞_Creek EE BOM cost_20090425_Creek RFQ feedback 04_28_2009_FD Update_Leopard_UniBOM_ME_0602-1_Bolt RFQ_Foxlink_03.1 2011_nego meeting@MACH 4" xfId="35384"/>
    <cellStyle name="壞_Creek EE BOM cost_20090425_Creek RFQ feedback 04_28_2009_FD Update_Leopard_UniBOM_ME_0602-1_Bolt RFQ_Foxlink_03.1 2011_nego meeting@MACH 5" xfId="35385"/>
    <cellStyle name="壞_Creek EE BOM cost_20090425_Creek RFQ feedback 04_28_2009_FD Update_Leopard_UniBOM_ME_0603-2" xfId="35386"/>
    <cellStyle name="壞_Creek EE BOM cost_20090425_Creek RFQ feedback 04_28_2009_FD Update_Leopard_UniBOM_ME_0603-2 2" xfId="35387"/>
    <cellStyle name="壞_Creek EE BOM cost_20090425_Creek RFQ feedback 04_28_2009_FD Update_Leopard_UniBOM_ME_0603-2 2 2 2" xfId="35388"/>
    <cellStyle name="壞_Creek EE BOM cost_20090425_Creek RFQ feedback 04_28_2009_FD Update_Leopard_UniBOM_ME_0603-2 2 2 3" xfId="35389"/>
    <cellStyle name="壞_Creek EE BOM cost_20090425_Creek RFQ feedback 04_28_2009_FD Update_Leopard_UniBOM_ME_0603-2 2 3" xfId="35390"/>
    <cellStyle name="壞_Creek EE BOM cost_20090425_Creek RFQ feedback 04_28_2009_FD Update_Leopard_UniBOM_ME_0603-2 2 3 2" xfId="35391"/>
    <cellStyle name="壞_Creek EE BOM cost_20090425_Creek RFQ feedback 04_28_2009_FD Update_Leopard_UniBOM_ME_0603-2 2 3 3" xfId="35392"/>
    <cellStyle name="壞_Creek EE BOM cost_20090425_Creek RFQ feedback 04_28_2009_FD Update_Leopard_UniBOM_ME_0603-2 3" xfId="35393"/>
    <cellStyle name="壞_Creek EE BOM cost_20090425_Creek RFQ feedback 04_28_2009_FD Update_Leopard_UniBOM_ME_0603-2 3 2" xfId="35394"/>
    <cellStyle name="壞_Creek EE BOM cost_20090425_Creek RFQ feedback 04_28_2009_FD Update_Leopard_UniBOM_ME_0603-2 4" xfId="35395"/>
    <cellStyle name="壞_Creek EE BOM cost_20090425_Creek RFQ feedback 04_28_2009_FD Update_Leopard_UniBOM_ME_0603-2 4 2" xfId="35396"/>
    <cellStyle name="壞_Creek EE BOM cost_20090425_Creek RFQ feedback 04_28_2009_FD Update_Leopard_UniBOM_ME_0603-2 4 3" xfId="35397"/>
    <cellStyle name="壞_Creek EE BOM cost_20090425_Creek RFQ feedback 04_28_2009_FD Update_Leopard_UniBOM_ME_0603-2_Bolt RFQ Proposal_Foxlink_ (Pricing Summary) 2 25 2011" xfId="35398"/>
    <cellStyle name="壞_Creek EE BOM cost_20090425_Creek RFQ feedback 04_28_2009_FD Update_Leopard_UniBOM_ME_0603-2_Bolt RFQ Proposal_Foxlink_ (Pricing Summary) 2 25 2011 2" xfId="35399"/>
    <cellStyle name="壞_Creek EE BOM cost_20090425_Creek RFQ feedback 04_28_2009_FD Update_Leopard_UniBOM_ME_0603-2_Bolt RFQ Proposal_Foxlink_ (Pricing Summary) 2 25 2011 2 2 2" xfId="35400"/>
    <cellStyle name="壞_Creek EE BOM cost_20090425_Creek RFQ feedback 04_28_2009_FD Update_Leopard_UniBOM_ME_0603-2_Bolt RFQ Proposal_Foxlink_ (Pricing Summary) 2 25 2011 2 2 3" xfId="35401"/>
    <cellStyle name="壞_Creek EE BOM cost_20090425_Creek RFQ feedback 04_28_2009_FD Update_Leopard_UniBOM_ME_0603-2_Bolt RFQ Proposal_Foxlink_ (Pricing Summary) 2 25 2011 2 3 2" xfId="35402"/>
    <cellStyle name="壞_Creek EE BOM cost_20090425_Creek RFQ feedback 04_28_2009_FD Update_Leopard_UniBOM_ME_0603-2_Bolt RFQ Proposal_Foxlink_ (Pricing Summary) 2 25 2011 2 3 3" xfId="35403"/>
    <cellStyle name="壞_Creek EE BOM cost_20090425_Creek RFQ feedback 04_28_2009_FD Update_Leopard_UniBOM_ME_0603-2_Bolt RFQ Proposal_Foxlink_ (Pricing Summary) 2 25 2011 3" xfId="35404"/>
    <cellStyle name="壞_Creek EE BOM cost_20090425_Creek RFQ feedback 04_28_2009_FD Update_Leopard_UniBOM_ME_0603-2_Bolt RFQ Proposal_Foxlink_ (Pricing Summary) 2 25 2011 4" xfId="35405"/>
    <cellStyle name="壞_Creek EE BOM cost_20090425_Creek RFQ feedback 04_28_2009_FD Update_Leopard_UniBOM_ME_0603-2_Bolt RFQ Proposal_Foxlink_ (Pricing Summary) 2 25 2011 4 2" xfId="35406"/>
    <cellStyle name="壞_Creek EE BOM cost_20090425_Creek RFQ feedback 04_28_2009_FD Update_Leopard_UniBOM_ME_0603-2_Bolt RFQ Proposal_Foxlink_ (Pricing Summary) 2 25 2011 4 3" xfId="35407"/>
    <cellStyle name="壞_Creek EE BOM cost_20090425_Creek RFQ feedback 04_28_2009_FD Update_Leopard_UniBOM_ME_0603-2_Bolt RFQ Proposal_Foxlink_ (Pricing Summary) 2 25 2011 5" xfId="35408"/>
    <cellStyle name="壞_Creek EE BOM cost_20090425_Creek RFQ feedback 04_28_2009_FD Update_Leopard_UniBOM_ME_0603-2_Bolt RFQ Proposal_Foxlink_ (Pricing Summary) 2 25 2011 5 2" xfId="35409"/>
    <cellStyle name="壞_Creek EE BOM cost_20090425_Creek RFQ feedback 04_28_2009_FD Update_Leopard_UniBOM_ME_0603-2_Bolt RFQ Proposal_Foxlink_ (Pricing Summary) 2 25 2011 6" xfId="35410"/>
    <cellStyle name="壞_Creek EE BOM cost_20090425_Creek RFQ feedback 04_28_2009_FD Update_Leopard_UniBOM_ME_0603-2_Bolt RFQ Proposal_Foxlink_ (Pricing Summary) 2 25 2011 6 2" xfId="35411"/>
    <cellStyle name="壞_Creek EE BOM cost_20090425_Creek RFQ feedback 04_28_2009_FD Update_Leopard_UniBOM_ME_0603-2_Bolt RFQ Proposal_Foxlink_ (Pricing Summary) 2 25 2011 7" xfId="35412"/>
    <cellStyle name="壞_Creek EE BOM cost_20090425_Creek RFQ feedback 04_28_2009_FD Update_Leopard_UniBOM_ME_0603-2_Bolt RFQ Proposal_Foxlink_ (Pricing Summary) 2 25 2011 8" xfId="35413"/>
    <cellStyle name="壞_Creek EE BOM cost_20090425_Creek RFQ feedback 04_28_2009_FD Update_Leopard_UniBOM_ME_0603-2_Bolt RFQ_Foxlink_03.1 2011" xfId="35414"/>
    <cellStyle name="壞_Creek EE BOM cost_20090425_Creek RFQ feedback 04_28_2009_FD Update_Leopard_UniBOM_ME_0603-2_Bolt RFQ_Foxlink_03.1 2011 2" xfId="35415"/>
    <cellStyle name="壞_Creek EE BOM cost_20090425_Creek RFQ feedback 04_28_2009_FD Update_Leopard_UniBOM_ME_0603-2_Bolt RFQ_Foxlink_03.1 2011 2 2" xfId="35416"/>
    <cellStyle name="壞_Creek EE BOM cost_20090425_Creek RFQ feedback 04_28_2009_FD Update_Leopard_UniBOM_ME_0603-2_Bolt RFQ_Foxlink_03.1 2011 2 3" xfId="35417"/>
    <cellStyle name="壞_Creek EE BOM cost_20090425_Creek RFQ feedback 04_28_2009_FD Update_Leopard_UniBOM_ME_0603-2_Bolt RFQ_Foxlink_03.1 2011 3" xfId="35418"/>
    <cellStyle name="壞_Creek EE BOM cost_20090425_Creek RFQ feedback 04_28_2009_FD Update_Leopard_UniBOM_ME_0603-2_Bolt RFQ_Foxlink_03.1 2011 3 2" xfId="35419"/>
    <cellStyle name="壞_Creek EE BOM cost_20090425_Creek RFQ feedback 04_28_2009_FD Update_Leopard_UniBOM_ME_0603-2_Bolt RFQ_Foxlink_03.1 2011 3 3" xfId="35420"/>
    <cellStyle name="壞_Creek EE BOM cost_20090425_Creek RFQ feedback 04_28_2009_FD Update_Leopard_UniBOM_ME_0603-2_Bolt RFQ_Foxlink_03.1 2011 4" xfId="35421"/>
    <cellStyle name="壞_Creek EE BOM cost_20090425_Creek RFQ feedback 04_28_2009_FD Update_Leopard_UniBOM_ME_0603-2_Bolt RFQ_Foxlink_03.1 2011 5" xfId="35422"/>
    <cellStyle name="壞_Creek EE BOM cost_20090425_Creek RFQ feedback 04_28_2009_FD Update_Leopard_UniBOM_ME_0603-2_Bolt RFQ_Foxlink_03.1 2011_nego meeting@MACH" xfId="35423"/>
    <cellStyle name="壞_Creek EE BOM cost_20090425_Creek RFQ feedback 04_28_2009_FD Update_Leopard_UniBOM_ME_0603-2_Bolt RFQ_Foxlink_03.1 2011_nego meeting@MACH 2" xfId="35424"/>
    <cellStyle name="壞_Creek EE BOM cost_20090425_Creek RFQ feedback 04_28_2009_FD Update_Leopard_UniBOM_ME_0603-2_Bolt RFQ_Foxlink_03.1 2011_nego meeting@MACH 2 2" xfId="35425"/>
    <cellStyle name="壞_Creek EE BOM cost_20090425_Creek RFQ feedback 04_28_2009_FD Update_Leopard_UniBOM_ME_0603-2_Bolt RFQ_Foxlink_03.1 2011_nego meeting@MACH 2 3" xfId="35426"/>
    <cellStyle name="壞_Creek EE BOM cost_20090425_Creek RFQ feedback 04_28_2009_FD Update_Leopard_UniBOM_ME_0603-2_Bolt RFQ_Foxlink_03.1 2011_nego meeting@MACH 3" xfId="35427"/>
    <cellStyle name="壞_Creek EE BOM cost_20090425_Creek RFQ feedback 04_28_2009_FD Update_Leopard_UniBOM_ME_0603-2_Bolt RFQ_Foxlink_03.1 2011_nego meeting@MACH 3 2" xfId="35428"/>
    <cellStyle name="壞_Creek EE BOM cost_20090425_Creek RFQ feedback 04_28_2009_FD Update_Leopard_UniBOM_ME_0603-2_Bolt RFQ_Foxlink_03.1 2011_nego meeting@MACH 3 3" xfId="35429"/>
    <cellStyle name="壞_Creek EE BOM cost_20090425_Creek RFQ feedback 04_28_2009_FD Update_Leopard_UniBOM_ME_0603-2_Bolt RFQ_Foxlink_03.1 2011_nego meeting@MACH 4" xfId="35430"/>
    <cellStyle name="壞_Creek EE BOM cost_20090425_Creek RFQ feedback 04_28_2009_FD Update_Leopard_UniBOM_ME_0603-2_Bolt RFQ_Foxlink_03.1 2011_nego meeting@MACH 5" xfId="35431"/>
    <cellStyle name="壞_Creek EE BOM cost_20090425_Creek RFQ feedback 04_28_2009_FD Update_Squirrel RFQ ME BOM Costs-0623" xfId="35432"/>
    <cellStyle name="壞_Creek EE BOM cost_20090425_Creek RFQ feedback 04_28_2009_FD Update_Squirrel RFQ ME BOM Costs-0623 2" xfId="35433"/>
    <cellStyle name="壞_Creek EE BOM cost_20090425_Creek RFQ feedback 04_28_2009_FD Update_Squirrel RFQ ME BOM Costs-0623 2 2" xfId="35434"/>
    <cellStyle name="壞_Creek EE BOM cost_20090425_Creek RFQ feedback 04_28_2009_FD Update_Squirrel RFQ ME BOM Costs-0623 2 2 2" xfId="35435"/>
    <cellStyle name="壞_Creek EE BOM cost_20090425_Creek RFQ feedback 04_28_2009_FD Update_Squirrel RFQ ME BOM Costs-0623 2 2 3" xfId="35436"/>
    <cellStyle name="壞_Creek EE BOM cost_20090425_Creek RFQ feedback 04_28_2009_FD Update_Squirrel RFQ ME BOM Costs-0623 2 3" xfId="35437"/>
    <cellStyle name="壞_Creek EE BOM cost_20090425_Creek RFQ feedback 04_28_2009_FD Update_Squirrel RFQ ME BOM Costs-0623 2 3 2" xfId="35438"/>
    <cellStyle name="壞_Creek EE BOM cost_20090425_Creek RFQ feedback 04_28_2009_FD Update_Squirrel RFQ ME BOM Costs-0623 2 3 3" xfId="35439"/>
    <cellStyle name="壞_Creek EE BOM cost_20090425_Creek RFQ feedback 04_28_2009_FD Update_Squirrel RFQ ME BOM Costs-0623 3 2" xfId="35440"/>
    <cellStyle name="壞_Creek EE BOM cost_20090425_Creek RFQ feedback 04_28_2009_FD Update_Squirrel RFQ ME BOM Costs-0623 3 3" xfId="35441"/>
    <cellStyle name="壞_Creek EE BOM cost_20090425_Creek RFQ feedback 04_28_2009_FD Update_Squirrel RFQ ME BOM Costs-0623 4" xfId="35442"/>
    <cellStyle name="壞_Creek EE BOM cost_20090425_Creek RFQ feedback 04_28_2009_FD Update_Squirrel RFQ ME BOM Costs-0623 4 2" xfId="35443"/>
    <cellStyle name="壞_Creek EE BOM cost_20090425_Creek RFQ feedback 04_28_2009_FD Update_Squirrel RFQ ME BOM Costs-0623 4 3" xfId="35444"/>
    <cellStyle name="壞_Creek EE BOM cost_20090425_Creek RFQ feedback 04_28_2009_FD Update_Squirrel RFQ ME BOM Costs-0623_Bolt RFQ Proposal_Foxlink_ (Pricing Summary) 2 25 2011" xfId="35445"/>
    <cellStyle name="壞_Creek EE BOM cost_20090425_Creek RFQ feedback 04_28_2009_FD Update_Squirrel RFQ ME BOM Costs-0623_Bolt RFQ Proposal_Foxlink_ (Pricing Summary) 2 25 2011 2" xfId="35446"/>
    <cellStyle name="壞_Creek EE BOM cost_20090425_Creek RFQ feedback 04_28_2009_FD Update_Squirrel RFQ ME BOM Costs-0623_Bolt RFQ Proposal_Foxlink_ (Pricing Summary) 2 25 2011 2 2" xfId="35447"/>
    <cellStyle name="壞_Creek EE BOM cost_20090425_Creek RFQ feedback 04_28_2009_FD Update_Squirrel RFQ ME BOM Costs-0623_Bolt RFQ Proposal_Foxlink_ (Pricing Summary) 2 25 2011 2 2 2" xfId="35448"/>
    <cellStyle name="壞_Creek EE BOM cost_20090425_Creek RFQ feedback 04_28_2009_FD Update_Squirrel RFQ ME BOM Costs-0623_Bolt RFQ Proposal_Foxlink_ (Pricing Summary) 2 25 2011 2 2 3" xfId="35449"/>
    <cellStyle name="壞_Creek EE BOM cost_20090425_Creek RFQ feedback 04_28_2009_FD Update_Squirrel RFQ ME BOM Costs-0623_Bolt RFQ Proposal_Foxlink_ (Pricing Summary) 2 25 2011 2 3" xfId="35450"/>
    <cellStyle name="壞_Creek EE BOM cost_20090425_Creek RFQ feedback 04_28_2009_FD Update_Squirrel RFQ ME BOM Costs-0623_Bolt RFQ Proposal_Foxlink_ (Pricing Summary) 2 25 2011 2 3 2" xfId="35451"/>
    <cellStyle name="壞_Creek EE BOM cost_20090425_Creek RFQ feedback 04_28_2009_FD Update_Squirrel RFQ ME BOM Costs-0623_Bolt RFQ Proposal_Foxlink_ (Pricing Summary) 2 25 2011 2 3 3" xfId="35452"/>
    <cellStyle name="壞_Creek EE BOM cost_20090425_Creek RFQ feedback 04_28_2009_FD Update_Squirrel RFQ ME BOM Costs-0623_Bolt RFQ Proposal_Foxlink_ (Pricing Summary) 2 25 2011 3" xfId="35453"/>
    <cellStyle name="壞_Creek EE BOM cost_20090425_Creek RFQ feedback 04_28_2009_FD Update_Squirrel RFQ ME BOM Costs-0623_Bolt RFQ Proposal_Foxlink_ (Pricing Summary) 2 25 2011 4" xfId="35454"/>
    <cellStyle name="壞_Creek EE BOM cost_20090425_Creek RFQ feedback 04_28_2009_FD Update_Squirrel RFQ ME BOM Costs-0623_Bolt RFQ Proposal_Foxlink_ (Pricing Summary) 2 25 2011 4 3" xfId="35455"/>
    <cellStyle name="壞_Creek EE BOM cost_20090425_Creek RFQ feedback 04_28_2009_FD Update_Squirrel RFQ ME BOM Costs-0623_Bolt RFQ Proposal_Foxlink_ (Pricing Summary) 2 25 2011 5" xfId="35456"/>
    <cellStyle name="壞_Creek EE BOM cost_20090425_Creek RFQ feedback 04_28_2009_FD Update_Squirrel RFQ ME BOM Costs-0623_Bolt RFQ Proposal_Foxlink_ (Pricing Summary) 2 25 2011 5 2" xfId="35457"/>
    <cellStyle name="壞_Creek EE BOM cost_20090425_Creek RFQ feedback 04_28_2009_FD Update_Squirrel RFQ ME BOM Costs-0623_Bolt RFQ Proposal_Foxlink_ (Pricing Summary) 2 25 2011 5 3" xfId="35458"/>
    <cellStyle name="壞_Creek EE BOM cost_20090425_Creek RFQ feedback 04_28_2009_FD Update_Squirrel RFQ ME BOM Costs-0623_Bolt RFQ Proposal_Foxlink_ (Pricing Summary) 2 25 2011 6" xfId="35459"/>
    <cellStyle name="壞_Creek EE BOM cost_20090425_Creek RFQ feedback 04_28_2009_FD Update_Squirrel RFQ ME BOM Costs-0623_Bolt RFQ Proposal_Foxlink_ (Pricing Summary) 2 25 2011 6 2" xfId="35460"/>
    <cellStyle name="壞_Creek EE BOM cost_20090425_Creek RFQ feedback 04_28_2009_FD Update_Squirrel RFQ ME BOM Costs-0623_Bolt RFQ Proposal_Foxlink_ (Pricing Summary) 2 25 2011 6 3" xfId="35461"/>
    <cellStyle name="壞_Creek EE BOM cost_20090425_Creek RFQ feedback 04_28_2009_FD Update_Squirrel RFQ ME BOM Costs-0623_Bolt RFQ Proposal_Foxlink_ (Pricing Summary) 2 25 2011 7" xfId="35462"/>
    <cellStyle name="壞_Creek EE BOM cost_20090425_Creek RFQ feedback 04_28_2009_FD Update_Squirrel RFQ ME BOM Costs-0623_Bolt RFQ Proposal_Foxlink_ (Pricing Summary) 2 25 2011 8" xfId="35463"/>
    <cellStyle name="壞_Creek EE BOM cost_20090425_Creek RFQ feedback 04_28_2009_FD Update_Squirrel RFQ ME BOM Costs-0623_Bolt RFQ_Foxlink_03.1 2011" xfId="35464"/>
    <cellStyle name="壞_Creek EE BOM cost_20090425_Creek RFQ feedback 04_28_2009_FD Update_Squirrel RFQ ME BOM Costs-0623_Bolt RFQ_Foxlink_03.1 2011 2 2" xfId="35465"/>
    <cellStyle name="壞_Creek EE BOM cost_20090425_Creek RFQ feedback 04_28_2009_FD Update_Squirrel RFQ ME BOM Costs-0623_Bolt RFQ_Foxlink_03.1 2011 2 3" xfId="35466"/>
    <cellStyle name="壞_Creek EE BOM cost_20090425_Creek RFQ feedback 04_28_2009_FD Update_Squirrel RFQ ME BOM Costs-0623_Bolt RFQ_Foxlink_03.1 2011 3 2" xfId="35467"/>
    <cellStyle name="壞_Creek EE BOM cost_20090425_Creek RFQ feedback 04_28_2009_FD Update_Squirrel RFQ ME BOM Costs-0623_Bolt RFQ_Foxlink_03.1 2011 3 3" xfId="35468"/>
    <cellStyle name="壞_Creek EE BOM cost_20090425_Creek RFQ feedback 04_28_2009_FD Update_Squirrel RFQ ME BOM Costs-0623_Bolt RFQ_Foxlink_03.1 2011 5" xfId="35469"/>
    <cellStyle name="壞_Creek EE BOM cost_20090425_Creek RFQ feedback 04_28_2009_FD Update_Squirrel RFQ ME BOM Costs-0623_Bolt RFQ_Foxlink_03.1 2011_nego meeting@MACH" xfId="35470"/>
    <cellStyle name="壞_Creek EE BOM cost_20090425_Creek RFQ feedback 04_28_2009_FD Update_Squirrel RFQ ME BOM Costs-0623_Bolt RFQ_Foxlink_03.1 2011_nego meeting@MACH 2" xfId="35471"/>
    <cellStyle name="壞_Creek EE BOM cost_20090425_Creek RFQ feedback 04_28_2009_FD Update_Squirrel RFQ ME BOM Costs-0623_Bolt RFQ_Foxlink_03.1 2011_nego meeting@MACH 2 2" xfId="35472"/>
    <cellStyle name="壞_Creek EE BOM cost_20090425_Creek RFQ feedback 04_28_2009_FD Update_Squirrel RFQ ME BOM Costs-0623_Bolt RFQ_Foxlink_03.1 2011_nego meeting@MACH 2 3" xfId="35473"/>
    <cellStyle name="壞_Creek EE BOM cost_20090425_Creek RFQ feedback 04_28_2009_FD Update_Squirrel RFQ ME BOM Costs-0623_Bolt RFQ_Foxlink_03.1 2011_nego meeting@MACH 3" xfId="35474"/>
    <cellStyle name="壞_Creek EE BOM cost_20090425_Creek RFQ feedback 04_28_2009_FD Update_Squirrel RFQ ME BOM Costs-0623_Bolt RFQ_Foxlink_03.1 2011_nego meeting@MACH 3 2" xfId="35475"/>
    <cellStyle name="壞_Creek EE BOM cost_20090425_Creek RFQ feedback 04_28_2009_FD Update_Squirrel RFQ ME BOM Costs-0623_Bolt RFQ_Foxlink_03.1 2011_nego meeting@MACH 3 3" xfId="35476"/>
    <cellStyle name="壞_Creek EE BOM cost_20090425_Creek RFQ feedback 04_28_2009_FD Update_Squirrel RFQ ME BOM Costs-0623_Bolt RFQ_Foxlink_03.1 2011_nego meeting@MACH 5" xfId="35477"/>
    <cellStyle name="壞_Creek EE BOM cost_20090425_Creek RFQ feedback 04_28_2009_FD Update_Squirrel RFQ ME BOM Costs-0624" xfId="35478"/>
    <cellStyle name="壞_Creek EE BOM cost_20090425_Creek RFQ feedback 04_28_2009_FD Update_Squirrel UniBom_Foxlink_6 28 2010" xfId="35479"/>
    <cellStyle name="壞_Creek EE BOM cost_20090425_Creek RFQ feedback 04_28_2009_FD Update_Squirrel UniBom_Foxlink_7.27.2010" xfId="35480"/>
    <cellStyle name="壞_Creek EE BOM cost_20090425_Creek RFQ feedback 04_28_2009_FD Update_Squirrel UniBom-06 23 2010_update_internal" xfId="35481"/>
    <cellStyle name="壞_Creek EE BOM cost_20090425_Creek RFQ feedback 04_28_2009_FD Update_Squirrel UniBom-06.23.2010_update_internal" xfId="35482"/>
    <cellStyle name="壞_Creek EE BOM cost_20090425_Creek RFQ feedback 04_28_2009_FD Update_Squirrel UniBom-06.23.2010_update_internal 2" xfId="35483"/>
    <cellStyle name="壞_Creek EE BOM cost_20090425_Creek RFQ feedback 04_28_2009_FD Update_Squirrel UniBom-06.23.2010_update_internal 2 2" xfId="35484"/>
    <cellStyle name="壞_Creek EE BOM cost_20090425_Creek RFQ feedback 04_28_2009_FD Update_Squirrel UniBom-06.23.2010_update_internal 2 2 2" xfId="35485"/>
    <cellStyle name="壞_Creek EE BOM cost_20090425_Creek RFQ feedback 04_28_2009_FD Update_Squirrel UniBom-06.23.2010_update_internal 2 2 3" xfId="35486"/>
    <cellStyle name="壞_Creek EE BOM cost_20090425_Creek RFQ feedback 04_28_2009_FD Update_Squirrel UniBom-06.23.2010_update_internal 2 3" xfId="35487"/>
    <cellStyle name="壞_Creek EE BOM cost_20090425_Creek RFQ feedback 04_28_2009_FD Update_Squirrel UniBom-06.23.2010_update_internal 2 3 2" xfId="35488"/>
    <cellStyle name="壞_Creek EE BOM cost_20090425_Creek RFQ feedback 04_28_2009_FD Update_Squirrel UniBom-06.23.2010_update_internal 2 3 3" xfId="35489"/>
    <cellStyle name="壞_Creek EE BOM cost_20090425_Creek RFQ feedback 04_28_2009_FD Update_Squirrel UniBom-06.23.2010_update_internal 3" xfId="35490"/>
    <cellStyle name="壞_Creek EE BOM cost_20090425_Creek RFQ feedback 04_28_2009_FD Update_Squirrel UniBom-06.23.2010_update_internal 3 2" xfId="35491"/>
    <cellStyle name="壞_Creek EE BOM cost_20090425_Creek RFQ feedback 04_28_2009_FD Update_Squirrel UniBom-06.23.2010_update_internal 3 3" xfId="35492"/>
    <cellStyle name="壞_Creek EE BOM cost_20090425_Creek RFQ feedback 04_28_2009_FD Update_Squirrel UniBom-06.23.2010_update_internal 4" xfId="35493"/>
    <cellStyle name="壞_Creek EE BOM cost_20090425_Creek RFQ feedback 04_28_2009_FD Update_Squirrel UniBom-06.23.2010_update_internal 4 2" xfId="35494"/>
    <cellStyle name="壞_Creek EE BOM cost_20090425_Creek RFQ feedback 04_28_2009_FD Update_Squirrel UniBom-06.23.2010_update_internal 4 3" xfId="35495"/>
    <cellStyle name="壞_Creek EE BOM cost_20090425_Creek RFQ feedback 04_28_2009_FD Update_Squirrel UniBom-06.23.2010_update_internal 5" xfId="35496"/>
    <cellStyle name="壞_Creek EE BOM cost_20090425_Creek RFQ feedback 04_28_2009_FD Update_Squirrel UniBom-06.23.2010_update_internal 6" xfId="35497"/>
    <cellStyle name="壞_Creek EE BOM cost_20090425_Creek RFQ feedback 04_28_2009_FD Update_Squirrel UniBom-06.23.2010_update_internal_Bolt RFQ Proposal_Foxlink_ (Pricing Summary) 2 25 2011" xfId="35498"/>
    <cellStyle name="壞_Creek EE BOM cost_20090425_Creek RFQ feedback 04_28_2009_FD Update_Squirrel UniBom-06.23.2010_update_internal_Bolt RFQ Proposal_Foxlink_ (Pricing Summary) 2 25 2011 2" xfId="35499"/>
    <cellStyle name="壞_Creek EE BOM cost_20090425_Creek RFQ feedback 04_28_2009_FD Update_Squirrel UniBom-06.23.2010_update_internal_Bolt RFQ Proposal_Foxlink_ (Pricing Summary) 2 25 2011 2 2" xfId="35500"/>
    <cellStyle name="壞_Creek EE BOM cost_20090425_Creek RFQ feedback 04_28_2009_FD Update_Squirrel UniBom-06.23.2010_update_internal_Bolt RFQ Proposal_Foxlink_ (Pricing Summary) 2 25 2011 2 2 2" xfId="35501"/>
    <cellStyle name="壞_Creek EE BOM cost_20090425_Creek RFQ feedback 04_28_2009_FD Update_Squirrel UniBom-06.23.2010_update_internal_Bolt RFQ Proposal_Foxlink_ (Pricing Summary) 2 25 2011 2 2 3" xfId="35502"/>
    <cellStyle name="壞_Creek EE BOM cost_20090425_Creek RFQ feedback 04_28_2009_FD Update_Squirrel UniBom-06.23.2010_update_internal_Bolt RFQ Proposal_Foxlink_ (Pricing Summary) 2 25 2011 2 3" xfId="35503"/>
    <cellStyle name="壞_Creek EE BOM cost_20090425_Creek RFQ feedback 04_28_2009_FD Update_Squirrel UniBom-06.23.2010_update_internal_Bolt RFQ Proposal_Foxlink_ (Pricing Summary) 2 25 2011 2 3 2" xfId="35504"/>
    <cellStyle name="壞_Creek EE BOM cost_20090425_Creek RFQ feedback 04_28_2009_FD Update_Squirrel UniBom-06.23.2010_update_internal_Bolt RFQ Proposal_Foxlink_ (Pricing Summary) 2 25 2011 2 3 3" xfId="35505"/>
    <cellStyle name="壞_Creek EE BOM cost_20090425_Creek RFQ feedback 04_28_2009_FD Update_Squirrel UniBom-06.23.2010_update_internal_Bolt RFQ Proposal_Foxlink_ (Pricing Summary) 2 25 2011 3" xfId="35506"/>
    <cellStyle name="壞_Creek EE BOM cost_20090425_Creek RFQ feedback 04_28_2009_FD Update_Squirrel UniBom-06.23.2010_update_internal_Bolt RFQ Proposal_Foxlink_ (Pricing Summary) 2 25 2011 4" xfId="35507"/>
    <cellStyle name="壞_Creek EE BOM cost_20090425_Creek RFQ feedback 04_28_2009_FD Update_Squirrel UniBom-06.23.2010_update_internal_Bolt RFQ Proposal_Foxlink_ (Pricing Summary) 2 25 2011 4 2" xfId="35508"/>
    <cellStyle name="壞_Creek EE BOM cost_20090425_Creek RFQ feedback 04_28_2009_FD Update_Squirrel UniBom-06.23.2010_update_internal_Bolt RFQ Proposal_Foxlink_ (Pricing Summary) 2 25 2011 4 3" xfId="35509"/>
    <cellStyle name="壞_Creek EE BOM cost_20090425_Creek RFQ feedback 04_28_2009_FD Update_Squirrel UniBom-06.23.2010_update_internal_Bolt RFQ Proposal_Foxlink_ (Pricing Summary) 2 25 2011 5" xfId="35510"/>
    <cellStyle name="壞_Creek EE BOM cost_20090425_Creek RFQ feedback 04_28_2009_FD Update_Squirrel UniBom-06.23.2010_update_internal_Bolt RFQ Proposal_Foxlink_ (Pricing Summary) 2 25 2011 5 2" xfId="35511"/>
    <cellStyle name="壞_Creek EE BOM cost_20090425_Creek RFQ feedback 04_28_2009_FD Update_Squirrel UniBom-06.23.2010_update_internal_Bolt RFQ Proposal_Foxlink_ (Pricing Summary) 2 25 2011 5 3" xfId="35512"/>
    <cellStyle name="壞_Creek EE BOM cost_20090425_Creek RFQ feedback 04_28_2009_FD Update_Squirrel UniBom-06.23.2010_update_internal_Bolt RFQ Proposal_Foxlink_ (Pricing Summary) 2 25 2011 6 2" xfId="35513"/>
    <cellStyle name="壞_Creek EE BOM cost_20090425_Creek RFQ feedback 04_28_2009_FD Update_Squirrel UniBom-06.23.2010_update_internal_Bolt RFQ Proposal_Foxlink_ (Pricing Summary) 2 25 2011 6 3" xfId="35514"/>
    <cellStyle name="壞_Creek EE BOM cost_20090425_Creek RFQ feedback 04_28_2009_FD Update_Squirrel UniBom-06.23.2010_update_internal_Bolt RFQ Proposal_Foxlink_ (Pricing Summary) 2 25 2011 7" xfId="35515"/>
    <cellStyle name="壞_Creek EE BOM cost_20090425_Creek RFQ feedback 04_28_2009_FD Update_Squirrel UniBom-06.23.2010_update_internal_Bolt RFQ Proposal_Foxlink_ (Pricing Summary) 2 25 2011 8" xfId="35516"/>
    <cellStyle name="壞_Creek EE BOM cost_20090425_Creek RFQ feedback 04_28_2009_FD Update_Squirrel UniBom-06.23.2010_update_internal_Bolt RFQ_Foxlink_03.1 2011" xfId="35517"/>
    <cellStyle name="壞_Creek EE BOM cost_20090425_Creek RFQ feedback 04_28_2009_FD Update_Squirrel UniBom-06.23.2010_update_internal_Bolt RFQ_Foxlink_03.1 2011 2" xfId="35518"/>
    <cellStyle name="壞_Creek EE BOM cost_20090425_Creek RFQ feedback 04_28_2009_FD Update_Squirrel UniBom-06.23.2010_update_internal_Bolt RFQ_Foxlink_03.1 2011 2 2" xfId="35519"/>
    <cellStyle name="壞_Creek EE BOM cost_20090425_Creek RFQ feedback 04_28_2009_FD Update_Squirrel UniBom-06.23.2010_update_internal_Bolt RFQ_Foxlink_03.1 2011 2 3" xfId="35520"/>
    <cellStyle name="壞_Creek EE BOM cost_20090425_Creek RFQ feedback 04_28_2009_FD Update_Squirrel UniBom-06.23.2010_update_internal_Bolt RFQ_Foxlink_03.1 2011 3" xfId="35521"/>
    <cellStyle name="壞_Creek EE BOM cost_20090425_Creek RFQ feedback 04_28_2009_FD Update_Squirrel UniBom-06.23.2010_update_internal_Bolt RFQ_Foxlink_03.1 2011 3 2" xfId="35522"/>
    <cellStyle name="壞_Creek EE BOM cost_20090425_Creek RFQ feedback 04_28_2009_FD Update_Squirrel UniBom-06.23.2010_update_internal_Bolt RFQ_Foxlink_03.1 2011 3 3" xfId="35523"/>
    <cellStyle name="壞_Creek EE BOM cost_20090425_Creek RFQ feedback 04_28_2009_FD Update_Squirrel UniBom-06.23.2010_update_internal_Bolt RFQ_Foxlink_03.1 2011 4" xfId="35524"/>
    <cellStyle name="壞_Creek EE BOM cost_20090425_Creek RFQ feedback 04_28_2009_FD Update_Squirrel UniBom-06.23.2010_update_internal_Bolt RFQ_Foxlink_03.1 2011 5" xfId="35525"/>
    <cellStyle name="壞_Creek EE BOM cost_20090425_Creek RFQ feedback 04_28_2009_FD Update_Squirrel UniBom-06.23.2010_update_internal_Bolt RFQ_Foxlink_03.1 2011_nego meeting@MACH" xfId="35526"/>
    <cellStyle name="壞_Creek EE BOM cost_20090425_Creek RFQ feedback 04_28_2009_FD Update_Squirrel UniBom-06.23.2010_update_internal_Bolt RFQ_Foxlink_03.1 2011_nego meeting@MACH 2" xfId="35527"/>
    <cellStyle name="壞_Creek EE BOM cost_20090425_Creek RFQ feedback 04_28_2009_FD Update_Squirrel UniBom-06.23.2010_update_internal_Bolt RFQ_Foxlink_03.1 2011_nego meeting@MACH 2 2" xfId="35528"/>
    <cellStyle name="壞_Creek EE BOM cost_20090425_Creek RFQ feedback 04_28_2009_FD Update_Squirrel UniBom-06.23.2010_update_internal_Bolt RFQ_Foxlink_03.1 2011_nego meeting@MACH 2 3" xfId="35529"/>
    <cellStyle name="壞_Creek EE BOM cost_20090425_Creek RFQ feedback 04_28_2009_FD Update_Squirrel UniBom-06.23.2010_update_internal_Bolt RFQ_Foxlink_03.1 2011_nego meeting@MACH 3" xfId="35530"/>
    <cellStyle name="壞_Creek EE BOM cost_20090425_Creek RFQ feedback 04_28_2009_FD Update_Squirrel UniBom-06.23.2010_update_internal_Bolt RFQ_Foxlink_03.1 2011_nego meeting@MACH 3 2" xfId="35531"/>
    <cellStyle name="壞_Creek EE BOM cost_20090425_Creek RFQ feedback 04_28_2009_FD Update_Squirrel UniBom-06.23.2010_update_internal_Bolt RFQ_Foxlink_03.1 2011_nego meeting@MACH 3 3" xfId="35532"/>
    <cellStyle name="壞_Creek EE BOM cost_20090425_Creek RFQ feedback 04_28_2009_FD Update_Squirrel UniBom-06.23.2010_update_internal_Bolt RFQ_Foxlink_03.1 2011_nego meeting@MACH 4" xfId="35533"/>
    <cellStyle name="壞_Creek EE BOM cost_20090425_Creek RFQ feedback 04_28_2009_FD Update_Squirrel UniBom-06.23.2010_update_internal_Bolt RFQ_Foxlink_03.1 2011_nego meeting@MACH 5" xfId="35534"/>
    <cellStyle name="壞_Creek EE BOM cost_20090425_Foxlink_Shadow RFQ NREUni BOM_12032009" xfId="35535"/>
    <cellStyle name="壞_Creek EE BOM cost_20090425_Foxlink_Shadow RFQ NREUni BOM_12032009 2" xfId="35536"/>
    <cellStyle name="壞_Creek EE BOM cost_20090425_Foxlink_Shadow RFQ NREUni BOM_12032009 2 2" xfId="35537"/>
    <cellStyle name="壞_Creek EE BOM cost_20090425_Foxlink_Shadow RFQ NREUni BOM_12032009 2 2 2" xfId="35538"/>
    <cellStyle name="壞_Creek EE BOM cost_20090425_Foxlink_Shadow RFQ NREUni BOM_12032009 2 2 3" xfId="35539"/>
    <cellStyle name="壞_Creek EE BOM cost_20090425_Foxlink_Shadow RFQ NREUni BOM_12032009 2 3" xfId="35540"/>
    <cellStyle name="壞_Creek EE BOM cost_20090425_Foxlink_Shadow RFQ NREUni BOM_12032009 2 3 2" xfId="35541"/>
    <cellStyle name="壞_Creek EE BOM cost_20090425_Foxlink_Shadow RFQ NREUni BOM_12032009 2 3 3" xfId="35542"/>
    <cellStyle name="壞_Creek EE BOM cost_20090425_Foxlink_Shadow RFQ NREUni BOM_12032009 3" xfId="35543"/>
    <cellStyle name="壞_Creek EE BOM cost_20090425_Foxlink_Shadow RFQ NREUni BOM_12032009 3 2" xfId="35544"/>
    <cellStyle name="壞_Creek EE BOM cost_20090425_Foxlink_Shadow RFQ NREUni BOM_12032009 3 3" xfId="35545"/>
    <cellStyle name="壞_Creek EE BOM cost_20090425_Foxlink_Shadow RFQ NREUni BOM_12032009 4" xfId="35546"/>
    <cellStyle name="壞_Creek EE BOM cost_20090425_Foxlink_Shadow RFQ NREUni BOM_12032009 4 2" xfId="35547"/>
    <cellStyle name="壞_Creek EE BOM cost_20090425_Foxlink_Shadow RFQ NREUni BOM_12032009 4 3" xfId="35548"/>
    <cellStyle name="壞_Creek EE BOM cost_20090425_Foxlink_Shadow RFQ NREUni BOM_12032009_Bolt RFQ Proposal_Foxlink_ (Pricing Summary) 2 25 2011" xfId="35549"/>
    <cellStyle name="壞_Creek EE BOM cost_20090425_Foxlink_Shadow RFQ NREUni BOM_12032009_Bolt RFQ Proposal_Foxlink_ (Pricing Summary) 2 25 2011 2" xfId="35550"/>
    <cellStyle name="壞_Creek EE BOM cost_20090425_Foxlink_Shadow RFQ NREUni BOM_12032009_Bolt RFQ Proposal_Foxlink_ (Pricing Summary) 2 25 2011 2 2" xfId="35551"/>
    <cellStyle name="壞_Creek EE BOM cost_20090425_Foxlink_Shadow RFQ NREUni BOM_12032009_Bolt RFQ Proposal_Foxlink_ (Pricing Summary) 2 25 2011 2 2 2" xfId="35552"/>
    <cellStyle name="壞_Creek EE BOM cost_20090425_Foxlink_Shadow RFQ NREUni BOM_12032009_Bolt RFQ Proposal_Foxlink_ (Pricing Summary) 2 25 2011 2 2 3" xfId="35553"/>
    <cellStyle name="壞_Creek EE BOM cost_20090425_Foxlink_Shadow RFQ NREUni BOM_12032009_Bolt RFQ Proposal_Foxlink_ (Pricing Summary) 2 25 2011 2 3" xfId="35554"/>
    <cellStyle name="壞_Creek EE BOM cost_20090425_Foxlink_Shadow RFQ NREUni BOM_12032009_Bolt RFQ Proposal_Foxlink_ (Pricing Summary) 2 25 2011 2 3 2" xfId="35555"/>
    <cellStyle name="壞_Creek EE BOM cost_20090425_Foxlink_Shadow RFQ NREUni BOM_12032009_Bolt RFQ Proposal_Foxlink_ (Pricing Summary) 2 25 2011 2 3 3" xfId="35556"/>
    <cellStyle name="壞_Creek EE BOM cost_20090425_Foxlink_Shadow RFQ NREUni BOM_12032009_Bolt RFQ Proposal_Foxlink_ (Pricing Summary) 2 25 2011 3" xfId="35557"/>
    <cellStyle name="壞_Creek EE BOM cost_20090425_Foxlink_Shadow RFQ NREUni BOM_12032009_Bolt RFQ Proposal_Foxlink_ (Pricing Summary) 2 25 2011 4" xfId="35558"/>
    <cellStyle name="壞_Creek EE BOM cost_20090425_Foxlink_Shadow RFQ NREUni BOM_12032009_Bolt RFQ Proposal_Foxlink_ (Pricing Summary) 2 25 2011 4 2" xfId="35559"/>
    <cellStyle name="壞_Creek EE BOM cost_20090425_Foxlink_Shadow RFQ NREUni BOM_12032009_Bolt RFQ Proposal_Foxlink_ (Pricing Summary) 2 25 2011 4 3" xfId="35560"/>
    <cellStyle name="壞_Creek EE BOM cost_20090425_Foxlink_Shadow RFQ NREUni BOM_12032009_Bolt RFQ Proposal_Foxlink_ (Pricing Summary) 2 25 2011 5" xfId="35561"/>
    <cellStyle name="壞_Creek EE BOM cost_20090425_Foxlink_Shadow RFQ NREUni BOM_12032009_Bolt RFQ Proposal_Foxlink_ (Pricing Summary) 2 25 2011 5 2" xfId="35562"/>
    <cellStyle name="壞_Creek EE BOM cost_20090425_Foxlink_Shadow RFQ NREUni BOM_12032009_Bolt RFQ Proposal_Foxlink_ (Pricing Summary) 2 25 2011 5 3" xfId="35563"/>
    <cellStyle name="壞_Creek EE BOM cost_20090425_Foxlink_Shadow RFQ NREUni BOM_12032009_Bolt RFQ Proposal_Foxlink_ (Pricing Summary) 2 25 2011 6" xfId="35564"/>
    <cellStyle name="壞_Creek EE BOM cost_20090425_Foxlink_Shadow RFQ NREUni BOM_12032009_Bolt RFQ Proposal_Foxlink_ (Pricing Summary) 2 25 2011 6 3" xfId="35565"/>
    <cellStyle name="壞_Creek EE BOM cost_20090425_Foxlink_Shadow RFQ NREUni BOM_12032009_Bolt RFQ Proposal_Foxlink_ (Pricing Summary) 2 25 2011 7" xfId="35566"/>
    <cellStyle name="壞_Creek EE BOM cost_20090425_Foxlink_Shadow RFQ NREUni BOM_12032009_Bolt RFQ Proposal_Foxlink_ (Pricing Summary) 2 25 2011 8" xfId="35567"/>
    <cellStyle name="壞_Creek EE BOM cost_20090425_Foxlink_Shadow RFQ NREUni BOM_12032009_Bolt RFQ_Foxlink_03.1 2011" xfId="35568"/>
    <cellStyle name="壞_Creek EE BOM cost_20090425_Foxlink_Shadow RFQ NREUni BOM_12032009_Bolt RFQ_Foxlink_03.1 2011 2 2" xfId="35569"/>
    <cellStyle name="壞_Creek EE BOM cost_20090425_Foxlink_Shadow RFQ NREUni BOM_12032009_Bolt RFQ_Foxlink_03.1 2011 2 3" xfId="35570"/>
    <cellStyle name="壞_Creek EE BOM cost_20090425_Foxlink_Shadow RFQ NREUni BOM_12032009_Bolt RFQ_Foxlink_03.1 2011 3" xfId="35571"/>
    <cellStyle name="壞_Creek EE BOM cost_20090425_Foxlink_Shadow RFQ NREUni BOM_12032009_Bolt RFQ_Foxlink_03.1 2011 3 3" xfId="35572"/>
    <cellStyle name="壞_Creek EE BOM cost_20090425_Foxlink_Shadow RFQ NREUni BOM_12032009_Bolt RFQ_Foxlink_03.1 2011 4" xfId="35573"/>
    <cellStyle name="壞_Creek EE BOM cost_20090425_Foxlink_Shadow RFQ NREUni BOM_12032009_Bolt RFQ_Foxlink_03.1 2011 5" xfId="35574"/>
    <cellStyle name="壞_Creek EE BOM cost_20090425_Foxlink_Shadow RFQ NREUni BOM_12032009_Bolt RFQ_Foxlink_03.1 2011_nego meeting@MACH" xfId="35575"/>
    <cellStyle name="壞_Creek EE BOM cost_20090425_Foxlink_Shadow RFQ NREUni BOM_12032009_Bolt RFQ_Foxlink_03.1 2011_nego meeting@MACH 2" xfId="35576"/>
    <cellStyle name="壞_Creek EE BOM cost_20090425_Foxlink_Shadow RFQ NREUni BOM_12032009_Bolt RFQ_Foxlink_03.1 2011_nego meeting@MACH 2 2" xfId="35577"/>
    <cellStyle name="壞_Creek EE BOM cost_20090425_Foxlink_Shadow RFQ NREUni BOM_12032009_Bolt RFQ_Foxlink_03.1 2011_nego meeting@MACH 2 3" xfId="35578"/>
    <cellStyle name="壞_Creek EE BOM cost_20090425_Foxlink_Shadow RFQ NREUni BOM_12032009_Bolt RFQ_Foxlink_03.1 2011_nego meeting@MACH 3" xfId="35579"/>
    <cellStyle name="壞_Creek EE BOM cost_20090425_Foxlink_Shadow RFQ NREUni BOM_12032009_Bolt RFQ_Foxlink_03.1 2011_nego meeting@MACH 3 2" xfId="35580"/>
    <cellStyle name="壞_Creek EE BOM cost_20090425_Foxlink_Shadow RFQ NREUni BOM_12032009_Bolt RFQ_Foxlink_03.1 2011_nego meeting@MACH 3 3" xfId="35581"/>
    <cellStyle name="壞_Creek EE BOM cost_20090425_Foxlink_Shadow RFQ NREUni BOM_12032009_Bolt RFQ_Foxlink_03.1 2011_nego meeting@MACH 4" xfId="35582"/>
    <cellStyle name="壞_Creek EE BOM cost_20090425_Foxlink_Shadow RFQ NREUni BOM_12032009_Bolt RFQ_Foxlink_03.1 2011_nego meeting@MACH 5" xfId="35583"/>
    <cellStyle name="壞_Creek EE BOM cost_20090425_Jackson and Shadow BOM cost_mainfile_2010 0324 rev.1" xfId="35584"/>
    <cellStyle name="壞_Creek EE BOM cost_20090425_Jackson and Shadow BOM cost_mainfile_2010 0324 rev.1_Bristol UniBom_Foxlink_02082011 RevA" xfId="35585"/>
    <cellStyle name="壞_Creek EE BOM cost_20090425_Jackson and Shadow BOM cost_mainfile_2010 0324 rev.1_Leopard UniBom_Foxlink_12272010 RevF_shirley" xfId="35586"/>
    <cellStyle name="壞_Creek EE BOM cost_20090425_Jackson EE BOM " xfId="35587"/>
    <cellStyle name="壞_Creek EE BOM cost_20090425_Jackson NRE Uni BOM_update _05072010 rev K" xfId="35588"/>
    <cellStyle name="壞_Creek EE BOM cost_20090425_Lemur RFQ ME BOM Costs-0623" xfId="35589"/>
    <cellStyle name="壞_Creek EE BOM cost_20090425_Leopard Lemur Squirrel UniBom-06.22.2010_EE cost _update_internal" xfId="35590"/>
    <cellStyle name="壞_Creek EE BOM cost_20090425_Leopard Lemur Squirrel UniBom-06.22.2010_EE cost _update_internal 2" xfId="35591"/>
    <cellStyle name="壞_Creek EE BOM cost_20090425_Leopard Lemur Squirrel UniBom-06.22.2010_EE cost _update_internal 2 2" xfId="35592"/>
    <cellStyle name="壞_Creek EE BOM cost_20090425_Leopard Lemur Squirrel UniBom-06.22.2010_EE cost _update_internal 2 2 2" xfId="35593"/>
    <cellStyle name="壞_Creek EE BOM cost_20090425_Leopard Lemur Squirrel UniBom-06.22.2010_EE cost _update_internal 2 2 3" xfId="35594"/>
    <cellStyle name="壞_Creek EE BOM cost_20090425_Leopard Lemur Squirrel UniBom-06.22.2010_EE cost _update_internal 2 3" xfId="35595"/>
    <cellStyle name="壞_Creek EE BOM cost_20090425_Leopard Lemur Squirrel UniBom-06.22.2010_EE cost _update_internal 2 3 2" xfId="35596"/>
    <cellStyle name="壞_Creek EE BOM cost_20090425_Leopard Lemur Squirrel UniBom-06.22.2010_EE cost _update_internal 2 3 3" xfId="35597"/>
    <cellStyle name="壞_Creek EE BOM cost_20090425_Leopard Lemur Squirrel UniBom-06.22.2010_EE cost _update_internal 3" xfId="35598"/>
    <cellStyle name="壞_Creek EE BOM cost_20090425_Leopard Lemur Squirrel UniBom-06.22.2010_EE cost _update_internal 3 2" xfId="35599"/>
    <cellStyle name="壞_Creek EE BOM cost_20090425_Leopard Lemur Squirrel UniBom-06.22.2010_EE cost _update_internal 3 3" xfId="35600"/>
    <cellStyle name="壞_Creek EE BOM cost_20090425_Leopard Lemur Squirrel UniBom-06.22.2010_EE cost _update_internal 4" xfId="35601"/>
    <cellStyle name="壞_Creek EE BOM cost_20090425_Leopard Lemur Squirrel UniBom-06.22.2010_EE cost _update_internal 4 2" xfId="35602"/>
    <cellStyle name="壞_Creek EE BOM cost_20090425_Leopard Lemur Squirrel UniBom-06.22.2010_EE cost _update_internal_Bolt RFQ Proposal_Foxlink_ (Pricing Summary) 2 25 2011" xfId="35603"/>
    <cellStyle name="壞_Creek EE BOM cost_20090425_Leopard Lemur Squirrel UniBom-06.22.2010_EE cost _update_internal_Bolt RFQ Proposal_Foxlink_ (Pricing Summary) 2 25 2011 2" xfId="35604"/>
    <cellStyle name="壞_Creek EE BOM cost_20090425_Leopard Lemur Squirrel UniBom-06.22.2010_EE cost _update_internal_Bolt RFQ Proposal_Foxlink_ (Pricing Summary) 2 25 2011 2 2" xfId="35605"/>
    <cellStyle name="壞_Creek EE BOM cost_20090425_Leopard Lemur Squirrel UniBom-06.22.2010_EE cost _update_internal_Bolt RFQ Proposal_Foxlink_ (Pricing Summary) 2 25 2011 2 2 2" xfId="35606"/>
    <cellStyle name="壞_Creek EE BOM cost_20090425_Leopard Lemur Squirrel UniBom-06.22.2010_EE cost _update_internal_Bolt RFQ Proposal_Foxlink_ (Pricing Summary) 2 25 2011 2 2 3" xfId="35607"/>
    <cellStyle name="壞_Creek EE BOM cost_20090425_Squirrel RFQ ME BOM Costs-0623 2" xfId="35608"/>
    <cellStyle name="壞_Creek EE BOM cost_20090425_Leopard Lemur Squirrel UniBom-06.22.2010_EE cost _update_internal_Bolt RFQ Proposal_Foxlink_ (Pricing Summary) 2 25 2011 2 3" xfId="35609"/>
    <cellStyle name="壞_Creek EE BOM cost_20090425_Squirrel RFQ ME BOM Costs-0623 2 2" xfId="35610"/>
    <cellStyle name="壞_Creek EE BOM cost_20090425_Leopard Lemur Squirrel UniBom-06.22.2010_EE cost _update_internal_Bolt RFQ Proposal_Foxlink_ (Pricing Summary) 2 25 2011 2 3 2" xfId="35611"/>
    <cellStyle name="壞_Creek EE BOM cost_20090425_Squirrel RFQ ME BOM Costs-0623 2 3" xfId="35612"/>
    <cellStyle name="壞_Creek EE BOM cost_20090425_Leopard Lemur Squirrel UniBom-06.22.2010_EE cost _update_internal_Bolt RFQ Proposal_Foxlink_ (Pricing Summary) 2 25 2011 2 3 3" xfId="35613"/>
    <cellStyle name="壞_Creek EE BOM cost_20090425_Leopard Lemur Squirrel UniBom-06.22.2010_EE cost _update_internal_Bolt RFQ Proposal_Foxlink_ (Pricing Summary) 2 25 2011 3" xfId="35614"/>
    <cellStyle name="壞_Creek EE BOM cost_20090425_Leopard Lemur Squirrel UniBom-06.22.2010_EE cost _update_internal_Bolt RFQ Proposal_Foxlink_ (Pricing Summary) 2 25 2011 4" xfId="35615"/>
    <cellStyle name="壞_Creek EE BOM cost_20090425_Leopard Lemur Squirrel UniBom-06.22.2010_EE cost _update_internal_Bolt RFQ Proposal_Foxlink_ (Pricing Summary) 2 25 2011 4 2" xfId="35616"/>
    <cellStyle name="壞_Creek EE BOM cost_20090425_Leopard Lemur Squirrel UniBom-06.22.2010_EE cost _update_internal_Bolt RFQ Proposal_Foxlink_ (Pricing Summary) 2 25 2011 4 3" xfId="35617"/>
    <cellStyle name="壞_Creek EE BOM cost_20090425_Leopard Lemur Squirrel UniBom-06.22.2010_EE cost _update_internal_Bolt RFQ Proposal_Foxlink_ (Pricing Summary) 2 25 2011 5" xfId="35618"/>
    <cellStyle name="壞_Creek EE BOM cost_20090425_Leopard Lemur Squirrel UniBom-06.22.2010_EE cost _update_internal_Bolt RFQ Proposal_Foxlink_ (Pricing Summary) 2 25 2011 5 2" xfId="35619"/>
    <cellStyle name="壞_Creek EE BOM cost_20090425_Leopard Lemur Squirrel UniBom-06.22.2010_EE cost _update_internal_Bolt RFQ Proposal_Foxlink_ (Pricing Summary) 2 25 2011 5 3" xfId="35620"/>
    <cellStyle name="壞_Creek EE BOM cost_20090425_Leopard Lemur Squirrel UniBom-06.22.2010_EE cost _update_internal_Bolt RFQ Proposal_Foxlink_ (Pricing Summary) 2 25 2011 6" xfId="35621"/>
    <cellStyle name="壞_Creek EE BOM cost_20090425_Leopard Lemur Squirrel UniBom-06.22.2010_EE cost _update_internal_Bolt RFQ Proposal_Foxlink_ (Pricing Summary) 2 25 2011 6 2" xfId="35622"/>
    <cellStyle name="壞_Creek EE BOM cost_20090425_Leopard Lemur Squirrel UniBom-06.22.2010_EE cost _update_internal_Bolt RFQ Proposal_Foxlink_ (Pricing Summary) 2 25 2011 6 3" xfId="35623"/>
    <cellStyle name="壞_Creek EE BOM cost_20090425_Leopard Lemur Squirrel UniBom-06.22.2010_EE cost _update_internal_Bolt RFQ Proposal_Foxlink_ (Pricing Summary) 2 25 2011 7" xfId="35624"/>
    <cellStyle name="壞_Creek EE BOM cost_20090425_Leopard Lemur Squirrel UniBom-06.22.2010_EE cost _update_internal_Bolt RFQ Proposal_Foxlink_ (Pricing Summary) 2 25 2011 8" xfId="35625"/>
    <cellStyle name="壞_Creek EE BOM cost_20090425_Leopard Lemur Squirrel UniBom-06.22.2010_EE cost _update_internal_Bolt RFQ_Foxlink_03.1 2011" xfId="35626"/>
    <cellStyle name="壞_Creek EE BOM cost_20090425_Leopard Lemur Squirrel UniBom-06.22.2010_EE cost _update_internal_Bolt RFQ_Foxlink_03.1 2011 2" xfId="35627"/>
    <cellStyle name="壞_Creek EE BOM cost_20090425_Leopard Lemur Squirrel UniBom-06.22.2010_EE cost _update_internal_Bolt RFQ_Foxlink_03.1 2011 2 2" xfId="35628"/>
    <cellStyle name="壞_Creek EE BOM cost_20090425_Leopard Lemur Squirrel UniBom-06.22.2010_EE cost _update_internal_Bolt RFQ_Foxlink_03.1 2011 2 3" xfId="35629"/>
    <cellStyle name="壞_Creek EE BOM cost_20090425_Leopard Lemur Squirrel UniBom-06.22.2010_EE cost _update_internal_Bolt RFQ_Foxlink_03.1 2011 3" xfId="35630"/>
    <cellStyle name="壞_Creek EE BOM cost_20090425_Leopard Lemur Squirrel UniBom-06.22.2010_EE cost _update_internal_Bolt RFQ_Foxlink_03.1 2011 3 2" xfId="35631"/>
    <cellStyle name="壞_Creek EE BOM cost_20090425_Leopard Lemur Squirrel UniBom-06.22.2010_EE cost _update_internal_Bolt RFQ_Foxlink_03.1 2011 3 3" xfId="35632"/>
    <cellStyle name="壞_Creek EE BOM cost_20090425_Leopard Lemur Squirrel UniBom-06.22.2010_EE cost _update_internal_Bolt RFQ_Foxlink_03.1 2011 4" xfId="35633"/>
    <cellStyle name="壞_Creek EE BOM cost_20090425_Leopard Lemur Squirrel UniBom-06.22.2010_EE cost _update_internal_Bolt RFQ_Foxlink_03.1 2011 5" xfId="35634"/>
    <cellStyle name="壞_Creek EE BOM cost_20090425_Leopard Lemur Squirrel UniBom-06.22.2010_EE cost _update_internal_Bolt RFQ_Foxlink_03.1 2011_nego meeting@MACH" xfId="35635"/>
    <cellStyle name="壞_Creek EE BOM cost_20090425_Leopard Lemur Squirrel UniBom-06.22.2010_EE cost _update_internal_Bolt RFQ_Foxlink_03.1 2011_nego meeting@MACH 2" xfId="35636"/>
    <cellStyle name="壞_Creek EE BOM cost_20090425_Leopard Lemur Squirrel UniBom-06.22.2010_EE cost _update_internal_Bolt RFQ_Foxlink_03.1 2011_nego meeting@MACH 2 2" xfId="35637"/>
    <cellStyle name="壞_Creek EE BOM cost_20090425_Leopard Lemur Squirrel UniBom-06.22.2010_EE cost _update_internal_Bolt RFQ_Foxlink_03.1 2011_nego meeting@MACH 2 3" xfId="35638"/>
    <cellStyle name="壞_Creek EE BOM cost_20090425_Leopard Lemur Squirrel UniBom-06.22.2010_EE cost _update_internal_Bolt RFQ_Foxlink_03.1 2011_nego meeting@MACH 3" xfId="35639"/>
    <cellStyle name="壞_Creek EE BOM cost_20090425_Leopard Lemur Squirrel UniBom-06.22.2010_EE cost _update_internal_Bolt RFQ_Foxlink_03.1 2011_nego meeting@MACH 3 2" xfId="35640"/>
    <cellStyle name="壞_Creek EE BOM cost_20090425_Leopard Lemur Squirrel UniBom-06.22.2010_EE cost _update_internal_Bolt RFQ_Foxlink_03.1 2011_nego meeting@MACH 3 3" xfId="35641"/>
    <cellStyle name="壞_Creek EE BOM cost_20090425_Leopard RFQ ME BOM Costs-0618 2 2" xfId="35642"/>
    <cellStyle name="壞_Creek EE BOM cost_20090425_Leopard RFQ ME BOM Costs-0618 2 2 2" xfId="35643"/>
    <cellStyle name="壞_Creek EE BOM cost_20090425_Leopard RFQ ME BOM Costs-0618 2 2 3" xfId="35644"/>
    <cellStyle name="壞_Creek EE BOM cost_20090425_Leopard RFQ ME BOM Costs-0618 2 3" xfId="35645"/>
    <cellStyle name="壞_Creek EE BOM cost_20090425_Leopard RFQ ME BOM Costs-0618 2 3 2" xfId="35646"/>
    <cellStyle name="壞_Creek EE BOM cost_20090425_Leopard RFQ ME BOM Costs-0618 2 3 3" xfId="35647"/>
    <cellStyle name="壞_Creek EE BOM cost_20090425_Leopard RFQ ME BOM Costs-0618 3" xfId="35648"/>
    <cellStyle name="壞_Creek EE BOM cost_20090425_Leopard RFQ ME BOM Costs-0618 3 2" xfId="35649"/>
    <cellStyle name="壞_Creek EE BOM cost_20090425_Leopard RFQ ME BOM Costs-0618 3 3" xfId="35650"/>
    <cellStyle name="壞_Creek EE BOM cost_20090425_Leopard RFQ ME BOM Costs-0618 4" xfId="35651"/>
    <cellStyle name="壞_Creek EE BOM cost_20090425_Leopard RFQ ME BOM Costs-0618 4 3" xfId="35652"/>
    <cellStyle name="壞_Creek EE BOM cost_20090425_Leopard RFQ ME BOM Costs-0618_Bolt RFQ Proposal_Foxlink_ (Pricing Summary) 2 25 2011" xfId="35653"/>
    <cellStyle name="壞_Creek EE BOM cost_20090425_Leopard RFQ ME BOM Costs-0618_Bolt RFQ Proposal_Foxlink_ (Pricing Summary) 2 25 2011 2" xfId="35654"/>
    <cellStyle name="壞_Creek EE BOM cost_20090425_Leopard RFQ ME BOM Costs-0618_Bolt RFQ Proposal_Foxlink_ (Pricing Summary) 2 25 2011 2 2" xfId="35655"/>
    <cellStyle name="壞_Creek EE BOM cost_20090425_Leopard RFQ ME BOM Costs-0618_Bolt RFQ Proposal_Foxlink_ (Pricing Summary) 2 25 2011 2 2 2" xfId="35656"/>
    <cellStyle name="壞_Creek EE BOM cost_20090425_Leopard RFQ ME BOM Costs-0618_Bolt RFQ Proposal_Foxlink_ (Pricing Summary) 2 25 2011 2 2 3" xfId="35657"/>
    <cellStyle name="壞_Creek EE BOM cost_20090425_Leopard RFQ ME BOM Costs-0618_Bolt RFQ Proposal_Foxlink_ (Pricing Summary) 2 25 2011 2 3" xfId="35658"/>
    <cellStyle name="壞_Creek EE BOM cost_20090425_Leopard RFQ ME BOM Costs-0618_Bolt RFQ Proposal_Foxlink_ (Pricing Summary) 2 25 2011 2 3 2" xfId="35659"/>
    <cellStyle name="壞_Creek EE BOM cost_20090425_Leopard_UniBOM_ME_0603-2_Bolt RFQ Proposal_Foxlink_ (Pricing Summary) 2 25 2011 2 2" xfId="35660"/>
    <cellStyle name="壞_Creek EE BOM cost_20090425_Leopard RFQ ME BOM Costs-0618_Bolt RFQ Proposal_Foxlink_ (Pricing Summary) 2 25 2011 2 3 3" xfId="35661"/>
    <cellStyle name="壞_Creek EE BOM cost_20090425_Leopard RFQ ME BOM Costs-0618_Bolt RFQ Proposal_Foxlink_ (Pricing Summary) 2 25 2011 3" xfId="35662"/>
    <cellStyle name="壞_Creek EE BOM cost_20090425_Leopard RFQ ME BOM Costs-0618_Bolt RFQ Proposal_Foxlink_ (Pricing Summary) 2 25 2011 4" xfId="35663"/>
    <cellStyle name="壞_Creek EE BOM cost_20090425_Leopard RFQ ME BOM Costs-0618_Bolt RFQ Proposal_Foxlink_ (Pricing Summary) 2 25 2011 4 2" xfId="35664"/>
    <cellStyle name="壞_Creek EE BOM cost_20090425_Leopard RFQ ME BOM Costs-0618_Bolt RFQ Proposal_Foxlink_ (Pricing Summary) 2 25 2011 4 3" xfId="35665"/>
    <cellStyle name="壞_Creek EE BOM cost_20090425_Leopard RFQ ME BOM Costs-0618_Bolt RFQ Proposal_Foxlink_ (Pricing Summary) 2 25 2011 5" xfId="35666"/>
    <cellStyle name="壞_Creek EE BOM cost_20090425_Leopard RFQ ME BOM Costs-0618_Bolt RFQ Proposal_Foxlink_ (Pricing Summary) 2 25 2011 5 2" xfId="35667"/>
    <cellStyle name="壞_Creek EE BOM cost_20090425_Leopard RFQ ME BOM Costs-0618_Bolt RFQ Proposal_Foxlink_ (Pricing Summary) 2 25 2011 5 3" xfId="35668"/>
    <cellStyle name="壞_Creek EE BOM cost_20090425_Leopard RFQ ME BOM Costs-0618_Bolt RFQ Proposal_Foxlink_ (Pricing Summary) 2 25 2011 6" xfId="35669"/>
    <cellStyle name="壞_Creek EE BOM cost_20090425_Leopard RFQ ME BOM Costs-0618_Bolt RFQ Proposal_Foxlink_ (Pricing Summary) 2 25 2011 6 2" xfId="35670"/>
    <cellStyle name="壞_Creek EE BOM cost_20090425_Leopard RFQ ME BOM Costs-0618_Bolt RFQ Proposal_Foxlink_ (Pricing Summary) 2 25 2011 6 3" xfId="35671"/>
    <cellStyle name="壞_Creek EE BOM cost_20090425_Leopard RFQ ME BOM Costs-0618_Bolt RFQ Proposal_Foxlink_ (Pricing Summary) 2 25 2011 7" xfId="35672"/>
    <cellStyle name="壞_Creek EE BOM cost_20090425_Leopard RFQ ME BOM Costs-0618_Bolt RFQ Proposal_Foxlink_ (Pricing Summary) 2 25 2011 8" xfId="35673"/>
    <cellStyle name="壞_Creek EE BOM cost_20090425_Leopard RFQ ME BOM Costs-0618_Bolt RFQ_Foxlink_03.1 2011" xfId="35674"/>
    <cellStyle name="壞_Creek EE BOM cost_20090425_Leopard RFQ ME BOM Costs-0618_Bolt RFQ_Foxlink_03.1 2011 2" xfId="35675"/>
    <cellStyle name="壞_Creek EE BOM cost_20090425_Leopard RFQ ME BOM Costs-0618_Bolt RFQ_Foxlink_03.1 2011 2 2" xfId="35676"/>
    <cellStyle name="壞_Creek EE BOM cost_20090425_Leopard RFQ ME BOM Costs-0618_Bolt RFQ_Foxlink_03.1 2011 2 3" xfId="35677"/>
    <cellStyle name="壞_Creek EE BOM cost_20090425_Leopard RFQ ME BOM Costs-0618_Bolt RFQ_Foxlink_03.1 2011 3" xfId="35678"/>
    <cellStyle name="壞_Creek EE BOM cost_20090425_Leopard RFQ ME BOM Costs-0618_Bolt RFQ_Foxlink_03.1 2011 3 3" xfId="35679"/>
    <cellStyle name="壞_Creek EE BOM cost_20090425_Leopard RFQ ME BOM Costs-0618_Bolt RFQ_Foxlink_03.1 2011 4" xfId="35680"/>
    <cellStyle name="壞_Creek EE BOM cost_20090425_Leopard RFQ ME BOM Costs-0618_Bolt RFQ_Foxlink_03.1 2011 5" xfId="35681"/>
    <cellStyle name="壞_Creek EE BOM cost_20090425_Leopard RFQ ME BOM Costs-0618_Bolt RFQ_Foxlink_03.1 2011_nego meeting@MACH 2" xfId="35682"/>
    <cellStyle name="壞_Creek EE BOM cost_20090425_Leopard RFQ ME BOM Costs-0618_Bolt RFQ_Foxlink_03.1 2011_nego meeting@MACH 2 2" xfId="35683"/>
    <cellStyle name="壞_Creek EE BOM cost_20090425_Leopard RFQ ME BOM Costs-0618_Bolt RFQ_Foxlink_03.1 2011_nego meeting@MACH 2 3" xfId="35684"/>
    <cellStyle name="壞_Creek EE BOM cost_20090425_Leopard RFQ ME BOM Costs-0618_Bolt RFQ_Foxlink_03.1 2011_nego meeting@MACH 3" xfId="35685"/>
    <cellStyle name="壞_Creek EE BOM cost_20090425_Leopard RFQ ME BOM Costs-0618_Bolt RFQ_Foxlink_03.1 2011_nego meeting@MACH 3 2" xfId="35686"/>
    <cellStyle name="壞_Creek EE BOM cost_20090425_Leopard RFQ ME BOM Costs-0618_Bolt RFQ_Foxlink_03.1 2011_nego meeting@MACH 3 3" xfId="35687"/>
    <cellStyle name="壞_Creek EE BOM cost_20090425_Leopard RFQ ME BOM Costs-0618_Bolt RFQ_Foxlink_03.1 2011_nego meeting@MACH 4" xfId="35688"/>
    <cellStyle name="壞_Creek EE BOM cost_20090425_Leopard RFQ ME BOM Costs-0618_Bolt RFQ_Foxlink_03.1 2011_nego meeting@MACH 5" xfId="35689"/>
    <cellStyle name="壞_Creek EE BOM cost_20090425_Leopard RFQ ME BOM Costs-0618-2" xfId="35690"/>
    <cellStyle name="壞_Creek EE BOM cost_20090425_Leopard RFQ ME BOM Costs-0618-2 2" xfId="35691"/>
    <cellStyle name="壞_Creek EE BOM cost_20090425_Leopard RFQ ME BOM Costs-0618-2 2 2" xfId="35692"/>
    <cellStyle name="壞_Creek EE BOM cost_20090425_Leopard RFQ ME BOM Costs-0618-2 2 2 2" xfId="35693"/>
    <cellStyle name="壞_Creek EE BOM cost_20090425_Leopard RFQ ME BOM Costs-0618-2 2 2 3" xfId="35694"/>
    <cellStyle name="壞_Creek EE BOM cost_20090425_Leopard RFQ ME BOM Costs-0618-2 2 3" xfId="35695"/>
    <cellStyle name="壞_Creek EE BOM cost_20090425_Leopard RFQ ME BOM Costs-0618-2 2 3 2" xfId="35696"/>
    <cellStyle name="壞_Creek EE BOM cost_20090425_Leopard RFQ ME BOM Costs-0618-2 2 3 3" xfId="35697"/>
    <cellStyle name="壞_Creek EE BOM cost_20090425_Leopard RFQ ME BOM Costs-0618-2 3" xfId="35698"/>
    <cellStyle name="壞_Creek EE BOM cost_20090425_Leopard RFQ ME BOM Costs-0618-2 3 2" xfId="35699"/>
    <cellStyle name="壞_Creek EE BOM cost_20090425_Leopard RFQ ME BOM Costs-0618-2 3 3" xfId="35700"/>
    <cellStyle name="壞_Creek EE BOM cost_20090425_Leopard RFQ ME BOM Costs-0618-2 4" xfId="35701"/>
    <cellStyle name="壞_Creek EE BOM cost_20090425_Leopard RFQ ME BOM Costs-0618-2 4 2" xfId="35702"/>
    <cellStyle name="壞_Creek EE BOM cost_20090425_Leopard RFQ ME BOM Costs-0618-2 4 3" xfId="35703"/>
    <cellStyle name="壞_Creek EE BOM cost_20090425_Leopard RFQ ME BOM Costs-0618-2_Bolt RFQ Proposal_Foxlink_ (Pricing Summary) 2 25 2011" xfId="35704"/>
    <cellStyle name="壞_Creek EE BOM cost_20090425_Leopard RFQ ME BOM Costs-0618-2_Bolt RFQ Proposal_Foxlink_ (Pricing Summary) 2 25 2011 2" xfId="35705"/>
    <cellStyle name="壞_Creek EE BOM cost_20090425_Leopard RFQ ME BOM Costs-0618-2_Bolt RFQ Proposal_Foxlink_ (Pricing Summary) 2 25 2011 2 2" xfId="35706"/>
    <cellStyle name="壞_Creek EE BOM cost_20090425_Leopard RFQ ME BOM Costs-0618-2_Bolt RFQ Proposal_Foxlink_ (Pricing Summary) 2 25 2011 2 2 2" xfId="35707"/>
    <cellStyle name="壞_Creek EE BOM cost_20090425_Leopard RFQ ME BOM Costs-0618-2_Bolt RFQ Proposal_Foxlink_ (Pricing Summary) 2 25 2011 2 2 3" xfId="35708"/>
    <cellStyle name="壞_Creek EE BOM cost_20090425_Leopard RFQ ME BOM Costs-0618-2_Bolt RFQ Proposal_Foxlink_ (Pricing Summary) 2 25 2011 2 3" xfId="35709"/>
    <cellStyle name="壞_Creek EE BOM cost_20090425_Leopard RFQ ME BOM Costs-0618-2_Bolt RFQ Proposal_Foxlink_ (Pricing Summary) 2 25 2011 2 3 2" xfId="35710"/>
    <cellStyle name="壞_Creek EE BOM cost_20090425_Leopard RFQ ME BOM Costs-0618-2_Bolt RFQ Proposal_Foxlink_ (Pricing Summary) 2 25 2011 2 3 3" xfId="35711"/>
    <cellStyle name="壞_Creek EE BOM cost_20090425_Leopard RFQ ME BOM Costs-0618-2_Bolt RFQ Proposal_Foxlink_ (Pricing Summary) 2 25 2011 3" xfId="35712"/>
    <cellStyle name="壞_Creek EE BOM cost_20090425_Leopard RFQ ME BOM Costs-0618-2_Bolt RFQ Proposal_Foxlink_ (Pricing Summary) 2 25 2011 4 2" xfId="35713"/>
    <cellStyle name="壞_Creek EE BOM cost_20090425_Leopard RFQ ME BOM Costs-0618-2_Bolt RFQ Proposal_Foxlink_ (Pricing Summary) 2 25 2011 4 3" xfId="35714"/>
    <cellStyle name="壞_Creek EE BOM cost_20090425_Leopard RFQ ME BOM Costs-0618-2_Bolt RFQ Proposal_Foxlink_ (Pricing Summary) 2 25 2011 5" xfId="35715"/>
    <cellStyle name="壞_Creek EE BOM cost_20090425_Leopard RFQ ME BOM Costs-0618-2_Bolt RFQ Proposal_Foxlink_ (Pricing Summary) 2 25 2011 5 2" xfId="35716"/>
    <cellStyle name="壞_Creek EE BOM cost_20090425_Leopard RFQ ME BOM Costs-0618-2_Bolt RFQ Proposal_Foxlink_ (Pricing Summary) 2 25 2011 5 3" xfId="35717"/>
    <cellStyle name="壞_Creek EE BOM cost_20090425_Leopard RFQ ME BOM Costs-0618-2_Bolt RFQ Proposal_Foxlink_ (Pricing Summary) 2 25 2011 6" xfId="35718"/>
    <cellStyle name="壞_Creek EE BOM cost_20090425_Leopard RFQ ME BOM Costs-0618-2_Bolt RFQ Proposal_Foxlink_ (Pricing Summary) 2 25 2011 6 2" xfId="35719"/>
    <cellStyle name="壞_Creek EE BOM cost_20090425_Leopard RFQ ME BOM Costs-0618-2_Bolt RFQ Proposal_Foxlink_ (Pricing Summary) 2 25 2011 6 3" xfId="35720"/>
    <cellStyle name="壞_Creek EE BOM cost_20090425_Leopard RFQ ME BOM Costs-0618-2_Bolt RFQ Proposal_Foxlink_ (Pricing Summary) 2 25 2011 7" xfId="35721"/>
    <cellStyle name="壞_Creek EE BOM cost_20090425_Leopard RFQ ME BOM Costs-0618-2_Bolt RFQ Proposal_Foxlink_ (Pricing Summary) 2 25 2011 8" xfId="35722"/>
    <cellStyle name="壞_Creek EE BOM cost_20090425_Leopard RFQ ME BOM Costs-0618-2_Bolt RFQ_Foxlink_03.1 2011" xfId="35723"/>
    <cellStyle name="壞_Creek EE BOM cost_20090425_Leopard RFQ ME BOM Costs-0618-2_Bolt RFQ_Foxlink_03.1 2011 2" xfId="35724"/>
    <cellStyle name="壞_Creek EE BOM cost_20090425_Leopard RFQ ME BOM Costs-0618-2_Bolt RFQ_Foxlink_03.1 2011 2 2" xfId="35725"/>
    <cellStyle name="壞_Creek EE BOM cost_20090425_Leopard RFQ ME BOM Costs-0618-2_Bolt RFQ_Foxlink_03.1 2011 2 3" xfId="35726"/>
    <cellStyle name="壞_Creek EE BOM cost_20090425_Leopard RFQ ME BOM Costs-0618-2_Bolt RFQ_Foxlink_03.1 2011 3" xfId="35727"/>
    <cellStyle name="壞_Creek EE BOM cost_20090425_Leopard RFQ ME BOM Costs-0618-2_Bolt RFQ_Foxlink_03.1 2011 3 2" xfId="35728"/>
    <cellStyle name="壞_Creek EE BOM cost_20090425_Leopard RFQ ME BOM Costs-0618-2_Bolt RFQ_Foxlink_03.1 2011 3 3" xfId="35729"/>
    <cellStyle name="壞_Creek EE BOM cost_20090425_Leopard RFQ ME BOM Costs-0618-2_Bolt RFQ_Foxlink_03.1 2011 4" xfId="35730"/>
    <cellStyle name="壞_Creek EE BOM cost_20090425_Leopard RFQ ME BOM Costs-0618-2_Bolt RFQ_Foxlink_03.1 2011_nego meeting@MACH" xfId="35731"/>
    <cellStyle name="壞_Creek EE BOM cost_20090425_Leopard RFQ ME BOM Costs-0618-2_Bolt RFQ_Foxlink_03.1 2011_nego meeting@MACH 2" xfId="35732"/>
    <cellStyle name="壞_Creek EE BOM cost_20090425_Leopard RFQ ME BOM Costs-0618-2_Bolt RFQ_Foxlink_03.1 2011_nego meeting@MACH 2 3" xfId="35733"/>
    <cellStyle name="壞_Creek EE BOM cost_20090425_Leopard RFQ ME BOM Costs-0618-2_Bolt RFQ_Foxlink_03.1 2011_nego meeting@MACH 3" xfId="35734"/>
    <cellStyle name="壞_Creek EE BOM cost_20090425_Leopard RFQ ME BOM Costs-0618-2_Bolt RFQ_Foxlink_03.1 2011_nego meeting@MACH 3 2" xfId="35735"/>
    <cellStyle name="壞_Creek EE BOM cost_20090425_Leopard RFQ ME BOM Costs-0618-2_Bolt RFQ_Foxlink_03.1 2011_nego meeting@MACH 3 3" xfId="35736"/>
    <cellStyle name="壞_Creek EE BOM cost_20090425_Leopard RFQ ME BOM Costs-0618-2_Bolt RFQ_Foxlink_03.1 2011_nego meeting@MACH 4" xfId="35737"/>
    <cellStyle name="壞_Creek EE BOM cost_20090425_Leopard RFQ ME BOM Costs-0618-2_Bolt RFQ_Foxlink_03.1 2011_nego meeting@MACH 5" xfId="35738"/>
    <cellStyle name="壞_Creek EE BOM cost_20090425_Leopard UniBom_Foxlink_12092010 RevD-jen" xfId="35739"/>
    <cellStyle name="壞_Creek EE BOM cost_20090425_Leopard UniBom_Foxlink_12272010 RevF_shirley" xfId="35740"/>
    <cellStyle name="壞_Creek EE BOM cost_20090425_Leopard UniBom_Foxlink_6 21 2010-ME_nego" xfId="35741"/>
    <cellStyle name="壞_Creek EE BOM cost_20090425_Leopard UniBom_Foxlink_6 21 2010-ME_nego 2" xfId="35742"/>
    <cellStyle name="壞_Creek EE BOM cost_20090425_Leopard UniBom_Foxlink_6 21 2010-ME_nego 2 2" xfId="35743"/>
    <cellStyle name="壞_Creek EE BOM cost_20090425_Leopard UniBom_Foxlink_6 21 2010-ME_nego 2 2 2" xfId="35744"/>
    <cellStyle name="壞_Creek EE BOM cost_20090425_Leopard UniBom_Foxlink_6 21 2010-ME_nego 2 2 3" xfId="35745"/>
    <cellStyle name="壞_Creek EE BOM cost_20090425_Leopard UniBom_Foxlink_6 21 2010-ME_nego 2 3" xfId="35746"/>
    <cellStyle name="壞_Creek EE BOM cost_20090425_Leopard UniBom_Foxlink_6 21 2010-ME_nego 2 3 2" xfId="35747"/>
    <cellStyle name="壞_Creek EE BOM cost_20090425_Leopard UniBom_Foxlink_6 21 2010-ME_nego 2 3 3" xfId="35748"/>
    <cellStyle name="壞_Creek EE BOM cost_20090425_Leopard UniBom_Foxlink_6 21 2010-ME_nego 3" xfId="35749"/>
    <cellStyle name="壞_Creek EE BOM cost_20090425_Leopard UniBom_Foxlink_6 21 2010-ME_nego 3 2" xfId="35750"/>
    <cellStyle name="壞_Creek EE BOM cost_20090425_Leopard UniBom_Foxlink_6 21 2010-ME_nego 3 3" xfId="35751"/>
    <cellStyle name="壞_Creek EE BOM cost_20090425_Leopard UniBom_Foxlink_6 21 2010-ME_nego 4" xfId="35752"/>
    <cellStyle name="壞_Creek EE BOM cost_20090425_Leopard UniBom_Foxlink_6 21 2010-ME_nego 4 2" xfId="35753"/>
    <cellStyle name="壞_Creek EE BOM cost_20090425_Leopard UniBom_Foxlink_6 21 2010-ME_nego 4 3" xfId="35754"/>
    <cellStyle name="壞_Creek EE BOM cost_20090425_Leopard UniBom_Foxlink_6 21 2010-ME_nego_Bolt RFQ Proposal_Foxlink_ (Pricing Summary) 2 25 2011" xfId="35755"/>
    <cellStyle name="壞_Creek EE BOM cost_20090425_Leopard UniBom_Foxlink_6 21 2010-ME_nego_Bolt RFQ Proposal_Foxlink_ (Pricing Summary) 2 25 2011 2" xfId="35756"/>
    <cellStyle name="壞_Creek EE BOM cost_20090425_Leopard UniBom_Foxlink_6 21 2010-ME_nego_Bolt RFQ Proposal_Foxlink_ (Pricing Summary) 2 25 2011 2 2" xfId="35757"/>
    <cellStyle name="壞_Creek EE BOM cost_20090425_Leopard UniBom_Foxlink_6 21 2010-ME_nego_Bolt RFQ Proposal_Foxlink_ (Pricing Summary) 2 25 2011 2 2 2" xfId="35758"/>
    <cellStyle name="壞_Creek EE BOM cost_20090425_Leopard UniBom_Foxlink_6 21 2010-ME_nego_Bolt RFQ Proposal_Foxlink_ (Pricing Summary) 2 25 2011 2 3" xfId="35759"/>
    <cellStyle name="壞_Creek EE BOM cost_20090425_Leopard UniBom_Foxlink_6 21 2010-ME_nego_Bolt RFQ Proposal_Foxlink_ (Pricing Summary) 2 25 2011 2 3 2" xfId="35760"/>
    <cellStyle name="壞_Creek EE BOM cost_20090425_Leopard UniBom_Foxlink_6 21 2010-ME_nego_Bolt RFQ Proposal_Foxlink_ (Pricing Summary) 2 25 2011 2 3 3" xfId="35761"/>
    <cellStyle name="壞_Creek EE BOM cost_20090425_Leopard UniBom_Foxlink_6 21 2010-ME_nego_Bolt RFQ Proposal_Foxlink_ (Pricing Summary) 2 25 2011 3" xfId="35762"/>
    <cellStyle name="壞_Creek EE BOM cost_20090425_Leopard UniBom_Foxlink_6 21 2010-ME_nego_Bolt RFQ Proposal_Foxlink_ (Pricing Summary) 2 25 2011 4" xfId="35763"/>
    <cellStyle name="壞_Creek EE BOM cost_20090425_Leopard UniBom_Foxlink_6 21 2010-ME_nego_Bolt RFQ Proposal_Foxlink_ (Pricing Summary) 2 25 2011 4 2" xfId="35764"/>
    <cellStyle name="壞_Creek EE BOM cost_20090425_Leopard UniBom_Foxlink_6 21 2010-ME_nego_Bolt RFQ Proposal_Foxlink_ (Pricing Summary) 2 25 2011 4 3" xfId="35765"/>
    <cellStyle name="壞_Creek EE BOM cost_20090425_Leopard UniBom_Foxlink_6 21 2010-ME_nego_Bolt RFQ Proposal_Foxlink_ (Pricing Summary) 2 25 2011 5" xfId="35766"/>
    <cellStyle name="壞_Creek EE BOM cost_20090425_Leopard UniBom_Foxlink_6 21 2010-ME_nego_Bolt RFQ Proposal_Foxlink_ (Pricing Summary) 2 25 2011 5 3" xfId="35767"/>
    <cellStyle name="壞_Creek EE BOM cost_20090425_Leopard UniBom_Foxlink_6 21 2010-ME_nego_Bolt RFQ Proposal_Foxlink_ (Pricing Summary) 2 25 2011 6" xfId="35768"/>
    <cellStyle name="壞_Creek EE BOM cost_20090425_Leopard UniBom_Foxlink_6 21 2010-ME_nego_Bolt RFQ Proposal_Foxlink_ (Pricing Summary) 2 25 2011 6 2" xfId="35769"/>
    <cellStyle name="壞_Creek EE BOM cost_20090425_Leopard UniBom_Foxlink_6 21 2010-ME_nego_Bolt RFQ Proposal_Foxlink_ (Pricing Summary) 2 25 2011 6 3" xfId="35770"/>
    <cellStyle name="壞_Creek EE BOM cost_20090425_Leopard UniBom_Foxlink_6 21 2010-ME_nego_Bolt RFQ Proposal_Foxlink_ (Pricing Summary) 2 25 2011 7" xfId="35771"/>
    <cellStyle name="壞_Creek EE BOM cost_20090425_Leopard UniBom_Foxlink_6 21 2010-ME_nego_Bolt RFQ Proposal_Foxlink_ (Pricing Summary) 2 25 2011 8" xfId="35772"/>
    <cellStyle name="壞_Creek EE BOM cost_20090425_Leopard UniBom_Foxlink_6 21 2010-ME_nego_Bolt RFQ_Foxlink_03.1 2011 2" xfId="35773"/>
    <cellStyle name="壞_Creek EE BOM cost_20090425_Leopard UniBom_Foxlink_6 21 2010-ME_nego_Bolt RFQ_Foxlink_03.1 2011 2 3" xfId="35774"/>
    <cellStyle name="壞_Creek EE BOM cost_20090425_Leopard UniBom_Foxlink_6 21 2010-ME_nego_Bolt RFQ_Foxlink_03.1 2011 3" xfId="35775"/>
    <cellStyle name="壞_Creek EE BOM cost_20090425_Leopard UniBom_Foxlink_6 21 2010-ME_nego_Bolt RFQ_Foxlink_03.1 2011 3 2" xfId="35776"/>
    <cellStyle name="壞_Creek EE BOM cost_20090425_Leopard UniBom_Foxlink_6 21 2010-ME_nego_Bolt RFQ_Foxlink_03.1 2011 3 3" xfId="35777"/>
    <cellStyle name="壞_Creek EE BOM cost_20090425_Leopard UniBom_Foxlink_6 21 2010-ME_nego_Bolt RFQ_Foxlink_03.1 2011 4" xfId="35778"/>
    <cellStyle name="壞_Creek EE BOM cost_20090425_Leopard UniBom_Foxlink_6 21 2010-ME_nego_Bolt RFQ_Foxlink_03.1 2011 5" xfId="35779"/>
    <cellStyle name="壞_Creek EE BOM cost_20090425_Leopard UniBom_Foxlink_6 21 2010-ME_nego_Bolt RFQ_Foxlink_03.1 2011_nego meeting@MACH" xfId="35780"/>
    <cellStyle name="壞_Creek EE BOM cost_20090425_Leopard UniBom_Foxlink_6 21 2010-ME_nego_Bolt RFQ_Foxlink_03.1 2011_nego meeting@MACH 2" xfId="35781"/>
    <cellStyle name="壞_Creek EE BOM cost_20090425_Leopard UniBom_Foxlink_6 21 2010-ME_nego_Bolt RFQ_Foxlink_03.1 2011_nego meeting@MACH 2 2" xfId="35782"/>
    <cellStyle name="壞_Creek EE BOM cost_20090425_Leopard UniBom_Foxlink_6 21 2010-ME_nego_Bolt RFQ_Foxlink_03.1 2011_nego meeting@MACH 2 3" xfId="35783"/>
    <cellStyle name="壞_Creek EE BOM cost_20090425_Leopard UniBom_Foxlink_6 21 2010-ME_nego_Bolt RFQ_Foxlink_03.1 2011_nego meeting@MACH 3" xfId="35784"/>
    <cellStyle name="壞_Creek EE BOM cost_20090425_Leopard UniBom_Foxlink_6 21 2010-ME_nego_Bolt RFQ_Foxlink_03.1 2011_nego meeting@MACH 3 2" xfId="35785"/>
    <cellStyle name="壞_Creek EE BOM cost_20090425_Leopard UniBom_Foxlink_6 21 2010-ME_nego_Bolt RFQ_Foxlink_03.1 2011_nego meeting@MACH 3 3" xfId="35786"/>
    <cellStyle name="壞_Creek EE BOM cost_20090425_Leopard UniBom_Foxlink_6 21 2010-ME_nego_Bolt RFQ_Foxlink_03.1 2011_nego meeting@MACH 4" xfId="35787"/>
    <cellStyle name="壞_Creek EE BOM cost_20090425_Leopard UniBom_Foxlink_6 21 2010-ME_nego_Bolt RFQ_Foxlink_03.1 2011_nego meeting@MACH 5" xfId="35788"/>
    <cellStyle name="壞_Creek EE BOM cost_20090425_Leopard UniBom_Foxlink_6 21 2010-nego" xfId="35789"/>
    <cellStyle name="壞_Creek EE BOM cost_20090425_Leopard UniBom_true cost_6.23.2010" xfId="35790"/>
    <cellStyle name="壞_Creek EE BOM cost_20090425_Leopard UniBom-06 22 2010_update_internal" xfId="35791"/>
    <cellStyle name="壞_Creek EE BOM cost_20090425_Leopard_UniBOM_ME_0531" xfId="35792"/>
    <cellStyle name="壞_Creek EE BOM cost_20090425_Leopard_UniBOM_ME_0531 2" xfId="35793"/>
    <cellStyle name="壞_Creek EE BOM cost_20090425_Leopard_UniBOM_ME_0531 2 2" xfId="35794"/>
    <cellStyle name="壞_Creek EE BOM cost_20090425_Leopard_UniBOM_ME_0531 2 2 2" xfId="35795"/>
    <cellStyle name="壞_Creek EE BOM cost_20090425_Leopard_UniBOM_ME_0531 2 3" xfId="35796"/>
    <cellStyle name="壞_Creek EE BOM cost_20090425_Leopard_UniBOM_ME_0531 2 3 2" xfId="35797"/>
    <cellStyle name="壞_Creek EE BOM cost_20090425_Leopard_UniBOM_ME_0531 2 3 3" xfId="35798"/>
    <cellStyle name="壞_Creek EE BOM cost_20090425_Leopard_UniBOM_ME_0531 3" xfId="35799"/>
    <cellStyle name="壞_Creek EE BOM cost_20090425_Leopard_UniBOM_ME_0531 3 2" xfId="35800"/>
    <cellStyle name="壞_Creek EE BOM cost_20090425_Leopard_UniBOM_ME_0531 3 3" xfId="35801"/>
    <cellStyle name="壞_Creek EE BOM cost_20090425_Leopard_UniBOM_ME_0531 4" xfId="35802"/>
    <cellStyle name="壞_Creek EE BOM cost_20090425_Leopard_UniBOM_ME_0531 4 2" xfId="35803"/>
    <cellStyle name="壞_Creek EE BOM cost_20090425_Leopard_UniBOM_ME_0531 4 3" xfId="35804"/>
    <cellStyle name="壞_Creek EE BOM cost_20090425_Leopard_UniBOM_ME_0531_Bolt RFQ Proposal_Foxlink_ (Pricing Summary) 2 25 2011" xfId="35805"/>
    <cellStyle name="壞_Creek EE BOM cost_20090425_Leopard_UniBOM_ME_0531_Bolt RFQ Proposal_Foxlink_ (Pricing Summary) 2 25 2011 2" xfId="35806"/>
    <cellStyle name="壞_Creek EE BOM cost_20090425_Leopard_UniBOM_ME_0531_Bolt RFQ Proposal_Foxlink_ (Pricing Summary) 2 25 2011 2 2" xfId="35807"/>
    <cellStyle name="壞_Creek EE BOM cost_20090425_Leopard_UniBOM_ME_0531_Bolt RFQ Proposal_Foxlink_ (Pricing Summary) 2 25 2011 2 2 2" xfId="35808"/>
    <cellStyle name="壞_Creek EE BOM cost_20090425_Leopard_UniBOM_ME_0531_Bolt RFQ Proposal_Foxlink_ (Pricing Summary) 2 25 2011 2 2 3" xfId="35809"/>
    <cellStyle name="壞_Creek EE BOM cost_20090425_Leopard_UniBOM_ME_0531_Bolt RFQ Proposal_Foxlink_ (Pricing Summary) 2 25 2011 4 2" xfId="35810"/>
    <cellStyle name="壞_Creek EE BOM cost_20090425_Leopard_UniBOM_ME_0531_Bolt RFQ Proposal_Foxlink_ (Pricing Summary) 2 25 2011 5" xfId="35811"/>
    <cellStyle name="壞_Creek EE BOM cost_20090425_Leopard_UniBOM_ME_0531_Bolt RFQ Proposal_Foxlink_ (Pricing Summary) 2 25 2011 5 2" xfId="35812"/>
    <cellStyle name="壞_Creek EE BOM cost_20090425_Leopard_UniBOM_ME_0531_Bolt RFQ Proposal_Foxlink_ (Pricing Summary) 2 25 2011 6" xfId="35813"/>
    <cellStyle name="壞_Creek EE BOM cost_20090425_Leopard_UniBOM_ME_0531_Bolt RFQ Proposal_Foxlink_ (Pricing Summary) 2 25 2011 6 2" xfId="35814"/>
    <cellStyle name="壞_Creek EE BOM cost_20090425_Leopard_UniBOM_ME_0531_Bolt RFQ Proposal_Foxlink_ (Pricing Summary) 2 25 2011 7" xfId="35815"/>
    <cellStyle name="壞_Creek EE BOM cost_20090425_Leopard_UniBOM_ME_0531_Bolt RFQ Proposal_Foxlink_ (Pricing Summary) 2 25 2011 8" xfId="35816"/>
    <cellStyle name="壞_Creek EE BOM cost_20090425_Leopard_UniBOM_ME_0531_Bolt RFQ_Foxlink_03.1 2011" xfId="35817"/>
    <cellStyle name="壞_Creek EE BOM cost_20090425_Leopard_UniBOM_ME_0531_Bolt RFQ_Foxlink_03.1 2011 2" xfId="35818"/>
    <cellStyle name="壞_Creek EE BOM cost_20090425_Leopard_UniBOM_ME_0531_Bolt RFQ_Foxlink_03.1 2011 2 2" xfId="35819"/>
    <cellStyle name="壞_Creek EE BOM cost_20090425_Leopard_UniBOM_ME_0531_Bolt RFQ_Foxlink_03.1 2011 2 3" xfId="35820"/>
    <cellStyle name="壞_Creek EE BOM cost_20090425_Leopard_UniBOM_ME_0531_Bolt RFQ_Foxlink_03.1 2011 3" xfId="35821"/>
    <cellStyle name="壞_Creek EE BOM cost_20090425_Leopard_UniBOM_ME_0531_Bolt RFQ_Foxlink_03.1 2011 3 2" xfId="35822"/>
    <cellStyle name="壞_Creek EE BOM cost_20090425_Leopard_UniBOM_ME_0531_Bolt RFQ_Foxlink_03.1 2011 3 3" xfId="35823"/>
    <cellStyle name="壞_Creek EE BOM cost_20090425_Leopard_UniBOM_ME_0531_Bolt RFQ_Foxlink_03.1 2011 4" xfId="35824"/>
    <cellStyle name="壞_Creek EE BOM cost_20090425_Leopard_UniBOM_ME_0531_Bolt RFQ_Foxlink_03.1 2011 5" xfId="35825"/>
    <cellStyle name="壞_Creek EE BOM cost_20090425_Leopard_UniBOM_ME_0531_Bolt RFQ_Foxlink_03.1 2011_nego meeting@MACH" xfId="35826"/>
    <cellStyle name="壞_Creek EE BOM cost_20090425_Leopard_UniBOM_ME_0531_Bolt RFQ_Foxlink_03.1 2011_nego meeting@MACH 2" xfId="35827"/>
    <cellStyle name="壞_Creek EE BOM cost_20090425_Leopard_UniBOM_ME_0531_Bolt RFQ_Foxlink_03.1 2011_nego meeting@MACH 2 2" xfId="35828"/>
    <cellStyle name="壞_Creek EE BOM cost_20090425_Leopard_UniBOM_ME_0531_Bolt RFQ_Foxlink_03.1 2011_nego meeting@MACH 2 3" xfId="35829"/>
    <cellStyle name="壞_Creek EE BOM cost_20090425_Leopard_UniBOM_ME_0531_Bolt RFQ_Foxlink_03.1 2011_nego meeting@MACH 3" xfId="35830"/>
    <cellStyle name="壞_Creek EE BOM cost_20090425_Leopard_UniBOM_ME_0531_Bolt RFQ_Foxlink_03.1 2011_nego meeting@MACH 3 2" xfId="35831"/>
    <cellStyle name="壞_Creek EE BOM cost_20090425_Leopard_UniBOM_ME_0531_Bolt RFQ_Foxlink_03.1 2011_nego meeting@MACH 3 3" xfId="35832"/>
    <cellStyle name="壞_Creek EE BOM cost_20090425_Leopard_UniBOM_ME_0531_Bolt RFQ_Foxlink_03.1 2011_nego meeting@MACH 4" xfId="35833"/>
    <cellStyle name="壞_Creek EE BOM cost_20090425_Leopard_UniBOM_ME_0531_Bolt RFQ_Foxlink_03.1 2011_nego meeting@MACH 5" xfId="35834"/>
    <cellStyle name="壞_Creek EE BOM cost_20090425_Leopard_UniBOM_ME_0602" xfId="35835"/>
    <cellStyle name="壞_Creek EE BOM cost_20090425_Leopard_UniBOM_ME_0602 2" xfId="35836"/>
    <cellStyle name="壞_Creek EE BOM cost_20090425_Leopard_UniBOM_ME_0602 2 2" xfId="35837"/>
    <cellStyle name="壞_Creek EE BOM cost_20090425_Leopard_UniBOM_ME_0602 2 2 2" xfId="35838"/>
    <cellStyle name="壞_Creek EE BOM cost_20090425_Leopard_UniBOM_ME_0602 2 2 3" xfId="35839"/>
    <cellStyle name="壞_Creek EE BOM cost_20090425_Leopard_UniBOM_ME_0602 2 3 3" xfId="35840"/>
    <cellStyle name="壞_Creek EE BOM cost_20090425_Leopard_UniBOM_ME_0602 3" xfId="35841"/>
    <cellStyle name="壞_Creek EE BOM cost_20090425_Leopard_UniBOM_ME_0602 3 2" xfId="35842"/>
    <cellStyle name="壞_Creek EE BOM cost_20090425_Leopard_UniBOM_ME_0602 3 3" xfId="35843"/>
    <cellStyle name="壞_Creek EE BOM cost_20090425_Leopard_UniBOM_ME_0602 4" xfId="35844"/>
    <cellStyle name="壞_Creek EE BOM cost_20090425_Leopard_UniBOM_ME_0602 4 2" xfId="35845"/>
    <cellStyle name="壞_Creek EE BOM cost_20090425_Leopard_UniBOM_ME_0602 4 3" xfId="35846"/>
    <cellStyle name="壞_Creek EE BOM cost_20090425_Leopard_UniBOM_ME_0602_Bolt RFQ Proposal_Foxlink_ (Pricing Summary) 2 25 2011" xfId="35847"/>
    <cellStyle name="壞_Creek EE BOM cost_20090425_Leopard_UniBOM_ME_0602_Bolt RFQ Proposal_Foxlink_ (Pricing Summary) 2 25 2011 2" xfId="35848"/>
    <cellStyle name="壞_Creek EE BOM cost_20090425_Leopard_UniBOM_ME_0602_Bolt RFQ Proposal_Foxlink_ (Pricing Summary) 2 25 2011 2 2" xfId="35849"/>
    <cellStyle name="壞_Creek EE BOM cost_20090425_Leopard_UniBOM_ME_0602_Bolt RFQ Proposal_Foxlink_ (Pricing Summary) 2 25 2011 2 2 2" xfId="35850"/>
    <cellStyle name="壞_Creek EE BOM cost_20090425_Leopard_UniBOM_ME_0602_Bolt RFQ Proposal_Foxlink_ (Pricing Summary) 2 25 2011 2 2 3" xfId="35851"/>
    <cellStyle name="壞_Creek EE BOM cost_20090425_Leopard_UniBOM_ME_0602_Bolt RFQ Proposal_Foxlink_ (Pricing Summary) 2 25 2011 2 3" xfId="35852"/>
    <cellStyle name="壞_Creek EE BOM cost_20090425_Leopard_UniBOM_ME_0602_Bolt RFQ Proposal_Foxlink_ (Pricing Summary) 2 25 2011 2 3 2" xfId="35853"/>
    <cellStyle name="壞_Creek EE BOM cost_20090425_Leopard_UniBOM_ME_0602_Bolt RFQ Proposal_Foxlink_ (Pricing Summary) 2 25 2011 2 3 3" xfId="35854"/>
    <cellStyle name="壞_Creek EE BOM cost_20090425_Leopard_UniBOM_ME_0602_Bolt RFQ Proposal_Foxlink_ (Pricing Summary) 2 25 2011 3" xfId="35855"/>
    <cellStyle name="壞_Creek EE BOM cost_20090425_Leopard_UniBOM_ME_0602_Bolt RFQ Proposal_Foxlink_ (Pricing Summary) 2 25 2011 4" xfId="35856"/>
    <cellStyle name="壞_Creek EE BOM cost_20090425_Leopard_UniBOM_ME_0602_Bolt RFQ Proposal_Foxlink_ (Pricing Summary) 2 25 2011 4 2" xfId="35857"/>
    <cellStyle name="壞_Creek EE BOM cost_20090425_Leopard_UniBOM_ME_0602_Bolt RFQ Proposal_Foxlink_ (Pricing Summary) 2 25 2011 4 3" xfId="35858"/>
    <cellStyle name="壞_Creek EE BOM cost_20090425_Leopard_UniBOM_ME_0602_Bolt RFQ Proposal_Foxlink_ (Pricing Summary) 2 25 2011 5" xfId="35859"/>
    <cellStyle name="壞_Creek EE BOM cost_20090425_Leopard_UniBOM_ME_0602_Bolt RFQ Proposal_Foxlink_ (Pricing Summary) 2 25 2011 5 2" xfId="35860"/>
    <cellStyle name="壞_Creek EE BOM cost_20090425_Leopard_UniBOM_ME_0602_Bolt RFQ Proposal_Foxlink_ (Pricing Summary) 2 25 2011 5 3" xfId="35861"/>
    <cellStyle name="壞_Creek EE BOM cost_20090425_Leopard_UniBOM_ME_0602_Bolt RFQ Proposal_Foxlink_ (Pricing Summary) 2 25 2011 6" xfId="35862"/>
    <cellStyle name="壞_Creek EE BOM cost_20090425_Leopard_UniBOM_ME_0602_Bolt RFQ Proposal_Foxlink_ (Pricing Summary) 2 25 2011 6 2" xfId="35863"/>
    <cellStyle name="壞_Creek EE BOM cost_20090425_Leopard_UniBOM_ME_0602_Bolt RFQ Proposal_Foxlink_ (Pricing Summary) 2 25 2011 7" xfId="35864"/>
    <cellStyle name="壞_Creek EE BOM cost_20090425_Leopard_UniBOM_ME_0602_Bolt RFQ Proposal_Foxlink_ (Pricing Summary) 2 25 2011 8" xfId="35865"/>
    <cellStyle name="壞_Creek EE BOM cost_20090425_Leopard_UniBOM_ME_0602_Bolt RFQ_Foxlink_03.1 2011" xfId="35866"/>
    <cellStyle name="壞_Creek EE BOM cost_20090425_Leopard_UniBOM_ME_0602_Bolt RFQ_Foxlink_03.1 2011 2" xfId="35867"/>
    <cellStyle name="壞_Creek EE BOM cost_20090425_Leopard_UniBOM_ME_0602_Bolt RFQ_Foxlink_03.1 2011 2 2" xfId="35868"/>
    <cellStyle name="壞_Creek EE BOM cost_20090425_Leopard_UniBOM_ME_0602_Bolt RFQ_Foxlink_03.1 2011 2 3" xfId="35869"/>
    <cellStyle name="壞_Creek EE BOM cost_20090425_Leopard_UniBOM_ME_0602_Bolt RFQ_Foxlink_03.1 2011 3" xfId="35870"/>
    <cellStyle name="壞_Creek EE BOM cost_20090425_Leopard_UniBOM_ME_0602_Bolt RFQ_Foxlink_03.1 2011 3 2" xfId="35871"/>
    <cellStyle name="壞_Creek EE BOM cost_20090425_Leopard_UniBOM_ME_0602_Bolt RFQ_Foxlink_03.1 2011 3 3" xfId="35872"/>
    <cellStyle name="壞_Creek EE BOM cost_20090425_Leopard_UniBOM_ME_0602_Bolt RFQ_Foxlink_03.1 2011 4" xfId="35873"/>
    <cellStyle name="壞_Creek EE BOM cost_20090425_Leopard_UniBOM_ME_0602_Bolt RFQ_Foxlink_03.1 2011 5" xfId="35874"/>
    <cellStyle name="壞_Creek EE BOM cost_20090425_Leopard_UniBOM_ME_0602_Bolt RFQ_Foxlink_03.1 2011_nego meeting@MACH" xfId="35875"/>
    <cellStyle name="壞_Creek EE BOM cost_20090425_Leopard_UniBOM_ME_0602_Bolt RFQ_Foxlink_03.1 2011_nego meeting@MACH 2" xfId="35876"/>
    <cellStyle name="壞_Creek EE BOM cost_20090425_Leopard_UniBOM_ME_0602_Bolt RFQ_Foxlink_03.1 2011_nego meeting@MACH 2 2" xfId="35877"/>
    <cellStyle name="壞_Creek EE BOM cost_20090425_Leopard_UniBOM_ME_0602_Bolt RFQ_Foxlink_03.1 2011_nego meeting@MACH 2 3" xfId="35878"/>
    <cellStyle name="壞_Creek EE BOM cost_20090425_Leopard_UniBOM_ME_0602_Bolt RFQ_Foxlink_03.1 2011_nego meeting@MACH 3" xfId="35879"/>
    <cellStyle name="壞_Creek EE BOM cost_20090425_Leopard_UniBOM_ME_0602_Bolt RFQ_Foxlink_03.1 2011_nego meeting@MACH 3 2" xfId="35880"/>
    <cellStyle name="壞_Creek EE BOM cost_20090425_Leopard_UniBOM_ME_0602_Bolt RFQ_Foxlink_03.1 2011_nego meeting@MACH 3 3" xfId="35881"/>
    <cellStyle name="壞_Creek EE BOM cost_20090425_Leopard_UniBOM_ME_0602_Bolt RFQ_Foxlink_03.1 2011_nego meeting@MACH 4" xfId="35882"/>
    <cellStyle name="壞_Creek EE BOM cost_20090425_Leopard_UniBOM_ME_0602_Bolt RFQ_Foxlink_03.1 2011_nego meeting@MACH 5" xfId="35883"/>
    <cellStyle name="壞_Creek EE BOM cost_20090425_Leopard_UniBOM_ME_0602-1 2" xfId="35884"/>
    <cellStyle name="壞_Creek EE BOM cost_20090425_Leopard_UniBOM_ME_0602-1 2 2" xfId="35885"/>
    <cellStyle name="壞_Creek EE BOM cost_20090425_Leopard_UniBOM_ME_0602-1 2 2 2" xfId="35886"/>
    <cellStyle name="壞_Creek EE BOM cost_20090425_Leopard_UniBOM_ME_0602-1 2 2 3" xfId="35887"/>
    <cellStyle name="壞_Creek EE BOM cost_20090425_Leopard_UniBOM_ME_0602-1 2 3" xfId="35888"/>
    <cellStyle name="壞_Creek EE BOM cost_20090425_Leopard_UniBOM_ME_0602-1 2 3 2" xfId="35889"/>
    <cellStyle name="壞_Creek EE BOM cost_20090425_Leopard_UniBOM_ME_0602-1 2 3 3" xfId="35890"/>
    <cellStyle name="壞_Creek EE BOM cost_20090425_Leopard_UniBOM_ME_0602-1 3" xfId="35891"/>
    <cellStyle name="壞_Creek EE BOM cost_20090425_Leopard_UniBOM_ME_0602-1 3 2" xfId="35892"/>
    <cellStyle name="壞_Creek EE BOM cost_20090425_Leopard_UniBOM_ME_0602-1 3 3" xfId="35893"/>
    <cellStyle name="壞_Creek EE BOM cost_20090425_Leopard_UniBOM_ME_0602-1 4" xfId="35894"/>
    <cellStyle name="壞_Creek EE BOM cost_20090425_Leopard_UniBOM_ME_0602-1 4 2" xfId="35895"/>
    <cellStyle name="壞_Creek EE BOM cost_20090425_Leopard_UniBOM_ME_0602-1 4 3" xfId="35896"/>
    <cellStyle name="壞_Creek EE BOM cost_20090425_Leopard_UniBOM_ME_0602-1_Bolt RFQ Proposal_Foxlink_ (Pricing Summary) 2 25 2011" xfId="35897"/>
    <cellStyle name="壞_Creek EE BOM cost_20090425_Leopard_UniBOM_ME_0602-1_Bolt RFQ Proposal_Foxlink_ (Pricing Summary) 2 25 2011 2 2" xfId="35898"/>
    <cellStyle name="壞_Creek EE BOM cost_20090425_Leopard_UniBOM_ME_0602-1_Bolt RFQ Proposal_Foxlink_ (Pricing Summary) 2 25 2011 2 2 2" xfId="35899"/>
    <cellStyle name="壞_Creek EE BOM cost_20090425_Leopard_UniBOM_ME_0602-1_Bolt RFQ Proposal_Foxlink_ (Pricing Summary) 2 25 2011 2 2 3" xfId="35900"/>
    <cellStyle name="壞_Creek EE BOM cost_20090425_Leopard_UniBOM_ME_0602-1_Bolt RFQ Proposal_Foxlink_ (Pricing Summary) 2 25 2011 2 3" xfId="35901"/>
    <cellStyle name="壞_Creek EE BOM cost_20090425_Leopard_UniBOM_ME_0602-1_Bolt RFQ Proposal_Foxlink_ (Pricing Summary) 2 25 2011 2 3 2" xfId="35902"/>
    <cellStyle name="壞_Creek EE BOM cost_20090425_Leopard_UniBOM_ME_0602-1_Bolt RFQ Proposal_Foxlink_ (Pricing Summary) 2 25 2011 2 3 3" xfId="35903"/>
    <cellStyle name="壞_Creek EE BOM cost_20090425_Leopard_UniBOM_ME_0602-1_Bolt RFQ Proposal_Foxlink_ (Pricing Summary) 2 25 2011 3" xfId="35904"/>
    <cellStyle name="壞_Creek EE BOM cost_20090425_Leopard_UniBOM_ME_0602-1_Bolt RFQ Proposal_Foxlink_ (Pricing Summary) 2 25 2011 4" xfId="35905"/>
    <cellStyle name="壞_Creek EE BOM cost_20090425_Leopard_UniBOM_ME_0602-1_Bolt RFQ Proposal_Foxlink_ (Pricing Summary) 2 25 2011 5" xfId="35906"/>
    <cellStyle name="壞_Creek EE BOM cost_20090425_Leopard_UniBOM_ME_0602-1_Bolt RFQ Proposal_Foxlink_ (Pricing Summary) 2 25 2011 5 2" xfId="35907"/>
    <cellStyle name="壞_Creek EE BOM cost_20090425_Leopard_UniBOM_ME_0602-1_Bolt RFQ Proposal_Foxlink_ (Pricing Summary) 2 25 2011 5 3" xfId="35908"/>
    <cellStyle name="壞_Creek EE BOM cost_20090425_Leopard_UniBOM_ME_0602-1_Bolt RFQ Proposal_Foxlink_ (Pricing Summary) 2 25 2011 6" xfId="35909"/>
    <cellStyle name="壞_Creek EE BOM cost_20090425_Leopard_UniBOM_ME_0602-1_Bolt RFQ Proposal_Foxlink_ (Pricing Summary) 2 25 2011 6 2" xfId="35910"/>
    <cellStyle name="壞_Creek EE BOM cost_20090425_Leopard_UniBOM_ME_0602-1_Bolt RFQ Proposal_Foxlink_ (Pricing Summary) 2 25 2011 6 3" xfId="35911"/>
    <cellStyle name="壞_Creek EE BOM cost_20090425_Leopard_UniBOM_ME_0602-1_Bolt RFQ Proposal_Foxlink_ (Pricing Summary) 2 25 2011 7" xfId="35912"/>
    <cellStyle name="壞_Creek EE BOM cost_20090425_Leopard_UniBOM_ME_0602-1_Bolt RFQ Proposal_Foxlink_ (Pricing Summary) 2 25 2011 8" xfId="35913"/>
    <cellStyle name="壞_Creek EE BOM cost_20090425_Leopard_UniBOM_ME_0602-1_Bolt RFQ_Foxlink_03.1 2011" xfId="35914"/>
    <cellStyle name="壞_Creek EE BOM cost_20090425_Leopard_UniBOM_ME_0602-1_Bolt RFQ_Foxlink_03.1 2011 2" xfId="35915"/>
    <cellStyle name="壞_Creek EE BOM cost_20090425_Leopard_UniBOM_ME_0602-1_Bolt RFQ_Foxlink_03.1 2011 2 2" xfId="35916"/>
    <cellStyle name="壞_Creek EE BOM cost_20090425_Leopard_UniBOM_ME_0602-1_Bolt RFQ_Foxlink_03.1 2011 2 3" xfId="35917"/>
    <cellStyle name="壞_Creek EE BOM cost_20090425_Leopard_UniBOM_ME_0602-1_Bolt RFQ_Foxlink_03.1 2011 3" xfId="35918"/>
    <cellStyle name="壞_Creek EE BOM cost_20090425_Leopard_UniBOM_ME_0602-1_Bolt RFQ_Foxlink_03.1 2011 3 2" xfId="35919"/>
    <cellStyle name="壞_Creek EE BOM cost_20090425_Leopard_UniBOM_ME_0602-1_Bolt RFQ_Foxlink_03.1 2011 3 3" xfId="35920"/>
    <cellStyle name="壞_Creek EE BOM cost_20090425_Leopard_UniBOM_ME_0602-1_Bolt RFQ_Foxlink_03.1 2011 4" xfId="35921"/>
    <cellStyle name="壞_Creek EE BOM cost_20090425_Leopard_UniBOM_ME_0602-1_Bolt RFQ_Foxlink_03.1 2011_nego meeting@MACH 3 2" xfId="35922"/>
    <cellStyle name="壞_Creek EE BOM cost_20090425_Leopard_UniBOM_ME_0602-1_Bolt RFQ_Foxlink_03.1 2011_nego meeting@MACH 3 3" xfId="35923"/>
    <cellStyle name="壞_Creek EE BOM cost_20090425_Leopard_UniBOM_ME_0602-1_Bolt RFQ_Foxlink_03.1 2011_nego meeting@MACH 5" xfId="35924"/>
    <cellStyle name="壞_Creek EE BOM cost_20090425_Leopard_UniBOM_ME_0603-2 2" xfId="35925"/>
    <cellStyle name="壞_Creek EE BOM cost_20090425_Leopard_UniBOM_ME_0603-2 2 2" xfId="35926"/>
    <cellStyle name="壞_Creek EE BOM cost_20090425_Leopard_UniBOM_ME_0603-2 2 2 2" xfId="35927"/>
    <cellStyle name="壞_Creek EE BOM cost_20090425_Leopard_UniBOM_ME_0603-2 2 2 3" xfId="35928"/>
    <cellStyle name="壞_Creek EE BOM cost_20090425_Leopard_UniBOM_ME_0603-2 2 3" xfId="35929"/>
    <cellStyle name="壞_Creek EE BOM cost_20090425_Leopard_UniBOM_ME_0603-2 2 3 2" xfId="35930"/>
    <cellStyle name="壞_Creek EE BOM cost_20090425_Leopard_UniBOM_ME_0603-2 2 3 3" xfId="35931"/>
    <cellStyle name="壞_Creek EE BOM cost_20090425_Leopard_UniBOM_ME_0603-2 3" xfId="35932"/>
    <cellStyle name="壞_Creek EE BOM cost_20090425_Leopard_UniBOM_ME_0603-2 3 2" xfId="35933"/>
    <cellStyle name="壞_Creek EE BOM cost_20090425_Leopard_UniBOM_ME_0603-2 4" xfId="35934"/>
    <cellStyle name="壞_Creek EE BOM cost_20090425_Leopard_UniBOM_ME_0603-2 4 2" xfId="35935"/>
    <cellStyle name="壞_Creek EE BOM cost_20090425_Leopard_UniBOM_ME_0603-2 4 3" xfId="35936"/>
    <cellStyle name="壞_Creek EE BOM cost_20090425_Leopard_UniBOM_ME_0603-2_Bolt RFQ Proposal_Foxlink_ (Pricing Summary) 2 25 2011" xfId="35937"/>
    <cellStyle name="壞_Creek EE BOM cost_20090425_Leopard_UniBOM_ME_0603-2_Bolt RFQ Proposal_Foxlink_ (Pricing Summary) 2 25 2011 2" xfId="35938"/>
    <cellStyle name="壞_Creek EE BOM cost_20090425_Leopard_UniBOM_ME_0603-2_Bolt RFQ Proposal_Foxlink_ (Pricing Summary) 2 25 2011 2 2 2" xfId="35939"/>
    <cellStyle name="壞_Creek EE BOM cost_20090425_Leopard_UniBOM_ME_0603-2_Bolt RFQ Proposal_Foxlink_ (Pricing Summary) 2 25 2011 2 2 3" xfId="35940"/>
    <cellStyle name="壞_Creek EE BOM cost_20090425_Leopard_UniBOM_ME_0603-2_Bolt RFQ Proposal_Foxlink_ (Pricing Summary) 2 25 2011 2 3" xfId="35941"/>
    <cellStyle name="壞_Creek EE BOM cost_20090425_Leopard_UniBOM_ME_0603-2_Bolt RFQ Proposal_Foxlink_ (Pricing Summary) 2 25 2011 2 3 2" xfId="35942"/>
    <cellStyle name="壞_Creek EE BOM cost_20090425_Leopard_UniBOM_ME_0603-2_Bolt RFQ Proposal_Foxlink_ (Pricing Summary) 2 25 2011 2 3 3" xfId="35943"/>
    <cellStyle name="壞_Creek EE BOM cost_20090425_Leopard_UniBOM_ME_0603-2_Bolt RFQ Proposal_Foxlink_ (Pricing Summary) 2 25 2011 3" xfId="35944"/>
    <cellStyle name="壞_Creek EE BOM cost_20090425_Leopard_UniBOM_ME_0603-2_Bolt RFQ Proposal_Foxlink_ (Pricing Summary) 2 25 2011 4" xfId="35945"/>
    <cellStyle name="壞_Creek EE BOM cost_20090425_Leopard_UniBOM_ME_0603-2_Bolt RFQ Proposal_Foxlink_ (Pricing Summary) 2 25 2011 4 2" xfId="35946"/>
    <cellStyle name="壞_Creek EE BOM cost_20090425_Leopard_UniBOM_ME_0603-2_Bolt RFQ Proposal_Foxlink_ (Pricing Summary) 2 25 2011 4 3" xfId="35947"/>
    <cellStyle name="壞_Creek EE BOM cost_20090425_Leopard_UniBOM_ME_0603-2_Bolt RFQ Proposal_Foxlink_ (Pricing Summary) 2 25 2011 5" xfId="35948"/>
    <cellStyle name="壞_Creek EE BOM cost_20090425_Leopard_UniBOM_ME_0603-2_Bolt RFQ Proposal_Foxlink_ (Pricing Summary) 2 25 2011 5 2" xfId="35949"/>
    <cellStyle name="壞_Creek EE BOM cost_20090425_Leopard_UniBOM_ME_0603-2_Bolt RFQ Proposal_Foxlink_ (Pricing Summary) 2 25 2011 5 3" xfId="35950"/>
    <cellStyle name="壞_Creek EE BOM cost_20090425_Leopard_UniBOM_ME_0603-2_Bolt RFQ Proposal_Foxlink_ (Pricing Summary) 2 25 2011 6" xfId="35951"/>
    <cellStyle name="壞_Creek EE BOM cost_20090425_Leopard_UniBOM_ME_0603-2_Bolt RFQ Proposal_Foxlink_ (Pricing Summary) 2 25 2011 6 2" xfId="35952"/>
    <cellStyle name="壞_Creek EE BOM cost_20090425_Leopard_UniBOM_ME_0603-2_Bolt RFQ Proposal_Foxlink_ (Pricing Summary) 2 25 2011 6 3" xfId="35953"/>
    <cellStyle name="壞_Creek EE BOM cost_20090425_Leopard_UniBOM_ME_0603-2_Bolt RFQ Proposal_Foxlink_ (Pricing Summary) 2 25 2011 7" xfId="35954"/>
    <cellStyle name="壞_Creek EE BOM cost_20090425_Leopard_UniBOM_ME_0603-2_Bolt RFQ Proposal_Foxlink_ (Pricing Summary) 2 25 2011 8" xfId="35955"/>
    <cellStyle name="壞_Creek EE BOM cost_20090425_Leopard_UniBOM_ME_0603-2_Bolt RFQ_Foxlink_03.1 2011" xfId="35956"/>
    <cellStyle name="壞_Creek EE BOM cost_20090425_Leopard_UniBOM_ME_0603-2_Bolt RFQ_Foxlink_03.1 2011 2" xfId="35957"/>
    <cellStyle name="壞_Creek EE BOM cost_20090425_Leopard_UniBOM_ME_0603-2_Bolt RFQ_Foxlink_03.1 2011 2 2" xfId="35958"/>
    <cellStyle name="壞_Creek EE BOM cost_20090425_Leopard_UniBOM_ME_0603-2_Bolt RFQ_Foxlink_03.1 2011 2 3" xfId="35959"/>
    <cellStyle name="壞_Creek EE BOM cost_20090425_Leopard_UniBOM_ME_0603-2_Bolt RFQ_Foxlink_03.1 2011 3" xfId="35960"/>
    <cellStyle name="壞_Creek EE BOM cost_20090425_Leopard_UniBOM_ME_0603-2_Bolt RFQ_Foxlink_03.1 2011 3 2" xfId="35961"/>
    <cellStyle name="壞_Creek EE BOM cost_20090425_Leopard_UniBOM_ME_0603-2_Bolt RFQ_Foxlink_03.1 2011 3 3" xfId="35962"/>
    <cellStyle name="壞_Creek EE BOM cost_20090425_Leopard_UniBOM_ME_0603-2_Bolt RFQ_Foxlink_03.1 2011 4" xfId="35963"/>
    <cellStyle name="壞_Creek EE BOM cost_20090425_Leopard_UniBOM_ME_0603-2_Bolt RFQ_Foxlink_03.1 2011 5" xfId="35964"/>
    <cellStyle name="壞_Creek EE BOM cost_20090425_Leopard_UniBOM_ME_0603-2_Bolt RFQ_Foxlink_03.1 2011_nego meeting@MACH" xfId="35965"/>
    <cellStyle name="壞_Creek EE BOM cost_20090425_Leopard_UniBOM_ME_0603-2_Bolt RFQ_Foxlink_03.1 2011_nego meeting@MACH 2" xfId="35966"/>
    <cellStyle name="壞_Creek EE BOM cost_20090425_Leopard_UniBOM_ME_0603-2_Bolt RFQ_Foxlink_03.1 2011_nego meeting@MACH 2 2" xfId="35967"/>
    <cellStyle name="壞_Creek EE BOM cost_20090425_Leopard_UniBOM_ME_0603-2_Bolt RFQ_Foxlink_03.1 2011_nego meeting@MACH 2 3" xfId="35968"/>
    <cellStyle name="壞_Creek EE BOM cost_20090425_Leopard_UniBOM_ME_0603-2_Bolt RFQ_Foxlink_03.1 2011_nego meeting@MACH 3" xfId="35969"/>
    <cellStyle name="壞_Creek EE BOM cost_20090425_Leopard_UniBOM_ME_0603-2_Bolt RFQ_Foxlink_03.1 2011_nego meeting@MACH 3 2" xfId="35970"/>
    <cellStyle name="壞_Creek EE BOM cost_20090425_Leopard_UniBOM_ME_0603-2_Bolt RFQ_Foxlink_03.1 2011_nego meeting@MACH 3 3" xfId="35971"/>
    <cellStyle name="壞_Creek EE BOM cost_20090425_Leopard_UniBOM_ME_0603-2_Bolt RFQ_Foxlink_03.1 2011_nego meeting@MACH 4" xfId="35972"/>
    <cellStyle name="壞_Creek EE BOM cost_20090425_Leopard_UniBOM_ME_0603-2_Bolt RFQ_Foxlink_03.1 2011_nego meeting@MACH 5" xfId="35973"/>
    <cellStyle name="壞_Creek EE BOM cost_20090425_Squirrel RFQ ME BOM Costs-0623 2 2 2" xfId="35974"/>
    <cellStyle name="壞_Creek EE BOM cost_20090425_Squirrel RFQ ME BOM Costs-0623 2 2 3" xfId="35975"/>
    <cellStyle name="壞_Creek EE BOM cost_20090425_Squirrel RFQ ME BOM Costs-0623 2 3 2" xfId="35976"/>
    <cellStyle name="壞_Creek EE BOM cost_20090425_Squirrel RFQ ME BOM Costs-0623 2 3 3" xfId="35977"/>
    <cellStyle name="壞_Creek EE BOM cost_20090425_Squirrel RFQ ME BOM Costs-0623 3" xfId="35978"/>
    <cellStyle name="壞_Creek EE BOM cost_20090425_Squirrel RFQ ME BOM Costs-0623 3 2" xfId="35979"/>
    <cellStyle name="壞_Creek EE BOM cost_20090425_Squirrel RFQ ME BOM Costs-0623 3 3" xfId="35980"/>
    <cellStyle name="壞_Creek EE BOM cost_20090425_Squirrel RFQ ME BOM Costs-0623 4" xfId="35981"/>
    <cellStyle name="壞_Creek EE BOM cost_20090425_Squirrel RFQ ME BOM Costs-0623 4 2" xfId="35982"/>
    <cellStyle name="壞_Creek EE BOM cost_20090425_Squirrel RFQ ME BOM Costs-0623 4 3" xfId="35983"/>
    <cellStyle name="壞_Creek EE BOM cost_20090425_Squirrel RFQ ME BOM Costs-0623_Bolt RFQ Proposal_Foxlink_ (Pricing Summary) 2 25 2011" xfId="35984"/>
    <cellStyle name="壞_Creek EE BOM cost_20090425_Squirrel RFQ ME BOM Costs-0623_Bolt RFQ Proposal_Foxlink_ (Pricing Summary) 2 25 2011 2 2 2" xfId="35985"/>
    <cellStyle name="壞_Creek EE BOM cost_20090425_Squirrel RFQ ME BOM Costs-0623_Bolt RFQ Proposal_Foxlink_ (Pricing Summary) 2 25 2011 2 2 3" xfId="35986"/>
    <cellStyle name="壞_Creek EE BOM cost_20090425_Squirrel RFQ ME BOM Costs-0623_Bolt RFQ Proposal_Foxlink_ (Pricing Summary) 2 25 2011 2 3 2" xfId="35987"/>
    <cellStyle name="壞_Creek EE BOM cost_20090425_Squirrel RFQ ME BOM Costs-0623_Bolt RFQ Proposal_Foxlink_ (Pricing Summary) 2 25 2011 2 3 3" xfId="35988"/>
    <cellStyle name="壞_Creek EE BOM cost_20090425_Squirrel RFQ ME BOM Costs-0623_Bolt RFQ Proposal_Foxlink_ (Pricing Summary) 2 25 2011 4 3" xfId="35989"/>
    <cellStyle name="壞_Creek EE BOM cost_20090425_Squirrel RFQ ME BOM Costs-0623_Bolt RFQ Proposal_Foxlink_ (Pricing Summary) 2 25 2011 5" xfId="35990"/>
    <cellStyle name="壞_Creek EE BOM cost_20090425_Squirrel RFQ ME BOM Costs-0623_Bolt RFQ Proposal_Foxlink_ (Pricing Summary) 2 25 2011 5 2" xfId="35991"/>
    <cellStyle name="壞_Creek EE BOM cost_20090425_Squirrel RFQ ME BOM Costs-0623_Bolt RFQ Proposal_Foxlink_ (Pricing Summary) 2 25 2011 5 3" xfId="35992"/>
    <cellStyle name="壞_Creek EE BOM cost_20090425_Squirrel RFQ ME BOM Costs-0623_Bolt RFQ Proposal_Foxlink_ (Pricing Summary) 2 25 2011 6" xfId="35993"/>
    <cellStyle name="壞_Creek EE BOM cost_20090425_Squirrel RFQ ME BOM Costs-0623_Bolt RFQ Proposal_Foxlink_ (Pricing Summary) 2 25 2011 6 2" xfId="35994"/>
    <cellStyle name="壞_Creek EE BOM cost_20090425_Squirrel RFQ ME BOM Costs-0623_Bolt RFQ Proposal_Foxlink_ (Pricing Summary) 2 25 2011 6 3" xfId="35995"/>
    <cellStyle name="壞_Creek EE BOM cost_20090425_Squirrel RFQ ME BOM Costs-0623_Bolt RFQ Proposal_Foxlink_ (Pricing Summary) 2 25 2011 7" xfId="35996"/>
    <cellStyle name="壞_Creek EE BOM cost_20090425_Squirrel RFQ ME BOM Costs-0623_Bolt RFQ Proposal_Foxlink_ (Pricing Summary) 2 25 2011 8" xfId="35997"/>
    <cellStyle name="壞_Creek EE BOM cost_20090425_Squirrel RFQ ME BOM Costs-0623_Bolt RFQ_Foxlink_03.1 2011" xfId="35998"/>
    <cellStyle name="壞_Creek EE BOM cost_20090425_Squirrel RFQ ME BOM Costs-0623_Bolt RFQ_Foxlink_03.1 2011 2" xfId="35999"/>
    <cellStyle name="壞_Creek EE BOM cost_20090425_Squirrel RFQ ME BOM Costs-0623_Bolt RFQ_Foxlink_03.1 2011 2 2" xfId="36000"/>
    <cellStyle name="壞_Creek EE BOM cost_20090425_Squirrel RFQ ME BOM Costs-0623_Bolt RFQ_Foxlink_03.1 2011 2 3" xfId="36001"/>
    <cellStyle name="壞_Creek EE BOM cost_20090425_Squirrel RFQ ME BOM Costs-0623_Bolt RFQ_Foxlink_03.1 2011 3" xfId="36002"/>
    <cellStyle name="壞_Creek EE BOM cost_20090425_Squirrel RFQ ME BOM Costs-0623_Bolt RFQ_Foxlink_03.1 2011 3 2" xfId="36003"/>
    <cellStyle name="壞_Creek EE BOM cost_20090425_Squirrel RFQ ME BOM Costs-0623_Bolt RFQ_Foxlink_03.1 2011 3 3" xfId="36004"/>
    <cellStyle name="壞_Creek EE BOM cost_20090425_Squirrel RFQ ME BOM Costs-0623_Bolt RFQ_Foxlink_03.1 2011 4" xfId="36005"/>
    <cellStyle name="壞_Creek EE BOM cost_20090425_Squirrel RFQ ME BOM Costs-0623_Bolt RFQ_Foxlink_03.1 2011 5" xfId="36006"/>
    <cellStyle name="壞_Creek EE BOM cost_20090425_Squirrel RFQ ME BOM Costs-0623_Bolt RFQ_Foxlink_03.1 2011_nego meeting@MACH 2" xfId="36007"/>
    <cellStyle name="壞_Creek EE BOM cost_20090425_Squirrel RFQ ME BOM Costs-0623_Bolt RFQ_Foxlink_03.1 2011_nego meeting@MACH 2 2" xfId="36008"/>
    <cellStyle name="壞_Creek EE BOM cost_20090425_Squirrel RFQ ME BOM Costs-0623_Bolt RFQ_Foxlink_03.1 2011_nego meeting@MACH 2 3" xfId="36009"/>
    <cellStyle name="壞_Creek EE BOM cost_20090425_Squirrel RFQ ME BOM Costs-0623_Bolt RFQ_Foxlink_03.1 2011_nego meeting@MACH 3" xfId="36010"/>
    <cellStyle name="壞_Creek EE BOM cost_20090425_Squirrel RFQ ME BOM Costs-0623_Bolt RFQ_Foxlink_03.1 2011_nego meeting@MACH 3 2" xfId="36011"/>
    <cellStyle name="壞_Creek EE BOM cost_20090425_Squirrel RFQ ME BOM Costs-0623_Bolt RFQ_Foxlink_03.1 2011_nego meeting@MACH 3 3" xfId="36012"/>
    <cellStyle name="壞_Creek EE BOM cost_20090425_Squirrel RFQ ME BOM Costs-0623_Bolt RFQ_Foxlink_03.1 2011_nego meeting@MACH 4" xfId="36013"/>
    <cellStyle name="壞_Creek EE BOM cost_20090425_Squirrel RFQ ME BOM Costs-0623_Bolt RFQ_Foxlink_03.1 2011_nego meeting@MACH 5" xfId="36014"/>
    <cellStyle name="壞_Creek EE BOM cost_20090425_Squirrel RFQ ME BOM Costs-0624" xfId="36015"/>
    <cellStyle name="壞_Creek EE BOM cost_20090425_Squirrel UniBom_Foxlink_6 28 2010" xfId="36016"/>
    <cellStyle name="壞_Creek EE BOM cost_20090425_Squirrel UniBom_Foxlink_7.27.2010" xfId="36017"/>
    <cellStyle name="壞_Creek EE BOM cost_20090425_Squirrel UniBom-06 23 2010_update_internal" xfId="36018"/>
    <cellStyle name="壞_Creek EE BOM cost_20090425_Squirrel UniBom-06.23.2010_update_internal" xfId="36019"/>
    <cellStyle name="壞_Creek EE BOM cost_20090425_Squirrel UniBom-06.23.2010_update_internal 2" xfId="36020"/>
    <cellStyle name="壞_Creek EE BOM cost_20090425_Squirrel UniBom-06.23.2010_update_internal 2 2 2" xfId="36021"/>
    <cellStyle name="壞_Creek EE BOM cost_20090425_Squirrel UniBom-06.23.2010_update_internal 2 2 3" xfId="36022"/>
    <cellStyle name="壞_Creek EE BOM cost_20090425_Squirrel UniBom-06.23.2010_update_internal 2 3" xfId="36023"/>
    <cellStyle name="壞_Creek EE BOM cost_20090425_Squirrel UniBom-06.23.2010_update_internal 2 3 3" xfId="36024"/>
    <cellStyle name="壞_Creek EE BOM cost_20090425_Squirrel UniBom-06.23.2010_update_internal 3 2" xfId="36025"/>
    <cellStyle name="壞_Creek EE BOM cost_20090425_Squirrel UniBom-06.23.2010_update_internal 3 3" xfId="36026"/>
    <cellStyle name="壞_Creek EE BOM cost_20090425_Squirrel UniBom-06.23.2010_update_internal 4" xfId="36027"/>
    <cellStyle name="壞_Creek EE BOM cost_20090425_Squirrel UniBom-06.23.2010_update_internal 4 2" xfId="36028"/>
    <cellStyle name="壞_Creek EE BOM cost_20090425_Squirrel UniBom-06.23.2010_update_internal 4 3" xfId="36029"/>
    <cellStyle name="壞_Creek EE BOM cost_20090425_Squirrel UniBom-06.23.2010_update_internal 5" xfId="36030"/>
    <cellStyle name="壞_Creek EE BOM cost_20090425_Squirrel UniBom-06.23.2010_update_internal 6" xfId="36031"/>
    <cellStyle name="壞_Creek EE BOM cost_20090425_Squirrel UniBom-06.23.2010_update_internal_Bolt RFQ Proposal_Foxlink_ (Pricing Summary) 2 25 2011" xfId="36032"/>
    <cellStyle name="壞_Creek EE BOM cost_20090425_Squirrel UniBom-06.23.2010_update_internal_Bolt RFQ Proposal_Foxlink_ (Pricing Summary) 2 25 2011 2" xfId="36033"/>
    <cellStyle name="壞_Creek EE BOM cost_20090425_Squirrel UniBom-06.23.2010_update_internal_Bolt RFQ Proposal_Foxlink_ (Pricing Summary) 2 25 2011 2 2" xfId="36034"/>
    <cellStyle name="壞_Creek EE BOM cost_20090425_Squirrel UniBom-06.23.2010_update_internal_Bolt RFQ Proposal_Foxlink_ (Pricing Summary) 2 25 2011 2 2 2" xfId="36035"/>
    <cellStyle name="壞_Creek EE BOM cost_20090425_Squirrel UniBom-06.23.2010_update_internal_Bolt RFQ Proposal_Foxlink_ (Pricing Summary) 2 25 2011 2 3" xfId="36036"/>
    <cellStyle name="壞_Creek EE BOM cost_20090425_Squirrel UniBom-06.23.2010_update_internal_Bolt RFQ Proposal_Foxlink_ (Pricing Summary) 2 25 2011 2 3 2" xfId="36037"/>
    <cellStyle name="壞_Creek EE BOM cost_20090425_Squirrel UniBom-06.23.2010_update_internal_Bolt RFQ Proposal_Foxlink_ (Pricing Summary) 2 25 2011 2 3 3" xfId="36038"/>
    <cellStyle name="壞_Creek EE BOM cost_20090425_Squirrel UniBom-06.23.2010_update_internal_Bolt RFQ Proposal_Foxlink_ (Pricing Summary) 2 25 2011 3" xfId="36039"/>
    <cellStyle name="壞_Creek EE BOM cost_20090425_Squirrel UniBom-06.23.2010_update_internal_Bolt RFQ Proposal_Foxlink_ (Pricing Summary) 2 25 2011 4" xfId="36040"/>
    <cellStyle name="壞_Creek EE BOM cost_20090425_Squirrel UniBom-06.23.2010_update_internal_Bolt RFQ Proposal_Foxlink_ (Pricing Summary) 2 25 2011 4 2" xfId="36041"/>
    <cellStyle name="壞_Creek EE BOM cost_20090425_Squirrel UniBom-06.23.2010_update_internal_Bolt RFQ Proposal_Foxlink_ (Pricing Summary) 2 25 2011 4 3" xfId="36042"/>
    <cellStyle name="壞_Creek EE BOM cost_20090425_Squirrel UniBom-06.23.2010_update_internal_Bolt RFQ Proposal_Foxlink_ (Pricing Summary) 2 25 2011 5" xfId="36043"/>
    <cellStyle name="壞_Creek EE BOM cost_20090425_Squirrel UniBom-06.23.2010_update_internal_Bolt RFQ Proposal_Foxlink_ (Pricing Summary) 2 25 2011 5 3" xfId="36044"/>
    <cellStyle name="壞_Creek EE BOM cost_20090425_Squirrel UniBom-06.23.2010_update_internal_Bolt RFQ Proposal_Foxlink_ (Pricing Summary) 2 25 2011 6" xfId="36045"/>
    <cellStyle name="壞_Creek EE BOM cost_20090425_Squirrel UniBom-06.23.2010_update_internal_Bolt RFQ Proposal_Foxlink_ (Pricing Summary) 2 25 2011 6 2" xfId="36046"/>
    <cellStyle name="壞_Creek EE BOM cost_20090425_Squirrel UniBom-06.23.2010_update_internal_Bolt RFQ Proposal_Foxlink_ (Pricing Summary) 2 25 2011 6 3" xfId="36047"/>
    <cellStyle name="壞_Creek EE BOM cost_20090425_Squirrel UniBom-06.23.2010_update_internal_Bolt RFQ Proposal_Foxlink_ (Pricing Summary) 2 25 2011 8" xfId="36048"/>
    <cellStyle name="壞_Creek EE BOM cost_20090425_Squirrel UniBom-06.23.2010_update_internal_Bolt RFQ_Foxlink_03.1 2011" xfId="36049"/>
    <cellStyle name="壞_Creek EE BOM cost_20090425_Squirrel UniBom-06.23.2010_update_internal_Bolt RFQ_Foxlink_03.1 2011_nego meeting@MACH" xfId="36050"/>
    <cellStyle name="壞_Creek EE BOM cost_20090425_Squirrel UniBom-06.23.2010_update_internal_Bolt RFQ_Foxlink_03.1 2011_nego meeting@MACH 2" xfId="36051"/>
    <cellStyle name="壞_Creek EE BOM cost_20090425_Squirrel UniBom-06.23.2010_update_internal_Bolt RFQ_Foxlink_03.1 2011_nego meeting@MACH 2 2" xfId="36052"/>
    <cellStyle name="壞_Creek EE BOM cost_20090425_Squirrel UniBom-06.23.2010_update_internal_Bolt RFQ_Foxlink_03.1 2011_nego meeting@MACH 2 3" xfId="36053"/>
    <cellStyle name="壞_Creek EE BOM cost_20090425_Squirrel UniBom-06.23.2010_update_internal_Bolt RFQ_Foxlink_03.1 2011_nego meeting@MACH 3" xfId="36054"/>
    <cellStyle name="壞_Creek EE BOM cost_20090425_Squirrel UniBom-06.23.2010_update_internal_Bolt RFQ_Foxlink_03.1 2011_nego meeting@MACH 3 2" xfId="36055"/>
    <cellStyle name="壞_Creek EE BOM cost_20090425_Squirrel UniBom-06.23.2010_update_internal_Bolt RFQ_Foxlink_03.1 2011_nego meeting@MACH 3 3" xfId="36056"/>
    <cellStyle name="壞_Creek EE BOM cost_20090425_Squirrel UniBom-06.23.2010_update_internal_Bolt RFQ_Foxlink_03.1 2011_nego meeting@MACH 4" xfId="36057"/>
    <cellStyle name="壞_Creek EE BOM cost_20090425_Squirrel UniBom-06.23.2010_update_internal_Bolt RFQ_Foxlink_03.1 2011_nego meeting@MACH 5" xfId="36058"/>
    <cellStyle name="壞_dallas產能評估" xfId="36059"/>
    <cellStyle name="壞_Dolce   QA Report 2010_0902" xfId="36060"/>
    <cellStyle name="壞_Dolce Forecast" xfId="36061"/>
    <cellStyle name="壞_Dolce IE 產能評估表_(12-1 Update)" xfId="36062"/>
    <cellStyle name="壞_Erie Assembly Fixture  Test Equip Cost_20090716" xfId="36063"/>
    <cellStyle name="壞_Erie Assembly Fixture  Test Equip Cost_20090716 2 2" xfId="36064"/>
    <cellStyle name="壞_Erie Assembly Fixture  Test Equip Cost_20090716 2 2 2" xfId="36065"/>
    <cellStyle name="壞_Erie Assembly Fixture  Test Equip Cost_20090716 2 2 3" xfId="36066"/>
    <cellStyle name="壞_Erie Assembly Fixture  Test Equip Cost_20090716 2 3" xfId="36067"/>
    <cellStyle name="壞_Erie Assembly Fixture  Test Equip Cost_20090716 2 3 2" xfId="36068"/>
    <cellStyle name="壞_Erie Assembly Fixture  Test Equip Cost_20090716 2 3 3" xfId="36069"/>
    <cellStyle name="壞_Erie Assembly Fixture  Test Equip Cost_20090716 3" xfId="36070"/>
    <cellStyle name="壞_Erie Assembly Fixture  Test Equip Cost_20090716 3 2" xfId="36071"/>
    <cellStyle name="壞_Erie Assembly Fixture  Test Equip Cost_20090716 3 3" xfId="36072"/>
    <cellStyle name="壞_Erie Assembly Fixture  Test Equip Cost_20090716 4" xfId="36073"/>
    <cellStyle name="壞_Erie Assembly Fixture  Test Equip Cost_20090716 4 2" xfId="36074"/>
    <cellStyle name="壞_Erie Assembly Fixture  Test Equip Cost_20090716 4 3" xfId="36075"/>
    <cellStyle name="壞_Erie Assembly Fixture  Test Equip Cost_20090716 5" xfId="36076"/>
    <cellStyle name="壞_Erie Assembly Fixture  Test Equip Cost_20090716 6" xfId="36077"/>
    <cellStyle name="壞_Erie Assembly Fixture  Test Equip Cost_20090716_Bolt EE tracker 20110421" xfId="36078"/>
    <cellStyle name="壞_Erie Assembly Fixture  Test Equip Cost_20090716_Bolt RFQ Proposal_Foxlink_ (Pricing Summary) 2 25 2011" xfId="36079"/>
    <cellStyle name="壞_Erie Assembly Fixture  Test Equip Cost_20090716_Bolt RFQ Proposal_Foxlink_ (Pricing Summary) 2 25 2011 2" xfId="36080"/>
    <cellStyle name="壞_Erie Assembly Fixture  Test Equip Cost_20090716_Bolt RFQ Proposal_Foxlink_ (Pricing Summary) 2 25 2011 2 2" xfId="36081"/>
    <cellStyle name="壞_Erie Assembly Fixture  Test Equip Cost_20090716_Bolt RFQ Proposal_Foxlink_ (Pricing Summary) 2 25 2011 2 2 2" xfId="36082"/>
    <cellStyle name="壞_Erie Assembly Fixture  Test Equip Cost_20090716_Bolt RFQ Proposal_Foxlink_ (Pricing Summary) 2 25 2011 2 2 3" xfId="36083"/>
    <cellStyle name="壞_Erie Assembly Fixture  Test Equip Cost_20090716_Bolt RFQ Proposal_Foxlink_ (Pricing Summary) 2 25 2011 2 3" xfId="36084"/>
    <cellStyle name="壞_Erie Assembly Fixture  Test Equip Cost_20090716_Bolt RFQ Proposal_Foxlink_ (Pricing Summary) 2 25 2011 2 3 2" xfId="36085"/>
    <cellStyle name="壞_Erie Assembly Fixture  Test Equip Cost_20090716_Bolt RFQ Proposal_Foxlink_ (Pricing Summary) 2 25 2011 2 3 3" xfId="36086"/>
    <cellStyle name="壞_Erie Assembly Fixture  Test Equip Cost_20090716_Bolt RFQ Proposal_Foxlink_ (Pricing Summary) 2 25 2011 3" xfId="36087"/>
    <cellStyle name="壞_Erie Assembly Fixture  Test Equip Cost_20090716_Bolt RFQ Proposal_Foxlink_ (Pricing Summary) 2 25 2011 4" xfId="36088"/>
    <cellStyle name="壞_Erie Assembly Fixture  Test Equip Cost_20090716_Bolt RFQ Proposal_Foxlink_ (Pricing Summary) 2 25 2011 4 3" xfId="36089"/>
    <cellStyle name="壞_Erie Assembly Fixture  Test Equip Cost_20090716_Bolt RFQ Proposal_Foxlink_ (Pricing Summary) 2 25 2011 5" xfId="36090"/>
    <cellStyle name="壞_Erie Assembly Fixture  Test Equip Cost_20090716_Bolt RFQ Proposal_Foxlink_ (Pricing Summary) 2 25 2011 5 2" xfId="36091"/>
    <cellStyle name="壞_Erie Assembly Fixture  Test Equip Cost_20090716_Bolt RFQ Proposal_Foxlink_ (Pricing Summary) 2 25 2011 5 3" xfId="36092"/>
    <cellStyle name="壞_Erie Assembly Fixture  Test Equip Cost_20090716_Bolt RFQ Proposal_Foxlink_ (Pricing Summary) 2 25 2011 6" xfId="36093"/>
    <cellStyle name="壞_Erie Assembly Fixture  Test Equip Cost_20090716_Bolt RFQ Proposal_Foxlink_ (Pricing Summary) 2 25 2011 6 2" xfId="36094"/>
    <cellStyle name="壞_Erie Assembly Fixture  Test Equip Cost_20090716_Bolt RFQ Proposal_Foxlink_ (Pricing Summary) 2 25 2011 6 3" xfId="36095"/>
    <cellStyle name="壞_Erie Assembly Fixture  Test Equip Cost_20090716_Bolt RFQ Proposal_Foxlink_ (Pricing Summary) 2 25 2011 8" xfId="36096"/>
    <cellStyle name="壞_Erie Assembly Fixture  Test Equip Cost_20090716_Bolt RFQ_Foxlink_03.1 2011" xfId="36097"/>
    <cellStyle name="壞_Erie Assembly Fixture  Test Equip Cost_20090716_Bolt RFQ_Foxlink_03.1 2011 2" xfId="36098"/>
    <cellStyle name="壞_Erie Assembly Fixture  Test Equip Cost_20090716_Bolt RFQ_Foxlink_03.1 2011 2 3" xfId="36099"/>
    <cellStyle name="壞_Erie Assembly Fixture  Test Equip Cost_20090716_Bolt RFQ_Foxlink_03.1 2011 3" xfId="36100"/>
    <cellStyle name="壞_Erie Assembly Fixture  Test Equip Cost_20090716_Bolt RFQ_Foxlink_03.1 2011 3 2" xfId="36101"/>
    <cellStyle name="壞_Erie Assembly Fixture  Test Equip Cost_20090716_Bolt RFQ_Foxlink_03.1 2011 3 3" xfId="36102"/>
    <cellStyle name="壞_Erie Assembly Fixture  Test Equip Cost_20090716_Bolt RFQ_Foxlink_03.1 2011 4" xfId="36103"/>
    <cellStyle name="壞_Erie Assembly Fixture  Test Equip Cost_20090716_Bolt RFQ_Foxlink_03.1 2011 5" xfId="36104"/>
    <cellStyle name="壞_Erie Assembly Fixture  Test Equip Cost_20090716_Bolt RFQ_Foxlink_03.1 2011_nego meeting@MACH 2" xfId="36105"/>
    <cellStyle name="壞_Erie Assembly Fixture  Test Equip Cost_20090716_Bolt RFQ_Foxlink_03.1 2011_nego meeting@MACH 2 2" xfId="36106"/>
    <cellStyle name="壞_Erie Assembly Fixture  Test Equip Cost_20090716_Bolt RFQ_Foxlink_03.1 2011_nego meeting@MACH 2 3" xfId="36107"/>
    <cellStyle name="壞_Erie Assembly Fixture  Test Equip Cost_20090716_Bolt RFQ_Foxlink_03.1 2011_nego meeting@MACH 3" xfId="36108"/>
    <cellStyle name="壞_Erie Assembly Fixture  Test Equip Cost_20090716_Bolt RFQ_Foxlink_03.1 2011_nego meeting@MACH 3 2" xfId="36109"/>
    <cellStyle name="壞_Erie Assembly Fixture  Test Equip Cost_20090716_Bolt RFQ_Foxlink_03.1 2011_nego meeting@MACH 3 3" xfId="36110"/>
    <cellStyle name="壞_Erie Assembly Fixture  Test Equip Cost_20090716_Bolt RFQ_Foxlink_03.1 2011_nego meeting@MACH 4" xfId="36111"/>
    <cellStyle name="壞_Erie Assembly Fixture  Test Equip Cost_20090716_Bolt RFQ_Foxlink_03.1 2011_nego meeting@MACH 5" xfId="36112"/>
    <cellStyle name="壞_Erie Assembly Fixture  Test Equip Cost_20090716_Foxlink_Shadow RFQ NREUni BOM_12032009" xfId="36113"/>
    <cellStyle name="壞_Erie Assembly Fixture  Test Equip Cost_20090716_Foxlink_Shadow RFQ NREUni BOM_12032009 2" xfId="36114"/>
    <cellStyle name="壞_Erie Assembly Fixture  Test Equip Cost_20090716_Foxlink_Shadow RFQ NREUni BOM_12032009 2 2" xfId="36115"/>
    <cellStyle name="壞_Erie Assembly Fixture  Test Equip Cost_20090716_Foxlink_Shadow RFQ NREUni BOM_12032009 2 2 2" xfId="36116"/>
    <cellStyle name="壞_Erie Assembly Fixture  Test Equip Cost_20090716_Foxlink_Shadow RFQ NREUni BOM_12032009 2 2 3" xfId="36117"/>
    <cellStyle name="壞_Erie Assembly Fixture  Test Equip Cost_20090716_Foxlink_Shadow RFQ NREUni BOM_12032009 2 3" xfId="36118"/>
    <cellStyle name="壞_Erie Assembly Fixture  Test Equip Cost_20090716_Foxlink_Shadow RFQ NREUni BOM_12032009 2 3 2" xfId="36119"/>
    <cellStyle name="壞_Erie Assembly Fixture  Test Equip Cost_20090716_Foxlink_Shadow RFQ NREUni BOM_12032009 2 3 3" xfId="36120"/>
    <cellStyle name="壞_Erie Assembly Fixture  Test Equip Cost_20090716_Foxlink_Shadow RFQ NREUni BOM_12032009 3" xfId="36121"/>
    <cellStyle name="壞_Erie Assembly Fixture  Test Equip Cost_20090716_Foxlink_Shadow RFQ NREUni BOM_12032009 3 2" xfId="36122"/>
    <cellStyle name="壞_Erie Assembly Fixture  Test Equip Cost_20090716_Foxlink_Shadow RFQ NREUni BOM_12032009 3 3" xfId="36123"/>
    <cellStyle name="壞_Erie Assembly Fixture  Test Equip Cost_20090716_Foxlink_Shadow RFQ NREUni BOM_12032009 4" xfId="36124"/>
    <cellStyle name="壞_Erie Assembly Fixture  Test Equip Cost_20090716_Foxlink_Shadow RFQ NREUni BOM_12032009 4 2" xfId="36125"/>
    <cellStyle name="壞_Erie Assembly Fixture  Test Equip Cost_20090716_Foxlink_Shadow RFQ NREUni BOM_12032009 4 3" xfId="36126"/>
    <cellStyle name="壞_Erie Assembly Fixture  Test Equip Cost_20090716_Foxlink_Shadow RFQ NREUni BOM_12032009_Bolt RFQ Proposal_Foxlink_ (Pricing Summary) 2 25 2011" xfId="36127"/>
    <cellStyle name="壞_Erie Assembly Fixture  Test Equip Cost_20090716_Foxlink_Shadow RFQ NREUni BOM_12032009_Bolt RFQ Proposal_Foxlink_ (Pricing Summary) 2 25 2011 2 2" xfId="36128"/>
    <cellStyle name="壞_Erie Assembly Fixture  Test Equip Cost_20090716_Foxlink_Shadow RFQ NREUni BOM_12032009_Bolt RFQ Proposal_Foxlink_ (Pricing Summary) 2 25 2011 2 2 2" xfId="36129"/>
    <cellStyle name="壞_Erie Assembly Fixture  Test Equip Cost_20090716_Foxlink_Shadow RFQ NREUni BOM_12032009_Bolt RFQ Proposal_Foxlink_ (Pricing Summary) 2 25 2011 2 2 3" xfId="36130"/>
    <cellStyle name="壞_Erie Assembly Fixture  Test Equip Cost_20090716_Foxlink_Shadow RFQ NREUni BOM_12032009_Bolt RFQ Proposal_Foxlink_ (Pricing Summary) 2 25 2011 2 3" xfId="36131"/>
    <cellStyle name="壞_Erie Assembly Fixture  Test Equip Cost_20090716_Foxlink_Shadow RFQ NREUni BOM_12032009_Bolt RFQ Proposal_Foxlink_ (Pricing Summary) 2 25 2011 2 3 2" xfId="36132"/>
    <cellStyle name="壞_Erie Assembly Fixture  Test Equip Cost_20090716_Foxlink_Shadow RFQ NREUni BOM_12032009_Bolt RFQ Proposal_Foxlink_ (Pricing Summary) 2 25 2011 2 3 3" xfId="36133"/>
    <cellStyle name="壞_Erie Assembly Fixture  Test Equip Cost_20090716_Foxlink_Shadow RFQ NREUni BOM_12032009_Bolt RFQ Proposal_Foxlink_ (Pricing Summary) 2 25 2011 3" xfId="36134"/>
    <cellStyle name="壞_Erie Assembly Fixture  Test Equip Cost_20090716_Foxlink_Shadow RFQ NREUni BOM_12032009_Bolt RFQ Proposal_Foxlink_ (Pricing Summary) 2 25 2011 4 3" xfId="36135"/>
    <cellStyle name="壞_Erie Assembly Fixture  Test Equip Cost_20090716_Foxlink_Shadow RFQ NREUni BOM_12032009_Bolt RFQ Proposal_Foxlink_ (Pricing Summary) 2 25 2011 5" xfId="36136"/>
    <cellStyle name="壞_Erie Assembly Fixture  Test Equip Cost_20090716_Foxlink_Shadow RFQ NREUni BOM_12032009_Bolt RFQ Proposal_Foxlink_ (Pricing Summary) 2 25 2011 5 3" xfId="36137"/>
    <cellStyle name="壞_Erie Assembly Fixture  Test Equip Cost_20090716_Foxlink_Shadow RFQ NREUni BOM_12032009_Bolt RFQ Proposal_Foxlink_ (Pricing Summary) 2 25 2011 6" xfId="36138"/>
    <cellStyle name="壞_Erie Assembly Fixture  Test Equip Cost_20090716_Foxlink_Shadow RFQ NREUni BOM_12032009_Bolt RFQ Proposal_Foxlink_ (Pricing Summary) 2 25 2011 7" xfId="36139"/>
    <cellStyle name="壞_Erie Assembly Fixture  Test Equip Cost_20090716_Foxlink_Shadow RFQ NREUni BOM_12032009_Bolt RFQ Proposal_Foxlink_ (Pricing Summary) 2 25 2011 8" xfId="36140"/>
    <cellStyle name="壞_Erie Assembly Fixture  Test Equip Cost_20090716_Foxlink_Shadow RFQ NREUni BOM_12032009_Bolt RFQ_Foxlink_03.1 2011" xfId="36141"/>
    <cellStyle name="壞_Erie Assembly Fixture  Test Equip Cost_20090716_Foxlink_Shadow RFQ NREUni BOM_12032009_Bolt RFQ_Foxlink_03.1 2011 2" xfId="36142"/>
    <cellStyle name="壞_Erie Assembly Fixture  Test Equip Cost_20090716_Foxlink_Shadow RFQ NREUni BOM_12032009_Bolt RFQ_Foxlink_03.1 2011 2 2" xfId="36143"/>
    <cellStyle name="壞_Erie Assembly Fixture  Test Equip Cost_20090716_Foxlink_Shadow RFQ NREUni BOM_12032009_Bolt RFQ_Foxlink_03.1 2011 2 3" xfId="36144"/>
    <cellStyle name="壞_Erie Assembly Fixture  Test Equip Cost_20090716_Foxlink_Shadow RFQ NREUni BOM_12032009_Bolt RFQ_Foxlink_03.1 2011 3" xfId="36145"/>
    <cellStyle name="壞_Erie Assembly Fixture  Test Equip Cost_20090716_Foxlink_Shadow RFQ NREUni BOM_12032009_Bolt RFQ_Foxlink_03.1 2011 3 2" xfId="36146"/>
    <cellStyle name="壞_Erie Assembly Fixture  Test Equip Cost_20090716_Foxlink_Shadow RFQ NREUni BOM_12032009_Bolt RFQ_Foxlink_03.1 2011 3 3" xfId="36147"/>
    <cellStyle name="壞_Erie Assembly Fixture  Test Equip Cost_20090716_Foxlink_Shadow RFQ NREUni BOM_12032009_Bolt RFQ_Foxlink_03.1 2011 4" xfId="36148"/>
    <cellStyle name="壞_Erie Assembly Fixture  Test Equip Cost_20090716_Foxlink_Shadow RFQ NREUni BOM_12032009_Bolt RFQ_Foxlink_03.1 2011 5" xfId="36149"/>
    <cellStyle name="壞_Erie Assembly Fixture  Test Equip Cost_20090716_Foxlink_Shadow RFQ NREUni BOM_12032009_Bolt RFQ_Foxlink_03.1 2011_nego meeting@MACH" xfId="36150"/>
    <cellStyle name="壞_Erie Assembly Fixture  Test Equip Cost_20090716_Foxlink_Shadow RFQ NREUni BOM_12032009_Bolt RFQ_Foxlink_03.1 2011_nego meeting@MACH 2" xfId="36151"/>
    <cellStyle name="壞_Erie Assembly Fixture  Test Equip Cost_20090716_Foxlink_Shadow RFQ NREUni BOM_12032009_Bolt RFQ_Foxlink_03.1 2011_nego meeting@MACH 3 3" xfId="36152"/>
    <cellStyle name="壞_Erie Assembly Fixture  Test Equip Cost_20090716_Foxlink_Shadow RFQ NREUni BOM_12032009_Bolt RFQ_Foxlink_03.1 2011_nego meeting@MACH 4" xfId="36153"/>
    <cellStyle name="壞_Erie Assembly Fixture  Test Equip Cost_20090716_Foxlink_Shadow RFQ NREUni BOM_12032009_Bolt RFQ_Foxlink_03.1 2011_nego meeting@MACH 5" xfId="36154"/>
    <cellStyle name="壞_Erie Assembly Fixture  Test Equip Cost_20090716_Foxlink_Shadow RFQ NREUni BOM_12032009_Bristol UniBom_Foxlink_02082011 RevA" xfId="36155"/>
    <cellStyle name="壞_Erie Assembly Fixture  Test Equip Cost_20090716_Foxlink_Shadow RFQ NREUni BOM_12032009_Leopard UniBom_Foxlink_12092010 RevD-jen" xfId="36156"/>
    <cellStyle name="壞_Erie Assembly Fixture  Test Equip Cost_20090716_Foxlink_Shadow RFQ NREUni BOM_12032009_Leopard UniBom_Foxlink_12272010 RevF_shirley" xfId="36157"/>
    <cellStyle name="壞_Erie Assembly Fixture  Test Equip Cost_20090716_Foxlink_Shadow RFQ NREUni BOM_12032009_Squirrel UniBom_Foxlink_6 28 2010" xfId="36158"/>
    <cellStyle name="壞_Erie Assembly Fixture  Test Equip Cost_20090716_Foxlink_Shadow RFQ NREUni BOM_12032009_Wedge_ME_BOM-v00-11v0630" xfId="36159"/>
    <cellStyle name="壞_Erie Assembly Fixture  Test Equip Cost_20090716_Foxlink_Shadow RFQ NREUni BOM_12032009_Wedge_ME_BOM-v00-11v0630 2" xfId="36160"/>
    <cellStyle name="壞_Erie Assembly Fixture  Test Equip Cost_20090716_Foxlink_Shadow RFQ NREUni BOM_12032009_Wedge_ME_BOM-v00-11v0630 2 2" xfId="36161"/>
    <cellStyle name="壞_Erie Assembly Fixture  Test Equip Cost_20090716_Foxlink_Shadow RFQ NREUni BOM_12032009_Wedge_ME_BOM-v00-11v0630 2 3" xfId="36162"/>
    <cellStyle name="壞_Erie Assembly Fixture  Test Equip Cost_20090716_Foxlink_Shadow RFQ NREUni BOM_12032009_Wedge_ME_BOM-v00-11v0715" xfId="36163"/>
    <cellStyle name="壞_Erie Assembly Fixture  Test Equip Cost_20090716_Jackson and Shadow test cost update _7th Feb 2010 (2)" xfId="36164"/>
    <cellStyle name="壞_Erie Assembly Fixture  Test Equip Cost_20090716_Jackson and Shadow test cost update _7th Feb 2010 (2)_Bristol MP quote update_08182011_MS" xfId="36165"/>
    <cellStyle name="壞_Erie Assembly Fixture  Test Equip Cost_20090716_Jackson and Shadow test cost update _7th Feb 2010 (2)_Bristol TC Estimate Update 07292011_internal from Tony" xfId="36166"/>
    <cellStyle name="壞_Erie Assembly Fixture  Test Equip Cost_20090716_Jackson and Shadow test cost update _7th Feb 2010 (2)_Bristol TC Estimate Update 08012011" xfId="36167"/>
    <cellStyle name="壞_Erie Assembly Fixture  Test Equip Cost_20090716_Jackson and Shadow test cost update _7th Feb 2010 (2)_Bristol TC Estimate Update 08112011_internal working file" xfId="36168"/>
    <cellStyle name="壞_Erie Assembly Fixture  Test Equip Cost_20090716_Jackson EE BOM " xfId="36169"/>
    <cellStyle name="壞_Erie Assembly Fixture  Test Equip Cost_20090716_Jackson NRE Uni BOM_update _05072010 rev K" xfId="36170"/>
    <cellStyle name="壞_Erie Assembly Fixture  Test Equip Cost_20090716_Jackson NRE Uni BOM_update _05072010 rev K_Bristol UniBom_Foxlink_02082011 RevA" xfId="36171"/>
    <cellStyle name="壞_Erie Assembly Fixture  Test Equip Cost_20090716_Jackson NRE Uni BOM_update _05072010 rev K_Leopard UniBom_Foxlink_12092010 RevD-jen" xfId="36172"/>
    <cellStyle name="壞_Erie Assembly Fixture  Test Equip Cost_20090716_Jackson NRE Uni BOM_update _05072010 rev K_Leopard UniBom_Foxlink_12272010 RevF_shirley" xfId="36173"/>
    <cellStyle name="壞_Erie Assembly Fixture  Test Equip Cost_20090716_Oslo Quark Certification 20100312" xfId="36174"/>
    <cellStyle name="壞_Erie Assembly Fixture  Test Equip Cost_20090716_Oslo Quark Certification 20100312_Bristol UniBom_Foxlink_02082011 RevA" xfId="36175"/>
    <cellStyle name="壞_Erie Assembly Fixture  Test Equip Cost_20090716_Oslo Quark Certification 20100312_Leopard UniBom_Foxlink_12092010 RevD-jen" xfId="36176"/>
    <cellStyle name="壞_Erie Assembly Fixture  Test Equip Cost_20090716_Oslo Quark Certification 20100312_Leopard UniBom_Foxlink_12272010 RevF_shirley" xfId="36177"/>
    <cellStyle name="壞_F3   SMT設備明細" xfId="36178"/>
    <cellStyle name="壞_F3   SMT設備明細 2" xfId="36179"/>
    <cellStyle name="壞_Flow Char&amp;PQ分析" xfId="36180"/>
    <cellStyle name="壞_Flow Chart&amp;PQ分析(12-1)" xfId="36181"/>
    <cellStyle name="壞_Forecast格式-Erie" xfId="36182"/>
    <cellStyle name="壞_Forecast格式-Erie 2" xfId="36183"/>
    <cellStyle name="壞_foxlink Bristol for 10063D-2010-10-11" xfId="36184"/>
    <cellStyle name="壞_foxlink Bristol for 10063D-2010-10-11_Bristol ME parts tooling cost 20101022 updated" xfId="36185"/>
    <cellStyle name="壞_foxlink Bristol for 10063D-2010-10-11_Bristol ME parts tooling cost 20101022 updated_Bristol MP quote update_08182011_MS" xfId="36186"/>
    <cellStyle name="壞_foxlink Bristol for 10063D-2010-10-11_Bristol ME parts tooling cost 20101022 updated_Bristol TC Estimate Update 07292011" xfId="36187"/>
    <cellStyle name="壞_foxlink Bristol for 10063D-2010-10-11_Bristol ME parts tooling cost 20101022 updated_Bristol TC Estimate Update 08012011" xfId="36188"/>
    <cellStyle name="壞_foxlink Bristol for 10063D-2010-10-11_Bristol ME parts tooling cost 20101022 updated_Bristol TC Estimate Update 08042011_MS" xfId="36189"/>
    <cellStyle name="壞_foxlink Bristol for 10063D-2010-10-11_Bristol ME parts tooling cost 20101022 updated_Bristol TC Estimate Update 08112011_internal working file" xfId="36190"/>
    <cellStyle name="壞_foxlink Bristol for 10063D-2010-10-11_Bristol RFQ response _20101102_internal (4)" xfId="36191"/>
    <cellStyle name="壞_foxlink Bristol for 10063D-2010-10-11_Bristol RFQ response _20101102_internal (4)_Bristol TC Estimate Update 07292011" xfId="36192"/>
    <cellStyle name="壞_foxlink Bristol for 10063D-2010-10-11_Bristol RFQ response _20101102_internal (4)_Bristol TC Estimate Update 07292011_internal from Tony" xfId="36193"/>
    <cellStyle name="壞_foxlink Bristol for 10063D-2010-10-11_Bristol RFQ response _20101102_internal (4)_Bristol TC Estimate Update 08012011" xfId="36194"/>
    <cellStyle name="壞_foxlink Bristol for 10063D-2010-10-11_Bristol RFQ response _20101102_internal (4)_Bristol TC Estimate Update 08042011_MS" xfId="36195"/>
    <cellStyle name="壞_Foxlink_Shadow RFQ NREUni BOM_12032009" xfId="36196"/>
    <cellStyle name="壞_Foxlink_Shadow RFQ NREUni BOM_12032009 2" xfId="36197"/>
    <cellStyle name="壞_HP Mouse 產能評估(Forecast更改後)" xfId="36198"/>
    <cellStyle name="壞_HP Mouse 產能評估(Forecast更改後) 2" xfId="36199"/>
    <cellStyle name="壞_HP Mouse 產能評估(上系統)" xfId="36200"/>
    <cellStyle name="壞_HP Mouse 產能評估(上系統) 2" xfId="36201"/>
    <cellStyle name="壞_I E (Update)" xfId="36202"/>
    <cellStyle name="壞_I E (Update) 2" xfId="36203"/>
    <cellStyle name="壞_IE (Update)" xfId="36204"/>
    <cellStyle name="壞_Jackson Certification Schedule 01182010" xfId="36205"/>
    <cellStyle name="壞_Jackson EE BOM " xfId="36206"/>
    <cellStyle name="壞_Jackson NRE Uni BOM_update _05072010 rev K" xfId="36207"/>
    <cellStyle name="壞_Jupiter_成本明細" xfId="36208"/>
    <cellStyle name="壞_LLS_EV1_DVE_Plan_20101013" xfId="36209"/>
    <cellStyle name="壞_LLS_EV2_DVE_Plan_20101110" xfId="36210"/>
    <cellStyle name="壞_LLS_EV2_DVE_Plan_20101115" xfId="36211"/>
    <cellStyle name="壞_LLS_EV2_DVE_Plan_20101119" xfId="36212"/>
    <cellStyle name="壞_Maple_Phase 1_NRE_03122012" xfId="36213"/>
    <cellStyle name="壞_ME BOM Costs" xfId="36214"/>
    <cellStyle name="壞_ME BOM Costs 2" xfId="36215"/>
    <cellStyle name="壞_Oak_NRE_Assembly_Test_20120313" xfId="36216"/>
    <cellStyle name="壞_Oslo Quark Certification 20100312" xfId="36217"/>
    <cellStyle name="壞_Pearl RFQ template(assembly fixtures) (4)" xfId="36218"/>
    <cellStyle name="壞_Pearl RFQ template(assembly fixtures) (4) 2" xfId="36219"/>
    <cellStyle name="壞_RIO_Reliability Test Plan&amp;Cost_Draft_20080924" xfId="36220"/>
    <cellStyle name="壞_RIO_Reliability Test Plan&amp;Cost_Draft_20080924 2" xfId="36221"/>
    <cellStyle name="壞_Squirrel EV1 RET plan 0924" xfId="36222"/>
    <cellStyle name="壞_Squirrel EV2 RET matrix   (4)" xfId="36223"/>
    <cellStyle name="壞_Total Equipment Cost_0429" xfId="36224"/>
    <cellStyle name="壞_Total Equipment Cost_0430" xfId="36225"/>
    <cellStyle name="壞_Wedge_ME_BOM-v00-11v0630" xfId="36226"/>
    <cellStyle name="壞_Wedge_ME_BOM-v00-11v0715" xfId="36227"/>
    <cellStyle name="壞_Xl0000002" xfId="36228"/>
    <cellStyle name="壞_Xl0000010" xfId="36229"/>
    <cellStyle name="壞_成本明細" xfId="36230"/>
    <cellStyle name="壞_成本明細_Jackson" xfId="36231"/>
    <cellStyle name="壞_成本明細_Shadow" xfId="36232"/>
    <cellStyle name="壞_成本明細-Erie_20090819" xfId="36233"/>
    <cellStyle name="壞_成本明細-Erie_20090819 2" xfId="36234"/>
    <cellStyle name="壞_成本明細-LLS_20100812" xfId="36235"/>
    <cellStyle name="壞_料號申請單(2)" xfId="36236"/>
    <cellStyle name="壞_產能評估  (12-4)" xfId="36237"/>
    <cellStyle name="壞_產能評估For 90K" xfId="36238"/>
    <cellStyle name="壞_複本 Erie_EE and ME BOM_Quotation update by factory_20090716 2" xfId="36239"/>
    <cellStyle name="뷭?_BOOKSHIP" xfId="36240"/>
    <cellStyle name="警告文" xfId="36241"/>
    <cellStyle name="警告文本 2" xfId="36242"/>
    <cellStyle name="警告文本 2 2" xfId="36243"/>
    <cellStyle name="警告文本 2 2 2" xfId="36244"/>
    <cellStyle name="警告文本 2 2 2 2" xfId="36245"/>
    <cellStyle name="警告文本 2 2 3" xfId="36246"/>
    <cellStyle name="警告文本 2 2 4" xfId="36247"/>
    <cellStyle name="警告文本 2 3" xfId="36248"/>
    <cellStyle name="警告文本 2 3 2" xfId="36249"/>
    <cellStyle name="警告文本 2 4" xfId="36250"/>
    <cellStyle name="警告文本 2 5" xfId="36251"/>
    <cellStyle name="警告文本 3" xfId="36252"/>
    <cellStyle name="警告文本 3 2" xfId="36253"/>
    <cellStyle name="警告文本 3 2 2" xfId="36254"/>
    <cellStyle name="警告文本 3 2 3" xfId="36255"/>
    <cellStyle name="警告文本 3 3" xfId="36256"/>
    <cellStyle name="警告文本 3 4" xfId="36257"/>
    <cellStyle name="警告文本 4" xfId="36258"/>
    <cellStyle name="警告文本 5" xfId="36259"/>
    <cellStyle name="警告文本 5 3" xfId="36260"/>
    <cellStyle name="警告文字 2" xfId="36261"/>
    <cellStyle name="警告文字 3" xfId="36262"/>
    <cellStyle name="巍葆 [0]_95" xfId="36263"/>
    <cellStyle name="巍葆_95" xfId="36264"/>
    <cellStyle name="鱔 [0]_95" xfId="36265"/>
    <cellStyle name="鱔_95" xfId="36266"/>
    <cellStyle name="쉼표 [0]_MS제품등록지원" xfId="36267"/>
    <cellStyle name="쉼표_20021206Dell_2003_Q1_bidding_result" xfId="36268"/>
    <cellStyle name="콤마 [0]_  종  합  " xfId="36269"/>
    <cellStyle name="콤마_  종  합  " xfId="36270"/>
    <cellStyle name="통화 [0]_  종  합  " xfId="36271"/>
    <cellStyle name="통화_  종  합  " xfId="36272"/>
    <cellStyle name="표준_  종  합  " xfId="36273"/>
    <cellStyle name="하이퍼링크_VERA" xfId="36274"/>
  </cellStyles>
  <dxfs count="7"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4472C4"/>
        </top>
      </border>
    </dxf>
    <dxf>
      <font>
        <b val="1"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9">
    <tableStyle name="TableStyleMedium6 2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2562860</xdr:colOff>
      <xdr:row>57</xdr:row>
      <xdr:rowOff>0</xdr:rowOff>
    </xdr:from>
    <xdr:to>
      <xdr:col>3</xdr:col>
      <xdr:colOff>2565287</xdr:colOff>
      <xdr:row>57</xdr:row>
      <xdr:rowOff>47625</xdr:rowOff>
    </xdr:to>
    <xdr:sp>
      <xdr:nvSpPr>
        <xdr:cNvPr id="2" name="Object 1" hidden="1"/>
        <xdr:cNvSpPr/>
      </xdr:nvSpPr>
      <xdr:spPr>
        <a:xfrm>
          <a:off x="5386705" y="12002770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57</xdr:row>
      <xdr:rowOff>0</xdr:rowOff>
    </xdr:from>
    <xdr:to>
      <xdr:col>3</xdr:col>
      <xdr:colOff>2565287</xdr:colOff>
      <xdr:row>57</xdr:row>
      <xdr:rowOff>47625</xdr:rowOff>
    </xdr:to>
    <xdr:sp>
      <xdr:nvSpPr>
        <xdr:cNvPr id="3" name="Object 1" hidden="1"/>
        <xdr:cNvSpPr/>
      </xdr:nvSpPr>
      <xdr:spPr>
        <a:xfrm>
          <a:off x="5386705" y="12002770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57</xdr:row>
      <xdr:rowOff>0</xdr:rowOff>
    </xdr:from>
    <xdr:to>
      <xdr:col>3</xdr:col>
      <xdr:colOff>2565287</xdr:colOff>
      <xdr:row>57</xdr:row>
      <xdr:rowOff>47625</xdr:rowOff>
    </xdr:to>
    <xdr:sp>
      <xdr:nvSpPr>
        <xdr:cNvPr id="4" name="Object 1" hidden="1"/>
        <xdr:cNvSpPr/>
      </xdr:nvSpPr>
      <xdr:spPr>
        <a:xfrm>
          <a:off x="5386705" y="12002770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57</xdr:row>
      <xdr:rowOff>0</xdr:rowOff>
    </xdr:from>
    <xdr:to>
      <xdr:col>3</xdr:col>
      <xdr:colOff>2565287</xdr:colOff>
      <xdr:row>57</xdr:row>
      <xdr:rowOff>47625</xdr:rowOff>
    </xdr:to>
    <xdr:sp>
      <xdr:nvSpPr>
        <xdr:cNvPr id="5" name="Object 1" hidden="1"/>
        <xdr:cNvSpPr/>
      </xdr:nvSpPr>
      <xdr:spPr>
        <a:xfrm>
          <a:off x="5386705" y="12002770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57</xdr:row>
      <xdr:rowOff>0</xdr:rowOff>
    </xdr:from>
    <xdr:to>
      <xdr:col>3</xdr:col>
      <xdr:colOff>2565287</xdr:colOff>
      <xdr:row>57</xdr:row>
      <xdr:rowOff>47625</xdr:rowOff>
    </xdr:to>
    <xdr:sp>
      <xdr:nvSpPr>
        <xdr:cNvPr id="6" name="Object 1" hidden="1"/>
        <xdr:cNvSpPr/>
      </xdr:nvSpPr>
      <xdr:spPr>
        <a:xfrm>
          <a:off x="5386705" y="12002770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57</xdr:row>
      <xdr:rowOff>0</xdr:rowOff>
    </xdr:from>
    <xdr:to>
      <xdr:col>3</xdr:col>
      <xdr:colOff>2565287</xdr:colOff>
      <xdr:row>57</xdr:row>
      <xdr:rowOff>47625</xdr:rowOff>
    </xdr:to>
    <xdr:sp>
      <xdr:nvSpPr>
        <xdr:cNvPr id="7" name="Object 1" hidden="1"/>
        <xdr:cNvSpPr/>
      </xdr:nvSpPr>
      <xdr:spPr>
        <a:xfrm>
          <a:off x="5386705" y="12002770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57</xdr:row>
      <xdr:rowOff>0</xdr:rowOff>
    </xdr:from>
    <xdr:to>
      <xdr:col>3</xdr:col>
      <xdr:colOff>2565287</xdr:colOff>
      <xdr:row>57</xdr:row>
      <xdr:rowOff>47625</xdr:rowOff>
    </xdr:to>
    <xdr:sp>
      <xdr:nvSpPr>
        <xdr:cNvPr id="8" name="Object 1" hidden="1"/>
        <xdr:cNvSpPr/>
      </xdr:nvSpPr>
      <xdr:spPr>
        <a:xfrm>
          <a:off x="5386705" y="12002770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57</xdr:row>
      <xdr:rowOff>0</xdr:rowOff>
    </xdr:from>
    <xdr:to>
      <xdr:col>3</xdr:col>
      <xdr:colOff>2565287</xdr:colOff>
      <xdr:row>57</xdr:row>
      <xdr:rowOff>47625</xdr:rowOff>
    </xdr:to>
    <xdr:sp>
      <xdr:nvSpPr>
        <xdr:cNvPr id="9" name="Object 1" hidden="1"/>
        <xdr:cNvSpPr/>
      </xdr:nvSpPr>
      <xdr:spPr>
        <a:xfrm>
          <a:off x="5386705" y="12002770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57</xdr:row>
      <xdr:rowOff>0</xdr:rowOff>
    </xdr:from>
    <xdr:to>
      <xdr:col>3</xdr:col>
      <xdr:colOff>2565287</xdr:colOff>
      <xdr:row>57</xdr:row>
      <xdr:rowOff>47625</xdr:rowOff>
    </xdr:to>
    <xdr:sp>
      <xdr:nvSpPr>
        <xdr:cNvPr id="10" name="Object 1" hidden="1"/>
        <xdr:cNvSpPr/>
      </xdr:nvSpPr>
      <xdr:spPr>
        <a:xfrm>
          <a:off x="5386705" y="12002770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57</xdr:row>
      <xdr:rowOff>0</xdr:rowOff>
    </xdr:from>
    <xdr:to>
      <xdr:col>3</xdr:col>
      <xdr:colOff>2565287</xdr:colOff>
      <xdr:row>57</xdr:row>
      <xdr:rowOff>47625</xdr:rowOff>
    </xdr:to>
    <xdr:sp>
      <xdr:nvSpPr>
        <xdr:cNvPr id="11" name="Object 1" hidden="1"/>
        <xdr:cNvSpPr/>
      </xdr:nvSpPr>
      <xdr:spPr>
        <a:xfrm>
          <a:off x="5386705" y="12002770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54</xdr:row>
      <xdr:rowOff>0</xdr:rowOff>
    </xdr:from>
    <xdr:to>
      <xdr:col>3</xdr:col>
      <xdr:colOff>2565287</xdr:colOff>
      <xdr:row>54</xdr:row>
      <xdr:rowOff>47625</xdr:rowOff>
    </xdr:to>
    <xdr:sp>
      <xdr:nvSpPr>
        <xdr:cNvPr id="12" name="Object 1" hidden="1"/>
        <xdr:cNvSpPr/>
      </xdr:nvSpPr>
      <xdr:spPr>
        <a:xfrm>
          <a:off x="5386705" y="11402695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54</xdr:row>
      <xdr:rowOff>0</xdr:rowOff>
    </xdr:from>
    <xdr:to>
      <xdr:col>3</xdr:col>
      <xdr:colOff>2565287</xdr:colOff>
      <xdr:row>54</xdr:row>
      <xdr:rowOff>47625</xdr:rowOff>
    </xdr:to>
    <xdr:sp>
      <xdr:nvSpPr>
        <xdr:cNvPr id="13" name="Object 1" hidden="1"/>
        <xdr:cNvSpPr/>
      </xdr:nvSpPr>
      <xdr:spPr>
        <a:xfrm>
          <a:off x="5386705" y="11402695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54</xdr:row>
      <xdr:rowOff>0</xdr:rowOff>
    </xdr:from>
    <xdr:to>
      <xdr:col>3</xdr:col>
      <xdr:colOff>2565287</xdr:colOff>
      <xdr:row>54</xdr:row>
      <xdr:rowOff>47625</xdr:rowOff>
    </xdr:to>
    <xdr:sp>
      <xdr:nvSpPr>
        <xdr:cNvPr id="14" name="Object 1" hidden="1"/>
        <xdr:cNvSpPr/>
      </xdr:nvSpPr>
      <xdr:spPr>
        <a:xfrm>
          <a:off x="5386705" y="11402695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54</xdr:row>
      <xdr:rowOff>0</xdr:rowOff>
    </xdr:from>
    <xdr:to>
      <xdr:col>3</xdr:col>
      <xdr:colOff>2565287</xdr:colOff>
      <xdr:row>54</xdr:row>
      <xdr:rowOff>47625</xdr:rowOff>
    </xdr:to>
    <xdr:sp>
      <xdr:nvSpPr>
        <xdr:cNvPr id="15" name="Object 1" hidden="1"/>
        <xdr:cNvSpPr/>
      </xdr:nvSpPr>
      <xdr:spPr>
        <a:xfrm>
          <a:off x="5386705" y="11402695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54</xdr:row>
      <xdr:rowOff>0</xdr:rowOff>
    </xdr:from>
    <xdr:to>
      <xdr:col>3</xdr:col>
      <xdr:colOff>2565287</xdr:colOff>
      <xdr:row>54</xdr:row>
      <xdr:rowOff>47625</xdr:rowOff>
    </xdr:to>
    <xdr:sp>
      <xdr:nvSpPr>
        <xdr:cNvPr id="16" name="Object 1" hidden="1"/>
        <xdr:cNvSpPr/>
      </xdr:nvSpPr>
      <xdr:spPr>
        <a:xfrm>
          <a:off x="5386705" y="11402695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54</xdr:row>
      <xdr:rowOff>0</xdr:rowOff>
    </xdr:from>
    <xdr:to>
      <xdr:col>3</xdr:col>
      <xdr:colOff>2565287</xdr:colOff>
      <xdr:row>54</xdr:row>
      <xdr:rowOff>47625</xdr:rowOff>
    </xdr:to>
    <xdr:sp>
      <xdr:nvSpPr>
        <xdr:cNvPr id="17" name="Object 1" hidden="1"/>
        <xdr:cNvSpPr/>
      </xdr:nvSpPr>
      <xdr:spPr>
        <a:xfrm>
          <a:off x="5386705" y="11402695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54</xdr:row>
      <xdr:rowOff>0</xdr:rowOff>
    </xdr:from>
    <xdr:to>
      <xdr:col>3</xdr:col>
      <xdr:colOff>2565287</xdr:colOff>
      <xdr:row>54</xdr:row>
      <xdr:rowOff>47625</xdr:rowOff>
    </xdr:to>
    <xdr:sp>
      <xdr:nvSpPr>
        <xdr:cNvPr id="18" name="Object 1" hidden="1"/>
        <xdr:cNvSpPr/>
      </xdr:nvSpPr>
      <xdr:spPr>
        <a:xfrm>
          <a:off x="5386705" y="11402695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54</xdr:row>
      <xdr:rowOff>0</xdr:rowOff>
    </xdr:from>
    <xdr:to>
      <xdr:col>3</xdr:col>
      <xdr:colOff>2565287</xdr:colOff>
      <xdr:row>54</xdr:row>
      <xdr:rowOff>47625</xdr:rowOff>
    </xdr:to>
    <xdr:sp>
      <xdr:nvSpPr>
        <xdr:cNvPr id="19" name="Object 1" hidden="1"/>
        <xdr:cNvSpPr/>
      </xdr:nvSpPr>
      <xdr:spPr>
        <a:xfrm>
          <a:off x="5386705" y="11402695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54</xdr:row>
      <xdr:rowOff>0</xdr:rowOff>
    </xdr:from>
    <xdr:to>
      <xdr:col>3</xdr:col>
      <xdr:colOff>2565287</xdr:colOff>
      <xdr:row>54</xdr:row>
      <xdr:rowOff>47625</xdr:rowOff>
    </xdr:to>
    <xdr:sp>
      <xdr:nvSpPr>
        <xdr:cNvPr id="20" name="Object 1" hidden="1"/>
        <xdr:cNvSpPr/>
      </xdr:nvSpPr>
      <xdr:spPr>
        <a:xfrm>
          <a:off x="5386705" y="11402695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54</xdr:row>
      <xdr:rowOff>0</xdr:rowOff>
    </xdr:from>
    <xdr:to>
      <xdr:col>3</xdr:col>
      <xdr:colOff>2565287</xdr:colOff>
      <xdr:row>54</xdr:row>
      <xdr:rowOff>47625</xdr:rowOff>
    </xdr:to>
    <xdr:sp>
      <xdr:nvSpPr>
        <xdr:cNvPr id="21" name="Object 1" hidden="1"/>
        <xdr:cNvSpPr/>
      </xdr:nvSpPr>
      <xdr:spPr>
        <a:xfrm>
          <a:off x="5386705" y="11402695"/>
          <a:ext cx="190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49</xdr:row>
      <xdr:rowOff>123825</xdr:rowOff>
    </xdr:from>
    <xdr:to>
      <xdr:col>3</xdr:col>
      <xdr:colOff>2568383</xdr:colOff>
      <xdr:row>49</xdr:row>
      <xdr:rowOff>171450</xdr:rowOff>
    </xdr:to>
    <xdr:sp>
      <xdr:nvSpPr>
        <xdr:cNvPr id="22" name="Object 1" hidden="1"/>
        <xdr:cNvSpPr/>
      </xdr:nvSpPr>
      <xdr:spPr>
        <a:xfrm>
          <a:off x="5386705" y="10526395"/>
          <a:ext cx="5080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49</xdr:row>
      <xdr:rowOff>123825</xdr:rowOff>
    </xdr:from>
    <xdr:to>
      <xdr:col>3</xdr:col>
      <xdr:colOff>2568383</xdr:colOff>
      <xdr:row>49</xdr:row>
      <xdr:rowOff>171450</xdr:rowOff>
    </xdr:to>
    <xdr:sp>
      <xdr:nvSpPr>
        <xdr:cNvPr id="23" name="Object 1" hidden="1"/>
        <xdr:cNvSpPr/>
      </xdr:nvSpPr>
      <xdr:spPr>
        <a:xfrm>
          <a:off x="5386705" y="10526395"/>
          <a:ext cx="5080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49</xdr:row>
      <xdr:rowOff>123825</xdr:rowOff>
    </xdr:from>
    <xdr:to>
      <xdr:col>3</xdr:col>
      <xdr:colOff>2568383</xdr:colOff>
      <xdr:row>49</xdr:row>
      <xdr:rowOff>171450</xdr:rowOff>
    </xdr:to>
    <xdr:sp>
      <xdr:nvSpPr>
        <xdr:cNvPr id="24" name="Object 1" hidden="1"/>
        <xdr:cNvSpPr/>
      </xdr:nvSpPr>
      <xdr:spPr>
        <a:xfrm>
          <a:off x="5386705" y="10526395"/>
          <a:ext cx="5080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49</xdr:row>
      <xdr:rowOff>123825</xdr:rowOff>
    </xdr:from>
    <xdr:to>
      <xdr:col>3</xdr:col>
      <xdr:colOff>2568383</xdr:colOff>
      <xdr:row>49</xdr:row>
      <xdr:rowOff>171450</xdr:rowOff>
    </xdr:to>
    <xdr:sp>
      <xdr:nvSpPr>
        <xdr:cNvPr id="25" name="Object 1" hidden="1"/>
        <xdr:cNvSpPr/>
      </xdr:nvSpPr>
      <xdr:spPr>
        <a:xfrm>
          <a:off x="5386705" y="10526395"/>
          <a:ext cx="5080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49</xdr:row>
      <xdr:rowOff>123825</xdr:rowOff>
    </xdr:from>
    <xdr:to>
      <xdr:col>3</xdr:col>
      <xdr:colOff>2569065</xdr:colOff>
      <xdr:row>49</xdr:row>
      <xdr:rowOff>171450</xdr:rowOff>
    </xdr:to>
    <xdr:sp>
      <xdr:nvSpPr>
        <xdr:cNvPr id="26" name="Object 1" hidden="1"/>
        <xdr:cNvSpPr/>
      </xdr:nvSpPr>
      <xdr:spPr>
        <a:xfrm>
          <a:off x="5386705" y="10526395"/>
          <a:ext cx="571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49</xdr:row>
      <xdr:rowOff>123825</xdr:rowOff>
    </xdr:from>
    <xdr:to>
      <xdr:col>3</xdr:col>
      <xdr:colOff>2568383</xdr:colOff>
      <xdr:row>49</xdr:row>
      <xdr:rowOff>171450</xdr:rowOff>
    </xdr:to>
    <xdr:sp>
      <xdr:nvSpPr>
        <xdr:cNvPr id="27" name="Object 1" hidden="1"/>
        <xdr:cNvSpPr/>
      </xdr:nvSpPr>
      <xdr:spPr>
        <a:xfrm>
          <a:off x="5386705" y="10526395"/>
          <a:ext cx="5080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49</xdr:row>
      <xdr:rowOff>123825</xdr:rowOff>
    </xdr:from>
    <xdr:to>
      <xdr:col>3</xdr:col>
      <xdr:colOff>2568383</xdr:colOff>
      <xdr:row>49</xdr:row>
      <xdr:rowOff>171450</xdr:rowOff>
    </xdr:to>
    <xdr:sp>
      <xdr:nvSpPr>
        <xdr:cNvPr id="28" name="Object 1" hidden="1"/>
        <xdr:cNvSpPr/>
      </xdr:nvSpPr>
      <xdr:spPr>
        <a:xfrm>
          <a:off x="5386705" y="10526395"/>
          <a:ext cx="5080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49</xdr:row>
      <xdr:rowOff>123825</xdr:rowOff>
    </xdr:from>
    <xdr:to>
      <xdr:col>3</xdr:col>
      <xdr:colOff>2568383</xdr:colOff>
      <xdr:row>49</xdr:row>
      <xdr:rowOff>171450</xdr:rowOff>
    </xdr:to>
    <xdr:sp>
      <xdr:nvSpPr>
        <xdr:cNvPr id="29" name="Object 1" hidden="1"/>
        <xdr:cNvSpPr/>
      </xdr:nvSpPr>
      <xdr:spPr>
        <a:xfrm>
          <a:off x="5386705" y="10526395"/>
          <a:ext cx="5080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49</xdr:row>
      <xdr:rowOff>123825</xdr:rowOff>
    </xdr:from>
    <xdr:to>
      <xdr:col>3</xdr:col>
      <xdr:colOff>2568383</xdr:colOff>
      <xdr:row>49</xdr:row>
      <xdr:rowOff>171450</xdr:rowOff>
    </xdr:to>
    <xdr:sp>
      <xdr:nvSpPr>
        <xdr:cNvPr id="30" name="Object 1" hidden="1"/>
        <xdr:cNvSpPr/>
      </xdr:nvSpPr>
      <xdr:spPr>
        <a:xfrm>
          <a:off x="5386705" y="10526395"/>
          <a:ext cx="5080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2562860</xdr:colOff>
      <xdr:row>49</xdr:row>
      <xdr:rowOff>123825</xdr:rowOff>
    </xdr:from>
    <xdr:to>
      <xdr:col>3</xdr:col>
      <xdr:colOff>2569065</xdr:colOff>
      <xdr:row>49</xdr:row>
      <xdr:rowOff>171450</xdr:rowOff>
    </xdr:to>
    <xdr:sp>
      <xdr:nvSpPr>
        <xdr:cNvPr id="31" name="Object 1" hidden="1"/>
        <xdr:cNvSpPr/>
      </xdr:nvSpPr>
      <xdr:spPr>
        <a:xfrm>
          <a:off x="5386705" y="10526395"/>
          <a:ext cx="5715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807284</xdr:colOff>
      <xdr:row>7</xdr:row>
      <xdr:rowOff>612322</xdr:rowOff>
    </xdr:from>
    <xdr:to>
      <xdr:col>2</xdr:col>
      <xdr:colOff>808584</xdr:colOff>
      <xdr:row>8</xdr:row>
      <xdr:rowOff>94754</xdr:rowOff>
    </xdr:to>
    <xdr:cxnSp>
      <xdr:nvCxnSpPr>
        <xdr:cNvPr id="167" name="Straight Arrow Connector 38"/>
        <xdr:cNvCxnSpPr/>
      </xdr:nvCxnSpPr>
      <xdr:spPr>
        <a:xfrm rot="16200000" flipH="1">
          <a:off x="2399665" y="3587115"/>
          <a:ext cx="244475" cy="12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498196</xdr:colOff>
      <xdr:row>7</xdr:row>
      <xdr:rowOff>70885</xdr:rowOff>
    </xdr:from>
    <xdr:to>
      <xdr:col>2</xdr:col>
      <xdr:colOff>1116371</xdr:colOff>
      <xdr:row>7</xdr:row>
      <xdr:rowOff>612322</xdr:rowOff>
    </xdr:to>
    <xdr:sp>
      <xdr:nvSpPr>
        <xdr:cNvPr id="168" name="流程图: 联系 382"/>
        <xdr:cNvSpPr/>
      </xdr:nvSpPr>
      <xdr:spPr>
        <a:xfrm>
          <a:off x="2212340" y="2924175"/>
          <a:ext cx="618490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101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807284</xdr:colOff>
      <xdr:row>7</xdr:row>
      <xdr:rowOff>612322</xdr:rowOff>
    </xdr:from>
    <xdr:to>
      <xdr:col>2</xdr:col>
      <xdr:colOff>808584</xdr:colOff>
      <xdr:row>8</xdr:row>
      <xdr:rowOff>94754</xdr:rowOff>
    </xdr:to>
    <xdr:cxnSp>
      <xdr:nvCxnSpPr>
        <xdr:cNvPr id="169" name="Straight Arrow Connector 38"/>
        <xdr:cNvCxnSpPr>
          <a:stCxn id="168" idx="4"/>
          <a:endCxn id="174" idx="0"/>
        </xdr:cNvCxnSpPr>
      </xdr:nvCxnSpPr>
      <xdr:spPr>
        <a:xfrm rot="16200000" flipH="1">
          <a:off x="2399665" y="3587115"/>
          <a:ext cx="244475" cy="12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1178386</xdr:colOff>
      <xdr:row>13</xdr:row>
      <xdr:rowOff>219516</xdr:rowOff>
    </xdr:from>
    <xdr:to>
      <xdr:col>2</xdr:col>
      <xdr:colOff>2090447</xdr:colOff>
      <xdr:row>13</xdr:row>
      <xdr:rowOff>627944</xdr:rowOff>
    </xdr:to>
    <xdr:sp>
      <xdr:nvSpPr>
        <xdr:cNvPr id="170" name="Rectangle 99"/>
        <xdr:cNvSpPr/>
      </xdr:nvSpPr>
      <xdr:spPr>
        <a:xfrm>
          <a:off x="2892425" y="7435215"/>
          <a:ext cx="912495" cy="4083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Repair</a:t>
          </a:r>
          <a:endParaRPr lang="en-US" altLang="en-US" sz="14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401223</xdr:colOff>
      <xdr:row>11</xdr:row>
      <xdr:rowOff>182120</xdr:rowOff>
    </xdr:from>
    <xdr:to>
      <xdr:col>2</xdr:col>
      <xdr:colOff>1255772</xdr:colOff>
      <xdr:row>11</xdr:row>
      <xdr:rowOff>633209</xdr:rowOff>
    </xdr:to>
    <xdr:sp>
      <xdr:nvSpPr>
        <xdr:cNvPr id="171" name="流程图: 决策 479"/>
        <xdr:cNvSpPr/>
      </xdr:nvSpPr>
      <xdr:spPr>
        <a:xfrm>
          <a:off x="2115185" y="5873750"/>
          <a:ext cx="854710" cy="451485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105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368982</xdr:colOff>
      <xdr:row>12</xdr:row>
      <xdr:rowOff>179973</xdr:rowOff>
    </xdr:from>
    <xdr:to>
      <xdr:col>2</xdr:col>
      <xdr:colOff>1310618</xdr:colOff>
      <xdr:row>12</xdr:row>
      <xdr:rowOff>631062</xdr:rowOff>
    </xdr:to>
    <xdr:sp>
      <xdr:nvSpPr>
        <xdr:cNvPr id="172" name="流程图: 决策 479"/>
        <xdr:cNvSpPr/>
      </xdr:nvSpPr>
      <xdr:spPr>
        <a:xfrm>
          <a:off x="2083435" y="6633845"/>
          <a:ext cx="941070" cy="450850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106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828498</xdr:colOff>
      <xdr:row>11</xdr:row>
      <xdr:rowOff>633209</xdr:rowOff>
    </xdr:from>
    <xdr:to>
      <xdr:col>2</xdr:col>
      <xdr:colOff>839800</xdr:colOff>
      <xdr:row>12</xdr:row>
      <xdr:rowOff>179973</xdr:rowOff>
    </xdr:to>
    <xdr:cxnSp>
      <xdr:nvCxnSpPr>
        <xdr:cNvPr id="173" name="Straight Arrow Connector 64"/>
        <xdr:cNvCxnSpPr>
          <a:stCxn id="171" idx="2"/>
          <a:endCxn id="172" idx="0"/>
        </xdr:cNvCxnSpPr>
      </xdr:nvCxnSpPr>
      <xdr:spPr>
        <a:xfrm>
          <a:off x="2542540" y="6325235"/>
          <a:ext cx="11430" cy="3086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506414</xdr:colOff>
      <xdr:row>8</xdr:row>
      <xdr:rowOff>94754</xdr:rowOff>
    </xdr:from>
    <xdr:to>
      <xdr:col>2</xdr:col>
      <xdr:colOff>1110754</xdr:colOff>
      <xdr:row>8</xdr:row>
      <xdr:rowOff>617711</xdr:rowOff>
    </xdr:to>
    <xdr:sp>
      <xdr:nvSpPr>
        <xdr:cNvPr id="174" name="流程图: 联系 382"/>
        <xdr:cNvSpPr/>
      </xdr:nvSpPr>
      <xdr:spPr>
        <a:xfrm>
          <a:off x="2220595" y="3710305"/>
          <a:ext cx="604520" cy="5226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10</a:t>
          </a:r>
          <a:r>
            <a:rPr lang="en-US" altLang="zh-CN" sz="1400" b="1">
              <a:solidFill>
                <a:sysClr val="windowText" lastClr="000000"/>
              </a:solidFill>
            </a:rPr>
            <a:t>2</a:t>
          </a:r>
          <a:endParaRPr lang="en-US" altLang="zh-C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825311</xdr:colOff>
      <xdr:row>10</xdr:row>
      <xdr:rowOff>654645</xdr:rowOff>
    </xdr:from>
    <xdr:to>
      <xdr:col>2</xdr:col>
      <xdr:colOff>828498</xdr:colOff>
      <xdr:row>11</xdr:row>
      <xdr:rowOff>182120</xdr:rowOff>
    </xdr:to>
    <xdr:cxnSp>
      <xdr:nvCxnSpPr>
        <xdr:cNvPr id="175" name="Straight Arrow Connector 64"/>
        <xdr:cNvCxnSpPr>
          <a:stCxn id="177" idx="4"/>
          <a:endCxn id="171" idx="0"/>
        </xdr:cNvCxnSpPr>
      </xdr:nvCxnSpPr>
      <xdr:spPr>
        <a:xfrm>
          <a:off x="2539365" y="5584190"/>
          <a:ext cx="3175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507209</xdr:colOff>
      <xdr:row>9</xdr:row>
      <xdr:rowOff>141049</xdr:rowOff>
    </xdr:from>
    <xdr:to>
      <xdr:col>2</xdr:col>
      <xdr:colOff>1125384</xdr:colOff>
      <xdr:row>9</xdr:row>
      <xdr:rowOff>657225</xdr:rowOff>
    </xdr:to>
    <xdr:sp>
      <xdr:nvSpPr>
        <xdr:cNvPr id="176" name="流程图: 联系 382"/>
        <xdr:cNvSpPr/>
      </xdr:nvSpPr>
      <xdr:spPr>
        <a:xfrm>
          <a:off x="2221230" y="4413885"/>
          <a:ext cx="618490" cy="5162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103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516223</xdr:colOff>
      <xdr:row>10</xdr:row>
      <xdr:rowOff>119343</xdr:rowOff>
    </xdr:from>
    <xdr:to>
      <xdr:col>2</xdr:col>
      <xdr:colOff>1134398</xdr:colOff>
      <xdr:row>10</xdr:row>
      <xdr:rowOff>654645</xdr:rowOff>
    </xdr:to>
    <xdr:sp>
      <xdr:nvSpPr>
        <xdr:cNvPr id="177" name="流程图: 联系 382"/>
        <xdr:cNvSpPr/>
      </xdr:nvSpPr>
      <xdr:spPr>
        <a:xfrm>
          <a:off x="2230120" y="5048885"/>
          <a:ext cx="618490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104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368982</xdr:colOff>
      <xdr:row>12</xdr:row>
      <xdr:rowOff>405519</xdr:rowOff>
    </xdr:from>
    <xdr:to>
      <xdr:col>2</xdr:col>
      <xdr:colOff>1178386</xdr:colOff>
      <xdr:row>13</xdr:row>
      <xdr:rowOff>423731</xdr:rowOff>
    </xdr:to>
    <xdr:cxnSp>
      <xdr:nvCxnSpPr>
        <xdr:cNvPr id="178" name="Elbow Connector 15"/>
        <xdr:cNvCxnSpPr>
          <a:stCxn id="170" idx="1"/>
          <a:endCxn id="172" idx="1"/>
        </xdr:cNvCxnSpPr>
      </xdr:nvCxnSpPr>
      <xdr:spPr>
        <a:xfrm rot="10800000">
          <a:off x="2083435" y="6859270"/>
          <a:ext cx="808990" cy="780415"/>
        </a:xfrm>
        <a:prstGeom prst="bentConnector3">
          <a:avLst>
            <a:gd name="adj1" fmla="val 1282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1310618</xdr:colOff>
      <xdr:row>12</xdr:row>
      <xdr:rowOff>405518</xdr:rowOff>
    </xdr:from>
    <xdr:to>
      <xdr:col>2</xdr:col>
      <xdr:colOff>1634417</xdr:colOff>
      <xdr:row>13</xdr:row>
      <xdr:rowOff>219516</xdr:rowOff>
    </xdr:to>
    <xdr:cxnSp>
      <xdr:nvCxnSpPr>
        <xdr:cNvPr id="179" name="Elbow Connector 16"/>
        <xdr:cNvCxnSpPr>
          <a:stCxn id="172" idx="3"/>
          <a:endCxn id="170" idx="0"/>
        </xdr:cNvCxnSpPr>
      </xdr:nvCxnSpPr>
      <xdr:spPr>
        <a:xfrm>
          <a:off x="3024505" y="6859270"/>
          <a:ext cx="323850" cy="57594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1255772</xdr:colOff>
      <xdr:row>11</xdr:row>
      <xdr:rowOff>407665</xdr:rowOff>
    </xdr:from>
    <xdr:to>
      <xdr:col>2</xdr:col>
      <xdr:colOff>1634417</xdr:colOff>
      <xdr:row>13</xdr:row>
      <xdr:rowOff>219516</xdr:rowOff>
    </xdr:to>
    <xdr:cxnSp>
      <xdr:nvCxnSpPr>
        <xdr:cNvPr id="180" name="Elbow Connector 17"/>
        <xdr:cNvCxnSpPr>
          <a:stCxn id="171" idx="3"/>
          <a:endCxn id="170" idx="0"/>
        </xdr:cNvCxnSpPr>
      </xdr:nvCxnSpPr>
      <xdr:spPr>
        <a:xfrm>
          <a:off x="2969895" y="6099175"/>
          <a:ext cx="378460" cy="133604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6</xdr:row>
      <xdr:rowOff>130970</xdr:rowOff>
    </xdr:from>
    <xdr:to>
      <xdr:col>2</xdr:col>
      <xdr:colOff>1040290</xdr:colOff>
      <xdr:row>6</xdr:row>
      <xdr:rowOff>533477</xdr:rowOff>
    </xdr:to>
    <xdr:sp>
      <xdr:nvSpPr>
        <xdr:cNvPr id="181" name="Isosceles Triangle 98"/>
        <xdr:cNvSpPr/>
      </xdr:nvSpPr>
      <xdr:spPr>
        <a:xfrm rot="10800000">
          <a:off x="2286000" y="2327275"/>
          <a:ext cx="468630" cy="402590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805894</xdr:colOff>
      <xdr:row>6</xdr:row>
      <xdr:rowOff>533477</xdr:rowOff>
    </xdr:from>
    <xdr:to>
      <xdr:col>2</xdr:col>
      <xdr:colOff>807283</xdr:colOff>
      <xdr:row>7</xdr:row>
      <xdr:rowOff>70885</xdr:rowOff>
    </xdr:to>
    <xdr:cxnSp>
      <xdr:nvCxnSpPr>
        <xdr:cNvPr id="182" name="Elbow Connector 21"/>
        <xdr:cNvCxnSpPr>
          <a:stCxn id="181" idx="0"/>
          <a:endCxn id="168" idx="0"/>
        </xdr:cNvCxnSpPr>
      </xdr:nvCxnSpPr>
      <xdr:spPr>
        <a:xfrm rot="16200000" flipH="1">
          <a:off x="2423160" y="2826385"/>
          <a:ext cx="194945" cy="127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598714</xdr:colOff>
      <xdr:row>21</xdr:row>
      <xdr:rowOff>219027</xdr:rowOff>
    </xdr:from>
    <xdr:to>
      <xdr:col>2</xdr:col>
      <xdr:colOff>1067504</xdr:colOff>
      <xdr:row>21</xdr:row>
      <xdr:rowOff>583735</xdr:rowOff>
    </xdr:to>
    <xdr:sp>
      <xdr:nvSpPr>
        <xdr:cNvPr id="183" name="Isosceles Triangle 98"/>
        <xdr:cNvSpPr/>
      </xdr:nvSpPr>
      <xdr:spPr>
        <a:xfrm>
          <a:off x="2312670" y="13244830"/>
          <a:ext cx="469265" cy="36512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833109</xdr:colOff>
      <xdr:row>19</xdr:row>
      <xdr:rowOff>631062</xdr:rowOff>
    </xdr:from>
    <xdr:to>
      <xdr:col>2</xdr:col>
      <xdr:colOff>839800</xdr:colOff>
      <xdr:row>21</xdr:row>
      <xdr:rowOff>219027</xdr:rowOff>
    </xdr:to>
    <xdr:cxnSp>
      <xdr:nvCxnSpPr>
        <xdr:cNvPr id="184" name="Straight Arrow Connector 64"/>
        <xdr:cNvCxnSpPr>
          <a:stCxn id="190" idx="2"/>
          <a:endCxn id="183" idx="0"/>
        </xdr:cNvCxnSpPr>
      </xdr:nvCxnSpPr>
      <xdr:spPr>
        <a:xfrm flipH="1">
          <a:off x="2546985" y="12247245"/>
          <a:ext cx="6985" cy="9975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498196</xdr:colOff>
      <xdr:row>14</xdr:row>
      <xdr:rowOff>70885</xdr:rowOff>
    </xdr:from>
    <xdr:to>
      <xdr:col>2</xdr:col>
      <xdr:colOff>1116371</xdr:colOff>
      <xdr:row>14</xdr:row>
      <xdr:rowOff>612322</xdr:rowOff>
    </xdr:to>
    <xdr:sp>
      <xdr:nvSpPr>
        <xdr:cNvPr id="185" name="流程图: 联系 382"/>
        <xdr:cNvSpPr/>
      </xdr:nvSpPr>
      <xdr:spPr>
        <a:xfrm>
          <a:off x="2212340" y="8048625"/>
          <a:ext cx="618490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107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807284</xdr:colOff>
      <xdr:row>14</xdr:row>
      <xdr:rowOff>612322</xdr:rowOff>
    </xdr:from>
    <xdr:to>
      <xdr:col>2</xdr:col>
      <xdr:colOff>808584</xdr:colOff>
      <xdr:row>15</xdr:row>
      <xdr:rowOff>94754</xdr:rowOff>
    </xdr:to>
    <xdr:cxnSp>
      <xdr:nvCxnSpPr>
        <xdr:cNvPr id="186" name="Straight Arrow Connector 38"/>
        <xdr:cNvCxnSpPr>
          <a:stCxn id="185" idx="4"/>
          <a:endCxn id="192" idx="0"/>
        </xdr:cNvCxnSpPr>
      </xdr:nvCxnSpPr>
      <xdr:spPr>
        <a:xfrm rot="16200000" flipH="1">
          <a:off x="2399665" y="8711565"/>
          <a:ext cx="244475" cy="12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816297</xdr:colOff>
      <xdr:row>16</xdr:row>
      <xdr:rowOff>676352</xdr:rowOff>
    </xdr:from>
    <xdr:to>
      <xdr:col>2</xdr:col>
      <xdr:colOff>825313</xdr:colOff>
      <xdr:row>17</xdr:row>
      <xdr:rowOff>119342</xdr:rowOff>
    </xdr:to>
    <xdr:cxnSp>
      <xdr:nvCxnSpPr>
        <xdr:cNvPr id="187" name="Straight Arrow Connector 39"/>
        <xdr:cNvCxnSpPr>
          <a:stCxn id="194" idx="4"/>
        </xdr:cNvCxnSpPr>
      </xdr:nvCxnSpPr>
      <xdr:spPr>
        <a:xfrm>
          <a:off x="2530475" y="10178415"/>
          <a:ext cx="889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1289226</xdr:colOff>
      <xdr:row>20</xdr:row>
      <xdr:rowOff>219516</xdr:rowOff>
    </xdr:from>
    <xdr:to>
      <xdr:col>2</xdr:col>
      <xdr:colOff>2201287</xdr:colOff>
      <xdr:row>20</xdr:row>
      <xdr:rowOff>627944</xdr:rowOff>
    </xdr:to>
    <xdr:sp>
      <xdr:nvSpPr>
        <xdr:cNvPr id="188" name="Rectangle 99"/>
        <xdr:cNvSpPr/>
      </xdr:nvSpPr>
      <xdr:spPr>
        <a:xfrm>
          <a:off x="3003550" y="12540615"/>
          <a:ext cx="911860" cy="4083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Repair</a:t>
          </a:r>
          <a:endParaRPr lang="en-US" altLang="en-US" sz="14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401223</xdr:colOff>
      <xdr:row>18</xdr:row>
      <xdr:rowOff>182120</xdr:rowOff>
    </xdr:from>
    <xdr:to>
      <xdr:col>2</xdr:col>
      <xdr:colOff>1255772</xdr:colOff>
      <xdr:row>18</xdr:row>
      <xdr:rowOff>633209</xdr:rowOff>
    </xdr:to>
    <xdr:sp>
      <xdr:nvSpPr>
        <xdr:cNvPr id="189" name="流程图: 决策 479"/>
        <xdr:cNvSpPr/>
      </xdr:nvSpPr>
      <xdr:spPr>
        <a:xfrm>
          <a:off x="2115185" y="11093450"/>
          <a:ext cx="854710" cy="451485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111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368982</xdr:colOff>
      <xdr:row>19</xdr:row>
      <xdr:rowOff>179973</xdr:rowOff>
    </xdr:from>
    <xdr:to>
      <xdr:col>2</xdr:col>
      <xdr:colOff>1310618</xdr:colOff>
      <xdr:row>19</xdr:row>
      <xdr:rowOff>631062</xdr:rowOff>
    </xdr:to>
    <xdr:sp>
      <xdr:nvSpPr>
        <xdr:cNvPr id="190" name="流程图: 决策 479"/>
        <xdr:cNvSpPr/>
      </xdr:nvSpPr>
      <xdr:spPr>
        <a:xfrm>
          <a:off x="2083435" y="11796395"/>
          <a:ext cx="941070" cy="450850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112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828498</xdr:colOff>
      <xdr:row>18</xdr:row>
      <xdr:rowOff>633209</xdr:rowOff>
    </xdr:from>
    <xdr:to>
      <xdr:col>2</xdr:col>
      <xdr:colOff>839800</xdr:colOff>
      <xdr:row>19</xdr:row>
      <xdr:rowOff>179973</xdr:rowOff>
    </xdr:to>
    <xdr:cxnSp>
      <xdr:nvCxnSpPr>
        <xdr:cNvPr id="191" name="Straight Arrow Connector 64"/>
        <xdr:cNvCxnSpPr>
          <a:stCxn id="189" idx="2"/>
          <a:endCxn id="190" idx="0"/>
        </xdr:cNvCxnSpPr>
      </xdr:nvCxnSpPr>
      <xdr:spPr>
        <a:xfrm>
          <a:off x="2542540" y="11544935"/>
          <a:ext cx="1143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506414</xdr:colOff>
      <xdr:row>15</xdr:row>
      <xdr:rowOff>94754</xdr:rowOff>
    </xdr:from>
    <xdr:to>
      <xdr:col>2</xdr:col>
      <xdr:colOff>1110754</xdr:colOff>
      <xdr:row>15</xdr:row>
      <xdr:rowOff>617711</xdr:rowOff>
    </xdr:to>
    <xdr:sp>
      <xdr:nvSpPr>
        <xdr:cNvPr id="192" name="流程图: 联系 382"/>
        <xdr:cNvSpPr/>
      </xdr:nvSpPr>
      <xdr:spPr>
        <a:xfrm>
          <a:off x="2220595" y="8834755"/>
          <a:ext cx="604520" cy="5226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108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825311</xdr:colOff>
      <xdr:row>17</xdr:row>
      <xdr:rowOff>654645</xdr:rowOff>
    </xdr:from>
    <xdr:to>
      <xdr:col>2</xdr:col>
      <xdr:colOff>828498</xdr:colOff>
      <xdr:row>18</xdr:row>
      <xdr:rowOff>182120</xdr:rowOff>
    </xdr:to>
    <xdr:cxnSp>
      <xdr:nvCxnSpPr>
        <xdr:cNvPr id="193" name="Straight Arrow Connector 64"/>
        <xdr:cNvCxnSpPr>
          <a:stCxn id="195" idx="4"/>
          <a:endCxn id="189" idx="0"/>
        </xdr:cNvCxnSpPr>
      </xdr:nvCxnSpPr>
      <xdr:spPr>
        <a:xfrm>
          <a:off x="2539365" y="10861040"/>
          <a:ext cx="3175" cy="2324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507209</xdr:colOff>
      <xdr:row>16</xdr:row>
      <xdr:rowOff>141049</xdr:rowOff>
    </xdr:from>
    <xdr:to>
      <xdr:col>2</xdr:col>
      <xdr:colOff>1125384</xdr:colOff>
      <xdr:row>16</xdr:row>
      <xdr:rowOff>676352</xdr:rowOff>
    </xdr:to>
    <xdr:sp>
      <xdr:nvSpPr>
        <xdr:cNvPr id="194" name="流程图: 联系 382"/>
        <xdr:cNvSpPr/>
      </xdr:nvSpPr>
      <xdr:spPr>
        <a:xfrm>
          <a:off x="2221230" y="9643110"/>
          <a:ext cx="618490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109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516223</xdr:colOff>
      <xdr:row>17</xdr:row>
      <xdr:rowOff>119343</xdr:rowOff>
    </xdr:from>
    <xdr:to>
      <xdr:col>2</xdr:col>
      <xdr:colOff>1134398</xdr:colOff>
      <xdr:row>17</xdr:row>
      <xdr:rowOff>654645</xdr:rowOff>
    </xdr:to>
    <xdr:sp>
      <xdr:nvSpPr>
        <xdr:cNvPr id="195" name="流程图: 联系 382"/>
        <xdr:cNvSpPr/>
      </xdr:nvSpPr>
      <xdr:spPr>
        <a:xfrm>
          <a:off x="2230120" y="10325735"/>
          <a:ext cx="618490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110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368982</xdr:colOff>
      <xdr:row>19</xdr:row>
      <xdr:rowOff>405519</xdr:rowOff>
    </xdr:from>
    <xdr:to>
      <xdr:col>2</xdr:col>
      <xdr:colOff>1289226</xdr:colOff>
      <xdr:row>20</xdr:row>
      <xdr:rowOff>423731</xdr:rowOff>
    </xdr:to>
    <xdr:cxnSp>
      <xdr:nvCxnSpPr>
        <xdr:cNvPr id="196" name="Elbow Connector 15"/>
        <xdr:cNvCxnSpPr>
          <a:stCxn id="188" idx="1"/>
          <a:endCxn id="190" idx="1"/>
        </xdr:cNvCxnSpPr>
      </xdr:nvCxnSpPr>
      <xdr:spPr>
        <a:xfrm rot="10800000">
          <a:off x="2083435" y="12021820"/>
          <a:ext cx="920115" cy="723265"/>
        </a:xfrm>
        <a:prstGeom prst="bentConnector3">
          <a:avLst>
            <a:gd name="adj1" fmla="val 12484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1310618</xdr:colOff>
      <xdr:row>19</xdr:row>
      <xdr:rowOff>405518</xdr:rowOff>
    </xdr:from>
    <xdr:to>
      <xdr:col>2</xdr:col>
      <xdr:colOff>1745257</xdr:colOff>
      <xdr:row>20</xdr:row>
      <xdr:rowOff>219516</xdr:rowOff>
    </xdr:to>
    <xdr:cxnSp>
      <xdr:nvCxnSpPr>
        <xdr:cNvPr id="197" name="Elbow Connector 16"/>
        <xdr:cNvCxnSpPr>
          <a:stCxn id="190" idx="3"/>
          <a:endCxn id="188" idx="0"/>
        </xdr:cNvCxnSpPr>
      </xdr:nvCxnSpPr>
      <xdr:spPr>
        <a:xfrm>
          <a:off x="3024505" y="12021820"/>
          <a:ext cx="434975" cy="51879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1255772</xdr:colOff>
      <xdr:row>18</xdr:row>
      <xdr:rowOff>407665</xdr:rowOff>
    </xdr:from>
    <xdr:to>
      <xdr:col>2</xdr:col>
      <xdr:colOff>1745257</xdr:colOff>
      <xdr:row>20</xdr:row>
      <xdr:rowOff>219516</xdr:rowOff>
    </xdr:to>
    <xdr:cxnSp>
      <xdr:nvCxnSpPr>
        <xdr:cNvPr id="198" name="Elbow Connector 17"/>
        <xdr:cNvCxnSpPr>
          <a:stCxn id="189" idx="3"/>
          <a:endCxn id="188" idx="0"/>
        </xdr:cNvCxnSpPr>
      </xdr:nvCxnSpPr>
      <xdr:spPr>
        <a:xfrm>
          <a:off x="2969895" y="11318875"/>
          <a:ext cx="489585" cy="122174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808584</xdr:colOff>
      <xdr:row>15</xdr:row>
      <xdr:rowOff>617711</xdr:rowOff>
    </xdr:from>
    <xdr:to>
      <xdr:col>2</xdr:col>
      <xdr:colOff>816297</xdr:colOff>
      <xdr:row>16</xdr:row>
      <xdr:rowOff>141049</xdr:rowOff>
    </xdr:to>
    <xdr:cxnSp>
      <xdr:nvCxnSpPr>
        <xdr:cNvPr id="220" name="Straight Arrow Connector 38"/>
        <xdr:cNvCxnSpPr>
          <a:stCxn id="192" idx="4"/>
          <a:endCxn id="194" idx="0"/>
        </xdr:cNvCxnSpPr>
      </xdr:nvCxnSpPr>
      <xdr:spPr>
        <a:xfrm>
          <a:off x="2522855" y="9357360"/>
          <a:ext cx="7620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808584</xdr:colOff>
      <xdr:row>8</xdr:row>
      <xdr:rowOff>617710</xdr:rowOff>
    </xdr:from>
    <xdr:to>
      <xdr:col>2</xdr:col>
      <xdr:colOff>816297</xdr:colOff>
      <xdr:row>9</xdr:row>
      <xdr:rowOff>141048</xdr:rowOff>
    </xdr:to>
    <xdr:cxnSp>
      <xdr:nvCxnSpPr>
        <xdr:cNvPr id="221" name="Elbow Connector 21"/>
        <xdr:cNvCxnSpPr>
          <a:stCxn id="174" idx="4"/>
          <a:endCxn id="176" idx="0"/>
        </xdr:cNvCxnSpPr>
      </xdr:nvCxnSpPr>
      <xdr:spPr>
        <a:xfrm rot="16200000" flipH="1">
          <a:off x="2436495" y="4319270"/>
          <a:ext cx="180340" cy="825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816298</xdr:colOff>
      <xdr:row>9</xdr:row>
      <xdr:rowOff>657225</xdr:rowOff>
    </xdr:from>
    <xdr:to>
      <xdr:col>2</xdr:col>
      <xdr:colOff>825312</xdr:colOff>
      <xdr:row>10</xdr:row>
      <xdr:rowOff>119342</xdr:rowOff>
    </xdr:to>
    <xdr:cxnSp>
      <xdr:nvCxnSpPr>
        <xdr:cNvPr id="222" name="Elbow Connector 21"/>
        <xdr:cNvCxnSpPr>
          <a:stCxn id="176" idx="4"/>
          <a:endCxn id="177" idx="0"/>
        </xdr:cNvCxnSpPr>
      </xdr:nvCxnSpPr>
      <xdr:spPr>
        <a:xfrm rot="16200000" flipH="1">
          <a:off x="2475230" y="4984750"/>
          <a:ext cx="119380" cy="95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838835</xdr:colOff>
      <xdr:row>12</xdr:row>
      <xdr:rowOff>630555</xdr:rowOff>
    </xdr:from>
    <xdr:to>
      <xdr:col>2</xdr:col>
      <xdr:colOff>840105</xdr:colOff>
      <xdr:row>14</xdr:row>
      <xdr:rowOff>9525</xdr:rowOff>
    </xdr:to>
    <xdr:cxnSp>
      <xdr:nvCxnSpPr>
        <xdr:cNvPr id="223" name="Straight Arrow Connector 38"/>
        <xdr:cNvCxnSpPr>
          <a:stCxn id="172" idx="2"/>
        </xdr:cNvCxnSpPr>
      </xdr:nvCxnSpPr>
      <xdr:spPr>
        <a:xfrm>
          <a:off x="2553335" y="7084695"/>
          <a:ext cx="1270" cy="9029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630609</xdr:colOff>
      <xdr:row>28</xdr:row>
      <xdr:rowOff>133262</xdr:rowOff>
    </xdr:from>
    <xdr:to>
      <xdr:col>2</xdr:col>
      <xdr:colOff>1248784</xdr:colOff>
      <xdr:row>28</xdr:row>
      <xdr:rowOff>668564</xdr:rowOff>
    </xdr:to>
    <xdr:sp>
      <xdr:nvSpPr>
        <xdr:cNvPr id="224" name="流程图: 联系 382"/>
        <xdr:cNvSpPr/>
      </xdr:nvSpPr>
      <xdr:spPr>
        <a:xfrm>
          <a:off x="2345055" y="17502505"/>
          <a:ext cx="617855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201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692062</xdr:colOff>
      <xdr:row>27</xdr:row>
      <xdr:rowOff>74889</xdr:rowOff>
    </xdr:from>
    <xdr:to>
      <xdr:col>2</xdr:col>
      <xdr:colOff>1193362</xdr:colOff>
      <xdr:row>27</xdr:row>
      <xdr:rowOff>426983</xdr:rowOff>
    </xdr:to>
    <xdr:sp>
      <xdr:nvSpPr>
        <xdr:cNvPr id="225" name="Isosceles Triangle 98"/>
        <xdr:cNvSpPr/>
      </xdr:nvSpPr>
      <xdr:spPr>
        <a:xfrm rot="10800000">
          <a:off x="2406015" y="16682085"/>
          <a:ext cx="501650" cy="35242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637951</xdr:colOff>
      <xdr:row>29</xdr:row>
      <xdr:rowOff>135983</xdr:rowOff>
    </xdr:from>
    <xdr:to>
      <xdr:col>2</xdr:col>
      <xdr:colOff>1256126</xdr:colOff>
      <xdr:row>29</xdr:row>
      <xdr:rowOff>671285</xdr:rowOff>
    </xdr:to>
    <xdr:sp>
      <xdr:nvSpPr>
        <xdr:cNvPr id="226" name="流程图: 联系 382"/>
        <xdr:cNvSpPr/>
      </xdr:nvSpPr>
      <xdr:spPr>
        <a:xfrm>
          <a:off x="2352040" y="18267680"/>
          <a:ext cx="618490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202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634974</xdr:colOff>
      <xdr:row>31</xdr:row>
      <xdr:rowOff>133006</xdr:rowOff>
    </xdr:from>
    <xdr:to>
      <xdr:col>2</xdr:col>
      <xdr:colOff>1253149</xdr:colOff>
      <xdr:row>31</xdr:row>
      <xdr:rowOff>668308</xdr:rowOff>
    </xdr:to>
    <xdr:sp>
      <xdr:nvSpPr>
        <xdr:cNvPr id="227" name="流程图: 联系 382"/>
        <xdr:cNvSpPr/>
      </xdr:nvSpPr>
      <xdr:spPr>
        <a:xfrm>
          <a:off x="2348865" y="19788505"/>
          <a:ext cx="618490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204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639593</xdr:colOff>
      <xdr:row>32</xdr:row>
      <xdr:rowOff>126240</xdr:rowOff>
    </xdr:from>
    <xdr:to>
      <xdr:col>2</xdr:col>
      <xdr:colOff>1257768</xdr:colOff>
      <xdr:row>32</xdr:row>
      <xdr:rowOff>677741</xdr:rowOff>
    </xdr:to>
    <xdr:sp>
      <xdr:nvSpPr>
        <xdr:cNvPr id="228" name="流程图: 联系 382"/>
        <xdr:cNvSpPr/>
      </xdr:nvSpPr>
      <xdr:spPr>
        <a:xfrm>
          <a:off x="2353945" y="20543520"/>
          <a:ext cx="617855" cy="55181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205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939697</xdr:colOff>
      <xdr:row>27</xdr:row>
      <xdr:rowOff>426984</xdr:rowOff>
    </xdr:from>
    <xdr:to>
      <xdr:col>2</xdr:col>
      <xdr:colOff>942712</xdr:colOff>
      <xdr:row>28</xdr:row>
      <xdr:rowOff>133263</xdr:rowOff>
    </xdr:to>
    <xdr:cxnSp>
      <xdr:nvCxnSpPr>
        <xdr:cNvPr id="229" name="Straight Arrow Connector 64"/>
        <xdr:cNvCxnSpPr>
          <a:stCxn id="225" idx="0"/>
          <a:endCxn id="224" idx="0"/>
        </xdr:cNvCxnSpPr>
      </xdr:nvCxnSpPr>
      <xdr:spPr>
        <a:xfrm rot="5400000">
          <a:off x="2421255" y="17266920"/>
          <a:ext cx="467995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939697</xdr:colOff>
      <xdr:row>28</xdr:row>
      <xdr:rowOff>668564</xdr:rowOff>
    </xdr:from>
    <xdr:to>
      <xdr:col>2</xdr:col>
      <xdr:colOff>947039</xdr:colOff>
      <xdr:row>29</xdr:row>
      <xdr:rowOff>135983</xdr:rowOff>
    </xdr:to>
    <xdr:cxnSp>
      <xdr:nvCxnSpPr>
        <xdr:cNvPr id="230" name="Straight Arrow Connector 64"/>
        <xdr:cNvCxnSpPr>
          <a:stCxn id="224" idx="4"/>
          <a:endCxn id="226" idx="0"/>
        </xdr:cNvCxnSpPr>
      </xdr:nvCxnSpPr>
      <xdr:spPr>
        <a:xfrm rot="16200000" flipH="1">
          <a:off x="2542540" y="18148935"/>
          <a:ext cx="22987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723805</xdr:colOff>
      <xdr:row>37</xdr:row>
      <xdr:rowOff>95332</xdr:rowOff>
    </xdr:from>
    <xdr:to>
      <xdr:col>2</xdr:col>
      <xdr:colOff>1192595</xdr:colOff>
      <xdr:row>37</xdr:row>
      <xdr:rowOff>479080</xdr:rowOff>
    </xdr:to>
    <xdr:sp>
      <xdr:nvSpPr>
        <xdr:cNvPr id="231" name="Isosceles Triangle 98"/>
        <xdr:cNvSpPr/>
      </xdr:nvSpPr>
      <xdr:spPr>
        <a:xfrm>
          <a:off x="2437765" y="24132540"/>
          <a:ext cx="469265" cy="383540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637951</xdr:colOff>
      <xdr:row>30</xdr:row>
      <xdr:rowOff>168827</xdr:rowOff>
    </xdr:from>
    <xdr:to>
      <xdr:col>2</xdr:col>
      <xdr:colOff>1256126</xdr:colOff>
      <xdr:row>30</xdr:row>
      <xdr:rowOff>704129</xdr:rowOff>
    </xdr:to>
    <xdr:sp>
      <xdr:nvSpPr>
        <xdr:cNvPr id="232" name="流程图: 联系 382"/>
        <xdr:cNvSpPr/>
      </xdr:nvSpPr>
      <xdr:spPr>
        <a:xfrm>
          <a:off x="2352040" y="19062065"/>
          <a:ext cx="618490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203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939697</xdr:colOff>
      <xdr:row>29</xdr:row>
      <xdr:rowOff>701408</xdr:rowOff>
    </xdr:from>
    <xdr:to>
      <xdr:col>2</xdr:col>
      <xdr:colOff>947039</xdr:colOff>
      <xdr:row>30</xdr:row>
      <xdr:rowOff>168827</xdr:rowOff>
    </xdr:to>
    <xdr:cxnSp>
      <xdr:nvCxnSpPr>
        <xdr:cNvPr id="233" name="Straight Arrow Connector 64"/>
        <xdr:cNvCxnSpPr>
          <a:endCxn id="232" idx="0"/>
        </xdr:cNvCxnSpPr>
      </xdr:nvCxnSpPr>
      <xdr:spPr>
        <a:xfrm>
          <a:off x="2653665" y="18832830"/>
          <a:ext cx="7620" cy="2292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692062</xdr:colOff>
      <xdr:row>27</xdr:row>
      <xdr:rowOff>74889</xdr:rowOff>
    </xdr:from>
    <xdr:to>
      <xdr:col>2</xdr:col>
      <xdr:colOff>1193362</xdr:colOff>
      <xdr:row>27</xdr:row>
      <xdr:rowOff>426983</xdr:rowOff>
    </xdr:to>
    <xdr:sp>
      <xdr:nvSpPr>
        <xdr:cNvPr id="234" name="Isosceles Triangle 98"/>
        <xdr:cNvSpPr/>
      </xdr:nvSpPr>
      <xdr:spPr>
        <a:xfrm rot="10800000">
          <a:off x="2406015" y="16682085"/>
          <a:ext cx="501650" cy="35242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944062</xdr:colOff>
      <xdr:row>30</xdr:row>
      <xdr:rowOff>704130</xdr:rowOff>
    </xdr:from>
    <xdr:to>
      <xdr:col>2</xdr:col>
      <xdr:colOff>947039</xdr:colOff>
      <xdr:row>31</xdr:row>
      <xdr:rowOff>133007</xdr:rowOff>
    </xdr:to>
    <xdr:cxnSp>
      <xdr:nvCxnSpPr>
        <xdr:cNvPr id="235" name="Straight Arrow Connector 64"/>
        <xdr:cNvCxnSpPr>
          <a:stCxn id="232" idx="4"/>
          <a:endCxn id="227" idx="0"/>
        </xdr:cNvCxnSpPr>
      </xdr:nvCxnSpPr>
      <xdr:spPr>
        <a:xfrm rot="5400000">
          <a:off x="2564130" y="19691350"/>
          <a:ext cx="191135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944062</xdr:colOff>
      <xdr:row>31</xdr:row>
      <xdr:rowOff>668307</xdr:rowOff>
    </xdr:from>
    <xdr:to>
      <xdr:col>2</xdr:col>
      <xdr:colOff>948681</xdr:colOff>
      <xdr:row>32</xdr:row>
      <xdr:rowOff>126239</xdr:rowOff>
    </xdr:to>
    <xdr:cxnSp>
      <xdr:nvCxnSpPr>
        <xdr:cNvPr id="236" name="Straight Arrow Connector 64"/>
        <xdr:cNvCxnSpPr>
          <a:stCxn id="227" idx="4"/>
          <a:endCxn id="228" idx="0"/>
        </xdr:cNvCxnSpPr>
      </xdr:nvCxnSpPr>
      <xdr:spPr>
        <a:xfrm rot="16200000" flipH="1">
          <a:off x="2550795" y="20431125"/>
          <a:ext cx="219710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1186448</xdr:colOff>
      <xdr:row>35</xdr:row>
      <xdr:rowOff>155255</xdr:rowOff>
    </xdr:from>
    <xdr:to>
      <xdr:col>2</xdr:col>
      <xdr:colOff>2098509</xdr:colOff>
      <xdr:row>35</xdr:row>
      <xdr:rowOff>563683</xdr:rowOff>
    </xdr:to>
    <xdr:sp>
      <xdr:nvSpPr>
        <xdr:cNvPr id="238" name="Rectangle 99"/>
        <xdr:cNvSpPr/>
      </xdr:nvSpPr>
      <xdr:spPr>
        <a:xfrm>
          <a:off x="2900680" y="22858730"/>
          <a:ext cx="911860" cy="4083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Repair</a:t>
          </a:r>
          <a:endParaRPr lang="en-US" altLang="en-US" sz="14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458594</xdr:colOff>
      <xdr:row>35</xdr:row>
      <xdr:rowOff>359469</xdr:rowOff>
    </xdr:from>
    <xdr:to>
      <xdr:col>2</xdr:col>
      <xdr:colOff>1186448</xdr:colOff>
      <xdr:row>36</xdr:row>
      <xdr:rowOff>316731</xdr:rowOff>
    </xdr:to>
    <xdr:cxnSp>
      <xdr:nvCxnSpPr>
        <xdr:cNvPr id="239" name="Elbow Connector 82"/>
        <xdr:cNvCxnSpPr>
          <a:stCxn id="238" idx="1"/>
          <a:endCxn id="244" idx="1"/>
        </xdr:cNvCxnSpPr>
      </xdr:nvCxnSpPr>
      <xdr:spPr>
        <a:xfrm rot="10800000" flipV="1">
          <a:off x="2172970" y="23063200"/>
          <a:ext cx="727710" cy="623570"/>
        </a:xfrm>
        <a:prstGeom prst="bentConnector3">
          <a:avLst>
            <a:gd name="adj1" fmla="val 13140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939697</xdr:colOff>
      <xdr:row>29</xdr:row>
      <xdr:rowOff>674578</xdr:rowOff>
    </xdr:from>
    <xdr:to>
      <xdr:col>2</xdr:col>
      <xdr:colOff>947039</xdr:colOff>
      <xdr:row>30</xdr:row>
      <xdr:rowOff>168827</xdr:rowOff>
    </xdr:to>
    <xdr:cxnSp>
      <xdr:nvCxnSpPr>
        <xdr:cNvPr id="240" name="Straight Arrow Connector 64"/>
        <xdr:cNvCxnSpPr>
          <a:endCxn id="232" idx="0"/>
        </xdr:cNvCxnSpPr>
      </xdr:nvCxnSpPr>
      <xdr:spPr>
        <a:xfrm rot="16200000" flipH="1">
          <a:off x="2529205" y="18930620"/>
          <a:ext cx="256540" cy="69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948681</xdr:colOff>
      <xdr:row>32</xdr:row>
      <xdr:rowOff>677740</xdr:rowOff>
    </xdr:from>
    <xdr:to>
      <xdr:col>2</xdr:col>
      <xdr:colOff>958340</xdr:colOff>
      <xdr:row>33</xdr:row>
      <xdr:rowOff>135897</xdr:rowOff>
    </xdr:to>
    <xdr:cxnSp>
      <xdr:nvCxnSpPr>
        <xdr:cNvPr id="242" name="Straight Arrow Connector 64"/>
        <xdr:cNvCxnSpPr>
          <a:stCxn id="228" idx="4"/>
          <a:endCxn id="243" idx="0"/>
        </xdr:cNvCxnSpPr>
      </xdr:nvCxnSpPr>
      <xdr:spPr>
        <a:xfrm rot="16200000" flipH="1">
          <a:off x="2557780" y="21200745"/>
          <a:ext cx="21971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649252</xdr:colOff>
      <xdr:row>33</xdr:row>
      <xdr:rowOff>135898</xdr:rowOff>
    </xdr:from>
    <xdr:to>
      <xdr:col>2</xdr:col>
      <xdr:colOff>1267427</xdr:colOff>
      <xdr:row>33</xdr:row>
      <xdr:rowOff>687399</xdr:rowOff>
    </xdr:to>
    <xdr:sp>
      <xdr:nvSpPr>
        <xdr:cNvPr id="243" name="流程图: 联系 382"/>
        <xdr:cNvSpPr/>
      </xdr:nvSpPr>
      <xdr:spPr>
        <a:xfrm>
          <a:off x="2363470" y="21315680"/>
          <a:ext cx="617855" cy="551180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206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458594</xdr:colOff>
      <xdr:row>36</xdr:row>
      <xdr:rowOff>95949</xdr:rowOff>
    </xdr:from>
    <xdr:to>
      <xdr:col>2</xdr:col>
      <xdr:colOff>1466625</xdr:colOff>
      <xdr:row>36</xdr:row>
      <xdr:rowOff>537513</xdr:rowOff>
    </xdr:to>
    <xdr:sp>
      <xdr:nvSpPr>
        <xdr:cNvPr id="244" name="流程图: 决策 479"/>
        <xdr:cNvSpPr/>
      </xdr:nvSpPr>
      <xdr:spPr>
        <a:xfrm>
          <a:off x="2172970" y="23466425"/>
          <a:ext cx="1007745" cy="441325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207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1466625</xdr:colOff>
      <xdr:row>35</xdr:row>
      <xdr:rowOff>563683</xdr:rowOff>
    </xdr:from>
    <xdr:to>
      <xdr:col>2</xdr:col>
      <xdr:colOff>1642479</xdr:colOff>
      <xdr:row>36</xdr:row>
      <xdr:rowOff>316731</xdr:rowOff>
    </xdr:to>
    <xdr:cxnSp>
      <xdr:nvCxnSpPr>
        <xdr:cNvPr id="245" name="Elbow Connector 76"/>
        <xdr:cNvCxnSpPr>
          <a:stCxn id="244" idx="3"/>
          <a:endCxn id="238" idx="2"/>
        </xdr:cNvCxnSpPr>
      </xdr:nvCxnSpPr>
      <xdr:spPr>
        <a:xfrm flipV="1">
          <a:off x="3180715" y="23267035"/>
          <a:ext cx="175895" cy="41973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958340</xdr:colOff>
      <xdr:row>33</xdr:row>
      <xdr:rowOff>687399</xdr:rowOff>
    </xdr:from>
    <xdr:to>
      <xdr:col>2</xdr:col>
      <xdr:colOff>962610</xdr:colOff>
      <xdr:row>36</xdr:row>
      <xdr:rowOff>95949</xdr:rowOff>
    </xdr:to>
    <xdr:cxnSp>
      <xdr:nvCxnSpPr>
        <xdr:cNvPr id="246" name="Straight Arrow Connector 64"/>
        <xdr:cNvCxnSpPr>
          <a:stCxn id="243" idx="4"/>
          <a:endCxn id="244" idx="0"/>
        </xdr:cNvCxnSpPr>
      </xdr:nvCxnSpPr>
      <xdr:spPr>
        <a:xfrm rot="16200000" flipH="1">
          <a:off x="1875155" y="22664420"/>
          <a:ext cx="1598930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958201</xdr:colOff>
      <xdr:row>36</xdr:row>
      <xdr:rowOff>537512</xdr:rowOff>
    </xdr:from>
    <xdr:to>
      <xdr:col>2</xdr:col>
      <xdr:colOff>962611</xdr:colOff>
      <xdr:row>37</xdr:row>
      <xdr:rowOff>95331</xdr:rowOff>
    </xdr:to>
    <xdr:cxnSp>
      <xdr:nvCxnSpPr>
        <xdr:cNvPr id="247" name="Straight Arrow Connector 64"/>
        <xdr:cNvCxnSpPr>
          <a:stCxn id="244" idx="2"/>
          <a:endCxn id="231" idx="0"/>
        </xdr:cNvCxnSpPr>
      </xdr:nvCxnSpPr>
      <xdr:spPr>
        <a:xfrm rot="5400000">
          <a:off x="2562225" y="24017605"/>
          <a:ext cx="224790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414961</xdr:colOff>
      <xdr:row>43</xdr:row>
      <xdr:rowOff>87339</xdr:rowOff>
    </xdr:from>
    <xdr:to>
      <xdr:col>2</xdr:col>
      <xdr:colOff>1033136</xdr:colOff>
      <xdr:row>43</xdr:row>
      <xdr:rowOff>628776</xdr:rowOff>
    </xdr:to>
    <xdr:sp>
      <xdr:nvSpPr>
        <xdr:cNvPr id="296" name="流程图: 联系 382"/>
        <xdr:cNvSpPr/>
      </xdr:nvSpPr>
      <xdr:spPr>
        <a:xfrm>
          <a:off x="2129155" y="28410535"/>
          <a:ext cx="617855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201</a:t>
          </a:r>
          <a:endParaRPr lang="zh-TW" altLang="en-US" sz="1400" b="1"/>
        </a:p>
      </xdr:txBody>
    </xdr:sp>
    <xdr:clientData/>
  </xdr:twoCellAnchor>
  <xdr:twoCellAnchor>
    <xdr:from>
      <xdr:col>2</xdr:col>
      <xdr:colOff>317988</xdr:colOff>
      <xdr:row>45</xdr:row>
      <xdr:rowOff>141910</xdr:rowOff>
    </xdr:from>
    <xdr:to>
      <xdr:col>2</xdr:col>
      <xdr:colOff>1172537</xdr:colOff>
      <xdr:row>45</xdr:row>
      <xdr:rowOff>592999</xdr:rowOff>
    </xdr:to>
    <xdr:sp>
      <xdr:nvSpPr>
        <xdr:cNvPr id="297" name="流程图: 决策 479"/>
        <xdr:cNvSpPr/>
      </xdr:nvSpPr>
      <xdr:spPr>
        <a:xfrm>
          <a:off x="2032000" y="29912945"/>
          <a:ext cx="854710" cy="450850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202</a:t>
          </a:r>
          <a:endParaRPr lang="zh-TW" altLang="en-US" sz="1400" b="1"/>
        </a:p>
      </xdr:txBody>
    </xdr:sp>
    <xdr:clientData/>
  </xdr:twoCellAnchor>
  <xdr:twoCellAnchor>
    <xdr:from>
      <xdr:col>2</xdr:col>
      <xdr:colOff>488265</xdr:colOff>
      <xdr:row>42</xdr:row>
      <xdr:rowOff>95264</xdr:rowOff>
    </xdr:from>
    <xdr:to>
      <xdr:col>2</xdr:col>
      <xdr:colOff>957055</xdr:colOff>
      <xdr:row>42</xdr:row>
      <xdr:rowOff>497771</xdr:rowOff>
    </xdr:to>
    <xdr:sp>
      <xdr:nvSpPr>
        <xdr:cNvPr id="298" name="Isosceles Triangle 98"/>
        <xdr:cNvSpPr/>
      </xdr:nvSpPr>
      <xdr:spPr>
        <a:xfrm rot="10800000">
          <a:off x="2202180" y="27694890"/>
          <a:ext cx="469265" cy="40195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2</xdr:col>
      <xdr:colOff>722660</xdr:colOff>
      <xdr:row>42</xdr:row>
      <xdr:rowOff>497770</xdr:rowOff>
    </xdr:from>
    <xdr:to>
      <xdr:col>2</xdr:col>
      <xdr:colOff>724049</xdr:colOff>
      <xdr:row>43</xdr:row>
      <xdr:rowOff>87338</xdr:rowOff>
    </xdr:to>
    <xdr:cxnSp>
      <xdr:nvCxnSpPr>
        <xdr:cNvPr id="299" name="Elbow Connector 21"/>
        <xdr:cNvCxnSpPr>
          <a:stCxn id="298" idx="0"/>
          <a:endCxn id="296" idx="0"/>
        </xdr:cNvCxnSpPr>
      </xdr:nvCxnSpPr>
      <xdr:spPr>
        <a:xfrm rot="16200000" flipH="1">
          <a:off x="2280920" y="28253055"/>
          <a:ext cx="313055" cy="127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1176795</xdr:colOff>
      <xdr:row>44</xdr:row>
      <xdr:rowOff>124889</xdr:rowOff>
    </xdr:from>
    <xdr:to>
      <xdr:col>2</xdr:col>
      <xdr:colOff>2088856</xdr:colOff>
      <xdr:row>44</xdr:row>
      <xdr:rowOff>533317</xdr:rowOff>
    </xdr:to>
    <xdr:sp>
      <xdr:nvSpPr>
        <xdr:cNvPr id="300" name="Rectangle 99"/>
        <xdr:cNvSpPr/>
      </xdr:nvSpPr>
      <xdr:spPr>
        <a:xfrm>
          <a:off x="2891155" y="29171900"/>
          <a:ext cx="911860" cy="4083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Repair</a:t>
          </a:r>
          <a:endParaRPr lang="en-US" alt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1172537</xdr:colOff>
      <xdr:row>44</xdr:row>
      <xdr:rowOff>533317</xdr:rowOff>
    </xdr:from>
    <xdr:to>
      <xdr:col>2</xdr:col>
      <xdr:colOff>1632826</xdr:colOff>
      <xdr:row>45</xdr:row>
      <xdr:rowOff>367455</xdr:rowOff>
    </xdr:to>
    <xdr:cxnSp>
      <xdr:nvCxnSpPr>
        <xdr:cNvPr id="301" name="Elbow Connector 17"/>
        <xdr:cNvCxnSpPr>
          <a:stCxn id="297" idx="3"/>
          <a:endCxn id="300" idx="2"/>
        </xdr:cNvCxnSpPr>
      </xdr:nvCxnSpPr>
      <xdr:spPr>
        <a:xfrm flipV="1">
          <a:off x="2886710" y="29580205"/>
          <a:ext cx="460375" cy="55816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515480</xdr:colOff>
      <xdr:row>47</xdr:row>
      <xdr:rowOff>249590</xdr:rowOff>
    </xdr:from>
    <xdr:to>
      <xdr:col>2</xdr:col>
      <xdr:colOff>984270</xdr:colOff>
      <xdr:row>47</xdr:row>
      <xdr:rowOff>614298</xdr:rowOff>
    </xdr:to>
    <xdr:sp>
      <xdr:nvSpPr>
        <xdr:cNvPr id="302" name="Isosceles Triangle 98"/>
        <xdr:cNvSpPr/>
      </xdr:nvSpPr>
      <xdr:spPr>
        <a:xfrm>
          <a:off x="2229485" y="31468695"/>
          <a:ext cx="469265" cy="364490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2</xdr:col>
      <xdr:colOff>724050</xdr:colOff>
      <xdr:row>43</xdr:row>
      <xdr:rowOff>628775</xdr:rowOff>
    </xdr:from>
    <xdr:to>
      <xdr:col>2</xdr:col>
      <xdr:colOff>745264</xdr:colOff>
      <xdr:row>45</xdr:row>
      <xdr:rowOff>141909</xdr:rowOff>
    </xdr:to>
    <xdr:cxnSp>
      <xdr:nvCxnSpPr>
        <xdr:cNvPr id="303" name="Straight Arrow Connector 38"/>
        <xdr:cNvCxnSpPr>
          <a:stCxn id="296" idx="4"/>
          <a:endCxn id="297" idx="0"/>
        </xdr:cNvCxnSpPr>
      </xdr:nvCxnSpPr>
      <xdr:spPr>
        <a:xfrm rot="16200000" flipH="1">
          <a:off x="1968500" y="29422090"/>
          <a:ext cx="960755" cy="209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1033137</xdr:colOff>
      <xdr:row>43</xdr:row>
      <xdr:rowOff>358058</xdr:rowOff>
    </xdr:from>
    <xdr:to>
      <xdr:col>2</xdr:col>
      <xdr:colOff>1632827</xdr:colOff>
      <xdr:row>44</xdr:row>
      <xdr:rowOff>124889</xdr:rowOff>
    </xdr:to>
    <xdr:cxnSp>
      <xdr:nvCxnSpPr>
        <xdr:cNvPr id="304" name="Elbow Connector 17"/>
        <xdr:cNvCxnSpPr>
          <a:stCxn id="300" idx="0"/>
          <a:endCxn id="296" idx="6"/>
        </xdr:cNvCxnSpPr>
      </xdr:nvCxnSpPr>
      <xdr:spPr>
        <a:xfrm rot="16200000" flipV="1">
          <a:off x="2801620" y="28627070"/>
          <a:ext cx="490855" cy="59944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435429</xdr:colOff>
      <xdr:row>46</xdr:row>
      <xdr:rowOff>108857</xdr:rowOff>
    </xdr:from>
    <xdr:to>
      <xdr:col>2</xdr:col>
      <xdr:colOff>1053604</xdr:colOff>
      <xdr:row>46</xdr:row>
      <xdr:rowOff>650294</xdr:rowOff>
    </xdr:to>
    <xdr:sp>
      <xdr:nvSpPr>
        <xdr:cNvPr id="305" name="流程图: 联系 382"/>
        <xdr:cNvSpPr/>
      </xdr:nvSpPr>
      <xdr:spPr>
        <a:xfrm>
          <a:off x="2149475" y="30603825"/>
          <a:ext cx="618490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203</a:t>
          </a:r>
          <a:endParaRPr lang="zh-TW" altLang="en-US" sz="1400" b="1"/>
        </a:p>
      </xdr:txBody>
    </xdr:sp>
    <xdr:clientData/>
  </xdr:twoCellAnchor>
  <xdr:twoCellAnchor>
    <xdr:from>
      <xdr:col>2</xdr:col>
      <xdr:colOff>744517</xdr:colOff>
      <xdr:row>45</xdr:row>
      <xdr:rowOff>592999</xdr:rowOff>
    </xdr:from>
    <xdr:to>
      <xdr:col>2</xdr:col>
      <xdr:colOff>745263</xdr:colOff>
      <xdr:row>46</xdr:row>
      <xdr:rowOff>108857</xdr:rowOff>
    </xdr:to>
    <xdr:cxnSp>
      <xdr:nvCxnSpPr>
        <xdr:cNvPr id="306" name="Straight Arrow Connector 38"/>
        <xdr:cNvCxnSpPr>
          <a:stCxn id="297" idx="2"/>
          <a:endCxn id="305" idx="0"/>
        </xdr:cNvCxnSpPr>
      </xdr:nvCxnSpPr>
      <xdr:spPr>
        <a:xfrm rot="5400000">
          <a:off x="2339340" y="30483810"/>
          <a:ext cx="239395" cy="6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744517</xdr:colOff>
      <xdr:row>46</xdr:row>
      <xdr:rowOff>650294</xdr:rowOff>
    </xdr:from>
    <xdr:to>
      <xdr:col>2</xdr:col>
      <xdr:colOff>749875</xdr:colOff>
      <xdr:row>47</xdr:row>
      <xdr:rowOff>249590</xdr:rowOff>
    </xdr:to>
    <xdr:cxnSp>
      <xdr:nvCxnSpPr>
        <xdr:cNvPr id="307" name="Straight Arrow Connector 38"/>
        <xdr:cNvCxnSpPr>
          <a:stCxn id="305" idx="4"/>
          <a:endCxn id="302" idx="0"/>
        </xdr:cNvCxnSpPr>
      </xdr:nvCxnSpPr>
      <xdr:spPr>
        <a:xfrm rot="16200000" flipH="1">
          <a:off x="2299970" y="31304230"/>
          <a:ext cx="323215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414961</xdr:colOff>
      <xdr:row>43</xdr:row>
      <xdr:rowOff>87339</xdr:rowOff>
    </xdr:from>
    <xdr:to>
      <xdr:col>2</xdr:col>
      <xdr:colOff>1033136</xdr:colOff>
      <xdr:row>43</xdr:row>
      <xdr:rowOff>628776</xdr:rowOff>
    </xdr:to>
    <xdr:sp>
      <xdr:nvSpPr>
        <xdr:cNvPr id="308" name="流程图: 联系 382"/>
        <xdr:cNvSpPr/>
      </xdr:nvSpPr>
      <xdr:spPr>
        <a:xfrm>
          <a:off x="2129155" y="28410535"/>
          <a:ext cx="617855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401</a:t>
          </a:r>
          <a:endParaRPr lang="zh-TW" altLang="en-US" sz="1400" b="1"/>
        </a:p>
      </xdr:txBody>
    </xdr:sp>
    <xdr:clientData/>
  </xdr:twoCellAnchor>
  <xdr:twoCellAnchor>
    <xdr:from>
      <xdr:col>2</xdr:col>
      <xdr:colOff>317988</xdr:colOff>
      <xdr:row>45</xdr:row>
      <xdr:rowOff>141910</xdr:rowOff>
    </xdr:from>
    <xdr:to>
      <xdr:col>2</xdr:col>
      <xdr:colOff>1172537</xdr:colOff>
      <xdr:row>45</xdr:row>
      <xdr:rowOff>592999</xdr:rowOff>
    </xdr:to>
    <xdr:sp>
      <xdr:nvSpPr>
        <xdr:cNvPr id="309" name="流程图: 决策 479"/>
        <xdr:cNvSpPr/>
      </xdr:nvSpPr>
      <xdr:spPr>
        <a:xfrm>
          <a:off x="2032000" y="29912945"/>
          <a:ext cx="854710" cy="450850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402</a:t>
          </a:r>
          <a:endParaRPr lang="zh-TW" altLang="en-US" sz="1400" b="1"/>
        </a:p>
      </xdr:txBody>
    </xdr:sp>
    <xdr:clientData/>
  </xdr:twoCellAnchor>
  <xdr:twoCellAnchor>
    <xdr:from>
      <xdr:col>2</xdr:col>
      <xdr:colOff>488265</xdr:colOff>
      <xdr:row>42</xdr:row>
      <xdr:rowOff>95264</xdr:rowOff>
    </xdr:from>
    <xdr:to>
      <xdr:col>2</xdr:col>
      <xdr:colOff>957055</xdr:colOff>
      <xdr:row>42</xdr:row>
      <xdr:rowOff>497771</xdr:rowOff>
    </xdr:to>
    <xdr:sp>
      <xdr:nvSpPr>
        <xdr:cNvPr id="310" name="Isosceles Triangle 98"/>
        <xdr:cNvSpPr/>
      </xdr:nvSpPr>
      <xdr:spPr>
        <a:xfrm rot="10800000">
          <a:off x="2202180" y="27694890"/>
          <a:ext cx="469265" cy="40195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2</xdr:col>
      <xdr:colOff>722660</xdr:colOff>
      <xdr:row>42</xdr:row>
      <xdr:rowOff>497770</xdr:rowOff>
    </xdr:from>
    <xdr:to>
      <xdr:col>2</xdr:col>
      <xdr:colOff>724049</xdr:colOff>
      <xdr:row>43</xdr:row>
      <xdr:rowOff>87338</xdr:rowOff>
    </xdr:to>
    <xdr:cxnSp>
      <xdr:nvCxnSpPr>
        <xdr:cNvPr id="311" name="Elbow Connector 21"/>
        <xdr:cNvCxnSpPr>
          <a:stCxn id="310" idx="0"/>
          <a:endCxn id="308" idx="0"/>
        </xdr:cNvCxnSpPr>
      </xdr:nvCxnSpPr>
      <xdr:spPr>
        <a:xfrm rot="16200000" flipH="1">
          <a:off x="2280920" y="28253055"/>
          <a:ext cx="313055" cy="127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1176795</xdr:colOff>
      <xdr:row>44</xdr:row>
      <xdr:rowOff>124889</xdr:rowOff>
    </xdr:from>
    <xdr:to>
      <xdr:col>2</xdr:col>
      <xdr:colOff>2088856</xdr:colOff>
      <xdr:row>44</xdr:row>
      <xdr:rowOff>533317</xdr:rowOff>
    </xdr:to>
    <xdr:sp>
      <xdr:nvSpPr>
        <xdr:cNvPr id="312" name="Rectangle 99"/>
        <xdr:cNvSpPr/>
      </xdr:nvSpPr>
      <xdr:spPr>
        <a:xfrm>
          <a:off x="2891155" y="29171900"/>
          <a:ext cx="911860" cy="4083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Repair</a:t>
          </a:r>
          <a:endParaRPr lang="en-US" alt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1172537</xdr:colOff>
      <xdr:row>44</xdr:row>
      <xdr:rowOff>533317</xdr:rowOff>
    </xdr:from>
    <xdr:to>
      <xdr:col>2</xdr:col>
      <xdr:colOff>1632826</xdr:colOff>
      <xdr:row>45</xdr:row>
      <xdr:rowOff>367455</xdr:rowOff>
    </xdr:to>
    <xdr:cxnSp>
      <xdr:nvCxnSpPr>
        <xdr:cNvPr id="313" name="Elbow Connector 17"/>
        <xdr:cNvCxnSpPr>
          <a:stCxn id="309" idx="3"/>
          <a:endCxn id="312" idx="2"/>
        </xdr:cNvCxnSpPr>
      </xdr:nvCxnSpPr>
      <xdr:spPr>
        <a:xfrm flipV="1">
          <a:off x="2886710" y="29580205"/>
          <a:ext cx="460375" cy="55816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515480</xdr:colOff>
      <xdr:row>47</xdr:row>
      <xdr:rowOff>249590</xdr:rowOff>
    </xdr:from>
    <xdr:to>
      <xdr:col>2</xdr:col>
      <xdr:colOff>984270</xdr:colOff>
      <xdr:row>47</xdr:row>
      <xdr:rowOff>614298</xdr:rowOff>
    </xdr:to>
    <xdr:sp>
      <xdr:nvSpPr>
        <xdr:cNvPr id="314" name="Isosceles Triangle 98"/>
        <xdr:cNvSpPr/>
      </xdr:nvSpPr>
      <xdr:spPr>
        <a:xfrm>
          <a:off x="2229485" y="31468695"/>
          <a:ext cx="469265" cy="364490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2</xdr:col>
      <xdr:colOff>724050</xdr:colOff>
      <xdr:row>43</xdr:row>
      <xdr:rowOff>628775</xdr:rowOff>
    </xdr:from>
    <xdr:to>
      <xdr:col>2</xdr:col>
      <xdr:colOff>745264</xdr:colOff>
      <xdr:row>45</xdr:row>
      <xdr:rowOff>141909</xdr:rowOff>
    </xdr:to>
    <xdr:cxnSp>
      <xdr:nvCxnSpPr>
        <xdr:cNvPr id="315" name="Straight Arrow Connector 38"/>
        <xdr:cNvCxnSpPr>
          <a:stCxn id="308" idx="4"/>
          <a:endCxn id="309" idx="0"/>
        </xdr:cNvCxnSpPr>
      </xdr:nvCxnSpPr>
      <xdr:spPr>
        <a:xfrm rot="16200000" flipH="1">
          <a:off x="1968500" y="29422090"/>
          <a:ext cx="960755" cy="209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1033137</xdr:colOff>
      <xdr:row>43</xdr:row>
      <xdr:rowOff>358058</xdr:rowOff>
    </xdr:from>
    <xdr:to>
      <xdr:col>2</xdr:col>
      <xdr:colOff>1632827</xdr:colOff>
      <xdr:row>44</xdr:row>
      <xdr:rowOff>124889</xdr:rowOff>
    </xdr:to>
    <xdr:cxnSp>
      <xdr:nvCxnSpPr>
        <xdr:cNvPr id="316" name="Elbow Connector 17"/>
        <xdr:cNvCxnSpPr>
          <a:stCxn id="312" idx="0"/>
          <a:endCxn id="308" idx="6"/>
        </xdr:cNvCxnSpPr>
      </xdr:nvCxnSpPr>
      <xdr:spPr>
        <a:xfrm rot="16200000" flipV="1">
          <a:off x="2801620" y="28627070"/>
          <a:ext cx="490855" cy="59944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435429</xdr:colOff>
      <xdr:row>46</xdr:row>
      <xdr:rowOff>108857</xdr:rowOff>
    </xdr:from>
    <xdr:to>
      <xdr:col>2</xdr:col>
      <xdr:colOff>1053604</xdr:colOff>
      <xdr:row>46</xdr:row>
      <xdr:rowOff>650294</xdr:rowOff>
    </xdr:to>
    <xdr:sp>
      <xdr:nvSpPr>
        <xdr:cNvPr id="317" name="流程图: 联系 382"/>
        <xdr:cNvSpPr/>
      </xdr:nvSpPr>
      <xdr:spPr>
        <a:xfrm>
          <a:off x="2149475" y="30603825"/>
          <a:ext cx="618490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403</a:t>
          </a:r>
          <a:endParaRPr lang="zh-TW" altLang="en-US" sz="1400" b="1"/>
        </a:p>
      </xdr:txBody>
    </xdr:sp>
    <xdr:clientData/>
  </xdr:twoCellAnchor>
  <xdr:twoCellAnchor>
    <xdr:from>
      <xdr:col>2</xdr:col>
      <xdr:colOff>744517</xdr:colOff>
      <xdr:row>45</xdr:row>
      <xdr:rowOff>592999</xdr:rowOff>
    </xdr:from>
    <xdr:to>
      <xdr:col>2</xdr:col>
      <xdr:colOff>745263</xdr:colOff>
      <xdr:row>46</xdr:row>
      <xdr:rowOff>108857</xdr:rowOff>
    </xdr:to>
    <xdr:cxnSp>
      <xdr:nvCxnSpPr>
        <xdr:cNvPr id="318" name="Straight Arrow Connector 38"/>
        <xdr:cNvCxnSpPr>
          <a:stCxn id="309" idx="2"/>
          <a:endCxn id="317" idx="0"/>
        </xdr:cNvCxnSpPr>
      </xdr:nvCxnSpPr>
      <xdr:spPr>
        <a:xfrm rot="5400000">
          <a:off x="2339340" y="30483810"/>
          <a:ext cx="239395" cy="6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744517</xdr:colOff>
      <xdr:row>46</xdr:row>
      <xdr:rowOff>650294</xdr:rowOff>
    </xdr:from>
    <xdr:to>
      <xdr:col>2</xdr:col>
      <xdr:colOff>749875</xdr:colOff>
      <xdr:row>47</xdr:row>
      <xdr:rowOff>249590</xdr:rowOff>
    </xdr:to>
    <xdr:cxnSp>
      <xdr:nvCxnSpPr>
        <xdr:cNvPr id="319" name="Straight Arrow Connector 38"/>
        <xdr:cNvCxnSpPr>
          <a:stCxn id="317" idx="4"/>
          <a:endCxn id="314" idx="0"/>
        </xdr:cNvCxnSpPr>
      </xdr:nvCxnSpPr>
      <xdr:spPr>
        <a:xfrm rot="16200000" flipH="1">
          <a:off x="2299970" y="31304230"/>
          <a:ext cx="323215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414961</xdr:colOff>
      <xdr:row>43</xdr:row>
      <xdr:rowOff>87339</xdr:rowOff>
    </xdr:from>
    <xdr:to>
      <xdr:col>9</xdr:col>
      <xdr:colOff>1033136</xdr:colOff>
      <xdr:row>43</xdr:row>
      <xdr:rowOff>628776</xdr:rowOff>
    </xdr:to>
    <xdr:sp>
      <xdr:nvSpPr>
        <xdr:cNvPr id="384" name="流程图: 联系 382"/>
        <xdr:cNvSpPr/>
      </xdr:nvSpPr>
      <xdr:spPr>
        <a:xfrm>
          <a:off x="8531860" y="28410535"/>
          <a:ext cx="617855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201</a:t>
          </a:r>
          <a:endParaRPr lang="zh-TW" altLang="en-US" sz="1400" b="1"/>
        </a:p>
      </xdr:txBody>
    </xdr:sp>
    <xdr:clientData/>
  </xdr:twoCellAnchor>
  <xdr:twoCellAnchor>
    <xdr:from>
      <xdr:col>9</xdr:col>
      <xdr:colOff>317988</xdr:colOff>
      <xdr:row>45</xdr:row>
      <xdr:rowOff>141910</xdr:rowOff>
    </xdr:from>
    <xdr:to>
      <xdr:col>9</xdr:col>
      <xdr:colOff>1172537</xdr:colOff>
      <xdr:row>45</xdr:row>
      <xdr:rowOff>592999</xdr:rowOff>
    </xdr:to>
    <xdr:sp>
      <xdr:nvSpPr>
        <xdr:cNvPr id="385" name="流程图: 决策 479"/>
        <xdr:cNvSpPr/>
      </xdr:nvSpPr>
      <xdr:spPr>
        <a:xfrm>
          <a:off x="8434705" y="29912945"/>
          <a:ext cx="854710" cy="450850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202</a:t>
          </a:r>
          <a:endParaRPr lang="zh-TW" altLang="en-US" sz="1400" b="1"/>
        </a:p>
      </xdr:txBody>
    </xdr:sp>
    <xdr:clientData/>
  </xdr:twoCellAnchor>
  <xdr:twoCellAnchor>
    <xdr:from>
      <xdr:col>9</xdr:col>
      <xdr:colOff>488265</xdr:colOff>
      <xdr:row>42</xdr:row>
      <xdr:rowOff>95264</xdr:rowOff>
    </xdr:from>
    <xdr:to>
      <xdr:col>9</xdr:col>
      <xdr:colOff>957055</xdr:colOff>
      <xdr:row>42</xdr:row>
      <xdr:rowOff>497771</xdr:rowOff>
    </xdr:to>
    <xdr:sp>
      <xdr:nvSpPr>
        <xdr:cNvPr id="386" name="Isosceles Triangle 98"/>
        <xdr:cNvSpPr/>
      </xdr:nvSpPr>
      <xdr:spPr>
        <a:xfrm rot="10800000">
          <a:off x="8604885" y="27694890"/>
          <a:ext cx="469265" cy="40195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9</xdr:col>
      <xdr:colOff>722660</xdr:colOff>
      <xdr:row>42</xdr:row>
      <xdr:rowOff>497770</xdr:rowOff>
    </xdr:from>
    <xdr:to>
      <xdr:col>9</xdr:col>
      <xdr:colOff>724049</xdr:colOff>
      <xdr:row>43</xdr:row>
      <xdr:rowOff>87338</xdr:rowOff>
    </xdr:to>
    <xdr:cxnSp>
      <xdr:nvCxnSpPr>
        <xdr:cNvPr id="387" name="Elbow Connector 21"/>
        <xdr:cNvCxnSpPr>
          <a:stCxn id="386" idx="0"/>
          <a:endCxn id="384" idx="0"/>
        </xdr:cNvCxnSpPr>
      </xdr:nvCxnSpPr>
      <xdr:spPr>
        <a:xfrm rot="16200000" flipH="1">
          <a:off x="8683625" y="28253055"/>
          <a:ext cx="313055" cy="127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1176795</xdr:colOff>
      <xdr:row>44</xdr:row>
      <xdr:rowOff>124889</xdr:rowOff>
    </xdr:from>
    <xdr:to>
      <xdr:col>9</xdr:col>
      <xdr:colOff>2088856</xdr:colOff>
      <xdr:row>44</xdr:row>
      <xdr:rowOff>533317</xdr:rowOff>
    </xdr:to>
    <xdr:sp>
      <xdr:nvSpPr>
        <xdr:cNvPr id="388" name="Rectangle 99"/>
        <xdr:cNvSpPr/>
      </xdr:nvSpPr>
      <xdr:spPr>
        <a:xfrm>
          <a:off x="9293860" y="29171900"/>
          <a:ext cx="911860" cy="4083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Repair</a:t>
          </a:r>
          <a:endParaRPr lang="en-US" alt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1172537</xdr:colOff>
      <xdr:row>44</xdr:row>
      <xdr:rowOff>533317</xdr:rowOff>
    </xdr:from>
    <xdr:to>
      <xdr:col>9</xdr:col>
      <xdr:colOff>1632826</xdr:colOff>
      <xdr:row>45</xdr:row>
      <xdr:rowOff>367455</xdr:rowOff>
    </xdr:to>
    <xdr:cxnSp>
      <xdr:nvCxnSpPr>
        <xdr:cNvPr id="389" name="Elbow Connector 17"/>
        <xdr:cNvCxnSpPr>
          <a:stCxn id="385" idx="3"/>
          <a:endCxn id="388" idx="2"/>
        </xdr:cNvCxnSpPr>
      </xdr:nvCxnSpPr>
      <xdr:spPr>
        <a:xfrm flipV="1">
          <a:off x="9289415" y="29580205"/>
          <a:ext cx="460375" cy="55816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515480</xdr:colOff>
      <xdr:row>47</xdr:row>
      <xdr:rowOff>249590</xdr:rowOff>
    </xdr:from>
    <xdr:to>
      <xdr:col>9</xdr:col>
      <xdr:colOff>984270</xdr:colOff>
      <xdr:row>47</xdr:row>
      <xdr:rowOff>614298</xdr:rowOff>
    </xdr:to>
    <xdr:sp>
      <xdr:nvSpPr>
        <xdr:cNvPr id="390" name="Isosceles Triangle 98"/>
        <xdr:cNvSpPr/>
      </xdr:nvSpPr>
      <xdr:spPr>
        <a:xfrm>
          <a:off x="8632190" y="31468695"/>
          <a:ext cx="469265" cy="364490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9</xdr:col>
      <xdr:colOff>724050</xdr:colOff>
      <xdr:row>43</xdr:row>
      <xdr:rowOff>628775</xdr:rowOff>
    </xdr:from>
    <xdr:to>
      <xdr:col>9</xdr:col>
      <xdr:colOff>745264</xdr:colOff>
      <xdr:row>45</xdr:row>
      <xdr:rowOff>141909</xdr:rowOff>
    </xdr:to>
    <xdr:cxnSp>
      <xdr:nvCxnSpPr>
        <xdr:cNvPr id="391" name="Straight Arrow Connector 38"/>
        <xdr:cNvCxnSpPr>
          <a:stCxn id="384" idx="4"/>
          <a:endCxn id="385" idx="0"/>
        </xdr:cNvCxnSpPr>
      </xdr:nvCxnSpPr>
      <xdr:spPr>
        <a:xfrm rot="16200000" flipH="1">
          <a:off x="8371205" y="29422090"/>
          <a:ext cx="960755" cy="209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1033137</xdr:colOff>
      <xdr:row>43</xdr:row>
      <xdr:rowOff>358058</xdr:rowOff>
    </xdr:from>
    <xdr:to>
      <xdr:col>9</xdr:col>
      <xdr:colOff>1632827</xdr:colOff>
      <xdr:row>44</xdr:row>
      <xdr:rowOff>124889</xdr:rowOff>
    </xdr:to>
    <xdr:cxnSp>
      <xdr:nvCxnSpPr>
        <xdr:cNvPr id="392" name="Elbow Connector 17"/>
        <xdr:cNvCxnSpPr>
          <a:stCxn id="388" idx="0"/>
          <a:endCxn id="384" idx="6"/>
        </xdr:cNvCxnSpPr>
      </xdr:nvCxnSpPr>
      <xdr:spPr>
        <a:xfrm rot="16200000" flipV="1">
          <a:off x="9204325" y="28627070"/>
          <a:ext cx="490855" cy="59944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435429</xdr:colOff>
      <xdr:row>46</xdr:row>
      <xdr:rowOff>108857</xdr:rowOff>
    </xdr:from>
    <xdr:to>
      <xdr:col>9</xdr:col>
      <xdr:colOff>1053604</xdr:colOff>
      <xdr:row>46</xdr:row>
      <xdr:rowOff>650294</xdr:rowOff>
    </xdr:to>
    <xdr:sp>
      <xdr:nvSpPr>
        <xdr:cNvPr id="393" name="流程图: 联系 382"/>
        <xdr:cNvSpPr/>
      </xdr:nvSpPr>
      <xdr:spPr>
        <a:xfrm>
          <a:off x="8552180" y="30603825"/>
          <a:ext cx="618490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203</a:t>
          </a:r>
          <a:endParaRPr lang="zh-TW" altLang="en-US" sz="1400" b="1"/>
        </a:p>
      </xdr:txBody>
    </xdr:sp>
    <xdr:clientData/>
  </xdr:twoCellAnchor>
  <xdr:twoCellAnchor>
    <xdr:from>
      <xdr:col>9</xdr:col>
      <xdr:colOff>744517</xdr:colOff>
      <xdr:row>45</xdr:row>
      <xdr:rowOff>592999</xdr:rowOff>
    </xdr:from>
    <xdr:to>
      <xdr:col>9</xdr:col>
      <xdr:colOff>745263</xdr:colOff>
      <xdr:row>46</xdr:row>
      <xdr:rowOff>108857</xdr:rowOff>
    </xdr:to>
    <xdr:cxnSp>
      <xdr:nvCxnSpPr>
        <xdr:cNvPr id="394" name="Straight Arrow Connector 38"/>
        <xdr:cNvCxnSpPr>
          <a:stCxn id="385" idx="2"/>
          <a:endCxn id="393" idx="0"/>
        </xdr:cNvCxnSpPr>
      </xdr:nvCxnSpPr>
      <xdr:spPr>
        <a:xfrm rot="5400000">
          <a:off x="8742045" y="30483810"/>
          <a:ext cx="239395" cy="6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744517</xdr:colOff>
      <xdr:row>46</xdr:row>
      <xdr:rowOff>650294</xdr:rowOff>
    </xdr:from>
    <xdr:to>
      <xdr:col>9</xdr:col>
      <xdr:colOff>749875</xdr:colOff>
      <xdr:row>47</xdr:row>
      <xdr:rowOff>249590</xdr:rowOff>
    </xdr:to>
    <xdr:cxnSp>
      <xdr:nvCxnSpPr>
        <xdr:cNvPr id="395" name="Straight Arrow Connector 38"/>
        <xdr:cNvCxnSpPr>
          <a:stCxn id="393" idx="4"/>
          <a:endCxn id="390" idx="0"/>
        </xdr:cNvCxnSpPr>
      </xdr:nvCxnSpPr>
      <xdr:spPr>
        <a:xfrm rot="16200000" flipH="1">
          <a:off x="8702675" y="31304230"/>
          <a:ext cx="323215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414961</xdr:colOff>
      <xdr:row>43</xdr:row>
      <xdr:rowOff>87339</xdr:rowOff>
    </xdr:from>
    <xdr:to>
      <xdr:col>9</xdr:col>
      <xdr:colOff>1033136</xdr:colOff>
      <xdr:row>43</xdr:row>
      <xdr:rowOff>628776</xdr:rowOff>
    </xdr:to>
    <xdr:sp>
      <xdr:nvSpPr>
        <xdr:cNvPr id="396" name="流程图: 联系 382"/>
        <xdr:cNvSpPr/>
      </xdr:nvSpPr>
      <xdr:spPr>
        <a:xfrm>
          <a:off x="8531860" y="28410535"/>
          <a:ext cx="617855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401</a:t>
          </a:r>
          <a:endParaRPr lang="zh-TW" altLang="en-US" sz="1400" b="1"/>
        </a:p>
      </xdr:txBody>
    </xdr:sp>
    <xdr:clientData/>
  </xdr:twoCellAnchor>
  <xdr:twoCellAnchor>
    <xdr:from>
      <xdr:col>9</xdr:col>
      <xdr:colOff>317988</xdr:colOff>
      <xdr:row>45</xdr:row>
      <xdr:rowOff>141910</xdr:rowOff>
    </xdr:from>
    <xdr:to>
      <xdr:col>9</xdr:col>
      <xdr:colOff>1172537</xdr:colOff>
      <xdr:row>45</xdr:row>
      <xdr:rowOff>592999</xdr:rowOff>
    </xdr:to>
    <xdr:sp>
      <xdr:nvSpPr>
        <xdr:cNvPr id="397" name="流程图: 决策 479"/>
        <xdr:cNvSpPr/>
      </xdr:nvSpPr>
      <xdr:spPr>
        <a:xfrm>
          <a:off x="8434705" y="29912945"/>
          <a:ext cx="854710" cy="450850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402</a:t>
          </a:r>
          <a:endParaRPr lang="zh-TW" altLang="en-US" sz="1400" b="1"/>
        </a:p>
      </xdr:txBody>
    </xdr:sp>
    <xdr:clientData/>
  </xdr:twoCellAnchor>
  <xdr:twoCellAnchor>
    <xdr:from>
      <xdr:col>9</xdr:col>
      <xdr:colOff>488265</xdr:colOff>
      <xdr:row>42</xdr:row>
      <xdr:rowOff>95264</xdr:rowOff>
    </xdr:from>
    <xdr:to>
      <xdr:col>9</xdr:col>
      <xdr:colOff>957055</xdr:colOff>
      <xdr:row>42</xdr:row>
      <xdr:rowOff>497771</xdr:rowOff>
    </xdr:to>
    <xdr:sp>
      <xdr:nvSpPr>
        <xdr:cNvPr id="398" name="Isosceles Triangle 98"/>
        <xdr:cNvSpPr/>
      </xdr:nvSpPr>
      <xdr:spPr>
        <a:xfrm rot="10800000">
          <a:off x="8604885" y="27694890"/>
          <a:ext cx="469265" cy="40195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9</xdr:col>
      <xdr:colOff>722660</xdr:colOff>
      <xdr:row>42</xdr:row>
      <xdr:rowOff>497770</xdr:rowOff>
    </xdr:from>
    <xdr:to>
      <xdr:col>9</xdr:col>
      <xdr:colOff>724049</xdr:colOff>
      <xdr:row>43</xdr:row>
      <xdr:rowOff>87338</xdr:rowOff>
    </xdr:to>
    <xdr:cxnSp>
      <xdr:nvCxnSpPr>
        <xdr:cNvPr id="399" name="Elbow Connector 21"/>
        <xdr:cNvCxnSpPr>
          <a:stCxn id="398" idx="0"/>
          <a:endCxn id="396" idx="0"/>
        </xdr:cNvCxnSpPr>
      </xdr:nvCxnSpPr>
      <xdr:spPr>
        <a:xfrm rot="16200000" flipH="1">
          <a:off x="8683625" y="28253055"/>
          <a:ext cx="313055" cy="127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1176795</xdr:colOff>
      <xdr:row>44</xdr:row>
      <xdr:rowOff>124889</xdr:rowOff>
    </xdr:from>
    <xdr:to>
      <xdr:col>9</xdr:col>
      <xdr:colOff>2088856</xdr:colOff>
      <xdr:row>44</xdr:row>
      <xdr:rowOff>533317</xdr:rowOff>
    </xdr:to>
    <xdr:sp>
      <xdr:nvSpPr>
        <xdr:cNvPr id="400" name="Rectangle 99"/>
        <xdr:cNvSpPr/>
      </xdr:nvSpPr>
      <xdr:spPr>
        <a:xfrm>
          <a:off x="9293860" y="29171900"/>
          <a:ext cx="911860" cy="4083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Repair</a:t>
          </a:r>
          <a:endParaRPr lang="en-US" alt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1172537</xdr:colOff>
      <xdr:row>44</xdr:row>
      <xdr:rowOff>533317</xdr:rowOff>
    </xdr:from>
    <xdr:to>
      <xdr:col>9</xdr:col>
      <xdr:colOff>1632826</xdr:colOff>
      <xdr:row>45</xdr:row>
      <xdr:rowOff>367455</xdr:rowOff>
    </xdr:to>
    <xdr:cxnSp>
      <xdr:nvCxnSpPr>
        <xdr:cNvPr id="401" name="Elbow Connector 17"/>
        <xdr:cNvCxnSpPr>
          <a:stCxn id="397" idx="3"/>
          <a:endCxn id="400" idx="2"/>
        </xdr:cNvCxnSpPr>
      </xdr:nvCxnSpPr>
      <xdr:spPr>
        <a:xfrm flipV="1">
          <a:off x="9289415" y="29580205"/>
          <a:ext cx="460375" cy="55816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515480</xdr:colOff>
      <xdr:row>47</xdr:row>
      <xdr:rowOff>249590</xdr:rowOff>
    </xdr:from>
    <xdr:to>
      <xdr:col>9</xdr:col>
      <xdr:colOff>984270</xdr:colOff>
      <xdr:row>47</xdr:row>
      <xdr:rowOff>614298</xdr:rowOff>
    </xdr:to>
    <xdr:sp>
      <xdr:nvSpPr>
        <xdr:cNvPr id="402" name="Isosceles Triangle 98"/>
        <xdr:cNvSpPr/>
      </xdr:nvSpPr>
      <xdr:spPr>
        <a:xfrm>
          <a:off x="8632190" y="31468695"/>
          <a:ext cx="469265" cy="364490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9</xdr:col>
      <xdr:colOff>724050</xdr:colOff>
      <xdr:row>43</xdr:row>
      <xdr:rowOff>628775</xdr:rowOff>
    </xdr:from>
    <xdr:to>
      <xdr:col>9</xdr:col>
      <xdr:colOff>745264</xdr:colOff>
      <xdr:row>45</xdr:row>
      <xdr:rowOff>141909</xdr:rowOff>
    </xdr:to>
    <xdr:cxnSp>
      <xdr:nvCxnSpPr>
        <xdr:cNvPr id="403" name="Straight Arrow Connector 38"/>
        <xdr:cNvCxnSpPr>
          <a:stCxn id="396" idx="4"/>
          <a:endCxn id="397" idx="0"/>
        </xdr:cNvCxnSpPr>
      </xdr:nvCxnSpPr>
      <xdr:spPr>
        <a:xfrm rot="16200000" flipH="1">
          <a:off x="8371205" y="29422090"/>
          <a:ext cx="960755" cy="209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1033137</xdr:colOff>
      <xdr:row>43</xdr:row>
      <xdr:rowOff>358058</xdr:rowOff>
    </xdr:from>
    <xdr:to>
      <xdr:col>9</xdr:col>
      <xdr:colOff>1632827</xdr:colOff>
      <xdr:row>44</xdr:row>
      <xdr:rowOff>124889</xdr:rowOff>
    </xdr:to>
    <xdr:cxnSp>
      <xdr:nvCxnSpPr>
        <xdr:cNvPr id="404" name="Elbow Connector 17"/>
        <xdr:cNvCxnSpPr>
          <a:stCxn id="400" idx="0"/>
          <a:endCxn id="396" idx="6"/>
        </xdr:cNvCxnSpPr>
      </xdr:nvCxnSpPr>
      <xdr:spPr>
        <a:xfrm rot="16200000" flipV="1">
          <a:off x="9204325" y="28627070"/>
          <a:ext cx="490855" cy="59944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435429</xdr:colOff>
      <xdr:row>46</xdr:row>
      <xdr:rowOff>108857</xdr:rowOff>
    </xdr:from>
    <xdr:to>
      <xdr:col>9</xdr:col>
      <xdr:colOff>1053604</xdr:colOff>
      <xdr:row>46</xdr:row>
      <xdr:rowOff>650294</xdr:rowOff>
    </xdr:to>
    <xdr:sp>
      <xdr:nvSpPr>
        <xdr:cNvPr id="405" name="流程图: 联系 382"/>
        <xdr:cNvSpPr/>
      </xdr:nvSpPr>
      <xdr:spPr>
        <a:xfrm>
          <a:off x="8552180" y="30603825"/>
          <a:ext cx="618490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403</a:t>
          </a:r>
          <a:endParaRPr lang="zh-TW" altLang="en-US" sz="1400" b="1"/>
        </a:p>
      </xdr:txBody>
    </xdr:sp>
    <xdr:clientData/>
  </xdr:twoCellAnchor>
  <xdr:twoCellAnchor>
    <xdr:from>
      <xdr:col>9</xdr:col>
      <xdr:colOff>744517</xdr:colOff>
      <xdr:row>45</xdr:row>
      <xdr:rowOff>592999</xdr:rowOff>
    </xdr:from>
    <xdr:to>
      <xdr:col>9</xdr:col>
      <xdr:colOff>745263</xdr:colOff>
      <xdr:row>46</xdr:row>
      <xdr:rowOff>108857</xdr:rowOff>
    </xdr:to>
    <xdr:cxnSp>
      <xdr:nvCxnSpPr>
        <xdr:cNvPr id="406" name="Straight Arrow Connector 38"/>
        <xdr:cNvCxnSpPr>
          <a:stCxn id="397" idx="2"/>
          <a:endCxn id="405" idx="0"/>
        </xdr:cNvCxnSpPr>
      </xdr:nvCxnSpPr>
      <xdr:spPr>
        <a:xfrm rot="5400000">
          <a:off x="8742045" y="30483810"/>
          <a:ext cx="239395" cy="6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744517</xdr:colOff>
      <xdr:row>46</xdr:row>
      <xdr:rowOff>650294</xdr:rowOff>
    </xdr:from>
    <xdr:to>
      <xdr:col>9</xdr:col>
      <xdr:colOff>749875</xdr:colOff>
      <xdr:row>47</xdr:row>
      <xdr:rowOff>249590</xdr:rowOff>
    </xdr:to>
    <xdr:cxnSp>
      <xdr:nvCxnSpPr>
        <xdr:cNvPr id="407" name="Straight Arrow Connector 38"/>
        <xdr:cNvCxnSpPr>
          <a:stCxn id="405" idx="4"/>
          <a:endCxn id="402" idx="0"/>
        </xdr:cNvCxnSpPr>
      </xdr:nvCxnSpPr>
      <xdr:spPr>
        <a:xfrm rot="16200000" flipH="1">
          <a:off x="8702675" y="31304230"/>
          <a:ext cx="323215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414961</xdr:colOff>
      <xdr:row>53</xdr:row>
      <xdr:rowOff>87339</xdr:rowOff>
    </xdr:from>
    <xdr:to>
      <xdr:col>2</xdr:col>
      <xdr:colOff>1033136</xdr:colOff>
      <xdr:row>53</xdr:row>
      <xdr:rowOff>628776</xdr:rowOff>
    </xdr:to>
    <xdr:sp>
      <xdr:nvSpPr>
        <xdr:cNvPr id="408" name="流程图: 联系 382"/>
        <xdr:cNvSpPr/>
      </xdr:nvSpPr>
      <xdr:spPr>
        <a:xfrm>
          <a:off x="2129155" y="35649535"/>
          <a:ext cx="617855" cy="54165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01-01</a:t>
          </a:r>
          <a:endParaRPr lang="zh-TW" altLang="en-US" sz="1400" b="1"/>
        </a:p>
      </xdr:txBody>
    </xdr:sp>
    <xdr:clientData/>
  </xdr:twoCellAnchor>
  <xdr:twoCellAnchor>
    <xdr:from>
      <xdr:col>2</xdr:col>
      <xdr:colOff>175633</xdr:colOff>
      <xdr:row>55</xdr:row>
      <xdr:rowOff>132385</xdr:rowOff>
    </xdr:from>
    <xdr:to>
      <xdr:col>2</xdr:col>
      <xdr:colOff>1300769</xdr:colOff>
      <xdr:row>55</xdr:row>
      <xdr:rowOff>589189</xdr:rowOff>
    </xdr:to>
    <xdr:sp>
      <xdr:nvSpPr>
        <xdr:cNvPr id="409" name="流程图: 决策 479"/>
        <xdr:cNvSpPr/>
      </xdr:nvSpPr>
      <xdr:spPr>
        <a:xfrm>
          <a:off x="1889760" y="37142420"/>
          <a:ext cx="1125220" cy="456565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01-02</a:t>
          </a:r>
          <a:endParaRPr lang="zh-TW" altLang="en-US" sz="1400" b="1"/>
        </a:p>
      </xdr:txBody>
    </xdr:sp>
    <xdr:clientData/>
  </xdr:twoCellAnchor>
  <xdr:twoCellAnchor>
    <xdr:from>
      <xdr:col>2</xdr:col>
      <xdr:colOff>488265</xdr:colOff>
      <xdr:row>52</xdr:row>
      <xdr:rowOff>95264</xdr:rowOff>
    </xdr:from>
    <xdr:to>
      <xdr:col>2</xdr:col>
      <xdr:colOff>957055</xdr:colOff>
      <xdr:row>52</xdr:row>
      <xdr:rowOff>497771</xdr:rowOff>
    </xdr:to>
    <xdr:sp>
      <xdr:nvSpPr>
        <xdr:cNvPr id="410" name="Isosceles Triangle 98"/>
        <xdr:cNvSpPr/>
      </xdr:nvSpPr>
      <xdr:spPr>
        <a:xfrm rot="10800000">
          <a:off x="2202180" y="34933890"/>
          <a:ext cx="469265" cy="40195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2</xdr:col>
      <xdr:colOff>722660</xdr:colOff>
      <xdr:row>52</xdr:row>
      <xdr:rowOff>497770</xdr:rowOff>
    </xdr:from>
    <xdr:to>
      <xdr:col>2</xdr:col>
      <xdr:colOff>724049</xdr:colOff>
      <xdr:row>53</xdr:row>
      <xdr:rowOff>87338</xdr:rowOff>
    </xdr:to>
    <xdr:cxnSp>
      <xdr:nvCxnSpPr>
        <xdr:cNvPr id="411" name="Elbow Connector 21"/>
        <xdr:cNvCxnSpPr>
          <a:stCxn id="410" idx="0"/>
          <a:endCxn id="408" idx="0"/>
        </xdr:cNvCxnSpPr>
      </xdr:nvCxnSpPr>
      <xdr:spPr>
        <a:xfrm rot="16200000" flipH="1">
          <a:off x="2280920" y="35492055"/>
          <a:ext cx="313055" cy="127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515480</xdr:colOff>
      <xdr:row>57</xdr:row>
      <xdr:rowOff>249590</xdr:rowOff>
    </xdr:from>
    <xdr:to>
      <xdr:col>2</xdr:col>
      <xdr:colOff>984270</xdr:colOff>
      <xdr:row>57</xdr:row>
      <xdr:rowOff>614298</xdr:rowOff>
    </xdr:to>
    <xdr:sp>
      <xdr:nvSpPr>
        <xdr:cNvPr id="412" name="Isosceles Triangle 98"/>
        <xdr:cNvSpPr/>
      </xdr:nvSpPr>
      <xdr:spPr>
        <a:xfrm>
          <a:off x="2229485" y="38707695"/>
          <a:ext cx="469265" cy="364490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2</xdr:col>
      <xdr:colOff>724049</xdr:colOff>
      <xdr:row>53</xdr:row>
      <xdr:rowOff>624966</xdr:rowOff>
    </xdr:from>
    <xdr:to>
      <xdr:col>2</xdr:col>
      <xdr:colOff>737249</xdr:colOff>
      <xdr:row>55</xdr:row>
      <xdr:rowOff>136195</xdr:rowOff>
    </xdr:to>
    <xdr:cxnSp>
      <xdr:nvCxnSpPr>
        <xdr:cNvPr id="413" name="Straight Arrow Connector 38"/>
        <xdr:cNvCxnSpPr>
          <a:stCxn id="408" idx="4"/>
          <a:endCxn id="409" idx="0"/>
        </xdr:cNvCxnSpPr>
      </xdr:nvCxnSpPr>
      <xdr:spPr>
        <a:xfrm>
          <a:off x="2438400" y="36187380"/>
          <a:ext cx="13335" cy="958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302773</xdr:colOff>
      <xdr:row>56</xdr:row>
      <xdr:rowOff>97427</xdr:rowOff>
    </xdr:from>
    <xdr:to>
      <xdr:col>2</xdr:col>
      <xdr:colOff>1179716</xdr:colOff>
      <xdr:row>56</xdr:row>
      <xdr:rowOff>650294</xdr:rowOff>
    </xdr:to>
    <xdr:sp>
      <xdr:nvSpPr>
        <xdr:cNvPr id="414" name="流程图: 联系 382"/>
        <xdr:cNvSpPr/>
      </xdr:nvSpPr>
      <xdr:spPr>
        <a:xfrm>
          <a:off x="2016760" y="37831395"/>
          <a:ext cx="876935" cy="55308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/>
            <a:t>01-03</a:t>
          </a:r>
          <a:endParaRPr lang="zh-TW" altLang="en-US" sz="1400" b="1"/>
        </a:p>
      </xdr:txBody>
    </xdr:sp>
    <xdr:clientData/>
  </xdr:twoCellAnchor>
  <xdr:twoCellAnchor>
    <xdr:from>
      <xdr:col>2</xdr:col>
      <xdr:colOff>737249</xdr:colOff>
      <xdr:row>55</xdr:row>
      <xdr:rowOff>592999</xdr:rowOff>
    </xdr:from>
    <xdr:to>
      <xdr:col>2</xdr:col>
      <xdr:colOff>741245</xdr:colOff>
      <xdr:row>56</xdr:row>
      <xdr:rowOff>93617</xdr:rowOff>
    </xdr:to>
    <xdr:cxnSp>
      <xdr:nvCxnSpPr>
        <xdr:cNvPr id="415" name="Straight Arrow Connector 38"/>
        <xdr:cNvCxnSpPr>
          <a:stCxn id="409" idx="2"/>
          <a:endCxn id="414" idx="0"/>
        </xdr:cNvCxnSpPr>
      </xdr:nvCxnSpPr>
      <xdr:spPr>
        <a:xfrm>
          <a:off x="2451735" y="37602795"/>
          <a:ext cx="3810" cy="2247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741245</xdr:colOff>
      <xdr:row>56</xdr:row>
      <xdr:rowOff>650294</xdr:rowOff>
    </xdr:from>
    <xdr:to>
      <xdr:col>2</xdr:col>
      <xdr:colOff>747018</xdr:colOff>
      <xdr:row>57</xdr:row>
      <xdr:rowOff>245780</xdr:rowOff>
    </xdr:to>
    <xdr:cxnSp>
      <xdr:nvCxnSpPr>
        <xdr:cNvPr id="416" name="Straight Arrow Connector 38"/>
        <xdr:cNvCxnSpPr>
          <a:stCxn id="414" idx="4"/>
          <a:endCxn id="412" idx="0"/>
        </xdr:cNvCxnSpPr>
      </xdr:nvCxnSpPr>
      <xdr:spPr>
        <a:xfrm>
          <a:off x="2455545" y="38384480"/>
          <a:ext cx="5715" cy="319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488265</xdr:colOff>
      <xdr:row>52</xdr:row>
      <xdr:rowOff>95264</xdr:rowOff>
    </xdr:from>
    <xdr:to>
      <xdr:col>2</xdr:col>
      <xdr:colOff>957055</xdr:colOff>
      <xdr:row>52</xdr:row>
      <xdr:rowOff>497771</xdr:rowOff>
    </xdr:to>
    <xdr:sp>
      <xdr:nvSpPr>
        <xdr:cNvPr id="417" name="Isosceles Triangle 98"/>
        <xdr:cNvSpPr/>
      </xdr:nvSpPr>
      <xdr:spPr>
        <a:xfrm rot="10800000">
          <a:off x="2202180" y="34933890"/>
          <a:ext cx="469265" cy="40195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2</xdr:col>
      <xdr:colOff>722660</xdr:colOff>
      <xdr:row>52</xdr:row>
      <xdr:rowOff>497770</xdr:rowOff>
    </xdr:from>
    <xdr:to>
      <xdr:col>2</xdr:col>
      <xdr:colOff>724049</xdr:colOff>
      <xdr:row>53</xdr:row>
      <xdr:rowOff>87338</xdr:rowOff>
    </xdr:to>
    <xdr:cxnSp>
      <xdr:nvCxnSpPr>
        <xdr:cNvPr id="418" name="Elbow Connector 21"/>
        <xdr:cNvCxnSpPr>
          <a:stCxn id="417" idx="0"/>
        </xdr:cNvCxnSpPr>
      </xdr:nvCxnSpPr>
      <xdr:spPr>
        <a:xfrm rot="16200000" flipH="1">
          <a:off x="2280920" y="35492055"/>
          <a:ext cx="313055" cy="127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515480</xdr:colOff>
      <xdr:row>57</xdr:row>
      <xdr:rowOff>249590</xdr:rowOff>
    </xdr:from>
    <xdr:to>
      <xdr:col>2</xdr:col>
      <xdr:colOff>984270</xdr:colOff>
      <xdr:row>57</xdr:row>
      <xdr:rowOff>614298</xdr:rowOff>
    </xdr:to>
    <xdr:sp>
      <xdr:nvSpPr>
        <xdr:cNvPr id="419" name="Isosceles Triangle 98"/>
        <xdr:cNvSpPr/>
      </xdr:nvSpPr>
      <xdr:spPr>
        <a:xfrm>
          <a:off x="2229485" y="38707695"/>
          <a:ext cx="469265" cy="364490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/>
        </a:p>
      </xdr:txBody>
    </xdr:sp>
    <xdr:clientData/>
  </xdr:twoCellAnchor>
  <xdr:twoCellAnchor>
    <xdr:from>
      <xdr:col>2</xdr:col>
      <xdr:colOff>724050</xdr:colOff>
      <xdr:row>53</xdr:row>
      <xdr:rowOff>628775</xdr:rowOff>
    </xdr:from>
    <xdr:to>
      <xdr:col>2</xdr:col>
      <xdr:colOff>745264</xdr:colOff>
      <xdr:row>55</xdr:row>
      <xdr:rowOff>141909</xdr:rowOff>
    </xdr:to>
    <xdr:cxnSp>
      <xdr:nvCxnSpPr>
        <xdr:cNvPr id="420" name="Straight Arrow Connector 38"/>
        <xdr:cNvCxnSpPr/>
      </xdr:nvCxnSpPr>
      <xdr:spPr>
        <a:xfrm rot="16200000" flipH="1">
          <a:off x="1968500" y="36661090"/>
          <a:ext cx="960755" cy="209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744517</xdr:colOff>
      <xdr:row>55</xdr:row>
      <xdr:rowOff>592999</xdr:rowOff>
    </xdr:from>
    <xdr:to>
      <xdr:col>2</xdr:col>
      <xdr:colOff>745263</xdr:colOff>
      <xdr:row>56</xdr:row>
      <xdr:rowOff>108857</xdr:rowOff>
    </xdr:to>
    <xdr:cxnSp>
      <xdr:nvCxnSpPr>
        <xdr:cNvPr id="421" name="Straight Arrow Connector 38"/>
        <xdr:cNvCxnSpPr/>
      </xdr:nvCxnSpPr>
      <xdr:spPr>
        <a:xfrm rot="5400000">
          <a:off x="2339340" y="37722810"/>
          <a:ext cx="239395" cy="6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744517</xdr:colOff>
      <xdr:row>56</xdr:row>
      <xdr:rowOff>650294</xdr:rowOff>
    </xdr:from>
    <xdr:to>
      <xdr:col>2</xdr:col>
      <xdr:colOff>749875</xdr:colOff>
      <xdr:row>57</xdr:row>
      <xdr:rowOff>249590</xdr:rowOff>
    </xdr:to>
    <xdr:cxnSp>
      <xdr:nvCxnSpPr>
        <xdr:cNvPr id="422" name="Straight Arrow Connector 38"/>
        <xdr:cNvCxnSpPr>
          <a:endCxn id="419" idx="0"/>
        </xdr:cNvCxnSpPr>
      </xdr:nvCxnSpPr>
      <xdr:spPr>
        <a:xfrm rot="16200000" flipH="1">
          <a:off x="2299970" y="38543230"/>
          <a:ext cx="323215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630609</xdr:colOff>
      <xdr:row>28</xdr:row>
      <xdr:rowOff>133262</xdr:rowOff>
    </xdr:from>
    <xdr:to>
      <xdr:col>9</xdr:col>
      <xdr:colOff>1248784</xdr:colOff>
      <xdr:row>28</xdr:row>
      <xdr:rowOff>668564</xdr:rowOff>
    </xdr:to>
    <xdr:sp>
      <xdr:nvSpPr>
        <xdr:cNvPr id="423" name="流程图: 联系 382"/>
        <xdr:cNvSpPr/>
      </xdr:nvSpPr>
      <xdr:spPr>
        <a:xfrm>
          <a:off x="8747760" y="17502505"/>
          <a:ext cx="617855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201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692062</xdr:colOff>
      <xdr:row>27</xdr:row>
      <xdr:rowOff>74889</xdr:rowOff>
    </xdr:from>
    <xdr:to>
      <xdr:col>9</xdr:col>
      <xdr:colOff>1193362</xdr:colOff>
      <xdr:row>27</xdr:row>
      <xdr:rowOff>426983</xdr:rowOff>
    </xdr:to>
    <xdr:sp>
      <xdr:nvSpPr>
        <xdr:cNvPr id="424" name="Isosceles Triangle 98"/>
        <xdr:cNvSpPr/>
      </xdr:nvSpPr>
      <xdr:spPr>
        <a:xfrm rot="10800000">
          <a:off x="8808720" y="16682085"/>
          <a:ext cx="501650" cy="35242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637951</xdr:colOff>
      <xdr:row>29</xdr:row>
      <xdr:rowOff>135983</xdr:rowOff>
    </xdr:from>
    <xdr:to>
      <xdr:col>9</xdr:col>
      <xdr:colOff>1256126</xdr:colOff>
      <xdr:row>29</xdr:row>
      <xdr:rowOff>671285</xdr:rowOff>
    </xdr:to>
    <xdr:sp>
      <xdr:nvSpPr>
        <xdr:cNvPr id="425" name="流程图: 联系 382"/>
        <xdr:cNvSpPr/>
      </xdr:nvSpPr>
      <xdr:spPr>
        <a:xfrm>
          <a:off x="8754745" y="18267680"/>
          <a:ext cx="618490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202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634974</xdr:colOff>
      <xdr:row>31</xdr:row>
      <xdr:rowOff>133006</xdr:rowOff>
    </xdr:from>
    <xdr:to>
      <xdr:col>9</xdr:col>
      <xdr:colOff>1253149</xdr:colOff>
      <xdr:row>31</xdr:row>
      <xdr:rowOff>668308</xdr:rowOff>
    </xdr:to>
    <xdr:sp>
      <xdr:nvSpPr>
        <xdr:cNvPr id="426" name="流程图: 联系 382"/>
        <xdr:cNvSpPr/>
      </xdr:nvSpPr>
      <xdr:spPr>
        <a:xfrm>
          <a:off x="8751570" y="19788505"/>
          <a:ext cx="618490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204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639593</xdr:colOff>
      <xdr:row>32</xdr:row>
      <xdr:rowOff>126240</xdr:rowOff>
    </xdr:from>
    <xdr:to>
      <xdr:col>9</xdr:col>
      <xdr:colOff>1257768</xdr:colOff>
      <xdr:row>32</xdr:row>
      <xdr:rowOff>677741</xdr:rowOff>
    </xdr:to>
    <xdr:sp>
      <xdr:nvSpPr>
        <xdr:cNvPr id="427" name="流程图: 联系 382"/>
        <xdr:cNvSpPr/>
      </xdr:nvSpPr>
      <xdr:spPr>
        <a:xfrm>
          <a:off x="8756650" y="20543520"/>
          <a:ext cx="617855" cy="55181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205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939697</xdr:colOff>
      <xdr:row>27</xdr:row>
      <xdr:rowOff>426984</xdr:rowOff>
    </xdr:from>
    <xdr:to>
      <xdr:col>9</xdr:col>
      <xdr:colOff>942712</xdr:colOff>
      <xdr:row>28</xdr:row>
      <xdr:rowOff>133263</xdr:rowOff>
    </xdr:to>
    <xdr:cxnSp>
      <xdr:nvCxnSpPr>
        <xdr:cNvPr id="428" name="Straight Arrow Connector 64"/>
        <xdr:cNvCxnSpPr>
          <a:stCxn id="424" idx="0"/>
          <a:endCxn id="423" idx="0"/>
        </xdr:cNvCxnSpPr>
      </xdr:nvCxnSpPr>
      <xdr:spPr>
        <a:xfrm rot="5400000">
          <a:off x="8823960" y="17266920"/>
          <a:ext cx="467995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939697</xdr:colOff>
      <xdr:row>28</xdr:row>
      <xdr:rowOff>668564</xdr:rowOff>
    </xdr:from>
    <xdr:to>
      <xdr:col>9</xdr:col>
      <xdr:colOff>947039</xdr:colOff>
      <xdr:row>29</xdr:row>
      <xdr:rowOff>135983</xdr:rowOff>
    </xdr:to>
    <xdr:cxnSp>
      <xdr:nvCxnSpPr>
        <xdr:cNvPr id="429" name="Straight Arrow Connector 64"/>
        <xdr:cNvCxnSpPr>
          <a:stCxn id="423" idx="4"/>
          <a:endCxn id="425" idx="0"/>
        </xdr:cNvCxnSpPr>
      </xdr:nvCxnSpPr>
      <xdr:spPr>
        <a:xfrm rot="16200000" flipH="1">
          <a:off x="8945245" y="18148935"/>
          <a:ext cx="22987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723805</xdr:colOff>
      <xdr:row>37</xdr:row>
      <xdr:rowOff>95332</xdr:rowOff>
    </xdr:from>
    <xdr:to>
      <xdr:col>9</xdr:col>
      <xdr:colOff>1192595</xdr:colOff>
      <xdr:row>37</xdr:row>
      <xdr:rowOff>479080</xdr:rowOff>
    </xdr:to>
    <xdr:sp>
      <xdr:nvSpPr>
        <xdr:cNvPr id="430" name="Isosceles Triangle 98"/>
        <xdr:cNvSpPr/>
      </xdr:nvSpPr>
      <xdr:spPr>
        <a:xfrm>
          <a:off x="8840470" y="24132540"/>
          <a:ext cx="469265" cy="383540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637951</xdr:colOff>
      <xdr:row>30</xdr:row>
      <xdr:rowOff>168827</xdr:rowOff>
    </xdr:from>
    <xdr:to>
      <xdr:col>9</xdr:col>
      <xdr:colOff>1256126</xdr:colOff>
      <xdr:row>30</xdr:row>
      <xdr:rowOff>704129</xdr:rowOff>
    </xdr:to>
    <xdr:sp>
      <xdr:nvSpPr>
        <xdr:cNvPr id="431" name="流程图: 联系 382"/>
        <xdr:cNvSpPr/>
      </xdr:nvSpPr>
      <xdr:spPr>
        <a:xfrm>
          <a:off x="8754745" y="19062065"/>
          <a:ext cx="618490" cy="53530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203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939697</xdr:colOff>
      <xdr:row>29</xdr:row>
      <xdr:rowOff>701408</xdr:rowOff>
    </xdr:from>
    <xdr:to>
      <xdr:col>9</xdr:col>
      <xdr:colOff>947039</xdr:colOff>
      <xdr:row>30</xdr:row>
      <xdr:rowOff>168827</xdr:rowOff>
    </xdr:to>
    <xdr:cxnSp>
      <xdr:nvCxnSpPr>
        <xdr:cNvPr id="432" name="Straight Arrow Connector 64"/>
        <xdr:cNvCxnSpPr>
          <a:endCxn id="431" idx="0"/>
        </xdr:cNvCxnSpPr>
      </xdr:nvCxnSpPr>
      <xdr:spPr>
        <a:xfrm>
          <a:off x="9056370" y="18832830"/>
          <a:ext cx="7620" cy="2292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692062</xdr:colOff>
      <xdr:row>27</xdr:row>
      <xdr:rowOff>74889</xdr:rowOff>
    </xdr:from>
    <xdr:to>
      <xdr:col>9</xdr:col>
      <xdr:colOff>1193362</xdr:colOff>
      <xdr:row>27</xdr:row>
      <xdr:rowOff>426983</xdr:rowOff>
    </xdr:to>
    <xdr:sp>
      <xdr:nvSpPr>
        <xdr:cNvPr id="433" name="Isosceles Triangle 98"/>
        <xdr:cNvSpPr/>
      </xdr:nvSpPr>
      <xdr:spPr>
        <a:xfrm rot="10800000">
          <a:off x="8808720" y="16682085"/>
          <a:ext cx="501650" cy="35242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944062</xdr:colOff>
      <xdr:row>30</xdr:row>
      <xdr:rowOff>704130</xdr:rowOff>
    </xdr:from>
    <xdr:to>
      <xdr:col>9</xdr:col>
      <xdr:colOff>947039</xdr:colOff>
      <xdr:row>31</xdr:row>
      <xdr:rowOff>133007</xdr:rowOff>
    </xdr:to>
    <xdr:cxnSp>
      <xdr:nvCxnSpPr>
        <xdr:cNvPr id="434" name="Straight Arrow Connector 64"/>
        <xdr:cNvCxnSpPr>
          <a:stCxn id="431" idx="4"/>
          <a:endCxn id="426" idx="0"/>
        </xdr:cNvCxnSpPr>
      </xdr:nvCxnSpPr>
      <xdr:spPr>
        <a:xfrm rot="5400000">
          <a:off x="8966835" y="19691350"/>
          <a:ext cx="191135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944062</xdr:colOff>
      <xdr:row>31</xdr:row>
      <xdr:rowOff>668307</xdr:rowOff>
    </xdr:from>
    <xdr:to>
      <xdr:col>9</xdr:col>
      <xdr:colOff>948681</xdr:colOff>
      <xdr:row>32</xdr:row>
      <xdr:rowOff>126239</xdr:rowOff>
    </xdr:to>
    <xdr:cxnSp>
      <xdr:nvCxnSpPr>
        <xdr:cNvPr id="435" name="Straight Arrow Connector 64"/>
        <xdr:cNvCxnSpPr>
          <a:stCxn id="426" idx="4"/>
          <a:endCxn id="427" idx="0"/>
        </xdr:cNvCxnSpPr>
      </xdr:nvCxnSpPr>
      <xdr:spPr>
        <a:xfrm rot="16200000" flipH="1">
          <a:off x="8953500" y="20431125"/>
          <a:ext cx="219710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1186448</xdr:colOff>
      <xdr:row>35</xdr:row>
      <xdr:rowOff>155255</xdr:rowOff>
    </xdr:from>
    <xdr:to>
      <xdr:col>9</xdr:col>
      <xdr:colOff>2098509</xdr:colOff>
      <xdr:row>35</xdr:row>
      <xdr:rowOff>563683</xdr:rowOff>
    </xdr:to>
    <xdr:sp>
      <xdr:nvSpPr>
        <xdr:cNvPr id="436" name="Rectangle 99"/>
        <xdr:cNvSpPr/>
      </xdr:nvSpPr>
      <xdr:spPr>
        <a:xfrm>
          <a:off x="9303385" y="22858730"/>
          <a:ext cx="911860" cy="4083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Repair</a:t>
          </a:r>
          <a:endParaRPr lang="en-US" altLang="en-US" sz="14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458594</xdr:colOff>
      <xdr:row>35</xdr:row>
      <xdr:rowOff>359469</xdr:rowOff>
    </xdr:from>
    <xdr:to>
      <xdr:col>9</xdr:col>
      <xdr:colOff>1186448</xdr:colOff>
      <xdr:row>36</xdr:row>
      <xdr:rowOff>316731</xdr:rowOff>
    </xdr:to>
    <xdr:cxnSp>
      <xdr:nvCxnSpPr>
        <xdr:cNvPr id="437" name="Elbow Connector 82"/>
        <xdr:cNvCxnSpPr>
          <a:stCxn id="436" idx="1"/>
          <a:endCxn id="441" idx="1"/>
        </xdr:cNvCxnSpPr>
      </xdr:nvCxnSpPr>
      <xdr:spPr>
        <a:xfrm rot="10800000" flipV="1">
          <a:off x="8575675" y="23063200"/>
          <a:ext cx="727710" cy="623570"/>
        </a:xfrm>
        <a:prstGeom prst="bentConnector3">
          <a:avLst>
            <a:gd name="adj1" fmla="val 13140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939697</xdr:colOff>
      <xdr:row>29</xdr:row>
      <xdr:rowOff>674578</xdr:rowOff>
    </xdr:from>
    <xdr:to>
      <xdr:col>9</xdr:col>
      <xdr:colOff>947039</xdr:colOff>
      <xdr:row>30</xdr:row>
      <xdr:rowOff>168827</xdr:rowOff>
    </xdr:to>
    <xdr:cxnSp>
      <xdr:nvCxnSpPr>
        <xdr:cNvPr id="438" name="Straight Arrow Connector 64"/>
        <xdr:cNvCxnSpPr>
          <a:endCxn id="431" idx="0"/>
        </xdr:cNvCxnSpPr>
      </xdr:nvCxnSpPr>
      <xdr:spPr>
        <a:xfrm rot="16200000" flipH="1">
          <a:off x="8931910" y="18930620"/>
          <a:ext cx="256540" cy="69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948681</xdr:colOff>
      <xdr:row>32</xdr:row>
      <xdr:rowOff>677740</xdr:rowOff>
    </xdr:from>
    <xdr:to>
      <xdr:col>9</xdr:col>
      <xdr:colOff>958340</xdr:colOff>
      <xdr:row>33</xdr:row>
      <xdr:rowOff>135897</xdr:rowOff>
    </xdr:to>
    <xdr:cxnSp>
      <xdr:nvCxnSpPr>
        <xdr:cNvPr id="439" name="Straight Arrow Connector 64"/>
        <xdr:cNvCxnSpPr>
          <a:stCxn id="427" idx="4"/>
          <a:endCxn id="440" idx="0"/>
        </xdr:cNvCxnSpPr>
      </xdr:nvCxnSpPr>
      <xdr:spPr>
        <a:xfrm rot="16200000" flipH="1">
          <a:off x="8960485" y="21200745"/>
          <a:ext cx="21971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649252</xdr:colOff>
      <xdr:row>33</xdr:row>
      <xdr:rowOff>135898</xdr:rowOff>
    </xdr:from>
    <xdr:to>
      <xdr:col>9</xdr:col>
      <xdr:colOff>1267427</xdr:colOff>
      <xdr:row>33</xdr:row>
      <xdr:rowOff>687399</xdr:rowOff>
    </xdr:to>
    <xdr:sp>
      <xdr:nvSpPr>
        <xdr:cNvPr id="440" name="流程图: 联系 382"/>
        <xdr:cNvSpPr/>
      </xdr:nvSpPr>
      <xdr:spPr>
        <a:xfrm>
          <a:off x="8766175" y="21315680"/>
          <a:ext cx="617855" cy="551180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206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458594</xdr:colOff>
      <xdr:row>36</xdr:row>
      <xdr:rowOff>95949</xdr:rowOff>
    </xdr:from>
    <xdr:to>
      <xdr:col>9</xdr:col>
      <xdr:colOff>1466625</xdr:colOff>
      <xdr:row>36</xdr:row>
      <xdr:rowOff>537513</xdr:rowOff>
    </xdr:to>
    <xdr:sp>
      <xdr:nvSpPr>
        <xdr:cNvPr id="441" name="流程图: 决策 479"/>
        <xdr:cNvSpPr/>
      </xdr:nvSpPr>
      <xdr:spPr>
        <a:xfrm>
          <a:off x="8575675" y="23466425"/>
          <a:ext cx="1007745" cy="441325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TW" sz="1400" b="1">
              <a:solidFill>
                <a:sysClr val="windowText" lastClr="000000"/>
              </a:solidFill>
            </a:rPr>
            <a:t>207</a:t>
          </a:r>
          <a:endParaRPr lang="en-US" altLang="zh-TW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1466625</xdr:colOff>
      <xdr:row>35</xdr:row>
      <xdr:rowOff>563683</xdr:rowOff>
    </xdr:from>
    <xdr:to>
      <xdr:col>9</xdr:col>
      <xdr:colOff>1642479</xdr:colOff>
      <xdr:row>36</xdr:row>
      <xdr:rowOff>316731</xdr:rowOff>
    </xdr:to>
    <xdr:cxnSp>
      <xdr:nvCxnSpPr>
        <xdr:cNvPr id="442" name="Elbow Connector 76"/>
        <xdr:cNvCxnSpPr>
          <a:stCxn id="441" idx="3"/>
          <a:endCxn id="436" idx="2"/>
        </xdr:cNvCxnSpPr>
      </xdr:nvCxnSpPr>
      <xdr:spPr>
        <a:xfrm flipV="1">
          <a:off x="9583420" y="23267035"/>
          <a:ext cx="175895" cy="41973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958340</xdr:colOff>
      <xdr:row>33</xdr:row>
      <xdr:rowOff>687399</xdr:rowOff>
    </xdr:from>
    <xdr:to>
      <xdr:col>9</xdr:col>
      <xdr:colOff>962610</xdr:colOff>
      <xdr:row>36</xdr:row>
      <xdr:rowOff>95949</xdr:rowOff>
    </xdr:to>
    <xdr:cxnSp>
      <xdr:nvCxnSpPr>
        <xdr:cNvPr id="443" name="Straight Arrow Connector 64"/>
        <xdr:cNvCxnSpPr>
          <a:stCxn id="440" idx="4"/>
          <a:endCxn id="441" idx="0"/>
        </xdr:cNvCxnSpPr>
      </xdr:nvCxnSpPr>
      <xdr:spPr>
        <a:xfrm rot="16200000" flipH="1">
          <a:off x="8277860" y="22664420"/>
          <a:ext cx="1598930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958201</xdr:colOff>
      <xdr:row>36</xdr:row>
      <xdr:rowOff>537512</xdr:rowOff>
    </xdr:from>
    <xdr:to>
      <xdr:col>9</xdr:col>
      <xdr:colOff>962611</xdr:colOff>
      <xdr:row>37</xdr:row>
      <xdr:rowOff>95331</xdr:rowOff>
    </xdr:to>
    <xdr:cxnSp>
      <xdr:nvCxnSpPr>
        <xdr:cNvPr id="444" name="Straight Arrow Connector 64"/>
        <xdr:cNvCxnSpPr>
          <a:stCxn id="441" idx="2"/>
          <a:endCxn id="430" idx="0"/>
        </xdr:cNvCxnSpPr>
      </xdr:nvCxnSpPr>
      <xdr:spPr>
        <a:xfrm rot="5400000">
          <a:off x="8964930" y="24017605"/>
          <a:ext cx="224790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493060</xdr:colOff>
      <xdr:row>2</xdr:row>
      <xdr:rowOff>11205</xdr:rowOff>
    </xdr:from>
    <xdr:to>
      <xdr:col>8</xdr:col>
      <xdr:colOff>941294</xdr:colOff>
      <xdr:row>2</xdr:row>
      <xdr:rowOff>302558</xdr:rowOff>
    </xdr:to>
    <xdr:sp>
      <xdr:nvSpPr>
        <xdr:cNvPr id="3" name="Isosceles Triangle 98"/>
        <xdr:cNvSpPr/>
      </xdr:nvSpPr>
      <xdr:spPr>
        <a:xfrm rot="10800000">
          <a:off x="6296660" y="848995"/>
          <a:ext cx="448310" cy="291465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400"/>
        </a:p>
      </xdr:txBody>
    </xdr:sp>
    <xdr:clientData/>
  </xdr:twoCellAnchor>
  <xdr:twoCellAnchor>
    <xdr:from>
      <xdr:col>8</xdr:col>
      <xdr:colOff>717177</xdr:colOff>
      <xdr:row>2</xdr:row>
      <xdr:rowOff>302558</xdr:rowOff>
    </xdr:from>
    <xdr:to>
      <xdr:col>8</xdr:col>
      <xdr:colOff>720833</xdr:colOff>
      <xdr:row>3</xdr:row>
      <xdr:rowOff>74085</xdr:rowOff>
    </xdr:to>
    <xdr:cxnSp>
      <xdr:nvCxnSpPr>
        <xdr:cNvPr id="4" name="Straight Arrow Connector 38"/>
        <xdr:cNvCxnSpPr>
          <a:stCxn id="3" idx="0"/>
          <a:endCxn id="35" idx="0"/>
        </xdr:cNvCxnSpPr>
      </xdr:nvCxnSpPr>
      <xdr:spPr>
        <a:xfrm rot="16200000" flipH="1">
          <a:off x="6427470" y="1233805"/>
          <a:ext cx="19050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738401</xdr:colOff>
      <xdr:row>18</xdr:row>
      <xdr:rowOff>435192</xdr:rowOff>
    </xdr:from>
    <xdr:to>
      <xdr:col>8</xdr:col>
      <xdr:colOff>738826</xdr:colOff>
      <xdr:row>19</xdr:row>
      <xdr:rowOff>1058</xdr:rowOff>
    </xdr:to>
    <xdr:cxnSp>
      <xdr:nvCxnSpPr>
        <xdr:cNvPr id="5" name="Straight Arrow Connector 38"/>
        <xdr:cNvCxnSpPr>
          <a:stCxn id="26" idx="4"/>
          <a:endCxn id="70" idx="0"/>
        </xdr:cNvCxnSpPr>
      </xdr:nvCxnSpPr>
      <xdr:spPr>
        <a:xfrm rot="5400000">
          <a:off x="6454775" y="11028680"/>
          <a:ext cx="1752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710476</xdr:colOff>
      <xdr:row>16</xdr:row>
      <xdr:rowOff>467993</xdr:rowOff>
    </xdr:from>
    <xdr:to>
      <xdr:col>8</xdr:col>
      <xdr:colOff>715854</xdr:colOff>
      <xdr:row>16</xdr:row>
      <xdr:rowOff>584336</xdr:rowOff>
    </xdr:to>
    <xdr:cxnSp>
      <xdr:nvCxnSpPr>
        <xdr:cNvPr id="6" name="Straight Arrow Connector 38"/>
        <xdr:cNvCxnSpPr/>
      </xdr:nvCxnSpPr>
      <xdr:spPr>
        <a:xfrm rot="5400000">
          <a:off x="6458585" y="9810115"/>
          <a:ext cx="116205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732384</xdr:colOff>
      <xdr:row>19</xdr:row>
      <xdr:rowOff>465883</xdr:rowOff>
    </xdr:from>
    <xdr:to>
      <xdr:col>8</xdr:col>
      <xdr:colOff>738400</xdr:colOff>
      <xdr:row>20</xdr:row>
      <xdr:rowOff>39237</xdr:rowOff>
    </xdr:to>
    <xdr:cxnSp>
      <xdr:nvCxnSpPr>
        <xdr:cNvPr id="8" name="Straight Arrow Connector 38"/>
        <xdr:cNvCxnSpPr>
          <a:stCxn id="70" idx="4"/>
          <a:endCxn id="85" idx="0"/>
        </xdr:cNvCxnSpPr>
      </xdr:nvCxnSpPr>
      <xdr:spPr>
        <a:xfrm rot="5400000">
          <a:off x="6447790" y="11669395"/>
          <a:ext cx="18288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732385</xdr:colOff>
      <xdr:row>20</xdr:row>
      <xdr:rowOff>490325</xdr:rowOff>
    </xdr:from>
    <xdr:to>
      <xdr:col>8</xdr:col>
      <xdr:colOff>738735</xdr:colOff>
      <xdr:row>21</xdr:row>
      <xdr:rowOff>45589</xdr:rowOff>
    </xdr:to>
    <xdr:cxnSp>
      <xdr:nvCxnSpPr>
        <xdr:cNvPr id="9" name="Straight Arrow Connector 38"/>
        <xdr:cNvCxnSpPr>
          <a:stCxn id="85" idx="2"/>
          <a:endCxn id="84" idx="0"/>
        </xdr:cNvCxnSpPr>
      </xdr:nvCxnSpPr>
      <xdr:spPr>
        <a:xfrm rot="16200000" flipH="1">
          <a:off x="6456680" y="12294235"/>
          <a:ext cx="1651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524184</xdr:colOff>
      <xdr:row>25</xdr:row>
      <xdr:rowOff>65354</xdr:rowOff>
    </xdr:from>
    <xdr:to>
      <xdr:col>8</xdr:col>
      <xdr:colOff>992184</xdr:colOff>
      <xdr:row>25</xdr:row>
      <xdr:rowOff>533354</xdr:rowOff>
    </xdr:to>
    <xdr:sp>
      <xdr:nvSpPr>
        <xdr:cNvPr id="10" name="流程图: 联系 382"/>
        <xdr:cNvSpPr/>
      </xdr:nvSpPr>
      <xdr:spPr>
        <a:xfrm>
          <a:off x="6327775" y="14838045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317</a:t>
          </a:r>
          <a:endParaRPr lang="zh-TW" altLang="en-US" sz="1400" b="1"/>
        </a:p>
      </xdr:txBody>
    </xdr:sp>
    <xdr:clientData/>
  </xdr:twoCellAnchor>
  <xdr:twoCellAnchor>
    <xdr:from>
      <xdr:col>8</xdr:col>
      <xdr:colOff>503554</xdr:colOff>
      <xdr:row>27</xdr:row>
      <xdr:rowOff>77475</xdr:rowOff>
    </xdr:from>
    <xdr:to>
      <xdr:col>8</xdr:col>
      <xdr:colOff>971554</xdr:colOff>
      <xdr:row>27</xdr:row>
      <xdr:rowOff>539755</xdr:rowOff>
    </xdr:to>
    <xdr:sp>
      <xdr:nvSpPr>
        <xdr:cNvPr id="15" name="流程图: 联系 382"/>
        <xdr:cNvSpPr/>
      </xdr:nvSpPr>
      <xdr:spPr>
        <a:xfrm>
          <a:off x="6306820" y="15946120"/>
          <a:ext cx="468630" cy="462280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401</a:t>
          </a:r>
          <a:endParaRPr lang="zh-TW" altLang="en-US" sz="1400" b="1"/>
        </a:p>
      </xdr:txBody>
    </xdr:sp>
    <xdr:clientData/>
  </xdr:twoCellAnchor>
  <xdr:twoCellAnchor>
    <xdr:from>
      <xdr:col>8</xdr:col>
      <xdr:colOff>534669</xdr:colOff>
      <xdr:row>34</xdr:row>
      <xdr:rowOff>65643</xdr:rowOff>
    </xdr:from>
    <xdr:to>
      <xdr:col>8</xdr:col>
      <xdr:colOff>1002669</xdr:colOff>
      <xdr:row>34</xdr:row>
      <xdr:rowOff>535760</xdr:rowOff>
    </xdr:to>
    <xdr:sp>
      <xdr:nvSpPr>
        <xdr:cNvPr id="16" name="流程图: 联系 382"/>
        <xdr:cNvSpPr/>
      </xdr:nvSpPr>
      <xdr:spPr>
        <a:xfrm>
          <a:off x="6337935" y="20734655"/>
          <a:ext cx="468630" cy="469900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408</a:t>
          </a:r>
          <a:endParaRPr lang="zh-TW" altLang="en-US" sz="1400" b="1"/>
        </a:p>
      </xdr:txBody>
    </xdr:sp>
    <xdr:clientData/>
  </xdr:twoCellAnchor>
  <xdr:twoCellAnchor>
    <xdr:from>
      <xdr:col>8</xdr:col>
      <xdr:colOff>762952</xdr:colOff>
      <xdr:row>33</xdr:row>
      <xdr:rowOff>491094</xdr:rowOff>
    </xdr:from>
    <xdr:to>
      <xdr:col>8</xdr:col>
      <xdr:colOff>768669</xdr:colOff>
      <xdr:row>34</xdr:row>
      <xdr:rowOff>65642</xdr:rowOff>
    </xdr:to>
    <xdr:cxnSp>
      <xdr:nvCxnSpPr>
        <xdr:cNvPr id="17" name="Straight Arrow Connector 38"/>
        <xdr:cNvCxnSpPr>
          <a:stCxn id="103" idx="4"/>
          <a:endCxn id="16" idx="0"/>
        </xdr:cNvCxnSpPr>
      </xdr:nvCxnSpPr>
      <xdr:spPr>
        <a:xfrm rot="16200000" flipH="1">
          <a:off x="6439535" y="20601305"/>
          <a:ext cx="259715" cy="57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768668</xdr:colOff>
      <xdr:row>34</xdr:row>
      <xdr:rowOff>535760</xdr:rowOff>
    </xdr:from>
    <xdr:to>
      <xdr:col>8</xdr:col>
      <xdr:colOff>772911</xdr:colOff>
      <xdr:row>35</xdr:row>
      <xdr:rowOff>80460</xdr:rowOff>
    </xdr:to>
    <xdr:cxnSp>
      <xdr:nvCxnSpPr>
        <xdr:cNvPr id="18" name="Straight Arrow Connector 38"/>
        <xdr:cNvCxnSpPr>
          <a:stCxn id="16" idx="4"/>
          <a:endCxn id="92" idx="0"/>
        </xdr:cNvCxnSpPr>
      </xdr:nvCxnSpPr>
      <xdr:spPr>
        <a:xfrm rot="16200000" flipH="1">
          <a:off x="6459220" y="21317585"/>
          <a:ext cx="230505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536361</xdr:colOff>
      <xdr:row>36</xdr:row>
      <xdr:rowOff>184575</xdr:rowOff>
    </xdr:from>
    <xdr:to>
      <xdr:col>8</xdr:col>
      <xdr:colOff>1018217</xdr:colOff>
      <xdr:row>36</xdr:row>
      <xdr:rowOff>498341</xdr:rowOff>
    </xdr:to>
    <xdr:sp>
      <xdr:nvSpPr>
        <xdr:cNvPr id="19" name="Isosceles Triangle 98"/>
        <xdr:cNvSpPr/>
      </xdr:nvSpPr>
      <xdr:spPr>
        <a:xfrm>
          <a:off x="6339840" y="22225000"/>
          <a:ext cx="481965" cy="313690"/>
        </a:xfrm>
        <a:prstGeom prst="triangle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400"/>
        </a:p>
      </xdr:txBody>
    </xdr:sp>
    <xdr:clientData/>
  </xdr:twoCellAnchor>
  <xdr:twoCellAnchor>
    <xdr:from>
      <xdr:col>8</xdr:col>
      <xdr:colOff>756068</xdr:colOff>
      <xdr:row>24</xdr:row>
      <xdr:rowOff>520637</xdr:rowOff>
    </xdr:from>
    <xdr:to>
      <xdr:col>8</xdr:col>
      <xdr:colOff>758184</xdr:colOff>
      <xdr:row>25</xdr:row>
      <xdr:rowOff>65354</xdr:rowOff>
    </xdr:to>
    <xdr:cxnSp>
      <xdr:nvCxnSpPr>
        <xdr:cNvPr id="22" name="Straight Arrow Connector 38"/>
        <xdr:cNvCxnSpPr>
          <a:stCxn id="81" idx="4"/>
          <a:endCxn id="10" idx="0"/>
        </xdr:cNvCxnSpPr>
      </xdr:nvCxnSpPr>
      <xdr:spPr>
        <a:xfrm rot="16200000" flipH="1">
          <a:off x="6483350" y="14759940"/>
          <a:ext cx="154305" cy="2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724009</xdr:colOff>
      <xdr:row>15</xdr:row>
      <xdr:rowOff>516686</xdr:rowOff>
    </xdr:from>
    <xdr:to>
      <xdr:col>8</xdr:col>
      <xdr:colOff>727183</xdr:colOff>
      <xdr:row>15</xdr:row>
      <xdr:rowOff>710144</xdr:rowOff>
    </xdr:to>
    <xdr:cxnSp>
      <xdr:nvCxnSpPr>
        <xdr:cNvPr id="23" name="Straight Arrow Connector 38"/>
        <xdr:cNvCxnSpPr>
          <a:stCxn id="57" idx="4"/>
          <a:endCxn id="25" idx="0"/>
        </xdr:cNvCxnSpPr>
      </xdr:nvCxnSpPr>
      <xdr:spPr>
        <a:xfrm rot="5400000">
          <a:off x="6432550" y="9184005"/>
          <a:ext cx="193675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490009</xdr:colOff>
      <xdr:row>15</xdr:row>
      <xdr:rowOff>710144</xdr:rowOff>
    </xdr:from>
    <xdr:to>
      <xdr:col>8</xdr:col>
      <xdr:colOff>958009</xdr:colOff>
      <xdr:row>16</xdr:row>
      <xdr:rowOff>458477</xdr:rowOff>
    </xdr:to>
    <xdr:sp>
      <xdr:nvSpPr>
        <xdr:cNvPr id="25" name="流程图: 联系 382"/>
        <xdr:cNvSpPr/>
      </xdr:nvSpPr>
      <xdr:spPr>
        <a:xfrm>
          <a:off x="6293485" y="9282430"/>
          <a:ext cx="467995" cy="46291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308</a:t>
          </a:r>
          <a:endParaRPr lang="zh-TW" altLang="en-US" sz="1400" b="1"/>
        </a:p>
      </xdr:txBody>
    </xdr:sp>
    <xdr:clientData/>
  </xdr:twoCellAnchor>
  <xdr:twoCellAnchor>
    <xdr:from>
      <xdr:col>8</xdr:col>
      <xdr:colOff>504825</xdr:colOff>
      <xdr:row>17</xdr:row>
      <xdr:rowOff>584200</xdr:rowOff>
    </xdr:from>
    <xdr:to>
      <xdr:col>8</xdr:col>
      <xdr:colOff>972825</xdr:colOff>
      <xdr:row>18</xdr:row>
      <xdr:rowOff>435192</xdr:rowOff>
    </xdr:to>
    <xdr:sp>
      <xdr:nvSpPr>
        <xdr:cNvPr id="26" name="流程图: 联系 382"/>
        <xdr:cNvSpPr/>
      </xdr:nvSpPr>
      <xdr:spPr>
        <a:xfrm>
          <a:off x="6308725" y="10480675"/>
          <a:ext cx="467995" cy="46037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310</a:t>
          </a:r>
          <a:endParaRPr lang="zh-TW" altLang="en-US" sz="1400" b="1"/>
        </a:p>
      </xdr:txBody>
    </xdr:sp>
    <xdr:clientData/>
  </xdr:twoCellAnchor>
  <xdr:twoCellAnchor>
    <xdr:from>
      <xdr:col>8</xdr:col>
      <xdr:colOff>314634</xdr:colOff>
      <xdr:row>22</xdr:row>
      <xdr:rowOff>17013</xdr:rowOff>
    </xdr:from>
    <xdr:to>
      <xdr:col>8</xdr:col>
      <xdr:colOff>1169183</xdr:colOff>
      <xdr:row>22</xdr:row>
      <xdr:rowOff>468102</xdr:rowOff>
    </xdr:to>
    <xdr:sp>
      <xdr:nvSpPr>
        <xdr:cNvPr id="29" name="流程图: 决策 479"/>
        <xdr:cNvSpPr/>
      </xdr:nvSpPr>
      <xdr:spPr>
        <a:xfrm>
          <a:off x="6118225" y="12960985"/>
          <a:ext cx="854710" cy="451485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314</a:t>
          </a:r>
          <a:endParaRPr lang="zh-TW" altLang="en-US" sz="1400" b="1"/>
        </a:p>
      </xdr:txBody>
    </xdr:sp>
    <xdr:clientData/>
  </xdr:twoCellAnchor>
  <xdr:twoCellAnchor>
    <xdr:from>
      <xdr:col>8</xdr:col>
      <xdr:colOff>729511</xdr:colOff>
      <xdr:row>17</xdr:row>
      <xdr:rowOff>462286</xdr:rowOff>
    </xdr:from>
    <xdr:to>
      <xdr:col>8</xdr:col>
      <xdr:colOff>738825</xdr:colOff>
      <xdr:row>17</xdr:row>
      <xdr:rowOff>584200</xdr:rowOff>
    </xdr:to>
    <xdr:cxnSp>
      <xdr:nvCxnSpPr>
        <xdr:cNvPr id="31" name="Straight Arrow Connector 38"/>
        <xdr:cNvCxnSpPr>
          <a:stCxn id="32" idx="4"/>
          <a:endCxn id="26" idx="0"/>
        </xdr:cNvCxnSpPr>
      </xdr:nvCxnSpPr>
      <xdr:spPr>
        <a:xfrm rot="16200000" flipH="1">
          <a:off x="6477000" y="10414635"/>
          <a:ext cx="12192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495511</xdr:colOff>
      <xdr:row>16</xdr:row>
      <xdr:rowOff>603886</xdr:rowOff>
    </xdr:from>
    <xdr:to>
      <xdr:col>8</xdr:col>
      <xdr:colOff>963511</xdr:colOff>
      <xdr:row>17</xdr:row>
      <xdr:rowOff>462286</xdr:rowOff>
    </xdr:to>
    <xdr:sp>
      <xdr:nvSpPr>
        <xdr:cNvPr id="32" name="流程图: 联系 382"/>
        <xdr:cNvSpPr/>
      </xdr:nvSpPr>
      <xdr:spPr>
        <a:xfrm>
          <a:off x="6299200" y="9890760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309</a:t>
          </a:r>
          <a:endParaRPr lang="zh-TW" altLang="en-US" sz="1400" b="1"/>
        </a:p>
      </xdr:txBody>
    </xdr:sp>
    <xdr:clientData/>
  </xdr:twoCellAnchor>
  <xdr:twoCellAnchor>
    <xdr:from>
      <xdr:col>8</xdr:col>
      <xdr:colOff>486833</xdr:colOff>
      <xdr:row>3</xdr:row>
      <xdr:rowOff>74085</xdr:rowOff>
    </xdr:from>
    <xdr:to>
      <xdr:col>8</xdr:col>
      <xdr:colOff>954833</xdr:colOff>
      <xdr:row>3</xdr:row>
      <xdr:rowOff>542085</xdr:rowOff>
    </xdr:to>
    <xdr:sp>
      <xdr:nvSpPr>
        <xdr:cNvPr id="35" name="流程图: 联系 382"/>
        <xdr:cNvSpPr/>
      </xdr:nvSpPr>
      <xdr:spPr>
        <a:xfrm>
          <a:off x="6290310" y="1330960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201</a:t>
          </a:r>
          <a:endParaRPr lang="zh-TW" altLang="en-US" sz="1400" b="1"/>
        </a:p>
      </xdr:txBody>
    </xdr:sp>
    <xdr:clientData/>
  </xdr:twoCellAnchor>
  <xdr:twoCellAnchor>
    <xdr:from>
      <xdr:col>8</xdr:col>
      <xdr:colOff>491066</xdr:colOff>
      <xdr:row>4</xdr:row>
      <xdr:rowOff>46570</xdr:rowOff>
    </xdr:from>
    <xdr:to>
      <xdr:col>8</xdr:col>
      <xdr:colOff>959066</xdr:colOff>
      <xdr:row>4</xdr:row>
      <xdr:rowOff>514570</xdr:rowOff>
    </xdr:to>
    <xdr:sp>
      <xdr:nvSpPr>
        <xdr:cNvPr id="37" name="流程图: 联系 382"/>
        <xdr:cNvSpPr/>
      </xdr:nvSpPr>
      <xdr:spPr>
        <a:xfrm>
          <a:off x="6294755" y="1913255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202</a:t>
          </a:r>
          <a:endParaRPr lang="zh-TW" altLang="en-US" sz="1400" b="1"/>
        </a:p>
      </xdr:txBody>
    </xdr:sp>
    <xdr:clientData/>
  </xdr:twoCellAnchor>
  <xdr:twoCellAnchor>
    <xdr:from>
      <xdr:col>8</xdr:col>
      <xdr:colOff>720832</xdr:colOff>
      <xdr:row>3</xdr:row>
      <xdr:rowOff>542085</xdr:rowOff>
    </xdr:from>
    <xdr:to>
      <xdr:col>8</xdr:col>
      <xdr:colOff>725065</xdr:colOff>
      <xdr:row>4</xdr:row>
      <xdr:rowOff>46570</xdr:rowOff>
    </xdr:to>
    <xdr:cxnSp>
      <xdr:nvCxnSpPr>
        <xdr:cNvPr id="38" name="Straight Arrow Connector 38"/>
        <xdr:cNvCxnSpPr>
          <a:stCxn id="35" idx="4"/>
          <a:endCxn id="37" idx="0"/>
        </xdr:cNvCxnSpPr>
      </xdr:nvCxnSpPr>
      <xdr:spPr>
        <a:xfrm rot="16200000" flipH="1">
          <a:off x="6469380" y="1854200"/>
          <a:ext cx="11430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495298</xdr:colOff>
      <xdr:row>5</xdr:row>
      <xdr:rowOff>50803</xdr:rowOff>
    </xdr:from>
    <xdr:to>
      <xdr:col>8</xdr:col>
      <xdr:colOff>963298</xdr:colOff>
      <xdr:row>5</xdr:row>
      <xdr:rowOff>518803</xdr:rowOff>
    </xdr:to>
    <xdr:sp>
      <xdr:nvSpPr>
        <xdr:cNvPr id="41" name="流程图: 联系 382"/>
        <xdr:cNvSpPr/>
      </xdr:nvSpPr>
      <xdr:spPr>
        <a:xfrm>
          <a:off x="6298565" y="2527300"/>
          <a:ext cx="468630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203</a:t>
          </a:r>
          <a:endParaRPr lang="zh-TW" altLang="en-US" sz="1400" b="1"/>
        </a:p>
      </xdr:txBody>
    </xdr:sp>
    <xdr:clientData/>
  </xdr:twoCellAnchor>
  <xdr:twoCellAnchor>
    <xdr:from>
      <xdr:col>8</xdr:col>
      <xdr:colOff>493183</xdr:colOff>
      <xdr:row>9</xdr:row>
      <xdr:rowOff>59269</xdr:rowOff>
    </xdr:from>
    <xdr:to>
      <xdr:col>8</xdr:col>
      <xdr:colOff>961183</xdr:colOff>
      <xdr:row>9</xdr:row>
      <xdr:rowOff>527269</xdr:rowOff>
    </xdr:to>
    <xdr:sp>
      <xdr:nvSpPr>
        <xdr:cNvPr id="43" name="流程图: 联系 382"/>
        <xdr:cNvSpPr/>
      </xdr:nvSpPr>
      <xdr:spPr>
        <a:xfrm>
          <a:off x="6296660" y="4973955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301</a:t>
          </a:r>
          <a:endParaRPr lang="zh-TW" altLang="en-US" sz="1400" b="1"/>
        </a:p>
      </xdr:txBody>
    </xdr:sp>
    <xdr:clientData/>
  </xdr:twoCellAnchor>
  <xdr:twoCellAnchor>
    <xdr:from>
      <xdr:col>8</xdr:col>
      <xdr:colOff>728674</xdr:colOff>
      <xdr:row>5</xdr:row>
      <xdr:rowOff>518803</xdr:rowOff>
    </xdr:from>
    <xdr:to>
      <xdr:col>8</xdr:col>
      <xdr:colOff>729298</xdr:colOff>
      <xdr:row>6</xdr:row>
      <xdr:rowOff>50376</xdr:rowOff>
    </xdr:to>
    <xdr:cxnSp>
      <xdr:nvCxnSpPr>
        <xdr:cNvPr id="45" name="Straight Arrow Connector 38"/>
        <xdr:cNvCxnSpPr>
          <a:stCxn id="41" idx="4"/>
          <a:endCxn id="78" idx="0"/>
        </xdr:cNvCxnSpPr>
      </xdr:nvCxnSpPr>
      <xdr:spPr>
        <a:xfrm rot="5400000">
          <a:off x="6461760" y="3065145"/>
          <a:ext cx="141605" cy="6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725067</xdr:colOff>
      <xdr:row>4</xdr:row>
      <xdr:rowOff>514569</xdr:rowOff>
    </xdr:from>
    <xdr:to>
      <xdr:col>8</xdr:col>
      <xdr:colOff>729299</xdr:colOff>
      <xdr:row>5</xdr:row>
      <xdr:rowOff>50802</xdr:rowOff>
    </xdr:to>
    <xdr:cxnSp>
      <xdr:nvCxnSpPr>
        <xdr:cNvPr id="46" name="Straight Arrow Connector 38"/>
        <xdr:cNvCxnSpPr>
          <a:stCxn id="37" idx="4"/>
          <a:endCxn id="41" idx="0"/>
        </xdr:cNvCxnSpPr>
      </xdr:nvCxnSpPr>
      <xdr:spPr>
        <a:xfrm rot="16200000" flipH="1">
          <a:off x="6457950" y="2451735"/>
          <a:ext cx="145415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497414</xdr:colOff>
      <xdr:row>11</xdr:row>
      <xdr:rowOff>42335</xdr:rowOff>
    </xdr:from>
    <xdr:to>
      <xdr:col>8</xdr:col>
      <xdr:colOff>965414</xdr:colOff>
      <xdr:row>11</xdr:row>
      <xdr:rowOff>510335</xdr:rowOff>
    </xdr:to>
    <xdr:sp>
      <xdr:nvSpPr>
        <xdr:cNvPr id="53" name="流程图: 联系 382"/>
        <xdr:cNvSpPr/>
      </xdr:nvSpPr>
      <xdr:spPr>
        <a:xfrm>
          <a:off x="6301105" y="6176010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303</a:t>
          </a:r>
          <a:endParaRPr lang="zh-TW" altLang="en-US" sz="1400" b="1"/>
        </a:p>
      </xdr:txBody>
    </xdr:sp>
    <xdr:clientData/>
  </xdr:twoCellAnchor>
  <xdr:twoCellAnchor>
    <xdr:from>
      <xdr:col>8</xdr:col>
      <xdr:colOff>501648</xdr:colOff>
      <xdr:row>12</xdr:row>
      <xdr:rowOff>35985</xdr:rowOff>
    </xdr:from>
    <xdr:to>
      <xdr:col>8</xdr:col>
      <xdr:colOff>969648</xdr:colOff>
      <xdr:row>12</xdr:row>
      <xdr:rowOff>503985</xdr:rowOff>
    </xdr:to>
    <xdr:sp>
      <xdr:nvSpPr>
        <xdr:cNvPr id="54" name="流程图: 联系 382"/>
        <xdr:cNvSpPr/>
      </xdr:nvSpPr>
      <xdr:spPr>
        <a:xfrm>
          <a:off x="6304915" y="6779260"/>
          <a:ext cx="468630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304</a:t>
          </a:r>
          <a:endParaRPr lang="zh-TW" altLang="en-US" sz="1400" b="1"/>
        </a:p>
      </xdr:txBody>
    </xdr:sp>
    <xdr:clientData/>
  </xdr:twoCellAnchor>
  <xdr:twoCellAnchor>
    <xdr:from>
      <xdr:col>8</xdr:col>
      <xdr:colOff>495297</xdr:colOff>
      <xdr:row>13</xdr:row>
      <xdr:rowOff>29635</xdr:rowOff>
    </xdr:from>
    <xdr:to>
      <xdr:col>8</xdr:col>
      <xdr:colOff>963297</xdr:colOff>
      <xdr:row>13</xdr:row>
      <xdr:rowOff>497635</xdr:rowOff>
    </xdr:to>
    <xdr:sp>
      <xdr:nvSpPr>
        <xdr:cNvPr id="55" name="流程图: 联系 382"/>
        <xdr:cNvSpPr/>
      </xdr:nvSpPr>
      <xdr:spPr>
        <a:xfrm>
          <a:off x="6298565" y="7382510"/>
          <a:ext cx="468630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305</a:t>
          </a:r>
          <a:endParaRPr lang="zh-TW" altLang="en-US" sz="1400" b="1"/>
        </a:p>
      </xdr:txBody>
    </xdr:sp>
    <xdr:clientData/>
  </xdr:twoCellAnchor>
  <xdr:twoCellAnchor>
    <xdr:from>
      <xdr:col>8</xdr:col>
      <xdr:colOff>499531</xdr:colOff>
      <xdr:row>14</xdr:row>
      <xdr:rowOff>55036</xdr:rowOff>
    </xdr:from>
    <xdr:to>
      <xdr:col>8</xdr:col>
      <xdr:colOff>967531</xdr:colOff>
      <xdr:row>14</xdr:row>
      <xdr:rowOff>523036</xdr:rowOff>
    </xdr:to>
    <xdr:sp>
      <xdr:nvSpPr>
        <xdr:cNvPr id="56" name="流程图: 联系 382"/>
        <xdr:cNvSpPr/>
      </xdr:nvSpPr>
      <xdr:spPr>
        <a:xfrm>
          <a:off x="6303010" y="8017510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306</a:t>
          </a:r>
          <a:endParaRPr lang="zh-TW" altLang="en-US" sz="1400" b="1"/>
        </a:p>
      </xdr:txBody>
    </xdr:sp>
    <xdr:clientData/>
  </xdr:twoCellAnchor>
  <xdr:twoCellAnchor>
    <xdr:from>
      <xdr:col>8</xdr:col>
      <xdr:colOff>493183</xdr:colOff>
      <xdr:row>15</xdr:row>
      <xdr:rowOff>48686</xdr:rowOff>
    </xdr:from>
    <xdr:to>
      <xdr:col>8</xdr:col>
      <xdr:colOff>961183</xdr:colOff>
      <xdr:row>15</xdr:row>
      <xdr:rowOff>516686</xdr:rowOff>
    </xdr:to>
    <xdr:sp>
      <xdr:nvSpPr>
        <xdr:cNvPr id="57" name="流程图: 联系 382"/>
        <xdr:cNvSpPr/>
      </xdr:nvSpPr>
      <xdr:spPr>
        <a:xfrm>
          <a:off x="6296660" y="8620760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307</a:t>
          </a:r>
          <a:endParaRPr lang="zh-TW" altLang="en-US" sz="1400" b="1"/>
        </a:p>
      </xdr:txBody>
    </xdr:sp>
    <xdr:clientData/>
  </xdr:twoCellAnchor>
  <xdr:twoCellAnchor>
    <xdr:from>
      <xdr:col>8</xdr:col>
      <xdr:colOff>501650</xdr:colOff>
      <xdr:row>10</xdr:row>
      <xdr:rowOff>46568</xdr:rowOff>
    </xdr:from>
    <xdr:to>
      <xdr:col>8</xdr:col>
      <xdr:colOff>969650</xdr:colOff>
      <xdr:row>10</xdr:row>
      <xdr:rowOff>514568</xdr:rowOff>
    </xdr:to>
    <xdr:sp>
      <xdr:nvSpPr>
        <xdr:cNvPr id="58" name="流程图: 联系 382"/>
        <xdr:cNvSpPr/>
      </xdr:nvSpPr>
      <xdr:spPr>
        <a:xfrm>
          <a:off x="6305550" y="5570855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302</a:t>
          </a:r>
          <a:endParaRPr lang="zh-TW" altLang="en-US" sz="1400" b="1"/>
        </a:p>
      </xdr:txBody>
    </xdr:sp>
    <xdr:clientData/>
  </xdr:twoCellAnchor>
  <xdr:twoCellAnchor>
    <xdr:from>
      <xdr:col>8</xdr:col>
      <xdr:colOff>727183</xdr:colOff>
      <xdr:row>9</xdr:row>
      <xdr:rowOff>527268</xdr:rowOff>
    </xdr:from>
    <xdr:to>
      <xdr:col>8</xdr:col>
      <xdr:colOff>735650</xdr:colOff>
      <xdr:row>10</xdr:row>
      <xdr:rowOff>46567</xdr:rowOff>
    </xdr:to>
    <xdr:cxnSp>
      <xdr:nvCxnSpPr>
        <xdr:cNvPr id="60" name="Straight Arrow Connector 38"/>
        <xdr:cNvCxnSpPr>
          <a:stCxn id="43" idx="4"/>
          <a:endCxn id="58" idx="0"/>
        </xdr:cNvCxnSpPr>
      </xdr:nvCxnSpPr>
      <xdr:spPr>
        <a:xfrm rot="16200000" flipH="1">
          <a:off x="6470650" y="5502275"/>
          <a:ext cx="128905" cy="82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731414</xdr:colOff>
      <xdr:row>10</xdr:row>
      <xdr:rowOff>514568</xdr:rowOff>
    </xdr:from>
    <xdr:to>
      <xdr:col>8</xdr:col>
      <xdr:colOff>735650</xdr:colOff>
      <xdr:row>11</xdr:row>
      <xdr:rowOff>42335</xdr:rowOff>
    </xdr:to>
    <xdr:cxnSp>
      <xdr:nvCxnSpPr>
        <xdr:cNvPr id="61" name="Straight Arrow Connector 38"/>
        <xdr:cNvCxnSpPr>
          <a:stCxn id="58" idx="4"/>
          <a:endCxn id="53" idx="0"/>
        </xdr:cNvCxnSpPr>
      </xdr:nvCxnSpPr>
      <xdr:spPr>
        <a:xfrm rot="5400000">
          <a:off x="6468745" y="6105525"/>
          <a:ext cx="13716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731415</xdr:colOff>
      <xdr:row>11</xdr:row>
      <xdr:rowOff>510334</xdr:rowOff>
    </xdr:from>
    <xdr:to>
      <xdr:col>8</xdr:col>
      <xdr:colOff>735649</xdr:colOff>
      <xdr:row>12</xdr:row>
      <xdr:rowOff>35984</xdr:rowOff>
    </xdr:to>
    <xdr:cxnSp>
      <xdr:nvCxnSpPr>
        <xdr:cNvPr id="62" name="Straight Arrow Connector 38"/>
        <xdr:cNvCxnSpPr>
          <a:stCxn id="53" idx="4"/>
          <a:endCxn id="54" idx="0"/>
        </xdr:cNvCxnSpPr>
      </xdr:nvCxnSpPr>
      <xdr:spPr>
        <a:xfrm rot="16200000" flipH="1">
          <a:off x="6469380" y="6709410"/>
          <a:ext cx="135255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729297</xdr:colOff>
      <xdr:row>12</xdr:row>
      <xdr:rowOff>503986</xdr:rowOff>
    </xdr:from>
    <xdr:to>
      <xdr:col>8</xdr:col>
      <xdr:colOff>735648</xdr:colOff>
      <xdr:row>13</xdr:row>
      <xdr:rowOff>29636</xdr:rowOff>
    </xdr:to>
    <xdr:cxnSp>
      <xdr:nvCxnSpPr>
        <xdr:cNvPr id="63" name="Straight Arrow Connector 38"/>
        <xdr:cNvCxnSpPr>
          <a:stCxn id="54" idx="4"/>
          <a:endCxn id="55" idx="0"/>
        </xdr:cNvCxnSpPr>
      </xdr:nvCxnSpPr>
      <xdr:spPr>
        <a:xfrm rot="5400000">
          <a:off x="6468745" y="7312025"/>
          <a:ext cx="13462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729297</xdr:colOff>
      <xdr:row>13</xdr:row>
      <xdr:rowOff>497635</xdr:rowOff>
    </xdr:from>
    <xdr:to>
      <xdr:col>8</xdr:col>
      <xdr:colOff>733531</xdr:colOff>
      <xdr:row>14</xdr:row>
      <xdr:rowOff>55036</xdr:rowOff>
    </xdr:to>
    <xdr:cxnSp>
      <xdr:nvCxnSpPr>
        <xdr:cNvPr id="64" name="Straight Arrow Connector 38"/>
        <xdr:cNvCxnSpPr>
          <a:stCxn id="55" idx="4"/>
          <a:endCxn id="56" idx="0"/>
        </xdr:cNvCxnSpPr>
      </xdr:nvCxnSpPr>
      <xdr:spPr>
        <a:xfrm rot="16200000" flipH="1">
          <a:off x="6451600" y="7931785"/>
          <a:ext cx="167005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727184</xdr:colOff>
      <xdr:row>14</xdr:row>
      <xdr:rowOff>523035</xdr:rowOff>
    </xdr:from>
    <xdr:to>
      <xdr:col>8</xdr:col>
      <xdr:colOff>733532</xdr:colOff>
      <xdr:row>15</xdr:row>
      <xdr:rowOff>48685</xdr:rowOff>
    </xdr:to>
    <xdr:cxnSp>
      <xdr:nvCxnSpPr>
        <xdr:cNvPr id="65" name="Straight Arrow Connector 38"/>
        <xdr:cNvCxnSpPr>
          <a:stCxn id="56" idx="4"/>
          <a:endCxn id="57" idx="0"/>
        </xdr:cNvCxnSpPr>
      </xdr:nvCxnSpPr>
      <xdr:spPr>
        <a:xfrm rot="5400000">
          <a:off x="6466205" y="8550275"/>
          <a:ext cx="135255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517835</xdr:colOff>
      <xdr:row>23</xdr:row>
      <xdr:rowOff>16653</xdr:rowOff>
    </xdr:from>
    <xdr:to>
      <xdr:col>8</xdr:col>
      <xdr:colOff>985835</xdr:colOff>
      <xdr:row>23</xdr:row>
      <xdr:rowOff>484653</xdr:rowOff>
    </xdr:to>
    <xdr:sp>
      <xdr:nvSpPr>
        <xdr:cNvPr id="80" name="流程图: 联系 382"/>
        <xdr:cNvSpPr/>
      </xdr:nvSpPr>
      <xdr:spPr>
        <a:xfrm>
          <a:off x="6321425" y="13570585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315</a:t>
          </a:r>
          <a:endParaRPr lang="zh-TW" altLang="en-US" sz="1400" b="1"/>
        </a:p>
      </xdr:txBody>
    </xdr:sp>
    <xdr:clientData/>
  </xdr:twoCellAnchor>
  <xdr:twoCellAnchor>
    <xdr:from>
      <xdr:col>8</xdr:col>
      <xdr:colOff>522068</xdr:colOff>
      <xdr:row>24</xdr:row>
      <xdr:rowOff>52637</xdr:rowOff>
    </xdr:from>
    <xdr:to>
      <xdr:col>8</xdr:col>
      <xdr:colOff>990068</xdr:colOff>
      <xdr:row>24</xdr:row>
      <xdr:rowOff>520637</xdr:rowOff>
    </xdr:to>
    <xdr:sp>
      <xdr:nvSpPr>
        <xdr:cNvPr id="81" name="流程图: 联系 382"/>
        <xdr:cNvSpPr/>
      </xdr:nvSpPr>
      <xdr:spPr>
        <a:xfrm>
          <a:off x="6325870" y="14215745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316</a:t>
          </a:r>
          <a:endParaRPr lang="zh-TW" altLang="en-US" sz="1400" b="1"/>
        </a:p>
      </xdr:txBody>
    </xdr:sp>
    <xdr:clientData/>
  </xdr:twoCellAnchor>
  <xdr:twoCellAnchor>
    <xdr:from>
      <xdr:col>8</xdr:col>
      <xdr:colOff>307226</xdr:colOff>
      <xdr:row>8</xdr:row>
      <xdr:rowOff>83708</xdr:rowOff>
    </xdr:from>
    <xdr:to>
      <xdr:col>8</xdr:col>
      <xdr:colOff>1161775</xdr:colOff>
      <xdr:row>8</xdr:row>
      <xdr:rowOff>534797</xdr:rowOff>
    </xdr:to>
    <xdr:sp>
      <xdr:nvSpPr>
        <xdr:cNvPr id="83" name="流程图: 决策 479"/>
        <xdr:cNvSpPr/>
      </xdr:nvSpPr>
      <xdr:spPr>
        <a:xfrm>
          <a:off x="6110605" y="4388485"/>
          <a:ext cx="854710" cy="451485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206</a:t>
          </a:r>
          <a:endParaRPr lang="zh-TW" altLang="en-US" sz="1400" b="1"/>
        </a:p>
      </xdr:txBody>
    </xdr:sp>
    <xdr:clientData/>
  </xdr:twoCellAnchor>
  <xdr:twoCellAnchor>
    <xdr:from>
      <xdr:col>8</xdr:col>
      <xdr:colOff>311459</xdr:colOff>
      <xdr:row>21</xdr:row>
      <xdr:rowOff>45590</xdr:rowOff>
    </xdr:from>
    <xdr:to>
      <xdr:col>8</xdr:col>
      <xdr:colOff>1166008</xdr:colOff>
      <xdr:row>21</xdr:row>
      <xdr:rowOff>496679</xdr:rowOff>
    </xdr:to>
    <xdr:sp>
      <xdr:nvSpPr>
        <xdr:cNvPr id="84" name="流程图: 决策 479"/>
        <xdr:cNvSpPr/>
      </xdr:nvSpPr>
      <xdr:spPr>
        <a:xfrm>
          <a:off x="6115050" y="12379960"/>
          <a:ext cx="854710" cy="451485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313</a:t>
          </a:r>
          <a:endParaRPr lang="zh-TW" altLang="en-US" sz="1400" b="1"/>
        </a:p>
      </xdr:txBody>
    </xdr:sp>
    <xdr:clientData/>
  </xdr:twoCellAnchor>
  <xdr:twoCellAnchor>
    <xdr:from>
      <xdr:col>8</xdr:col>
      <xdr:colOff>305109</xdr:colOff>
      <xdr:row>20</xdr:row>
      <xdr:rowOff>39237</xdr:rowOff>
    </xdr:from>
    <xdr:to>
      <xdr:col>8</xdr:col>
      <xdr:colOff>1159658</xdr:colOff>
      <xdr:row>20</xdr:row>
      <xdr:rowOff>490326</xdr:rowOff>
    </xdr:to>
    <xdr:sp>
      <xdr:nvSpPr>
        <xdr:cNvPr id="85" name="流程图: 决策 479"/>
        <xdr:cNvSpPr/>
      </xdr:nvSpPr>
      <xdr:spPr>
        <a:xfrm>
          <a:off x="6108700" y="11764010"/>
          <a:ext cx="854710" cy="451485"/>
        </a:xfrm>
        <a:prstGeom prst="flowChartDecision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312</a:t>
          </a:r>
          <a:endParaRPr lang="zh-TW" altLang="en-US" sz="1400" b="1"/>
        </a:p>
      </xdr:txBody>
    </xdr:sp>
    <xdr:clientData/>
  </xdr:twoCellAnchor>
  <xdr:twoCellAnchor>
    <xdr:from>
      <xdr:col>8</xdr:col>
      <xdr:colOff>969650</xdr:colOff>
      <xdr:row>8</xdr:row>
      <xdr:rowOff>309253</xdr:rowOff>
    </xdr:from>
    <xdr:to>
      <xdr:col>8</xdr:col>
      <xdr:colOff>1161775</xdr:colOff>
      <xdr:row>10</xdr:row>
      <xdr:rowOff>280568</xdr:rowOff>
    </xdr:to>
    <xdr:cxnSp>
      <xdr:nvCxnSpPr>
        <xdr:cNvPr id="88" name="肘形接點 87"/>
        <xdr:cNvCxnSpPr>
          <a:stCxn id="83" idx="3"/>
          <a:endCxn id="58" idx="6"/>
        </xdr:cNvCxnSpPr>
      </xdr:nvCxnSpPr>
      <xdr:spPr>
        <a:xfrm flipH="1">
          <a:off x="6773545" y="4614545"/>
          <a:ext cx="191770" cy="1189990"/>
        </a:xfrm>
        <a:prstGeom prst="bentConnector3">
          <a:avLst>
            <a:gd name="adj1" fmla="val -118985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751835</xdr:colOff>
      <xdr:row>23</xdr:row>
      <xdr:rowOff>484652</xdr:rowOff>
    </xdr:from>
    <xdr:to>
      <xdr:col>8</xdr:col>
      <xdr:colOff>756068</xdr:colOff>
      <xdr:row>24</xdr:row>
      <xdr:rowOff>52636</xdr:rowOff>
    </xdr:to>
    <xdr:cxnSp>
      <xdr:nvCxnSpPr>
        <xdr:cNvPr id="90" name="Straight Arrow Connector 38"/>
        <xdr:cNvCxnSpPr>
          <a:stCxn id="80" idx="4"/>
          <a:endCxn id="81" idx="0"/>
        </xdr:cNvCxnSpPr>
      </xdr:nvCxnSpPr>
      <xdr:spPr>
        <a:xfrm rot="16200000" flipH="1">
          <a:off x="6468745" y="14124940"/>
          <a:ext cx="177800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741910</xdr:colOff>
      <xdr:row>22</xdr:row>
      <xdr:rowOff>468101</xdr:rowOff>
    </xdr:from>
    <xdr:to>
      <xdr:col>8</xdr:col>
      <xdr:colOff>751836</xdr:colOff>
      <xdr:row>23</xdr:row>
      <xdr:rowOff>16652</xdr:rowOff>
    </xdr:to>
    <xdr:cxnSp>
      <xdr:nvCxnSpPr>
        <xdr:cNvPr id="95" name="Straight Arrow Connector 38"/>
        <xdr:cNvCxnSpPr>
          <a:stCxn id="29" idx="2"/>
          <a:endCxn id="80" idx="0"/>
        </xdr:cNvCxnSpPr>
      </xdr:nvCxnSpPr>
      <xdr:spPr>
        <a:xfrm rot="16200000" flipH="1">
          <a:off x="6471285" y="13486130"/>
          <a:ext cx="158115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507788</xdr:colOff>
      <xdr:row>28</xdr:row>
      <xdr:rowOff>81708</xdr:rowOff>
    </xdr:from>
    <xdr:to>
      <xdr:col>8</xdr:col>
      <xdr:colOff>975788</xdr:colOff>
      <xdr:row>28</xdr:row>
      <xdr:rowOff>543988</xdr:rowOff>
    </xdr:to>
    <xdr:sp>
      <xdr:nvSpPr>
        <xdr:cNvPr id="98" name="流程图: 联系 382"/>
        <xdr:cNvSpPr/>
      </xdr:nvSpPr>
      <xdr:spPr>
        <a:xfrm>
          <a:off x="6311265" y="16635730"/>
          <a:ext cx="467995" cy="462280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402</a:t>
          </a:r>
          <a:endParaRPr lang="zh-TW" altLang="en-US" sz="1400" b="1"/>
        </a:p>
      </xdr:txBody>
    </xdr:sp>
    <xdr:clientData/>
  </xdr:twoCellAnchor>
  <xdr:twoCellAnchor>
    <xdr:from>
      <xdr:col>8</xdr:col>
      <xdr:colOff>512020</xdr:colOff>
      <xdr:row>29</xdr:row>
      <xdr:rowOff>54191</xdr:rowOff>
    </xdr:from>
    <xdr:to>
      <xdr:col>8</xdr:col>
      <xdr:colOff>980020</xdr:colOff>
      <xdr:row>29</xdr:row>
      <xdr:rowOff>516471</xdr:rowOff>
    </xdr:to>
    <xdr:sp>
      <xdr:nvSpPr>
        <xdr:cNvPr id="99" name="流程图: 联系 382"/>
        <xdr:cNvSpPr/>
      </xdr:nvSpPr>
      <xdr:spPr>
        <a:xfrm>
          <a:off x="6315710" y="17294225"/>
          <a:ext cx="467995" cy="462280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403</a:t>
          </a:r>
          <a:endParaRPr lang="zh-TW" altLang="en-US" sz="1400" b="1"/>
        </a:p>
      </xdr:txBody>
    </xdr:sp>
    <xdr:clientData/>
  </xdr:twoCellAnchor>
  <xdr:twoCellAnchor>
    <xdr:from>
      <xdr:col>8</xdr:col>
      <xdr:colOff>516251</xdr:colOff>
      <xdr:row>30</xdr:row>
      <xdr:rowOff>79592</xdr:rowOff>
    </xdr:from>
    <xdr:to>
      <xdr:col>8</xdr:col>
      <xdr:colOff>984251</xdr:colOff>
      <xdr:row>30</xdr:row>
      <xdr:rowOff>541872</xdr:rowOff>
    </xdr:to>
    <xdr:sp>
      <xdr:nvSpPr>
        <xdr:cNvPr id="100" name="流程图: 联系 382"/>
        <xdr:cNvSpPr/>
      </xdr:nvSpPr>
      <xdr:spPr>
        <a:xfrm>
          <a:off x="6319520" y="18005425"/>
          <a:ext cx="468630" cy="462280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404</a:t>
          </a:r>
          <a:endParaRPr lang="zh-TW" altLang="en-US" sz="1400" b="1"/>
        </a:p>
      </xdr:txBody>
    </xdr:sp>
    <xdr:clientData/>
  </xdr:twoCellAnchor>
  <xdr:twoCellAnchor>
    <xdr:from>
      <xdr:col>8</xdr:col>
      <xdr:colOff>520485</xdr:colOff>
      <xdr:row>31</xdr:row>
      <xdr:rowOff>62658</xdr:rowOff>
    </xdr:from>
    <xdr:to>
      <xdr:col>8</xdr:col>
      <xdr:colOff>988485</xdr:colOff>
      <xdr:row>31</xdr:row>
      <xdr:rowOff>524938</xdr:rowOff>
    </xdr:to>
    <xdr:sp>
      <xdr:nvSpPr>
        <xdr:cNvPr id="101" name="流程图: 联系 382"/>
        <xdr:cNvSpPr/>
      </xdr:nvSpPr>
      <xdr:spPr>
        <a:xfrm>
          <a:off x="6323965" y="18674080"/>
          <a:ext cx="467995" cy="462280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405</a:t>
          </a:r>
          <a:endParaRPr lang="zh-TW" altLang="en-US" sz="1400" b="1"/>
        </a:p>
      </xdr:txBody>
    </xdr:sp>
    <xdr:clientData/>
  </xdr:twoCellAnchor>
  <xdr:twoCellAnchor>
    <xdr:from>
      <xdr:col>8</xdr:col>
      <xdr:colOff>524718</xdr:colOff>
      <xdr:row>31</xdr:row>
      <xdr:rowOff>670164</xdr:rowOff>
    </xdr:from>
    <xdr:to>
      <xdr:col>8</xdr:col>
      <xdr:colOff>992718</xdr:colOff>
      <xdr:row>32</xdr:row>
      <xdr:rowOff>444528</xdr:rowOff>
    </xdr:to>
    <xdr:sp>
      <xdr:nvSpPr>
        <xdr:cNvPr id="102" name="流程图: 联系 382"/>
        <xdr:cNvSpPr/>
      </xdr:nvSpPr>
      <xdr:spPr>
        <a:xfrm>
          <a:off x="6328410" y="19281775"/>
          <a:ext cx="467995" cy="46037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406</a:t>
          </a:r>
          <a:endParaRPr lang="zh-TW" altLang="en-US" sz="1400" b="1"/>
        </a:p>
      </xdr:txBody>
    </xdr:sp>
    <xdr:clientData/>
  </xdr:twoCellAnchor>
  <xdr:twoCellAnchor>
    <xdr:from>
      <xdr:col>8</xdr:col>
      <xdr:colOff>528952</xdr:colOff>
      <xdr:row>33</xdr:row>
      <xdr:rowOff>28815</xdr:rowOff>
    </xdr:from>
    <xdr:to>
      <xdr:col>8</xdr:col>
      <xdr:colOff>996952</xdr:colOff>
      <xdr:row>33</xdr:row>
      <xdr:rowOff>491095</xdr:rowOff>
    </xdr:to>
    <xdr:sp>
      <xdr:nvSpPr>
        <xdr:cNvPr id="103" name="流程图: 联系 382"/>
        <xdr:cNvSpPr/>
      </xdr:nvSpPr>
      <xdr:spPr>
        <a:xfrm>
          <a:off x="6332220" y="20012025"/>
          <a:ext cx="468630" cy="462280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407</a:t>
          </a:r>
          <a:endParaRPr lang="zh-TW" altLang="en-US" sz="1400" b="1"/>
        </a:p>
      </xdr:txBody>
    </xdr:sp>
    <xdr:clientData/>
  </xdr:twoCellAnchor>
  <xdr:twoCellAnchor>
    <xdr:from>
      <xdr:col>8</xdr:col>
      <xdr:colOff>737554</xdr:colOff>
      <xdr:row>27</xdr:row>
      <xdr:rowOff>539755</xdr:rowOff>
    </xdr:from>
    <xdr:to>
      <xdr:col>8</xdr:col>
      <xdr:colOff>741788</xdr:colOff>
      <xdr:row>28</xdr:row>
      <xdr:rowOff>81708</xdr:rowOff>
    </xdr:to>
    <xdr:cxnSp>
      <xdr:nvCxnSpPr>
        <xdr:cNvPr id="105" name="Straight Arrow Connector 38"/>
        <xdr:cNvCxnSpPr>
          <a:stCxn id="15" idx="4"/>
          <a:endCxn id="98" idx="0"/>
        </xdr:cNvCxnSpPr>
      </xdr:nvCxnSpPr>
      <xdr:spPr>
        <a:xfrm rot="16200000" flipH="1">
          <a:off x="6429375" y="16520160"/>
          <a:ext cx="227965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746020</xdr:colOff>
      <xdr:row>29</xdr:row>
      <xdr:rowOff>516470</xdr:rowOff>
    </xdr:from>
    <xdr:to>
      <xdr:col>8</xdr:col>
      <xdr:colOff>750251</xdr:colOff>
      <xdr:row>30</xdr:row>
      <xdr:rowOff>79591</xdr:rowOff>
    </xdr:to>
    <xdr:cxnSp>
      <xdr:nvCxnSpPr>
        <xdr:cNvPr id="108" name="Straight Arrow Connector 38"/>
        <xdr:cNvCxnSpPr>
          <a:stCxn id="99" idx="4"/>
          <a:endCxn id="100" idx="0"/>
        </xdr:cNvCxnSpPr>
      </xdr:nvCxnSpPr>
      <xdr:spPr>
        <a:xfrm rot="16200000" flipH="1">
          <a:off x="6427470" y="17879060"/>
          <a:ext cx="24892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750252</xdr:colOff>
      <xdr:row>30</xdr:row>
      <xdr:rowOff>541871</xdr:rowOff>
    </xdr:from>
    <xdr:to>
      <xdr:col>8</xdr:col>
      <xdr:colOff>754486</xdr:colOff>
      <xdr:row>31</xdr:row>
      <xdr:rowOff>62657</xdr:rowOff>
    </xdr:to>
    <xdr:cxnSp>
      <xdr:nvCxnSpPr>
        <xdr:cNvPr id="109" name="Straight Arrow Connector 38"/>
        <xdr:cNvCxnSpPr>
          <a:stCxn id="100" idx="4"/>
          <a:endCxn id="101" idx="0"/>
        </xdr:cNvCxnSpPr>
      </xdr:nvCxnSpPr>
      <xdr:spPr>
        <a:xfrm rot="16200000" flipH="1">
          <a:off x="6452870" y="18568670"/>
          <a:ext cx="206375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754484</xdr:colOff>
      <xdr:row>31</xdr:row>
      <xdr:rowOff>524938</xdr:rowOff>
    </xdr:from>
    <xdr:to>
      <xdr:col>8</xdr:col>
      <xdr:colOff>758717</xdr:colOff>
      <xdr:row>31</xdr:row>
      <xdr:rowOff>670164</xdr:rowOff>
    </xdr:to>
    <xdr:cxnSp>
      <xdr:nvCxnSpPr>
        <xdr:cNvPr id="110" name="Straight Arrow Connector 38"/>
        <xdr:cNvCxnSpPr>
          <a:stCxn id="101" idx="4"/>
          <a:endCxn id="102" idx="0"/>
        </xdr:cNvCxnSpPr>
      </xdr:nvCxnSpPr>
      <xdr:spPr>
        <a:xfrm rot="16200000" flipH="1">
          <a:off x="6487795" y="19206845"/>
          <a:ext cx="144780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758718</xdr:colOff>
      <xdr:row>32</xdr:row>
      <xdr:rowOff>444528</xdr:rowOff>
    </xdr:from>
    <xdr:to>
      <xdr:col>8</xdr:col>
      <xdr:colOff>762952</xdr:colOff>
      <xdr:row>33</xdr:row>
      <xdr:rowOff>28815</xdr:rowOff>
    </xdr:to>
    <xdr:cxnSp>
      <xdr:nvCxnSpPr>
        <xdr:cNvPr id="111" name="Straight Arrow Connector 38"/>
        <xdr:cNvCxnSpPr>
          <a:stCxn id="102" idx="4"/>
          <a:endCxn id="103" idx="0"/>
        </xdr:cNvCxnSpPr>
      </xdr:nvCxnSpPr>
      <xdr:spPr>
        <a:xfrm rot="16200000" flipH="1">
          <a:off x="6429375" y="19874865"/>
          <a:ext cx="269875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741788</xdr:colOff>
      <xdr:row>28</xdr:row>
      <xdr:rowOff>543988</xdr:rowOff>
    </xdr:from>
    <xdr:to>
      <xdr:col>8</xdr:col>
      <xdr:colOff>746020</xdr:colOff>
      <xdr:row>29</xdr:row>
      <xdr:rowOff>54191</xdr:rowOff>
    </xdr:to>
    <xdr:cxnSp>
      <xdr:nvCxnSpPr>
        <xdr:cNvPr id="121" name="Straight Arrow Connector 38"/>
        <xdr:cNvCxnSpPr>
          <a:stCxn id="98" idx="4"/>
          <a:endCxn id="99" idx="0"/>
        </xdr:cNvCxnSpPr>
      </xdr:nvCxnSpPr>
      <xdr:spPr>
        <a:xfrm rot="16200000" flipH="1">
          <a:off x="6449695" y="17193895"/>
          <a:ext cx="195580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738734</xdr:colOff>
      <xdr:row>21</xdr:row>
      <xdr:rowOff>496678</xdr:rowOff>
    </xdr:from>
    <xdr:to>
      <xdr:col>8</xdr:col>
      <xdr:colOff>741909</xdr:colOff>
      <xdr:row>22</xdr:row>
      <xdr:rowOff>17012</xdr:rowOff>
    </xdr:to>
    <xdr:cxnSp>
      <xdr:nvCxnSpPr>
        <xdr:cNvPr id="67" name="Straight Arrow Connector 38"/>
        <xdr:cNvCxnSpPr>
          <a:stCxn id="84" idx="2"/>
          <a:endCxn id="29" idx="0"/>
        </xdr:cNvCxnSpPr>
      </xdr:nvCxnSpPr>
      <xdr:spPr>
        <a:xfrm rot="16200000" flipH="1">
          <a:off x="6478905" y="12894310"/>
          <a:ext cx="130175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504400</xdr:colOff>
      <xdr:row>19</xdr:row>
      <xdr:rowOff>1058</xdr:rowOff>
    </xdr:from>
    <xdr:to>
      <xdr:col>8</xdr:col>
      <xdr:colOff>972400</xdr:colOff>
      <xdr:row>19</xdr:row>
      <xdr:rowOff>465883</xdr:rowOff>
    </xdr:to>
    <xdr:sp>
      <xdr:nvSpPr>
        <xdr:cNvPr id="70" name="流程图: 联系 382"/>
        <xdr:cNvSpPr/>
      </xdr:nvSpPr>
      <xdr:spPr>
        <a:xfrm>
          <a:off x="6308090" y="11116310"/>
          <a:ext cx="467995" cy="464820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311</a:t>
          </a:r>
          <a:endParaRPr lang="zh-TW" altLang="en-US" sz="1400" b="1"/>
        </a:p>
      </xdr:txBody>
    </xdr:sp>
    <xdr:clientData/>
  </xdr:twoCellAnchor>
  <xdr:twoCellAnchor>
    <xdr:from>
      <xdr:col>8</xdr:col>
      <xdr:colOff>494674</xdr:colOff>
      <xdr:row>6</xdr:row>
      <xdr:rowOff>50376</xdr:rowOff>
    </xdr:from>
    <xdr:to>
      <xdr:col>8</xdr:col>
      <xdr:colOff>962674</xdr:colOff>
      <xdr:row>6</xdr:row>
      <xdr:rowOff>518376</xdr:rowOff>
    </xdr:to>
    <xdr:sp>
      <xdr:nvSpPr>
        <xdr:cNvPr id="78" name="流程图: 联系 382"/>
        <xdr:cNvSpPr/>
      </xdr:nvSpPr>
      <xdr:spPr>
        <a:xfrm>
          <a:off x="6298565" y="3136265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204</a:t>
          </a:r>
          <a:endParaRPr lang="zh-TW" altLang="en-US" sz="1400" b="1"/>
        </a:p>
      </xdr:txBody>
    </xdr:sp>
    <xdr:clientData/>
  </xdr:twoCellAnchor>
  <xdr:twoCellAnchor>
    <xdr:from>
      <xdr:col>8</xdr:col>
      <xdr:colOff>728674</xdr:colOff>
      <xdr:row>6</xdr:row>
      <xdr:rowOff>518376</xdr:rowOff>
    </xdr:from>
    <xdr:to>
      <xdr:col>8</xdr:col>
      <xdr:colOff>732908</xdr:colOff>
      <xdr:row>7</xdr:row>
      <xdr:rowOff>44025</xdr:rowOff>
    </xdr:to>
    <xdr:cxnSp>
      <xdr:nvCxnSpPr>
        <xdr:cNvPr id="82" name="Straight Arrow Connector 38"/>
        <xdr:cNvCxnSpPr>
          <a:stCxn id="78" idx="4"/>
          <a:endCxn id="104" idx="0"/>
        </xdr:cNvCxnSpPr>
      </xdr:nvCxnSpPr>
      <xdr:spPr>
        <a:xfrm rot="16200000" flipH="1">
          <a:off x="6466840" y="3669665"/>
          <a:ext cx="135255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538912</xdr:colOff>
      <xdr:row>35</xdr:row>
      <xdr:rowOff>80460</xdr:rowOff>
    </xdr:from>
    <xdr:to>
      <xdr:col>8</xdr:col>
      <xdr:colOff>1006912</xdr:colOff>
      <xdr:row>35</xdr:row>
      <xdr:rowOff>550577</xdr:rowOff>
    </xdr:to>
    <xdr:sp>
      <xdr:nvSpPr>
        <xdr:cNvPr id="92" name="流程图: 联系 382"/>
        <xdr:cNvSpPr/>
      </xdr:nvSpPr>
      <xdr:spPr>
        <a:xfrm>
          <a:off x="6342380" y="21435060"/>
          <a:ext cx="467995" cy="47053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409</a:t>
          </a:r>
          <a:endParaRPr lang="zh-TW" altLang="en-US" sz="1400" b="1"/>
        </a:p>
      </xdr:txBody>
    </xdr:sp>
    <xdr:clientData/>
  </xdr:twoCellAnchor>
  <xdr:twoCellAnchor>
    <xdr:from>
      <xdr:col>8</xdr:col>
      <xdr:colOff>772912</xdr:colOff>
      <xdr:row>35</xdr:row>
      <xdr:rowOff>550576</xdr:rowOff>
    </xdr:from>
    <xdr:to>
      <xdr:col>8</xdr:col>
      <xdr:colOff>777289</xdr:colOff>
      <xdr:row>36</xdr:row>
      <xdr:rowOff>184574</xdr:rowOff>
    </xdr:to>
    <xdr:cxnSp>
      <xdr:nvCxnSpPr>
        <xdr:cNvPr id="94" name="Straight Arrow Connector 38"/>
        <xdr:cNvCxnSpPr>
          <a:stCxn id="92" idx="4"/>
          <a:endCxn id="19" idx="0"/>
        </xdr:cNvCxnSpPr>
      </xdr:nvCxnSpPr>
      <xdr:spPr>
        <a:xfrm rot="16200000" flipH="1">
          <a:off x="6418580" y="22063075"/>
          <a:ext cx="320040" cy="44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498908</xdr:colOff>
      <xdr:row>7</xdr:row>
      <xdr:rowOff>44025</xdr:rowOff>
    </xdr:from>
    <xdr:to>
      <xdr:col>8</xdr:col>
      <xdr:colOff>966908</xdr:colOff>
      <xdr:row>7</xdr:row>
      <xdr:rowOff>512025</xdr:rowOff>
    </xdr:to>
    <xdr:sp>
      <xdr:nvSpPr>
        <xdr:cNvPr id="104" name="流程图: 联系 382"/>
        <xdr:cNvSpPr/>
      </xdr:nvSpPr>
      <xdr:spPr>
        <a:xfrm>
          <a:off x="6302375" y="3739515"/>
          <a:ext cx="467995" cy="467995"/>
        </a:xfrm>
        <a:prstGeom prst="flowChartConnector">
          <a:avLst/>
        </a:prstGeom>
        <a:solidFill>
          <a:schemeClr val="bg1">
            <a:lumMod val="85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zh-TW" sz="1400" b="1"/>
            <a:t>205</a:t>
          </a:r>
          <a:endParaRPr lang="zh-TW" altLang="en-US" sz="1400" b="1"/>
        </a:p>
      </xdr:txBody>
    </xdr:sp>
    <xdr:clientData/>
  </xdr:twoCellAnchor>
  <xdr:twoCellAnchor>
    <xdr:from>
      <xdr:col>8</xdr:col>
      <xdr:colOff>732908</xdr:colOff>
      <xdr:row>7</xdr:row>
      <xdr:rowOff>512024</xdr:rowOff>
    </xdr:from>
    <xdr:to>
      <xdr:col>8</xdr:col>
      <xdr:colOff>734501</xdr:colOff>
      <xdr:row>8</xdr:row>
      <xdr:rowOff>83707</xdr:rowOff>
    </xdr:to>
    <xdr:cxnSp>
      <xdr:nvCxnSpPr>
        <xdr:cNvPr id="112" name="Straight Arrow Connector 38"/>
        <xdr:cNvCxnSpPr>
          <a:stCxn id="104" idx="4"/>
          <a:endCxn id="83" idx="0"/>
        </xdr:cNvCxnSpPr>
      </xdr:nvCxnSpPr>
      <xdr:spPr>
        <a:xfrm rot="16200000" flipH="1">
          <a:off x="6446520" y="4297045"/>
          <a:ext cx="181610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Nally%20chen%202\3.&#22312;&#20570;&#24190;&#31278;\16ELM5%20Gen2\Cleansheet\0930\ELM5%20Gen2%20Wired%20Mouse%20Cleansheet_TW-Assembly%20202410%2004%2020.5S-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SupplierBaseInput"/>
      <sheetName val="Price Summary"/>
      <sheetName val="Cleansheet"/>
      <sheetName val="Equipment List"/>
      <sheetName val="SMT Process Flow"/>
      <sheetName val="Consumables"/>
      <sheetName val="BB Process Flow"/>
    </sheetNames>
    <definedNames>
      <definedName name="__C7018" refersTo="=#N/A" sheetId="3"/>
      <definedName name="__H5354" refersTo="=#N/A" sheetId="3"/>
      <definedName name="__U2313" refersTo="=#N/A" sheetId="3"/>
      <definedName name="__y5638" refersTo="=#N/A" sheetId="3"/>
      <definedName name="__y563800" refersTo="=#N/A" sheetId="3"/>
      <definedName name="__y5639" refersTo="=#N/A" sheetId="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edDate="41758.605619213" refreshedBy="Sabrina Reicherter" recordCount="0">
  <cacheSource type="worksheet">
    <worksheetSource ref="A1:A1" sheet="Instructions"/>
  </cacheSource>
  <cacheFields count="15">
    <cacheField name="Bucket" numFmtId="210">
      <sharedItems containsBlank="1" count="9">
        <s v="SMT"/>
        <s v="BB Assy"/>
        <s v="BB Testing"/>
        <s v="Quality (BB)"/>
        <m/>
        <s v="IT Equipment"/>
        <s v="SMT Testing"/>
        <s v="Material Management"/>
        <s v="Quality (SMT)"/>
      </sharedItems>
    </cacheField>
    <cacheField name="Type Name" numFmtId="210">
      <sharedItems containsBlank="1" count="3">
        <s v="MRO"/>
        <s v="Equipment"/>
        <m/>
      </sharedItems>
    </cacheField>
    <cacheField name="Equipment type (Custom/Standard)" numFmtId="210"/>
    <cacheField name="Description" numFmtId="210"/>
    <cacheField name="Project" numFmtId="210"/>
    <cacheField name="Useful Life" numFmtId="210"/>
    <cacheField name="Line Qty" numFmtId="210"/>
    <cacheField name="Qty per line" numFmtId="210"/>
    <cacheField name="Extended Qty" numFmtId="210"/>
    <cacheField name="Spare quanitiy" numFmtId="210"/>
    <cacheField name="Equipment Cost" numFmtId="210"/>
    <cacheField name="Extended Cost per line" numFmtId="210"/>
    <cacheField name="Extended Cost for all lines" numFmtId="210"/>
    <cacheField name="Unit Cost" numFmtId="210"/>
    <cacheField name="Comments" numFmtId="21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dataPosition="1" autoFormatId="1" applyNumberFormats="0" applyBorderFormats="0" applyFontFormats="0" applyPatternFormats="0" applyAlignmentFormats="0" applyWidthHeightFormats="1" dataCaption="Values" useAutoFormatting="1" compact="0" compactData="0" gridDropZones="1" showDrill="0">
  <location ref="S1:U4" firstHeaderRow="1" firstDataRow="3" firstDataCol="1"/>
  <pivotFields count="15">
    <pivotField axis="axisRow" compact="0" numFmtId="210" showAll="0">
      <items count="10">
        <item x="1"/>
        <item x="2"/>
        <item x="3"/>
        <item x="0"/>
        <item x="6"/>
        <item x="5"/>
        <item x="4"/>
        <item x="7"/>
        <item x="8"/>
        <item t="default"/>
      </items>
    </pivotField>
    <pivotField axis="axisCol" compact="0" defaultSubtotal="0" numFmtId="210" showAll="0">
      <items count="3">
        <item x="0"/>
        <item x="1"/>
        <item x="2"/>
      </items>
    </pivotField>
    <pivotField compact="0" defaultSubtotal="0" numFmtId="210" showAll="0"/>
    <pivotField compact="0" numFmtId="210" showAll="0"/>
    <pivotField compact="0" numFmtId="210" showAll="0"/>
    <pivotField compact="0" numFmtId="210" showAll="0"/>
    <pivotField compact="0" numFmtId="210" showAll="0"/>
    <pivotField compact="0" numFmtId="210" showAll="0"/>
    <pivotField compact="0" numFmtId="210" showAll="0"/>
    <pivotField compact="0" defaultSubtotal="0" numFmtId="210" showAll="0"/>
    <pivotField compact="0" numFmtId="210" showAll="0"/>
    <pivotField compact="0" numFmtId="210" showAll="0"/>
    <pivotField dataField="1" compact="0" numFmtId="210" showAll="0">
      <items count="1">
        <item t="default"/>
      </items>
    </pivotField>
    <pivotField dataField="1" compact="0" numFmtId="210" showAll="0">
      <items count="1">
        <item t="default"/>
      </items>
    </pivotField>
    <pivotField compact="0" defaultSubtotal="0" numFmtId="210" showAll="0"/>
  </pivotFields>
  <rowFields count="1">
    <field x="0"/>
  </rowFields>
  <rowItems count="1">
    <i t="grand">
      <x/>
    </i>
  </rowItems>
  <colFields count="2">
    <field x="1"/>
    <field x="-2"/>
  </colFields>
  <colItems count="2">
    <i t="grand">
      <x/>
    </i>
    <i t="grand" i="1">
      <x/>
    </i>
  </colItems>
  <dataFields count="2">
    <dataField name="Sum of Extended Cost for all lines" fld="12" baseField="0" baseItem="0" numFmtId="210"/>
    <dataField name="Sum of Unit Cost" fld="13" baseField="0" baseItem="0" numFmtId="210"/>
  </dataFields>
  <pivotTableStyleInfo showRowHeaders="1" showColHeaders="1" showLastColumn="1"/>
</pivotTableDefinition>
</file>

<file path=xl/tables/table1.xml><?xml version="1.0" encoding="utf-8"?>
<table xmlns="http://schemas.openxmlformats.org/spreadsheetml/2006/main" id="3" name="Table3" displayName="Table3" ref="F3:F10" totalsRowShown="0">
  <autoFilter ref="F3:F10"/>
  <sortState ref="F3:F10">
    <sortCondition ref="F3:F10"/>
  </sortState>
  <tableColumns count="1">
    <tableColumn id="1" name="Bucke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H3:H5" totalsRowShown="0">
  <autoFilter ref="H3:H5"/>
  <tableColumns count="1">
    <tableColumn id="1" name="Equipment 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J3:J5" totalsRowShown="0">
  <autoFilter ref="J3:J5"/>
  <tableColumns count="1">
    <tableColumn id="1" name="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" name="Table16" displayName="Table16" ref="A2:Q58" totalsRowCount="1">
  <autoFilter ref="A2:Q57"/>
  <sortState ref="A2:Q57">
    <sortCondition ref="I2:I24" descending="1"/>
  </sortState>
  <tableColumns count="17">
    <tableColumn id="1" name="Bucket"/>
    <tableColumn id="2" name="Type Name"/>
    <tableColumn id="3" name="Equipment type (Custom/Standard)"/>
    <tableColumn id="4" name="Description"/>
    <tableColumn id="5" name="Manufacturer"/>
    <tableColumn id="6" name="Model"/>
    <tableColumn id="7" name="P/N"/>
    <tableColumn id="8" name="Useful Life"/>
    <tableColumn id="9" name="Line Qty"/>
    <tableColumn id="10" name="Qty per line"/>
    <tableColumn id="11" name="Extended Qty"/>
    <tableColumn id="12" name="Spare quanitiy"/>
    <tableColumn id="13" name="Equipment Cost"/>
    <tableColumn id="14" name="Extended Cost per line"/>
    <tableColumn id="15" name="Extended Cost for all lines" totalsRowFunction="custom">
      <calculatedColumnFormula>SUM(O3:O57)</calculatedColumnFormula>
      <totalsRowFormula>SUM(O3:O57)</totalsRowFormula>
    </tableColumn>
    <tableColumn id="16" name="Unit Cost" totalsRowFunction="custom">
      <calculatedColumnFormula>SUM(P3:P57)</calculatedColumnFormula>
      <totalsRowFormula>SUM(P3:P57)</totalsRowFormula>
    </tableColumn>
    <tableColumn id="17" name="Comment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2" name="Table2" displayName="Table2" ref="A1:L17" totalsRowShown="0">
  <autoFilter ref="A1:L17"/>
  <tableColumns count="12">
    <tableColumn id="1" name="Bucket"/>
    <tableColumn id="2" name="Item description"/>
    <tableColumn id="3" name="P/N"/>
    <tableColumn id="4" name="Spec."/>
    <tableColumn id="5" name="Est Q'ty"/>
    <tableColumn id="6" name="Item Cost"/>
    <tableColumn id="7" name="Unit Cost"/>
    <tableColumn id="8" name="Unit Usage"/>
    <tableColumn id="9" name="Total Cost"/>
    <tableColumn id="10" name="Unit Cost2"/>
    <tableColumn id="11" name="Remark"/>
    <tableColumn id="12" name="列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28"/>
  <sheetViews>
    <sheetView showGridLines="0" workbookViewId="0">
      <selection activeCell="A28" sqref="A28"/>
    </sheetView>
  </sheetViews>
  <sheetFormatPr defaultColWidth="9.36111111111111" defaultRowHeight="14.4"/>
  <cols>
    <col min="1" max="1" width="98.6296296296296" customWidth="1"/>
    <col min="2" max="2" width="3" customWidth="1"/>
    <col min="3" max="3" width="139.361111111111" customWidth="1"/>
    <col min="6" max="6" width="20.6296296296296" customWidth="1"/>
  </cols>
  <sheetData>
    <row r="2" spans="1:3">
      <c r="A2" t="s">
        <v>0</v>
      </c>
      <c r="C2" t="s">
        <v>1</v>
      </c>
    </row>
    <row r="3" spans="1:10">
      <c r="A3" t="s">
        <v>2</v>
      </c>
      <c r="C3" t="s">
        <v>3</v>
      </c>
      <c r="F3" t="s">
        <v>4</v>
      </c>
      <c r="H3" t="s">
        <v>5</v>
      </c>
      <c r="J3" t="s">
        <v>6</v>
      </c>
    </row>
    <row r="4" spans="1:10">
      <c r="A4" t="s">
        <v>7</v>
      </c>
      <c r="C4" t="s">
        <v>8</v>
      </c>
      <c r="F4" t="s">
        <v>9</v>
      </c>
      <c r="H4" t="s">
        <v>10</v>
      </c>
      <c r="J4" t="s">
        <v>11</v>
      </c>
    </row>
    <row r="5" spans="1:10">
      <c r="A5" t="s">
        <v>12</v>
      </c>
      <c r="F5" t="s">
        <v>13</v>
      </c>
      <c r="H5" t="s">
        <v>14</v>
      </c>
      <c r="J5" t="s">
        <v>15</v>
      </c>
    </row>
    <row r="6" spans="1:6">
      <c r="A6" t="s">
        <v>16</v>
      </c>
      <c r="C6" t="s">
        <v>17</v>
      </c>
      <c r="F6" t="s">
        <v>18</v>
      </c>
    </row>
    <row r="7" spans="1:6">
      <c r="A7" t="s">
        <v>19</v>
      </c>
      <c r="C7" t="s">
        <v>20</v>
      </c>
      <c r="F7" t="s">
        <v>21</v>
      </c>
    </row>
    <row r="8" spans="6:6">
      <c r="F8" t="s">
        <v>22</v>
      </c>
    </row>
    <row r="9" spans="1:6">
      <c r="A9" t="s">
        <v>23</v>
      </c>
      <c r="C9" t="s">
        <v>24</v>
      </c>
      <c r="F9" t="s">
        <v>25</v>
      </c>
    </row>
    <row r="10" spans="1:6">
      <c r="A10" t="s">
        <v>26</v>
      </c>
      <c r="C10" t="s">
        <v>27</v>
      </c>
      <c r="F10" t="s">
        <v>28</v>
      </c>
    </row>
    <row r="11" spans="1:3">
      <c r="A11" t="s">
        <v>29</v>
      </c>
      <c r="C11" t="s">
        <v>30</v>
      </c>
    </row>
    <row r="12" spans="1:3">
      <c r="A12" t="s">
        <v>31</v>
      </c>
      <c r="C12" t="s">
        <v>32</v>
      </c>
    </row>
    <row r="13" spans="1:3">
      <c r="A13" t="s">
        <v>33</v>
      </c>
      <c r="C13" t="s">
        <v>34</v>
      </c>
    </row>
    <row r="15" spans="1:3">
      <c r="A15" t="s">
        <v>35</v>
      </c>
      <c r="C15" t="s">
        <v>36</v>
      </c>
    </row>
    <row r="16" spans="1:3">
      <c r="A16" t="s">
        <v>37</v>
      </c>
      <c r="C16" t="s">
        <v>38</v>
      </c>
    </row>
    <row r="17" spans="1:3">
      <c r="A17" t="s">
        <v>39</v>
      </c>
      <c r="C17" t="s">
        <v>40</v>
      </c>
    </row>
    <row r="18" spans="3:3">
      <c r="C18" t="s">
        <v>41</v>
      </c>
    </row>
    <row r="19" spans="1:1">
      <c r="A19" t="s">
        <v>42</v>
      </c>
    </row>
    <row r="20" spans="1:3">
      <c r="A20" t="s">
        <v>43</v>
      </c>
      <c r="C20" t="s">
        <v>44</v>
      </c>
    </row>
    <row r="21" spans="1:3">
      <c r="A21" t="s">
        <v>45</v>
      </c>
      <c r="C21" t="s">
        <v>46</v>
      </c>
    </row>
    <row r="22" spans="1:3">
      <c r="A22" t="s">
        <v>45</v>
      </c>
      <c r="C22" t="s">
        <v>47</v>
      </c>
    </row>
    <row r="24" spans="1:3">
      <c r="A24" t="s">
        <v>48</v>
      </c>
      <c r="C24" t="s">
        <v>49</v>
      </c>
    </row>
    <row r="25" spans="1:3">
      <c r="A25" t="s">
        <v>50</v>
      </c>
      <c r="C25" t="s">
        <v>51</v>
      </c>
    </row>
    <row r="27" spans="1:1">
      <c r="A27" t="s">
        <v>52</v>
      </c>
    </row>
    <row r="28" spans="1:1">
      <c r="A28" t="s">
        <v>53</v>
      </c>
    </row>
  </sheetData>
  <pageMargins left="0.699305555555556" right="0.699305555555556" top="0.75" bottom="0.75" header="0.3" footer="0.3"/>
  <pageSetup paperSize="9" orientation="portrait" horizontalDpi="300" verticalDpi="300"/>
  <headerFooter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F50"/>
  <sheetViews>
    <sheetView showGridLines="0" topLeftCell="A22" workbookViewId="0">
      <selection activeCell="C44" sqref="C44"/>
    </sheetView>
  </sheetViews>
  <sheetFormatPr defaultColWidth="9.36111111111111" defaultRowHeight="14.4" outlineLevelCol="5"/>
  <cols>
    <col min="1" max="1" width="26" customWidth="1"/>
    <col min="2" max="2" width="41.5462962962963" customWidth="1"/>
    <col min="3" max="3" width="14.3611111111111" customWidth="1"/>
    <col min="4" max="4" width="11.5462962962963" customWidth="1"/>
    <col min="5" max="5" width="12.5462962962963" customWidth="1"/>
  </cols>
  <sheetData>
    <row r="1" ht="22.2" spans="1:1">
      <c r="A1" s="639" t="s">
        <v>54</v>
      </c>
    </row>
    <row r="2" ht="13.5" customHeight="1" spans="1:1">
      <c r="A2" s="723"/>
    </row>
    <row r="3" spans="1:2">
      <c r="A3" s="724"/>
      <c r="B3" s="385" t="s">
        <v>55</v>
      </c>
    </row>
    <row r="4" spans="1:2">
      <c r="A4" s="725"/>
      <c r="B4" s="385" t="s">
        <v>56</v>
      </c>
    </row>
    <row r="5" spans="1:2">
      <c r="A5" s="726"/>
      <c r="B5" s="409"/>
    </row>
    <row r="6" spans="1:4">
      <c r="A6" s="727" t="s">
        <v>57</v>
      </c>
      <c r="B6" s="727" t="s">
        <v>58</v>
      </c>
      <c r="C6" s="728" t="s">
        <v>59</v>
      </c>
      <c r="D6" s="728" t="s">
        <v>59</v>
      </c>
    </row>
    <row r="7" spans="1:4">
      <c r="A7" s="729" t="s">
        <v>60</v>
      </c>
      <c r="B7" s="730" t="s">
        <v>61</v>
      </c>
      <c r="C7" s="731">
        <v>418000</v>
      </c>
      <c r="D7" s="732"/>
    </row>
    <row r="8" spans="1:4">
      <c r="A8" s="733"/>
      <c r="B8" s="734"/>
      <c r="C8" s="735"/>
      <c r="D8" s="732"/>
    </row>
    <row r="9" spans="1:4">
      <c r="A9" s="736" t="s">
        <v>62</v>
      </c>
      <c r="B9" s="737" t="s">
        <v>63</v>
      </c>
      <c r="C9" s="738">
        <v>4.95</v>
      </c>
      <c r="D9" s="739"/>
    </row>
    <row r="10" spans="1:4">
      <c r="A10" s="740"/>
      <c r="B10" s="741"/>
      <c r="C10" s="742" t="s">
        <v>64</v>
      </c>
      <c r="D10" s="743" t="s">
        <v>65</v>
      </c>
    </row>
    <row r="11" spans="1:5">
      <c r="A11" s="744" t="s">
        <v>66</v>
      </c>
      <c r="B11" s="745" t="s">
        <v>67</v>
      </c>
      <c r="C11" s="746">
        <v>60320</v>
      </c>
      <c r="D11" s="747">
        <f>C11/50</f>
        <v>1206.4</v>
      </c>
      <c r="E11" s="748"/>
    </row>
    <row r="12" spans="1:5">
      <c r="A12" s="749"/>
      <c r="B12" s="750" t="s">
        <v>68</v>
      </c>
      <c r="C12" s="746">
        <v>60320</v>
      </c>
      <c r="D12" s="747">
        <f t="shared" ref="D12:D28" si="0">C12/50</f>
        <v>1206.4</v>
      </c>
      <c r="E12" s="748"/>
    </row>
    <row r="13" spans="1:5">
      <c r="A13" s="749"/>
      <c r="B13" s="750" t="s">
        <v>69</v>
      </c>
      <c r="C13" s="746">
        <v>24440</v>
      </c>
      <c r="D13" s="747">
        <f t="shared" si="0"/>
        <v>488.8</v>
      </c>
      <c r="E13" s="748"/>
    </row>
    <row r="14" spans="1:5">
      <c r="A14" s="749"/>
      <c r="B14" s="750" t="s">
        <v>70</v>
      </c>
      <c r="C14" s="746">
        <v>31200</v>
      </c>
      <c r="D14" s="747">
        <f t="shared" si="0"/>
        <v>624</v>
      </c>
      <c r="E14" s="748"/>
    </row>
    <row r="15" spans="1:5">
      <c r="A15" s="749"/>
      <c r="B15" s="750" t="s">
        <v>71</v>
      </c>
      <c r="C15" s="746">
        <v>20150</v>
      </c>
      <c r="D15" s="747">
        <f t="shared" si="0"/>
        <v>403</v>
      </c>
      <c r="E15" s="748"/>
    </row>
    <row r="16" spans="1:5">
      <c r="A16" s="749"/>
      <c r="B16" s="750" t="s">
        <v>72</v>
      </c>
      <c r="C16" s="746">
        <v>20150</v>
      </c>
      <c r="D16" s="747">
        <f t="shared" si="0"/>
        <v>403</v>
      </c>
      <c r="E16" s="748"/>
    </row>
    <row r="17" spans="1:5">
      <c r="A17" s="751"/>
      <c r="B17" s="750" t="s">
        <v>73</v>
      </c>
      <c r="C17" s="746">
        <v>20150</v>
      </c>
      <c r="D17" s="747">
        <f t="shared" si="0"/>
        <v>403</v>
      </c>
      <c r="E17" s="748"/>
    </row>
    <row r="18" spans="1:5">
      <c r="A18" s="749"/>
      <c r="B18" s="750" t="s">
        <v>74</v>
      </c>
      <c r="C18" s="746">
        <v>20150</v>
      </c>
      <c r="D18" s="747">
        <f t="shared" si="0"/>
        <v>403</v>
      </c>
      <c r="E18" s="748"/>
    </row>
    <row r="19" spans="1:5">
      <c r="A19" s="749"/>
      <c r="B19" s="750" t="s">
        <v>75</v>
      </c>
      <c r="C19" s="746">
        <v>20150</v>
      </c>
      <c r="D19" s="747">
        <f t="shared" si="0"/>
        <v>403</v>
      </c>
      <c r="E19" s="748"/>
    </row>
    <row r="20" spans="1:5">
      <c r="A20" s="749"/>
      <c r="B20" s="750" t="s">
        <v>76</v>
      </c>
      <c r="C20" s="746">
        <v>20150</v>
      </c>
      <c r="D20" s="747">
        <f t="shared" si="0"/>
        <v>403</v>
      </c>
      <c r="E20" s="748"/>
    </row>
    <row r="21" spans="1:5">
      <c r="A21" s="749"/>
      <c r="B21" s="750" t="s">
        <v>77</v>
      </c>
      <c r="C21" s="746">
        <v>20150</v>
      </c>
      <c r="D21" s="747">
        <f t="shared" si="0"/>
        <v>403</v>
      </c>
      <c r="E21" s="748"/>
    </row>
    <row r="22" spans="1:5">
      <c r="A22" s="749"/>
      <c r="B22" s="750" t="s">
        <v>78</v>
      </c>
      <c r="C22" s="746">
        <v>20150</v>
      </c>
      <c r="D22" s="747">
        <f t="shared" si="0"/>
        <v>403</v>
      </c>
      <c r="E22" s="748"/>
    </row>
    <row r="23" spans="1:5">
      <c r="A23" s="752"/>
      <c r="B23" s="753" t="s">
        <v>79</v>
      </c>
      <c r="C23" s="746">
        <v>20150</v>
      </c>
      <c r="D23" s="747">
        <f t="shared" si="0"/>
        <v>403</v>
      </c>
      <c r="E23" s="748"/>
    </row>
    <row r="24" spans="1:5">
      <c r="A24" s="754"/>
      <c r="B24" s="745" t="s">
        <v>80</v>
      </c>
      <c r="C24" s="746">
        <v>20150</v>
      </c>
      <c r="D24" s="755">
        <f t="shared" si="0"/>
        <v>403</v>
      </c>
      <c r="E24" s="748"/>
    </row>
    <row r="25" spans="1:6">
      <c r="A25" s="749"/>
      <c r="B25" s="756" t="s">
        <v>81</v>
      </c>
      <c r="C25" s="757">
        <v>20150</v>
      </c>
      <c r="D25" s="755">
        <f t="shared" si="0"/>
        <v>403</v>
      </c>
      <c r="E25" s="748"/>
      <c r="F25" s="758"/>
    </row>
    <row r="26" spans="1:6">
      <c r="A26" s="751"/>
      <c r="B26" s="759" t="s">
        <v>44</v>
      </c>
      <c r="C26" s="746">
        <v>21840</v>
      </c>
      <c r="D26" s="760">
        <f t="shared" si="0"/>
        <v>436.8</v>
      </c>
      <c r="E26" s="748"/>
      <c r="F26" s="758"/>
    </row>
    <row r="27" ht="24" spans="1:6">
      <c r="A27" s="751"/>
      <c r="B27" s="761" t="s">
        <v>82</v>
      </c>
      <c r="C27" s="762">
        <v>20150</v>
      </c>
      <c r="D27" s="760">
        <f t="shared" si="0"/>
        <v>403</v>
      </c>
      <c r="E27" s="748"/>
      <c r="F27" s="758"/>
    </row>
    <row r="28" spans="1:4">
      <c r="A28" s="763"/>
      <c r="B28" s="764" t="s">
        <v>83</v>
      </c>
      <c r="C28" s="746">
        <v>19760</v>
      </c>
      <c r="D28" s="765">
        <f t="shared" si="0"/>
        <v>395.2</v>
      </c>
    </row>
    <row r="29" spans="1:4">
      <c r="A29" s="766"/>
      <c r="B29" s="767"/>
      <c r="C29" s="767"/>
      <c r="D29" s="768"/>
    </row>
    <row r="30" spans="1:4">
      <c r="A30" s="769" t="s">
        <v>84</v>
      </c>
      <c r="B30" s="770" t="s">
        <v>85</v>
      </c>
      <c r="C30" s="746">
        <v>14.4276</v>
      </c>
      <c r="D30" s="771"/>
    </row>
    <row r="31" spans="1:4">
      <c r="A31" s="772"/>
      <c r="B31" s="770" t="s">
        <v>86</v>
      </c>
      <c r="C31" s="773">
        <v>9.0156</v>
      </c>
      <c r="D31" s="771"/>
    </row>
    <row r="32" spans="1:4">
      <c r="A32" s="774"/>
      <c r="B32" s="775" t="s">
        <v>87</v>
      </c>
      <c r="C32" s="773">
        <v>11.088</v>
      </c>
      <c r="D32" s="771"/>
    </row>
    <row r="33" spans="1:4">
      <c r="A33" s="776" t="s">
        <v>88</v>
      </c>
      <c r="B33" s="745" t="s">
        <v>89</v>
      </c>
      <c r="C33" s="777">
        <v>6</v>
      </c>
      <c r="D33" s="739"/>
    </row>
    <row r="34" spans="1:4">
      <c r="A34" s="778"/>
      <c r="B34" s="750" t="s">
        <v>9</v>
      </c>
      <c r="C34" s="777">
        <v>6</v>
      </c>
      <c r="D34" s="739"/>
    </row>
    <row r="35" spans="1:4">
      <c r="A35" s="778"/>
      <c r="B35" s="750" t="s">
        <v>13</v>
      </c>
      <c r="C35" s="777">
        <v>4</v>
      </c>
      <c r="D35" s="739"/>
    </row>
    <row r="36" spans="1:4">
      <c r="A36" s="778"/>
      <c r="B36" s="750" t="s">
        <v>18</v>
      </c>
      <c r="C36" s="777">
        <v>6</v>
      </c>
      <c r="D36" s="739"/>
    </row>
    <row r="37" spans="1:4">
      <c r="A37" s="778"/>
      <c r="B37" s="750" t="s">
        <v>21</v>
      </c>
      <c r="C37" s="777">
        <v>4</v>
      </c>
      <c r="D37" s="739"/>
    </row>
    <row r="38" spans="1:4">
      <c r="A38" s="778"/>
      <c r="B38" s="750" t="s">
        <v>90</v>
      </c>
      <c r="C38" s="779">
        <v>6</v>
      </c>
      <c r="D38" s="739"/>
    </row>
    <row r="39" spans="1:4">
      <c r="A39" s="778"/>
      <c r="B39" s="780" t="s">
        <v>22</v>
      </c>
      <c r="C39" s="781">
        <v>4</v>
      </c>
      <c r="D39" s="739"/>
    </row>
    <row r="40" spans="1:4">
      <c r="A40" s="778"/>
      <c r="B40" s="780" t="s">
        <v>25</v>
      </c>
      <c r="C40" s="781">
        <v>6</v>
      </c>
      <c r="D40" s="739"/>
    </row>
    <row r="41" spans="1:4">
      <c r="A41" s="778"/>
      <c r="B41" s="780" t="s">
        <v>28</v>
      </c>
      <c r="C41" s="781">
        <v>9</v>
      </c>
      <c r="D41" s="739"/>
    </row>
    <row r="42" spans="1:4">
      <c r="A42" s="782" t="s">
        <v>91</v>
      </c>
      <c r="B42" s="753" t="s">
        <v>92</v>
      </c>
      <c r="C42" s="783">
        <v>0.0008</v>
      </c>
      <c r="D42" s="739"/>
    </row>
    <row r="43" spans="1:4">
      <c r="A43" s="784"/>
      <c r="B43" s="785" t="s">
        <v>93</v>
      </c>
      <c r="C43" s="786">
        <f>'Price Summary'!C30</f>
        <v>8.683</v>
      </c>
      <c r="D43" s="787" t="s">
        <v>94</v>
      </c>
    </row>
    <row r="44" spans="1:1">
      <c r="A44" s="788"/>
    </row>
    <row r="45" spans="1:1">
      <c r="A45" s="788"/>
    </row>
    <row r="46" spans="1:1">
      <c r="A46" s="788"/>
    </row>
    <row r="47" spans="1:1">
      <c r="A47" s="789"/>
    </row>
    <row r="48" spans="1:1">
      <c r="A48" s="789"/>
    </row>
    <row r="49" spans="1:1">
      <c r="A49" s="789"/>
    </row>
    <row r="50" spans="1:1">
      <c r="A50" s="790"/>
    </row>
  </sheetData>
  <mergeCells count="1">
    <mergeCell ref="A30:A32"/>
  </mergeCell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zoomScale="90" zoomScaleNormal="90" workbookViewId="0">
      <pane xSplit="1" ySplit="4" topLeftCell="B5" activePane="bottomRight" state="frozen"/>
      <selection/>
      <selection pane="topRight"/>
      <selection pane="bottomLeft"/>
      <selection pane="bottomRight" activeCell="F26" sqref="F26"/>
    </sheetView>
  </sheetViews>
  <sheetFormatPr defaultColWidth="9.36111111111111" defaultRowHeight="14.4"/>
  <cols>
    <col min="2" max="2" width="35.4537037037037" customWidth="1"/>
    <col min="3" max="3" width="10.5462962962963" customWidth="1"/>
    <col min="4" max="8" width="11.5462962962963" customWidth="1"/>
    <col min="9" max="9" width="17.4537037037037" customWidth="1"/>
  </cols>
  <sheetData>
    <row r="1" ht="22.2" spans="1:7">
      <c r="A1" s="639" t="s">
        <v>95</v>
      </c>
      <c r="B1" s="639"/>
      <c r="C1" s="639"/>
      <c r="D1" s="639"/>
      <c r="E1" s="639"/>
      <c r="F1" s="639"/>
      <c r="G1" s="639"/>
    </row>
    <row r="2" spans="2:9">
      <c r="B2" s="640"/>
      <c r="C2" s="641"/>
      <c r="D2" s="641"/>
      <c r="E2" s="641"/>
      <c r="F2" s="641"/>
      <c r="G2" s="641"/>
      <c r="H2" s="642"/>
      <c r="I2" s="642"/>
    </row>
    <row r="3" spans="8:9">
      <c r="H3" s="643"/>
      <c r="I3" s="643"/>
    </row>
    <row r="4" ht="35.25" customHeight="1" spans="2:14">
      <c r="B4" s="644" t="s">
        <v>96</v>
      </c>
      <c r="C4" s="645" t="s">
        <v>97</v>
      </c>
      <c r="D4" s="335" t="s">
        <v>98</v>
      </c>
      <c r="E4" s="646" t="s">
        <v>99</v>
      </c>
      <c r="F4" s="335" t="s">
        <v>100</v>
      </c>
      <c r="G4" s="335" t="s">
        <v>101</v>
      </c>
      <c r="H4" s="647" t="s">
        <v>18</v>
      </c>
      <c r="I4" s="647" t="s">
        <v>21</v>
      </c>
      <c r="J4" s="695" t="s">
        <v>22</v>
      </c>
      <c r="K4" s="695" t="s">
        <v>25</v>
      </c>
      <c r="L4" s="696" t="s">
        <v>28</v>
      </c>
      <c r="M4" s="697" t="s">
        <v>102</v>
      </c>
      <c r="N4" s="697" t="s">
        <v>103</v>
      </c>
    </row>
    <row r="5" spans="2:14">
      <c r="B5" s="648" t="s">
        <v>104</v>
      </c>
      <c r="C5" s="649"/>
      <c r="D5" s="650">
        <f>Cleansheet!C14</f>
        <v>387.916666666667</v>
      </c>
      <c r="E5" s="650">
        <f>Cleansheet!D14</f>
        <v>279.3</v>
      </c>
      <c r="F5" s="650">
        <f>Cleansheet!E14</f>
        <v>139.65</v>
      </c>
      <c r="G5" s="650">
        <f>Cleansheet!F14</f>
        <v>837.9</v>
      </c>
      <c r="H5" s="650">
        <f>Cleansheet!G14</f>
        <v>176.4</v>
      </c>
      <c r="I5" s="650">
        <f>Cleansheet!H14</f>
        <v>176.4</v>
      </c>
      <c r="J5" s="650">
        <f>Cleansheet!I14</f>
        <v>176.4</v>
      </c>
      <c r="K5" s="650">
        <f>Cleansheet!J14</f>
        <v>387.916666666667</v>
      </c>
      <c r="L5" s="650">
        <f>Cleansheet!K14</f>
        <v>176.4</v>
      </c>
      <c r="M5" s="698"/>
      <c r="N5" s="699"/>
    </row>
    <row r="6" spans="2:14">
      <c r="B6" s="651" t="s">
        <v>105</v>
      </c>
      <c r="C6" s="652"/>
      <c r="D6" s="653">
        <f>D5/Cleansheet!C32</f>
        <v>35.2651515151515</v>
      </c>
      <c r="E6" s="653">
        <f>E5/Cleansheet!D32</f>
        <v>14.7</v>
      </c>
      <c r="F6" s="653">
        <f>F5/Cleansheet!E32</f>
        <v>46.55</v>
      </c>
      <c r="G6" s="653">
        <f>G5/Cleansheet!F32</f>
        <v>418.95</v>
      </c>
      <c r="H6" s="653">
        <f>H5/Cleansheet!G32</f>
        <v>7.6695652173913</v>
      </c>
      <c r="I6" s="653">
        <f>I5/Cleansheet!H32</f>
        <v>27.1384615384615</v>
      </c>
      <c r="J6" s="700">
        <f>J5/Cleansheet!I32</f>
        <v>352.8</v>
      </c>
      <c r="K6" s="700">
        <f>IF(ISERROR(K5/Cleansheet!J32),0,K5/Cleansheet!J32)</f>
        <v>775.833333333333</v>
      </c>
      <c r="L6" s="700">
        <f>L5/Cleansheet!K32</f>
        <v>352.8</v>
      </c>
      <c r="M6" s="701"/>
      <c r="N6" s="702"/>
    </row>
    <row r="7" spans="2:14">
      <c r="B7" s="651" t="s">
        <v>106</v>
      </c>
      <c r="C7" s="652"/>
      <c r="D7" s="654">
        <f t="shared" ref="D7:J7" si="0">D9/D10</f>
        <v>44.8979591836735</v>
      </c>
      <c r="E7" s="654">
        <f t="shared" si="0"/>
        <v>870.012926407116</v>
      </c>
      <c r="F7" s="654" t="e">
        <f t="shared" si="0"/>
        <v>#DIV/0!</v>
      </c>
      <c r="G7" s="654" t="e">
        <f t="shared" si="0"/>
        <v>#DIV/0!</v>
      </c>
      <c r="H7" s="654" t="e">
        <f t="shared" si="0"/>
        <v>#DIV/0!</v>
      </c>
      <c r="I7" s="654" t="e">
        <f t="shared" si="0"/>
        <v>#DIV/0!</v>
      </c>
      <c r="J7" s="654">
        <f t="shared" si="0"/>
        <v>1.78571428571429</v>
      </c>
      <c r="K7" s="654">
        <f>IF(ISERROR(K9/K10),0,K9/K10)</f>
        <v>17.6436820422773</v>
      </c>
      <c r="L7" s="654" t="e">
        <f>L9/L10</f>
        <v>#DIV/0!</v>
      </c>
      <c r="M7" s="701"/>
      <c r="N7" s="702"/>
    </row>
    <row r="8" spans="2:14">
      <c r="B8" s="648" t="s">
        <v>107</v>
      </c>
      <c r="C8" s="649"/>
      <c r="D8" s="655">
        <f>Cleansheet!C23</f>
        <v>1</v>
      </c>
      <c r="E8" s="655">
        <f>Cleansheet!D23</f>
        <v>1</v>
      </c>
      <c r="F8" s="655">
        <f>Cleansheet!E23</f>
        <v>1</v>
      </c>
      <c r="G8" s="655">
        <f>Cleansheet!F23</f>
        <v>1</v>
      </c>
      <c r="H8" s="655">
        <f>Cleansheet!G23</f>
        <v>1</v>
      </c>
      <c r="I8" s="655">
        <f>Cleansheet!H23</f>
        <v>1</v>
      </c>
      <c r="J8" s="655">
        <f>Cleansheet!I23</f>
        <v>1</v>
      </c>
      <c r="K8" s="655">
        <f>Cleansheet!J23</f>
        <v>1</v>
      </c>
      <c r="L8" s="655">
        <f>Cleansheet!K23</f>
        <v>1</v>
      </c>
      <c r="M8" s="698"/>
      <c r="N8" s="699"/>
    </row>
    <row r="9" spans="2:14">
      <c r="B9" s="651" t="s">
        <v>108</v>
      </c>
      <c r="C9" s="652"/>
      <c r="D9" s="654">
        <f>Cleansheet!C33</f>
        <v>22</v>
      </c>
      <c r="E9" s="654">
        <f>Cleansheet!D33</f>
        <v>38</v>
      </c>
      <c r="F9" s="654">
        <f>Cleansheet!E33</f>
        <v>6</v>
      </c>
      <c r="G9" s="654">
        <f>Cleansheet!F33</f>
        <v>4</v>
      </c>
      <c r="H9" s="654">
        <f>Cleansheet!G33</f>
        <v>23</v>
      </c>
      <c r="I9" s="654">
        <f>Cleansheet!H33</f>
        <v>6.5</v>
      </c>
      <c r="J9" s="654">
        <f>Cleansheet!I33</f>
        <v>0.5</v>
      </c>
      <c r="K9" s="654">
        <f>Cleansheet!J33</f>
        <v>0.5</v>
      </c>
      <c r="L9" s="654">
        <f>Cleansheet!K33</f>
        <v>0.5</v>
      </c>
      <c r="M9" s="703">
        <f>SUM(C9:L9)</f>
        <v>101</v>
      </c>
      <c r="N9" s="702"/>
    </row>
    <row r="10" spans="2:14">
      <c r="B10" s="656" t="s">
        <v>109</v>
      </c>
      <c r="C10" s="657">
        <f>Cleansheet!I83</f>
        <v>0.638</v>
      </c>
      <c r="D10" s="654">
        <f>Cleansheet!J70</f>
        <v>0.49</v>
      </c>
      <c r="E10" s="654">
        <f>Cleansheet!K70</f>
        <v>0.0436775119617225</v>
      </c>
      <c r="F10" s="654">
        <f>Cleansheet!L70</f>
        <v>0</v>
      </c>
      <c r="G10" s="654">
        <f>Cleansheet!M70</f>
        <v>0</v>
      </c>
      <c r="H10" s="654">
        <f>Cleansheet!L70</f>
        <v>0</v>
      </c>
      <c r="I10" s="654">
        <f>Cleansheet!M70</f>
        <v>0</v>
      </c>
      <c r="J10" s="654">
        <f>Cleansheet!N70</f>
        <v>0.28</v>
      </c>
      <c r="K10" s="654">
        <f>Cleansheet!O70</f>
        <v>0.0283387559808612</v>
      </c>
      <c r="L10" s="654">
        <f>Cleansheet!P70</f>
        <v>0</v>
      </c>
      <c r="M10" s="704">
        <f t="shared" ref="M10:M19" si="1">SUM(C10:L10)</f>
        <v>1.48001626794258</v>
      </c>
      <c r="N10" s="705"/>
    </row>
    <row r="11" spans="2:14">
      <c r="B11" s="648" t="s">
        <v>110</v>
      </c>
      <c r="C11" s="658"/>
      <c r="D11" s="659">
        <f>Cleansheet!C58</f>
        <v>0.148209031896512</v>
      </c>
      <c r="E11" s="659">
        <f>Cleansheet!D58</f>
        <v>0.349263038548753</v>
      </c>
      <c r="F11" s="659">
        <f>Cleansheet!E58</f>
        <v>0.131393961093209</v>
      </c>
      <c r="G11" s="659">
        <f>Cleansheet!F58</f>
        <v>0.0159913673071568</v>
      </c>
      <c r="H11" s="659">
        <f>Cleansheet!G58</f>
        <v>0.362377173091459</v>
      </c>
      <c r="I11" s="659">
        <f>Cleansheet!H58</f>
        <v>0.0911989795918367</v>
      </c>
      <c r="J11" s="659">
        <f>Cleansheet!I58</f>
        <v>0.00701530612244898</v>
      </c>
      <c r="K11" s="659">
        <f>Cleansheet!J58</f>
        <v>0.00701530612244898</v>
      </c>
      <c r="L11" s="659">
        <f>Cleansheet!K58</f>
        <v>0.0173327664399093</v>
      </c>
      <c r="M11" s="706">
        <f t="shared" si="1"/>
        <v>1.12979693021373</v>
      </c>
      <c r="N11" s="707">
        <f ca="1" t="shared" ref="N11:N21" si="2">M11/$K$22</f>
        <v>0.319349706820847</v>
      </c>
    </row>
    <row r="12" spans="2:14">
      <c r="B12" s="651" t="s">
        <v>111</v>
      </c>
      <c r="C12" s="660">
        <f>Cleansheet!J83</f>
        <v>0.0307552631578947</v>
      </c>
      <c r="D12" s="661">
        <f>Cleansheet!K70</f>
        <v>0.0436775119617225</v>
      </c>
      <c r="E12" s="661">
        <v>0</v>
      </c>
      <c r="F12" s="661">
        <v>0</v>
      </c>
      <c r="G12" s="661">
        <v>0</v>
      </c>
      <c r="H12" s="661">
        <f>Cleansheet!O70</f>
        <v>0.0283387559808612</v>
      </c>
      <c r="I12" s="708">
        <f>Cleansheet!Q70</f>
        <v>0</v>
      </c>
      <c r="J12" s="708">
        <f>Cleansheet!S70+Cleansheet!L83</f>
        <v>0.0178361244019139</v>
      </c>
      <c r="K12" s="708">
        <f>Cleansheet!U70</f>
        <v>0.00144306220095694</v>
      </c>
      <c r="L12" s="708">
        <f>Cleansheet!W70</f>
        <v>0</v>
      </c>
      <c r="M12" s="709">
        <f t="shared" si="1"/>
        <v>0.122050717703349</v>
      </c>
      <c r="N12" s="710">
        <f ca="1" t="shared" si="2"/>
        <v>0.0344989970086615</v>
      </c>
    </row>
    <row r="13" spans="2:14">
      <c r="B13" s="651" t="s">
        <v>112</v>
      </c>
      <c r="C13" s="660"/>
      <c r="D13" s="661">
        <f>Cleansheet!H90</f>
        <v>0.0045639161458826</v>
      </c>
      <c r="E13" s="661">
        <f>Cleansheet!I90</f>
        <v>0</v>
      </c>
      <c r="F13" s="661">
        <f>Cleansheet!J90</f>
        <v>0</v>
      </c>
      <c r="G13" s="661">
        <f>Cleansheet!K90</f>
        <v>0</v>
      </c>
      <c r="H13" s="661">
        <f>Cleansheet!M90</f>
        <v>0.0053652312599681</v>
      </c>
      <c r="I13" s="708">
        <f>Cleansheet!O90</f>
        <v>0.00345677830940989</v>
      </c>
      <c r="J13" s="661">
        <f>Cleansheet!Q90</f>
        <v>0</v>
      </c>
      <c r="K13" s="708">
        <f>Cleansheet!S90</f>
        <v>0</v>
      </c>
      <c r="L13" s="708">
        <f>Cleansheet!U90</f>
        <v>0.00304704944178628</v>
      </c>
      <c r="M13" s="711">
        <f t="shared" si="1"/>
        <v>0.0164329751570469</v>
      </c>
      <c r="N13" s="710">
        <f ca="1" t="shared" si="2"/>
        <v>0.00464496376141188</v>
      </c>
    </row>
    <row r="14" spans="2:14">
      <c r="B14" s="651" t="s">
        <v>113</v>
      </c>
      <c r="C14" s="660"/>
      <c r="D14" s="661">
        <f>Cleansheet!H91</f>
        <v>0.136254302260144</v>
      </c>
      <c r="E14" s="661">
        <f>Cleansheet!I91</f>
        <v>0</v>
      </c>
      <c r="F14" s="661">
        <f>Cleansheet!J91</f>
        <v>0</v>
      </c>
      <c r="G14" s="661">
        <f>Cleansheet!K91</f>
        <v>0</v>
      </c>
      <c r="H14" s="661">
        <f>Cleansheet!M91</f>
        <v>0.00468102073365231</v>
      </c>
      <c r="I14" s="708">
        <f>Cleansheet!O91</f>
        <v>0.0165430622009569</v>
      </c>
      <c r="J14" s="661">
        <f ca="1">Cleansheet!Q91</f>
        <v>0</v>
      </c>
      <c r="K14" s="708">
        <f ca="1">Cleansheet!S91</f>
        <v>0</v>
      </c>
      <c r="L14" s="708">
        <f>Cleansheet!U91</f>
        <v>0</v>
      </c>
      <c r="M14" s="711">
        <f ca="1" t="shared" si="1"/>
        <v>0.157478385194753</v>
      </c>
      <c r="N14" s="710">
        <f ca="1" t="shared" si="2"/>
        <v>0.0445130224712603</v>
      </c>
    </row>
    <row r="15" spans="2:14">
      <c r="B15" s="651" t="s">
        <v>114</v>
      </c>
      <c r="C15" s="660"/>
      <c r="D15" s="661">
        <f>Cleansheet!H92</f>
        <v>0.3633</v>
      </c>
      <c r="E15" s="661">
        <f>Cleansheet!I92</f>
        <v>0</v>
      </c>
      <c r="F15" s="661">
        <f>Cleansheet!J92</f>
        <v>0</v>
      </c>
      <c r="G15" s="661">
        <f>Cleansheet!K92</f>
        <v>0</v>
      </c>
      <c r="H15" s="661">
        <f>Cleansheet!M92</f>
        <v>0.0078793</v>
      </c>
      <c r="I15" s="661">
        <f>Cleansheet!O92</f>
        <v>0</v>
      </c>
      <c r="J15" s="661">
        <f>Cleansheet!Q92</f>
        <v>0</v>
      </c>
      <c r="K15" s="708">
        <f>Cleansheet!S92</f>
        <v>0</v>
      </c>
      <c r="L15" s="708">
        <f>Cleansheet!U92</f>
        <v>0</v>
      </c>
      <c r="M15" s="711">
        <f t="shared" si="1"/>
        <v>0.3711793</v>
      </c>
      <c r="N15" s="710">
        <f ca="1" t="shared" si="2"/>
        <v>0.104917970179422</v>
      </c>
    </row>
    <row r="16" spans="2:14">
      <c r="B16" s="651" t="s">
        <v>115</v>
      </c>
      <c r="C16" s="660"/>
      <c r="D16" s="661">
        <f>Cleansheet!J103</f>
        <v>0.00848341572043101</v>
      </c>
      <c r="E16" s="661">
        <f>Cleansheet!K103</f>
        <v>0</v>
      </c>
      <c r="F16" s="661">
        <f>Cleansheet!L103</f>
        <v>0</v>
      </c>
      <c r="G16" s="661">
        <f>Cleansheet!M103</f>
        <v>0</v>
      </c>
      <c r="H16" s="661">
        <f>Cleansheet!N103</f>
        <v>0.0269904081632653</v>
      </c>
      <c r="I16" s="661">
        <f>Cleansheet!P103</f>
        <v>0</v>
      </c>
      <c r="J16" s="661">
        <f>Cleansheet!R103</f>
        <v>0.00379673684210526</v>
      </c>
      <c r="K16" s="708">
        <f>Cleansheet!T103</f>
        <v>0</v>
      </c>
      <c r="L16" s="708">
        <f>Cleansheet!V103</f>
        <v>0.00303738947368421</v>
      </c>
      <c r="M16" s="711">
        <f t="shared" si="1"/>
        <v>0.0423079501994858</v>
      </c>
      <c r="N16" s="710">
        <f ca="1" t="shared" si="2"/>
        <v>0.0119588141294036</v>
      </c>
    </row>
    <row r="17" spans="2:14">
      <c r="B17" s="651" t="s">
        <v>116</v>
      </c>
      <c r="C17" s="660">
        <f>Cleansheet!J107</f>
        <v>0.00598086124401914</v>
      </c>
      <c r="D17" s="661"/>
      <c r="E17" s="661"/>
      <c r="F17" s="661"/>
      <c r="G17" s="661"/>
      <c r="H17" s="661"/>
      <c r="I17" s="708"/>
      <c r="J17" s="708"/>
      <c r="K17" s="708"/>
      <c r="L17" s="708"/>
      <c r="M17" s="711">
        <f t="shared" si="1"/>
        <v>0.00598086124401914</v>
      </c>
      <c r="N17" s="710">
        <f ca="1" t="shared" si="2"/>
        <v>0.00169055715565836</v>
      </c>
    </row>
    <row r="18" spans="2:14">
      <c r="B18" s="651" t="s">
        <v>117</v>
      </c>
      <c r="C18" s="660">
        <f>Cleansheet!J114</f>
        <v>3.53136363636364e-6</v>
      </c>
      <c r="D18" s="661"/>
      <c r="E18" s="661"/>
      <c r="F18" s="661"/>
      <c r="G18" s="661"/>
      <c r="H18" s="661"/>
      <c r="I18" s="708"/>
      <c r="J18" s="708"/>
      <c r="K18" s="708"/>
      <c r="L18" s="708"/>
      <c r="M18" s="711">
        <f t="shared" si="1"/>
        <v>3.53136363636364e-6</v>
      </c>
      <c r="N18" s="710">
        <f ca="1" t="shared" si="2"/>
        <v>9.98179329215546e-7</v>
      </c>
    </row>
    <row r="19" spans="2:15">
      <c r="B19" s="656" t="s">
        <v>92</v>
      </c>
      <c r="C19" s="662">
        <f>Cleansheet!J110</f>
        <v>0.0069464</v>
      </c>
      <c r="D19" s="663"/>
      <c r="E19" s="663"/>
      <c r="F19" s="663"/>
      <c r="G19" s="663"/>
      <c r="H19" s="663"/>
      <c r="I19" s="663"/>
      <c r="J19" s="663"/>
      <c r="K19" s="663"/>
      <c r="L19" s="663"/>
      <c r="M19" s="712">
        <f t="shared" si="1"/>
        <v>0.0069464</v>
      </c>
      <c r="N19" s="713">
        <f ca="1" t="shared" si="2"/>
        <v>0.00196347745699811</v>
      </c>
      <c r="O19" s="257"/>
    </row>
    <row r="20" spans="2:17">
      <c r="B20" s="664" t="s">
        <v>118</v>
      </c>
      <c r="C20" s="665">
        <f t="shared" ref="C20:L20" si="3">SUM(C11:C19)</f>
        <v>0.0436860557655502</v>
      </c>
      <c r="D20" s="666">
        <f t="shared" si="3"/>
        <v>0.704488177984691</v>
      </c>
      <c r="E20" s="666">
        <f t="shared" si="3"/>
        <v>0.349263038548753</v>
      </c>
      <c r="F20" s="666">
        <f t="shared" si="3"/>
        <v>0.131393961093209</v>
      </c>
      <c r="G20" s="666">
        <f t="shared" si="3"/>
        <v>0.0159913673071568</v>
      </c>
      <c r="H20" s="667">
        <f t="shared" si="3"/>
        <v>0.435631889229206</v>
      </c>
      <c r="I20" s="667">
        <f t="shared" si="3"/>
        <v>0.111198820102204</v>
      </c>
      <c r="J20" s="667">
        <f ca="1" t="shared" si="3"/>
        <v>0.0286481673664681</v>
      </c>
      <c r="K20" s="714">
        <f ca="1" t="shared" si="3"/>
        <v>0.00845836832340592</v>
      </c>
      <c r="L20" s="667">
        <f t="shared" si="3"/>
        <v>0.0234172053553798</v>
      </c>
      <c r="M20" s="715">
        <f ca="1" t="shared" ref="M20" si="4">SUM(M11:M19)</f>
        <v>1.85217705107602</v>
      </c>
      <c r="N20" s="716">
        <f ca="1" t="shared" si="2"/>
        <v>0.523538507162992</v>
      </c>
      <c r="O20" s="257"/>
      <c r="P20" s="717" t="s">
        <v>119</v>
      </c>
      <c r="Q20" s="722">
        <f ca="1">C20+H20+I20+J20+L20</f>
        <v>0.642582137818808</v>
      </c>
    </row>
    <row r="21" ht="15.15" spans="2:17">
      <c r="B21" s="668" t="s">
        <v>120</v>
      </c>
      <c r="C21" s="669">
        <f>Cleansheet!C121+Cleansheet!C120</f>
        <v>0.16</v>
      </c>
      <c r="D21" s="670"/>
      <c r="E21" s="671"/>
      <c r="F21" s="671"/>
      <c r="G21" s="671"/>
      <c r="H21" s="672"/>
      <c r="I21" s="672"/>
      <c r="J21" s="672"/>
      <c r="K21" s="672"/>
      <c r="L21" s="672"/>
      <c r="M21" s="718">
        <f ca="1">Cleansheet!J121</f>
        <v>1.68562776315398</v>
      </c>
      <c r="N21" s="719">
        <f ca="1" t="shared" si="2"/>
        <v>0.476461492837008</v>
      </c>
      <c r="O21" s="257"/>
      <c r="P21" s="717" t="s">
        <v>9</v>
      </c>
      <c r="Q21" s="722">
        <f ca="1">D20+E20+F20+G20+K20</f>
        <v>1.20959491325722</v>
      </c>
    </row>
    <row r="22" spans="2:12">
      <c r="B22" s="673" t="s">
        <v>121</v>
      </c>
      <c r="C22" s="674"/>
      <c r="D22" s="675"/>
      <c r="E22" s="675"/>
      <c r="F22" s="675"/>
      <c r="G22" s="675"/>
      <c r="H22" s="675"/>
      <c r="I22" s="675"/>
      <c r="J22" s="675"/>
      <c r="K22" s="720">
        <f ca="1">SUM(M20:M21)</f>
        <v>3.53780481423001</v>
      </c>
      <c r="L22" s="721">
        <f ca="1">K22/$K$22</f>
        <v>1</v>
      </c>
    </row>
    <row r="23" spans="2:11">
      <c r="B23" s="676"/>
      <c r="C23" s="677"/>
      <c r="D23" s="677"/>
      <c r="E23" s="677"/>
      <c r="F23" s="677"/>
      <c r="G23" s="677"/>
      <c r="H23" s="677"/>
      <c r="I23" s="677"/>
      <c r="J23" s="676"/>
      <c r="K23" s="676"/>
    </row>
    <row r="24" ht="15.15" spans="2:11">
      <c r="B24" s="678" t="s">
        <v>122</v>
      </c>
      <c r="C24" s="679">
        <f ca="1">K22</f>
        <v>3.53780481423001</v>
      </c>
      <c r="D24" s="677"/>
      <c r="E24" s="677"/>
      <c r="F24" s="677"/>
      <c r="G24" s="677"/>
      <c r="H24" s="677"/>
      <c r="I24" s="677"/>
      <c r="J24" s="676"/>
      <c r="K24" s="676"/>
    </row>
    <row r="25" ht="15.15" spans="2:11">
      <c r="B25" s="680"/>
      <c r="C25" s="681"/>
      <c r="D25" s="677"/>
      <c r="E25" s="677"/>
      <c r="F25" s="677"/>
      <c r="G25" s="677"/>
      <c r="H25" s="677"/>
      <c r="I25" s="677"/>
      <c r="J25" s="676"/>
      <c r="K25" s="676"/>
    </row>
    <row r="26" spans="2:11">
      <c r="B26" s="680"/>
      <c r="C26" s="681"/>
      <c r="D26" s="677"/>
      <c r="E26" s="677"/>
      <c r="F26" s="677"/>
      <c r="G26" s="677"/>
      <c r="H26" s="677"/>
      <c r="I26" s="677"/>
      <c r="J26" s="676"/>
      <c r="K26" s="676"/>
    </row>
    <row r="27" spans="2:11">
      <c r="B27" s="676"/>
      <c r="C27" s="681"/>
      <c r="D27" s="677"/>
      <c r="E27" s="677"/>
      <c r="F27" s="677"/>
      <c r="G27" s="677"/>
      <c r="H27" s="677"/>
      <c r="I27" s="677"/>
      <c r="J27" s="676"/>
      <c r="K27" s="676"/>
    </row>
    <row r="28" spans="2:11">
      <c r="B28" s="682" t="s">
        <v>123</v>
      </c>
      <c r="C28" s="683"/>
      <c r="D28" s="677"/>
      <c r="E28" s="677"/>
      <c r="F28" s="677"/>
      <c r="G28" s="677"/>
      <c r="H28" s="677"/>
      <c r="I28" s="677"/>
      <c r="J28" s="676"/>
      <c r="K28" s="676"/>
    </row>
    <row r="29" spans="2:11">
      <c r="B29" s="676"/>
      <c r="C29" s="683"/>
      <c r="D29" s="677"/>
      <c r="E29" s="677"/>
      <c r="F29" s="677"/>
      <c r="G29" s="677"/>
      <c r="H29" s="677"/>
      <c r="I29" s="677"/>
      <c r="J29" s="676"/>
      <c r="K29" s="676"/>
    </row>
    <row r="30" ht="30.75" customHeight="1" spans="2:11">
      <c r="B30" s="684" t="s">
        <v>124</v>
      </c>
      <c r="C30" s="685">
        <v>8.683</v>
      </c>
      <c r="D30" s="677"/>
      <c r="E30" s="677"/>
      <c r="F30" s="677"/>
      <c r="G30" s="677"/>
      <c r="H30" s="677"/>
      <c r="I30" s="677"/>
      <c r="J30" s="676"/>
      <c r="K30" s="676"/>
    </row>
    <row r="31" spans="2:11">
      <c r="B31" s="686"/>
      <c r="C31" s="687"/>
      <c r="D31" s="677"/>
      <c r="E31" s="677"/>
      <c r="F31" s="677"/>
      <c r="G31" s="677"/>
      <c r="H31" s="677"/>
      <c r="I31" s="677"/>
      <c r="J31" s="676"/>
      <c r="K31" s="676"/>
    </row>
    <row r="32" spans="2:11">
      <c r="B32" s="688"/>
      <c r="C32" s="689"/>
      <c r="D32" s="677" t="s">
        <v>94</v>
      </c>
      <c r="E32" s="677"/>
      <c r="F32" s="677"/>
      <c r="G32" s="677"/>
      <c r="H32" s="677"/>
      <c r="I32" s="677"/>
      <c r="J32" s="676"/>
      <c r="K32" s="676"/>
    </row>
    <row r="33" spans="2:11">
      <c r="B33" s="688"/>
      <c r="C33" s="690">
        <v>0</v>
      </c>
      <c r="D33" s="677"/>
      <c r="E33" s="677"/>
      <c r="F33" s="677"/>
      <c r="G33" s="677"/>
      <c r="H33" s="677"/>
      <c r="I33" s="677"/>
      <c r="J33" s="676"/>
      <c r="K33" s="676"/>
    </row>
    <row r="34" spans="2:11">
      <c r="B34" s="688"/>
      <c r="C34" s="689"/>
      <c r="D34" s="677"/>
      <c r="E34" s="677"/>
      <c r="F34" s="677"/>
      <c r="G34" s="677"/>
      <c r="H34" s="677"/>
      <c r="I34" s="677"/>
      <c r="J34" s="676"/>
      <c r="K34" s="676"/>
    </row>
    <row r="35" spans="2:11">
      <c r="B35" s="691"/>
      <c r="C35" s="692"/>
      <c r="D35" s="677"/>
      <c r="E35" s="677"/>
      <c r="F35" s="677"/>
      <c r="G35" s="677"/>
      <c r="H35" s="677"/>
      <c r="I35" s="677"/>
      <c r="J35" s="676"/>
      <c r="K35" s="676"/>
    </row>
    <row r="36" spans="2:11">
      <c r="B36" s="693" t="s">
        <v>125</v>
      </c>
      <c r="C36" s="694">
        <f>SUM(C31:C35)</f>
        <v>0</v>
      </c>
      <c r="D36" s="677"/>
      <c r="E36" s="677"/>
      <c r="F36" s="677"/>
      <c r="G36" s="677"/>
      <c r="H36" s="677"/>
      <c r="I36" s="677"/>
      <c r="J36" s="676"/>
      <c r="K36" s="676"/>
    </row>
    <row r="37" spans="2:11">
      <c r="B37" s="693" t="s">
        <v>126</v>
      </c>
      <c r="C37" s="694">
        <f>C30-C36</f>
        <v>8.683</v>
      </c>
      <c r="D37" s="677"/>
      <c r="E37" s="677"/>
      <c r="F37" s="677"/>
      <c r="G37" s="677"/>
      <c r="H37" s="677"/>
      <c r="I37" s="677"/>
      <c r="J37" s="676"/>
      <c r="K37" s="676"/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1550"/>
  <sheetViews>
    <sheetView showGridLines="0" zoomScale="70" zoomScaleNormal="70" workbookViewId="0">
      <pane xSplit="2" ySplit="6" topLeftCell="C103" activePane="bottomRight" state="frozen"/>
      <selection/>
      <selection pane="topRight"/>
      <selection pane="bottomLeft"/>
      <selection pane="bottomRight" activeCell="N31" sqref="N31"/>
    </sheetView>
  </sheetViews>
  <sheetFormatPr defaultColWidth="9.36111111111111" defaultRowHeight="14.4"/>
  <cols>
    <col min="1" max="1" width="27.4537037037037" customWidth="1"/>
    <col min="2" max="2" width="32.5462962962963" customWidth="1"/>
    <col min="3" max="3" width="13.5462962962963" customWidth="1"/>
    <col min="4" max="6" width="13.6296296296296" customWidth="1"/>
    <col min="7" max="7" width="16" customWidth="1"/>
    <col min="8" max="8" width="12.4537037037037" customWidth="1"/>
    <col min="9" max="9" width="13.4537037037037" customWidth="1"/>
    <col min="10" max="10" width="11.4537037037037" customWidth="1"/>
    <col min="11" max="11" width="14.3611111111111" customWidth="1"/>
    <col min="12" max="12" width="11.4537037037037" customWidth="1"/>
    <col min="13" max="14" width="11.5462962962963" customWidth="1"/>
    <col min="15" max="15" width="10.6296296296296" customWidth="1"/>
    <col min="16" max="20" width="11.5462962962963" customWidth="1"/>
    <col min="21" max="21" width="12.3611111111111" customWidth="1"/>
    <col min="22" max="22" width="14.4537037037037" customWidth="1"/>
    <col min="23" max="23" width="28" customWidth="1"/>
    <col min="24" max="24" width="27.6296296296296" customWidth="1"/>
  </cols>
  <sheetData>
    <row r="1" ht="15" customHeight="1" spans="1:9">
      <c r="A1" s="320" t="s">
        <v>127</v>
      </c>
      <c r="B1" s="321"/>
      <c r="C1" s="322"/>
      <c r="D1" s="323"/>
      <c r="E1" s="323"/>
      <c r="F1" s="323"/>
      <c r="G1" s="323"/>
      <c r="H1" s="324" t="s">
        <v>55</v>
      </c>
      <c r="I1" s="324"/>
    </row>
    <row r="2" ht="15" customHeight="1" spans="1:9">
      <c r="A2" s="325" t="s">
        <v>128</v>
      </c>
      <c r="B2" s="326"/>
      <c r="C2" s="327"/>
      <c r="D2" s="327"/>
      <c r="E2" s="327"/>
      <c r="F2" s="327"/>
      <c r="G2" s="327"/>
      <c r="H2" s="324" t="s">
        <v>56</v>
      </c>
      <c r="I2" s="324"/>
    </row>
    <row r="3" ht="15" customHeight="1" spans="1:7">
      <c r="A3" s="325"/>
      <c r="B3" s="326"/>
      <c r="C3" s="327"/>
      <c r="D3" s="327"/>
      <c r="E3" s="327"/>
      <c r="F3" s="327"/>
      <c r="G3" s="327"/>
    </row>
    <row r="4" ht="18" spans="1:13">
      <c r="A4" s="328" t="s">
        <v>129</v>
      </c>
      <c r="B4" s="328"/>
      <c r="C4" s="329"/>
      <c r="D4" s="329"/>
      <c r="E4" s="329"/>
      <c r="F4" s="329"/>
      <c r="G4" s="330"/>
      <c r="H4" s="329"/>
      <c r="I4" s="329"/>
      <c r="J4" s="329"/>
      <c r="K4" s="329"/>
      <c r="L4" s="329"/>
      <c r="M4" s="329"/>
    </row>
    <row r="5" ht="13.5" customHeight="1" spans="1:13">
      <c r="A5" s="331"/>
      <c r="B5" s="331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</row>
    <row r="6" ht="25.5" customHeight="1" spans="1:13">
      <c r="A6" s="333" t="s">
        <v>130</v>
      </c>
      <c r="B6" s="334" t="s">
        <v>58</v>
      </c>
      <c r="C6" s="335" t="s">
        <v>131</v>
      </c>
      <c r="D6" s="335" t="s">
        <v>99</v>
      </c>
      <c r="E6" s="335" t="s">
        <v>100</v>
      </c>
      <c r="F6" s="335" t="s">
        <v>101</v>
      </c>
      <c r="G6" s="335" t="s">
        <v>18</v>
      </c>
      <c r="H6" s="335" t="s">
        <v>21</v>
      </c>
      <c r="I6" s="335" t="s">
        <v>22</v>
      </c>
      <c r="J6" s="335" t="s">
        <v>25</v>
      </c>
      <c r="K6" s="335" t="s">
        <v>28</v>
      </c>
      <c r="L6" s="409"/>
      <c r="M6" s="409"/>
    </row>
    <row r="7" ht="13.5" customHeight="1" spans="1:11">
      <c r="A7" s="336" t="s">
        <v>132</v>
      </c>
      <c r="B7" s="337"/>
      <c r="C7" s="338"/>
      <c r="D7" s="338"/>
      <c r="E7" s="338"/>
      <c r="F7" s="338"/>
      <c r="G7" s="339"/>
      <c r="H7" s="340"/>
      <c r="I7" s="340"/>
      <c r="J7" s="340"/>
      <c r="K7" s="340"/>
    </row>
    <row r="8" spans="1:13">
      <c r="A8" s="336"/>
      <c r="B8" s="791" t="s">
        <v>133</v>
      </c>
      <c r="C8" s="342">
        <v>23</v>
      </c>
      <c r="D8" s="342">
        <v>20</v>
      </c>
      <c r="E8" s="342">
        <v>20</v>
      </c>
      <c r="F8" s="342">
        <v>20</v>
      </c>
      <c r="G8" s="342">
        <v>20</v>
      </c>
      <c r="H8" s="342">
        <v>20</v>
      </c>
      <c r="I8" s="342">
        <v>20</v>
      </c>
      <c r="J8" s="342">
        <v>20</v>
      </c>
      <c r="K8" s="342">
        <v>20</v>
      </c>
      <c r="L8" s="409"/>
      <c r="M8" s="409"/>
    </row>
    <row r="9" spans="1:13">
      <c r="A9" s="336"/>
      <c r="B9" s="341" t="s">
        <v>134</v>
      </c>
      <c r="C9" s="323">
        <v>6.67</v>
      </c>
      <c r="D9" s="323">
        <v>6.67</v>
      </c>
      <c r="E9" s="323">
        <v>6.67</v>
      </c>
      <c r="F9" s="323">
        <v>6.67</v>
      </c>
      <c r="G9" s="323">
        <v>6</v>
      </c>
      <c r="H9" s="323">
        <v>6</v>
      </c>
      <c r="I9" s="323">
        <v>6</v>
      </c>
      <c r="J9" s="323">
        <v>6</v>
      </c>
      <c r="K9" s="323">
        <v>6</v>
      </c>
      <c r="L9" s="409"/>
      <c r="M9" s="409"/>
    </row>
    <row r="10" spans="1:13">
      <c r="A10" s="336"/>
      <c r="B10" s="341" t="s">
        <v>135</v>
      </c>
      <c r="C10" s="343">
        <f>+C8*C9</f>
        <v>153.41</v>
      </c>
      <c r="D10" s="343">
        <f>+D8*D9</f>
        <v>133.4</v>
      </c>
      <c r="E10" s="343">
        <f>+E8*E9</f>
        <v>133.4</v>
      </c>
      <c r="F10" s="343">
        <f>+F8*F9</f>
        <v>133.4</v>
      </c>
      <c r="G10" s="343">
        <v>120</v>
      </c>
      <c r="H10" s="343">
        <v>120</v>
      </c>
      <c r="I10" s="343">
        <v>120</v>
      </c>
      <c r="J10" s="343">
        <v>120</v>
      </c>
      <c r="K10" s="343">
        <v>120</v>
      </c>
      <c r="L10" s="409"/>
      <c r="M10" s="409"/>
    </row>
    <row r="11" spans="1:13">
      <c r="A11" s="344"/>
      <c r="B11" s="792" t="s">
        <v>136</v>
      </c>
      <c r="C11" s="346">
        <v>2</v>
      </c>
      <c r="D11" s="346">
        <v>2</v>
      </c>
      <c r="E11" s="346">
        <v>2</v>
      </c>
      <c r="F11" s="346">
        <v>2</v>
      </c>
      <c r="G11" s="346">
        <v>1</v>
      </c>
      <c r="H11" s="346">
        <v>1</v>
      </c>
      <c r="I11" s="346">
        <v>1</v>
      </c>
      <c r="J11" s="346">
        <v>1</v>
      </c>
      <c r="K11" s="346">
        <v>1</v>
      </c>
      <c r="L11" s="409"/>
      <c r="M11" s="409"/>
    </row>
    <row r="12" spans="1:13">
      <c r="A12" s="336" t="s">
        <v>137</v>
      </c>
      <c r="B12" s="341"/>
      <c r="C12" s="343"/>
      <c r="D12" s="343"/>
      <c r="E12" s="343"/>
      <c r="F12" s="343"/>
      <c r="G12" s="343"/>
      <c r="H12" s="343"/>
      <c r="I12" s="343"/>
      <c r="J12" s="343"/>
      <c r="K12" s="343"/>
      <c r="L12" s="409"/>
      <c r="M12" s="409"/>
    </row>
    <row r="13" spans="1:13">
      <c r="A13" s="347"/>
      <c r="B13" s="341" t="s">
        <v>138</v>
      </c>
      <c r="C13" s="348">
        <f>'SMT Process Flow'!I3</f>
        <v>8.64</v>
      </c>
      <c r="D13" s="348">
        <f>'SMT Process Flow'!I24</f>
        <v>12</v>
      </c>
      <c r="E13" s="348">
        <f>'SMT Process Flow'!I39</f>
        <v>24</v>
      </c>
      <c r="F13" s="348">
        <f>'SMT Process Flow'!E53</f>
        <v>4</v>
      </c>
      <c r="G13" s="349">
        <v>19</v>
      </c>
      <c r="H13" s="349">
        <f>G13</f>
        <v>19</v>
      </c>
      <c r="I13" s="349">
        <f>G13</f>
        <v>19</v>
      </c>
      <c r="J13" s="349">
        <f>C13</f>
        <v>8.64</v>
      </c>
      <c r="K13" s="349">
        <f>G13</f>
        <v>19</v>
      </c>
      <c r="L13" s="409"/>
      <c r="M13" s="409"/>
    </row>
    <row r="14" spans="1:13">
      <c r="A14" s="336"/>
      <c r="B14" s="341" t="s">
        <v>104</v>
      </c>
      <c r="C14" s="343">
        <f t="shared" ref="C14:K14" si="0">3600/C13*C15*C16</f>
        <v>387.916666666667</v>
      </c>
      <c r="D14" s="343">
        <f t="shared" ref="D14" si="1">3600/D13*D15*D16</f>
        <v>279.3</v>
      </c>
      <c r="E14" s="343">
        <f t="shared" ref="E14:F14" si="2">3600/E13*E15*E16</f>
        <v>139.65</v>
      </c>
      <c r="F14" s="343">
        <f t="shared" si="2"/>
        <v>837.9</v>
      </c>
      <c r="G14" s="343">
        <f t="shared" si="0"/>
        <v>176.4</v>
      </c>
      <c r="H14" s="343">
        <f t="shared" si="0"/>
        <v>176.4</v>
      </c>
      <c r="I14" s="343">
        <f t="shared" si="0"/>
        <v>176.4</v>
      </c>
      <c r="J14" s="343">
        <f t="shared" si="0"/>
        <v>387.916666666667</v>
      </c>
      <c r="K14" s="343">
        <f t="shared" si="0"/>
        <v>176.4</v>
      </c>
      <c r="L14" s="409"/>
      <c r="M14" s="409"/>
    </row>
    <row r="15" spans="1:13">
      <c r="A15" s="336"/>
      <c r="B15" s="350" t="s">
        <v>139</v>
      </c>
      <c r="C15" s="351">
        <v>0.98</v>
      </c>
      <c r="D15" s="351">
        <v>0.98</v>
      </c>
      <c r="E15" s="351">
        <v>0.98</v>
      </c>
      <c r="F15" s="351">
        <v>0.98</v>
      </c>
      <c r="G15" s="351">
        <v>0.98</v>
      </c>
      <c r="H15" s="352">
        <f>G15</f>
        <v>0.98</v>
      </c>
      <c r="I15" s="352">
        <f>G15</f>
        <v>0.98</v>
      </c>
      <c r="J15" s="352">
        <f>C15</f>
        <v>0.98</v>
      </c>
      <c r="K15" s="352">
        <f>G15</f>
        <v>0.98</v>
      </c>
      <c r="L15" s="410"/>
      <c r="M15" s="409"/>
    </row>
    <row r="16" spans="1:13">
      <c r="A16" s="344"/>
      <c r="B16" s="353" t="s">
        <v>140</v>
      </c>
      <c r="C16" s="354">
        <v>0.95</v>
      </c>
      <c r="D16" s="354">
        <v>0.95</v>
      </c>
      <c r="E16" s="354">
        <v>0.95</v>
      </c>
      <c r="F16" s="354">
        <v>0.95</v>
      </c>
      <c r="G16" s="354">
        <v>0.95</v>
      </c>
      <c r="H16" s="355">
        <f>G16</f>
        <v>0.95</v>
      </c>
      <c r="I16" s="355">
        <f>G16</f>
        <v>0.95</v>
      </c>
      <c r="J16" s="355">
        <f>C16</f>
        <v>0.95</v>
      </c>
      <c r="K16" s="355">
        <f>G16</f>
        <v>0.95</v>
      </c>
      <c r="L16" s="409"/>
      <c r="M16" s="409"/>
    </row>
    <row r="17" spans="1:13">
      <c r="A17" s="336" t="s">
        <v>141</v>
      </c>
      <c r="B17" s="356"/>
      <c r="C17" s="343"/>
      <c r="D17" s="343"/>
      <c r="E17" s="343"/>
      <c r="F17" s="343"/>
      <c r="G17" s="352"/>
      <c r="H17" s="343"/>
      <c r="I17" s="343"/>
      <c r="J17" s="343"/>
      <c r="K17" s="343"/>
      <c r="L17" s="409"/>
      <c r="M17" s="409"/>
    </row>
    <row r="18" spans="1:13">
      <c r="A18" s="347"/>
      <c r="B18" s="341" t="s">
        <v>61</v>
      </c>
      <c r="C18" s="357">
        <f>SupplierBaseInput!$C$7</f>
        <v>418000</v>
      </c>
      <c r="D18" s="357">
        <f>SupplierBaseInput!$C$7</f>
        <v>418000</v>
      </c>
      <c r="E18" s="357">
        <f>SupplierBaseInput!$C$7</f>
        <v>418000</v>
      </c>
      <c r="F18" s="357">
        <f>SupplierBaseInput!$C$7</f>
        <v>418000</v>
      </c>
      <c r="G18" s="357">
        <f>SupplierBaseInput!$C$7</f>
        <v>418000</v>
      </c>
      <c r="H18" s="357">
        <f>SupplierBaseInput!$C$7</f>
        <v>418000</v>
      </c>
      <c r="I18" s="357">
        <f>SupplierBaseInput!$C$7</f>
        <v>418000</v>
      </c>
      <c r="J18" s="357">
        <f>SupplierBaseInput!$C$7</f>
        <v>418000</v>
      </c>
      <c r="K18" s="357">
        <f>SupplierBaseInput!$C$7</f>
        <v>418000</v>
      </c>
      <c r="L18" s="409"/>
      <c r="M18" s="409"/>
    </row>
    <row r="19" spans="1:13">
      <c r="A19" s="336"/>
      <c r="B19" s="341" t="s">
        <v>142</v>
      </c>
      <c r="C19" s="343">
        <f t="shared" ref="C19:K19" si="3">C18/50</f>
        <v>8360</v>
      </c>
      <c r="D19" s="343">
        <f t="shared" ref="D19" si="4">D18/50</f>
        <v>8360</v>
      </c>
      <c r="E19" s="343">
        <f t="shared" ref="E19:F19" si="5">E18/50</f>
        <v>8360</v>
      </c>
      <c r="F19" s="343">
        <f t="shared" si="5"/>
        <v>8360</v>
      </c>
      <c r="G19" s="343">
        <f t="shared" si="3"/>
        <v>8360</v>
      </c>
      <c r="H19" s="343">
        <f t="shared" si="3"/>
        <v>8360</v>
      </c>
      <c r="I19" s="343">
        <f t="shared" si="3"/>
        <v>8360</v>
      </c>
      <c r="J19" s="343">
        <f t="shared" si="3"/>
        <v>8360</v>
      </c>
      <c r="K19" s="343">
        <f t="shared" si="3"/>
        <v>8360</v>
      </c>
      <c r="L19" s="409"/>
      <c r="M19" s="409"/>
    </row>
    <row r="20" spans="1:13">
      <c r="A20" s="336"/>
      <c r="B20" s="358" t="s">
        <v>143</v>
      </c>
      <c r="C20" s="359">
        <f>C19*1.2</f>
        <v>10032</v>
      </c>
      <c r="D20" s="359">
        <f>D19*1.2</f>
        <v>10032</v>
      </c>
      <c r="E20" s="359">
        <f>E19*1.2</f>
        <v>10032</v>
      </c>
      <c r="F20" s="359">
        <f>F19*1.2</f>
        <v>10032</v>
      </c>
      <c r="G20" s="359">
        <f t="shared" ref="G20:K20" si="6">G19*1.2</f>
        <v>10032</v>
      </c>
      <c r="H20" s="359">
        <f t="shared" si="6"/>
        <v>10032</v>
      </c>
      <c r="I20" s="359">
        <f t="shared" si="6"/>
        <v>10032</v>
      </c>
      <c r="J20" s="359">
        <f t="shared" si="6"/>
        <v>10032</v>
      </c>
      <c r="K20" s="359">
        <f t="shared" si="6"/>
        <v>10032</v>
      </c>
      <c r="L20" s="409"/>
      <c r="M20" s="409"/>
    </row>
    <row r="21" spans="1:13">
      <c r="A21" s="344"/>
      <c r="B21" s="792" t="s">
        <v>144</v>
      </c>
      <c r="C21" s="360">
        <f t="shared" ref="C21:K21" si="7">C10*C14</f>
        <v>59510.2958333333</v>
      </c>
      <c r="D21" s="360">
        <f t="shared" ref="D21" si="8">D10*D14</f>
        <v>37258.62</v>
      </c>
      <c r="E21" s="360">
        <f t="shared" ref="E21:F21" si="9">E10*E14</f>
        <v>18629.31</v>
      </c>
      <c r="F21" s="360">
        <f t="shared" si="9"/>
        <v>111775.86</v>
      </c>
      <c r="G21" s="360">
        <f t="shared" si="7"/>
        <v>21168</v>
      </c>
      <c r="H21" s="360">
        <f t="shared" si="7"/>
        <v>21168</v>
      </c>
      <c r="I21" s="360">
        <f t="shared" si="7"/>
        <v>21168</v>
      </c>
      <c r="J21" s="411">
        <f t="shared" si="7"/>
        <v>46550</v>
      </c>
      <c r="K21" s="360">
        <f t="shared" si="7"/>
        <v>21168</v>
      </c>
      <c r="L21" s="409"/>
      <c r="M21" s="409"/>
    </row>
    <row r="22" spans="1:13">
      <c r="A22" s="336" t="s">
        <v>145</v>
      </c>
      <c r="B22" s="341"/>
      <c r="C22" s="343"/>
      <c r="D22" s="343"/>
      <c r="E22" s="343"/>
      <c r="F22" s="343"/>
      <c r="G22" s="343"/>
      <c r="H22" s="343"/>
      <c r="I22" s="343"/>
      <c r="J22" s="343"/>
      <c r="K22" s="343"/>
      <c r="L22" s="409"/>
      <c r="M22" s="409"/>
    </row>
    <row r="23" spans="1:13">
      <c r="A23" s="336"/>
      <c r="B23" s="358" t="s">
        <v>146</v>
      </c>
      <c r="C23" s="361">
        <f t="shared" ref="C23:D23" si="10">ROUNDUP(+C20/C21,0)</f>
        <v>1</v>
      </c>
      <c r="D23" s="361">
        <f t="shared" si="10"/>
        <v>1</v>
      </c>
      <c r="E23" s="361">
        <f t="shared" ref="E23:F23" si="11">ROUNDUP(+E20/E21,0)</f>
        <v>1</v>
      </c>
      <c r="F23" s="361">
        <f t="shared" si="11"/>
        <v>1</v>
      </c>
      <c r="G23" s="361">
        <f t="shared" ref="G23:K23" si="12">ROUNDUP(+G20/G21,0)</f>
        <v>1</v>
      </c>
      <c r="H23" s="361">
        <f t="shared" si="12"/>
        <v>1</v>
      </c>
      <c r="I23" s="361">
        <f t="shared" si="12"/>
        <v>1</v>
      </c>
      <c r="J23" s="361">
        <f t="shared" si="12"/>
        <v>1</v>
      </c>
      <c r="K23" s="361">
        <f t="shared" si="12"/>
        <v>1</v>
      </c>
      <c r="L23" s="409"/>
      <c r="M23" s="409"/>
    </row>
    <row r="24" spans="1:13">
      <c r="A24" s="336"/>
      <c r="B24" s="791" t="s">
        <v>147</v>
      </c>
      <c r="C24" s="343">
        <f t="shared" ref="C24:I24" si="13">C21*C23</f>
        <v>59510.2958333333</v>
      </c>
      <c r="D24" s="343">
        <f t="shared" ref="D24" si="14">D21*D23</f>
        <v>37258.62</v>
      </c>
      <c r="E24" s="343">
        <f t="shared" ref="E24:F24" si="15">E21*E23</f>
        <v>18629.31</v>
      </c>
      <c r="F24" s="343">
        <f t="shared" si="15"/>
        <v>111775.86</v>
      </c>
      <c r="G24" s="343">
        <f t="shared" si="13"/>
        <v>21168</v>
      </c>
      <c r="H24" s="343">
        <f t="shared" si="13"/>
        <v>21168</v>
      </c>
      <c r="I24" s="343">
        <f t="shared" si="13"/>
        <v>21168</v>
      </c>
      <c r="J24" s="343">
        <f>I24</f>
        <v>21168</v>
      </c>
      <c r="K24" s="343">
        <f>J24</f>
        <v>21168</v>
      </c>
      <c r="L24" s="412"/>
      <c r="M24" s="409"/>
    </row>
    <row r="25" spans="1:14">
      <c r="A25" s="336"/>
      <c r="B25" s="341" t="s">
        <v>148</v>
      </c>
      <c r="C25" s="343">
        <f t="shared" ref="C25:K25" si="16">+C24-C20</f>
        <v>49478.2958333333</v>
      </c>
      <c r="D25" s="343">
        <f t="shared" ref="D25" si="17">+D24-D20</f>
        <v>27226.62</v>
      </c>
      <c r="E25" s="343">
        <f t="shared" ref="E25:F25" si="18">+E24-E20</f>
        <v>8597.31</v>
      </c>
      <c r="F25" s="343">
        <f t="shared" si="18"/>
        <v>101743.86</v>
      </c>
      <c r="G25" s="343">
        <f t="shared" si="16"/>
        <v>11136</v>
      </c>
      <c r="H25" s="343">
        <f t="shared" si="16"/>
        <v>11136</v>
      </c>
      <c r="I25" s="343">
        <f t="shared" si="16"/>
        <v>11136</v>
      </c>
      <c r="J25" s="343">
        <f t="shared" si="16"/>
        <v>11136</v>
      </c>
      <c r="K25" s="343">
        <f t="shared" si="16"/>
        <v>11136</v>
      </c>
      <c r="L25" s="413"/>
      <c r="M25" s="409"/>
      <c r="N25" s="409" t="s">
        <v>149</v>
      </c>
    </row>
    <row r="26" spans="1:13">
      <c r="A26" s="344"/>
      <c r="B26" s="362" t="s">
        <v>150</v>
      </c>
      <c r="C26" s="346">
        <v>1</v>
      </c>
      <c r="D26" s="346">
        <v>1</v>
      </c>
      <c r="E26" s="346">
        <v>1</v>
      </c>
      <c r="F26" s="346">
        <v>1</v>
      </c>
      <c r="G26" s="346">
        <v>0</v>
      </c>
      <c r="H26" s="346">
        <v>1</v>
      </c>
      <c r="I26" s="346">
        <v>0</v>
      </c>
      <c r="J26" s="346">
        <v>0</v>
      </c>
      <c r="K26" s="346">
        <v>0</v>
      </c>
      <c r="L26" s="413"/>
      <c r="M26" s="409"/>
    </row>
    <row r="27" spans="1:13">
      <c r="A27" s="336" t="s">
        <v>151</v>
      </c>
      <c r="B27" s="358"/>
      <c r="C27" s="343"/>
      <c r="D27" s="343"/>
      <c r="E27" s="343"/>
      <c r="F27" s="343"/>
      <c r="G27" s="343"/>
      <c r="H27" s="343"/>
      <c r="I27" s="343"/>
      <c r="J27" s="343"/>
      <c r="K27" s="343"/>
      <c r="L27" s="413"/>
      <c r="M27" s="409"/>
    </row>
    <row r="28" spans="1:13">
      <c r="A28" s="336" t="s">
        <v>152</v>
      </c>
      <c r="B28" s="791" t="s">
        <v>153</v>
      </c>
      <c r="C28" s="363">
        <v>10</v>
      </c>
      <c r="D28" s="363">
        <v>18</v>
      </c>
      <c r="E28" s="363">
        <v>2</v>
      </c>
      <c r="F28" s="363">
        <v>1</v>
      </c>
      <c r="G28" s="364">
        <f>'BB Process Flow'!M2</f>
        <v>22.5</v>
      </c>
      <c r="H28" s="364">
        <f>'BB Process Flow'!M3</f>
        <v>6</v>
      </c>
      <c r="I28" s="343"/>
      <c r="J28" s="323">
        <v>0.5</v>
      </c>
      <c r="K28" s="365">
        <v>0.5</v>
      </c>
      <c r="L28" s="413"/>
      <c r="M28" s="409"/>
    </row>
    <row r="29" spans="1:13">
      <c r="A29" s="336"/>
      <c r="B29" s="791" t="s">
        <v>154</v>
      </c>
      <c r="C29" s="363">
        <v>0.5</v>
      </c>
      <c r="D29" s="363">
        <v>0.5</v>
      </c>
      <c r="E29" s="363">
        <v>0.5</v>
      </c>
      <c r="F29" s="363">
        <v>0.5</v>
      </c>
      <c r="G29" s="342">
        <v>0</v>
      </c>
      <c r="H29" s="365">
        <v>0.5</v>
      </c>
      <c r="I29" s="343"/>
      <c r="J29" s="343"/>
      <c r="K29" s="343"/>
      <c r="L29" s="413"/>
      <c r="M29" s="409"/>
    </row>
    <row r="30" spans="1:13">
      <c r="A30" s="336"/>
      <c r="B30" s="341" t="s">
        <v>155</v>
      </c>
      <c r="C30" s="363">
        <v>0.5</v>
      </c>
      <c r="D30" s="363">
        <v>0.5</v>
      </c>
      <c r="E30" s="363">
        <v>0.5</v>
      </c>
      <c r="F30" s="363">
        <v>0.5</v>
      </c>
      <c r="G30" s="365">
        <v>0.5</v>
      </c>
      <c r="H30" s="365"/>
      <c r="I30" s="342"/>
      <c r="J30" s="343"/>
      <c r="K30" s="343"/>
      <c r="L30" s="413"/>
      <c r="M30" s="414"/>
    </row>
    <row r="31" spans="1:15">
      <c r="A31" s="336"/>
      <c r="B31" s="341" t="s">
        <v>156</v>
      </c>
      <c r="C31" s="342"/>
      <c r="D31" s="342"/>
      <c r="E31" s="342"/>
      <c r="F31" s="342"/>
      <c r="G31" s="342"/>
      <c r="H31" s="342"/>
      <c r="I31" s="365">
        <v>0.5</v>
      </c>
      <c r="J31" s="343"/>
      <c r="K31" s="343"/>
      <c r="L31" s="413"/>
      <c r="M31" s="409"/>
      <c r="N31" s="409" t="s">
        <v>94</v>
      </c>
      <c r="O31" s="409" t="s">
        <v>94</v>
      </c>
    </row>
    <row r="32" spans="1:13">
      <c r="A32" s="336"/>
      <c r="B32" s="366" t="s">
        <v>157</v>
      </c>
      <c r="C32" s="361">
        <f t="shared" ref="C32:K32" si="19">SUM(C28:C31)</f>
        <v>11</v>
      </c>
      <c r="D32" s="361">
        <f t="shared" ref="D32" si="20">SUM(D28:D31)</f>
        <v>19</v>
      </c>
      <c r="E32" s="361">
        <f t="shared" ref="E32:F32" si="21">SUM(E28:E31)</f>
        <v>3</v>
      </c>
      <c r="F32" s="361">
        <f t="shared" si="21"/>
        <v>2</v>
      </c>
      <c r="G32" s="361">
        <f t="shared" ref="G32:H32" si="22">SUM(G28:G31)</f>
        <v>23</v>
      </c>
      <c r="H32" s="343">
        <f t="shared" si="22"/>
        <v>6.5</v>
      </c>
      <c r="I32" s="361">
        <f t="shared" si="19"/>
        <v>0.5</v>
      </c>
      <c r="J32" s="343">
        <f t="shared" si="19"/>
        <v>0.5</v>
      </c>
      <c r="K32" s="343">
        <f t="shared" si="19"/>
        <v>0.5</v>
      </c>
      <c r="L32" s="413"/>
      <c r="M32" s="409"/>
    </row>
    <row r="33" spans="1:13">
      <c r="A33" s="336"/>
      <c r="B33" s="793" t="s">
        <v>158</v>
      </c>
      <c r="C33" s="343">
        <f>(C28*C23*C11)+(C29*C26*C11)+(C30*C11)+(C31*C11)</f>
        <v>22</v>
      </c>
      <c r="D33" s="343">
        <f>(D28*D23*D11)+(D29*D26*D11)+(D30*D11)+(D31*D11)</f>
        <v>38</v>
      </c>
      <c r="E33" s="343">
        <f>(E28*E23*E11)+(E29*E26*E11)+(E30*E11)+(E31*E11)</f>
        <v>6</v>
      </c>
      <c r="F33" s="343">
        <f>(F28*F23*F11)+(F29*F26*F11)+(F30*F11)+(F31*F11)</f>
        <v>4</v>
      </c>
      <c r="G33" s="343">
        <f>(G28*G23*G11)+(G29*G26*G11)+(G30*G11)+(G31*G11)</f>
        <v>23</v>
      </c>
      <c r="H33" s="343">
        <f>(H28*H23*H11)+H29+(H30*H11)+(H31*H11)</f>
        <v>6.5</v>
      </c>
      <c r="I33" s="361">
        <f>(I28*I23*I11)+(I29*I26*I11)+(I30*I11)+(I31*I11)</f>
        <v>0.5</v>
      </c>
      <c r="J33" s="343">
        <f>(J28*J23*J11)+(J29*J26*J11)+(J30*J11)+(J31*J11)</f>
        <v>0.5</v>
      </c>
      <c r="K33" s="343">
        <f>(K28*K23*K11)+(K29*K26*K11)+(K30*K11)+(K31*K11)</f>
        <v>0.5</v>
      </c>
      <c r="L33" s="413"/>
      <c r="M33" s="415"/>
    </row>
    <row r="34" ht="13.5" customHeight="1" spans="1:13">
      <c r="A34" s="367" t="s">
        <v>159</v>
      </c>
      <c r="B34" s="368"/>
      <c r="C34" s="369"/>
      <c r="D34" s="369"/>
      <c r="E34" s="369"/>
      <c r="F34" s="369"/>
      <c r="G34" s="370"/>
      <c r="H34" s="370"/>
      <c r="I34" s="370"/>
      <c r="J34" s="370"/>
      <c r="K34" s="370"/>
      <c r="L34" s="413"/>
      <c r="M34" s="415"/>
    </row>
    <row r="35" outlineLevel="1" spans="1:13">
      <c r="A35" s="336"/>
      <c r="B35" s="793" t="s">
        <v>160</v>
      </c>
      <c r="C35" s="371">
        <v>0.5</v>
      </c>
      <c r="D35" s="371">
        <v>0.5</v>
      </c>
      <c r="E35" s="371">
        <v>0.5</v>
      </c>
      <c r="F35" s="371">
        <v>0.5</v>
      </c>
      <c r="G35" s="371">
        <v>1</v>
      </c>
      <c r="H35" s="371">
        <f>H37/H23/H11</f>
        <v>0</v>
      </c>
      <c r="I35" s="371">
        <f>I37/I23/I11</f>
        <v>0</v>
      </c>
      <c r="J35" s="371">
        <f>J37/J23/J11</f>
        <v>0</v>
      </c>
      <c r="K35" s="371">
        <f>K37/K23/K11</f>
        <v>0</v>
      </c>
      <c r="L35" s="413"/>
      <c r="M35" s="415"/>
    </row>
    <row r="36" outlineLevel="1" spans="1:13">
      <c r="A36" s="336"/>
      <c r="B36" s="793" t="s">
        <v>161</v>
      </c>
      <c r="C36" s="371">
        <v>0.5</v>
      </c>
      <c r="D36" s="371">
        <v>0.5</v>
      </c>
      <c r="E36" s="371">
        <v>0.5</v>
      </c>
      <c r="F36" s="371">
        <v>0.5</v>
      </c>
      <c r="G36" s="371">
        <v>1</v>
      </c>
      <c r="H36" s="371">
        <f>H38/H23/H11</f>
        <v>0</v>
      </c>
      <c r="I36" s="371">
        <f>I38/I23/I11</f>
        <v>0</v>
      </c>
      <c r="J36" s="371">
        <f>J38/J23/J11</f>
        <v>0</v>
      </c>
      <c r="K36" s="371">
        <f>K38/K23/K11</f>
        <v>0.5</v>
      </c>
      <c r="L36" s="413"/>
      <c r="M36" s="415"/>
    </row>
    <row r="37" spans="1:13">
      <c r="A37" s="367"/>
      <c r="B37" s="794" t="s">
        <v>162</v>
      </c>
      <c r="C37" s="372">
        <v>0.5</v>
      </c>
      <c r="D37" s="372">
        <v>0.5</v>
      </c>
      <c r="E37" s="372">
        <v>0.5</v>
      </c>
      <c r="F37" s="372">
        <v>0.5</v>
      </c>
      <c r="G37" s="372">
        <v>1</v>
      </c>
      <c r="H37" s="372"/>
      <c r="I37" s="372"/>
      <c r="J37" s="372"/>
      <c r="K37" s="416">
        <v>0</v>
      </c>
      <c r="L37" s="417"/>
      <c r="M37" s="418"/>
    </row>
    <row r="38" spans="1:13">
      <c r="A38" s="336"/>
      <c r="B38" s="793" t="s">
        <v>163</v>
      </c>
      <c r="C38" s="373">
        <v>0.5</v>
      </c>
      <c r="D38" s="373">
        <v>0.5</v>
      </c>
      <c r="E38" s="373">
        <v>0.5</v>
      </c>
      <c r="F38" s="373">
        <v>0.5</v>
      </c>
      <c r="G38" s="342">
        <v>1</v>
      </c>
      <c r="H38" s="342"/>
      <c r="I38" s="342"/>
      <c r="J38" s="342"/>
      <c r="K38" s="365">
        <v>0.5</v>
      </c>
      <c r="L38" s="413"/>
      <c r="M38" s="415"/>
    </row>
    <row r="39" spans="1:12">
      <c r="A39" s="336"/>
      <c r="B39" s="793" t="s">
        <v>164</v>
      </c>
      <c r="C39" s="342"/>
      <c r="D39" s="342"/>
      <c r="E39" s="342"/>
      <c r="F39" s="342"/>
      <c r="G39" s="342"/>
      <c r="H39" s="342"/>
      <c r="I39" s="342"/>
      <c r="J39" s="342"/>
      <c r="K39" s="342"/>
      <c r="L39" s="413"/>
    </row>
    <row r="40" spans="1:13">
      <c r="A40" s="336"/>
      <c r="B40" s="793" t="s">
        <v>165</v>
      </c>
      <c r="C40" s="374">
        <v>0.25</v>
      </c>
      <c r="D40" s="374">
        <v>0.25</v>
      </c>
      <c r="E40" s="374">
        <v>0.25</v>
      </c>
      <c r="F40" s="374">
        <v>0.25</v>
      </c>
      <c r="G40" s="346"/>
      <c r="H40" s="346"/>
      <c r="I40" s="346"/>
      <c r="J40" s="346"/>
      <c r="K40" s="346"/>
      <c r="L40" s="413"/>
      <c r="M40" s="419"/>
    </row>
    <row r="41" spans="1:13">
      <c r="A41" s="375"/>
      <c r="B41" s="795" t="s">
        <v>166</v>
      </c>
      <c r="C41" s="377">
        <f t="shared" ref="C41:K41" si="23">SUM(C37:C40)</f>
        <v>1.25</v>
      </c>
      <c r="D41" s="377">
        <f t="shared" ref="D41" si="24">SUM(D37:D40)</f>
        <v>1.25</v>
      </c>
      <c r="E41" s="377">
        <f t="shared" ref="E41:F41" si="25">SUM(E37:E40)</f>
        <v>1.25</v>
      </c>
      <c r="F41" s="377">
        <f t="shared" si="25"/>
        <v>1.25</v>
      </c>
      <c r="G41" s="377">
        <f t="shared" si="23"/>
        <v>2</v>
      </c>
      <c r="H41" s="377">
        <f t="shared" si="23"/>
        <v>0</v>
      </c>
      <c r="I41" s="377">
        <f t="shared" si="23"/>
        <v>0</v>
      </c>
      <c r="J41" s="377">
        <f t="shared" si="23"/>
        <v>0</v>
      </c>
      <c r="K41" s="377">
        <f t="shared" si="23"/>
        <v>0.5</v>
      </c>
      <c r="L41" s="413"/>
      <c r="M41" s="419"/>
    </row>
    <row r="42" spans="1:13">
      <c r="A42" s="336" t="s">
        <v>167</v>
      </c>
      <c r="B42" s="366"/>
      <c r="C42" s="361"/>
      <c r="D42" s="361"/>
      <c r="E42" s="361"/>
      <c r="F42" s="361"/>
      <c r="G42" s="361"/>
      <c r="H42" s="361"/>
      <c r="I42" s="361"/>
      <c r="J42" s="361"/>
      <c r="K42" s="361"/>
      <c r="L42" s="413"/>
      <c r="M42" s="419"/>
    </row>
    <row r="43" spans="1:13">
      <c r="A43" s="336" t="s">
        <v>168</v>
      </c>
      <c r="B43" s="793" t="s">
        <v>169</v>
      </c>
      <c r="C43" s="378">
        <f>SupplierBaseInput!$D$27</f>
        <v>403</v>
      </c>
      <c r="D43" s="378">
        <f>SupplierBaseInput!$D$27</f>
        <v>403</v>
      </c>
      <c r="E43" s="378">
        <f>SupplierBaseInput!$D$27</f>
        <v>403</v>
      </c>
      <c r="F43" s="378">
        <f>SupplierBaseInput!$D$27</f>
        <v>403</v>
      </c>
      <c r="G43" s="378">
        <f>SupplierBaseInput!$D$27</f>
        <v>403</v>
      </c>
      <c r="H43" s="378">
        <f>SupplierBaseInput!$D$27</f>
        <v>403</v>
      </c>
      <c r="I43" s="378">
        <f>SupplierBaseInput!$D$27</f>
        <v>403</v>
      </c>
      <c r="J43" s="378">
        <f>SupplierBaseInput!$D$27</f>
        <v>403</v>
      </c>
      <c r="K43" s="378">
        <f>SupplierBaseInput!$D$27</f>
        <v>403</v>
      </c>
      <c r="L43" s="413"/>
      <c r="M43" s="419"/>
    </row>
    <row r="44" spans="1:13">
      <c r="A44" s="336"/>
      <c r="B44" s="793" t="s">
        <v>170</v>
      </c>
      <c r="C44" s="378">
        <f>SupplierBaseInput!$D$26</f>
        <v>436.8</v>
      </c>
      <c r="D44" s="378">
        <f>SupplierBaseInput!$D$26</f>
        <v>436.8</v>
      </c>
      <c r="E44" s="378">
        <f>SupplierBaseInput!$D$26</f>
        <v>436.8</v>
      </c>
      <c r="F44" s="378">
        <f>SupplierBaseInput!$D$26</f>
        <v>436.8</v>
      </c>
      <c r="G44" s="378">
        <f>SupplierBaseInput!$D$26</f>
        <v>436.8</v>
      </c>
      <c r="H44" s="378">
        <f>SupplierBaseInput!$D$26</f>
        <v>436.8</v>
      </c>
      <c r="I44" s="378">
        <f>SupplierBaseInput!$D$26</f>
        <v>436.8</v>
      </c>
      <c r="J44" s="378">
        <f>SupplierBaseInput!$D$26</f>
        <v>436.8</v>
      </c>
      <c r="K44" s="378">
        <f>SupplierBaseInput!$D$26</f>
        <v>436.8</v>
      </c>
      <c r="L44" s="413"/>
      <c r="M44" s="419"/>
    </row>
    <row r="45" spans="1:13">
      <c r="A45" s="336"/>
      <c r="B45" s="793" t="s">
        <v>171</v>
      </c>
      <c r="C45" s="378">
        <f>SupplierBaseInput!$D$24</f>
        <v>403</v>
      </c>
      <c r="D45" s="378">
        <f>SupplierBaseInput!$D$24</f>
        <v>403</v>
      </c>
      <c r="E45" s="378">
        <f>SupplierBaseInput!$D$24</f>
        <v>403</v>
      </c>
      <c r="F45" s="378">
        <f>SupplierBaseInput!$D$24</f>
        <v>403</v>
      </c>
      <c r="G45" s="378">
        <f>SupplierBaseInput!$D$24</f>
        <v>403</v>
      </c>
      <c r="H45" s="378">
        <f>SupplierBaseInput!$D$24</f>
        <v>403</v>
      </c>
      <c r="I45" s="378">
        <f>SupplierBaseInput!$D$24</f>
        <v>403</v>
      </c>
      <c r="J45" s="378">
        <f>SupplierBaseInput!$D$24</f>
        <v>403</v>
      </c>
      <c r="K45" s="378">
        <f>SupplierBaseInput!$D$24</f>
        <v>403</v>
      </c>
      <c r="L45" s="413"/>
      <c r="M45" s="419"/>
    </row>
    <row r="46" spans="1:13">
      <c r="A46" s="336"/>
      <c r="B46" s="793" t="s">
        <v>172</v>
      </c>
      <c r="C46" s="378">
        <f>SupplierBaseInput!$D$25</f>
        <v>403</v>
      </c>
      <c r="D46" s="378">
        <f>SupplierBaseInput!$D$25</f>
        <v>403</v>
      </c>
      <c r="E46" s="378">
        <f>SupplierBaseInput!$D$25</f>
        <v>403</v>
      </c>
      <c r="F46" s="378">
        <f>SupplierBaseInput!$D$25</f>
        <v>403</v>
      </c>
      <c r="G46" s="378">
        <f>SupplierBaseInput!$D$25</f>
        <v>403</v>
      </c>
      <c r="H46" s="378">
        <f>SupplierBaseInput!$D$25</f>
        <v>403</v>
      </c>
      <c r="I46" s="378">
        <f>SupplierBaseInput!$D$25</f>
        <v>403</v>
      </c>
      <c r="J46" s="378">
        <f>SupplierBaseInput!$D$25</f>
        <v>403</v>
      </c>
      <c r="K46" s="378">
        <f>SupplierBaseInput!$D$25</f>
        <v>403</v>
      </c>
      <c r="L46" s="413"/>
      <c r="M46" s="419"/>
    </row>
    <row r="47" spans="1:13">
      <c r="A47" s="367" t="s">
        <v>173</v>
      </c>
      <c r="B47" s="379"/>
      <c r="C47" s="380"/>
      <c r="D47" s="380"/>
      <c r="E47" s="380"/>
      <c r="F47" s="380"/>
      <c r="G47" s="380"/>
      <c r="H47" s="380"/>
      <c r="I47" s="380"/>
      <c r="J47" s="380"/>
      <c r="K47" s="380"/>
      <c r="L47" s="413"/>
      <c r="M47" s="419"/>
    </row>
    <row r="48" spans="1:12">
      <c r="A48" s="336"/>
      <c r="B48" s="791" t="s">
        <v>174</v>
      </c>
      <c r="C48" s="371">
        <v>10</v>
      </c>
      <c r="D48" s="371">
        <v>10</v>
      </c>
      <c r="E48" s="371">
        <v>10</v>
      </c>
      <c r="F48" s="371">
        <v>10</v>
      </c>
      <c r="G48" s="371">
        <v>10</v>
      </c>
      <c r="H48" s="371">
        <v>10</v>
      </c>
      <c r="I48" s="371">
        <v>10</v>
      </c>
      <c r="J48" s="371">
        <v>10</v>
      </c>
      <c r="K48" s="371">
        <v>10</v>
      </c>
      <c r="L48" s="413"/>
    </row>
    <row r="49" spans="1:12">
      <c r="A49" s="336"/>
      <c r="B49" s="791" t="s">
        <v>175</v>
      </c>
      <c r="C49" s="343">
        <v>60</v>
      </c>
      <c r="D49" s="343">
        <v>60</v>
      </c>
      <c r="E49" s="343">
        <v>60</v>
      </c>
      <c r="F49" s="343">
        <v>60</v>
      </c>
      <c r="G49" s="343">
        <v>60</v>
      </c>
      <c r="H49" s="343">
        <v>60</v>
      </c>
      <c r="I49" s="343">
        <v>60</v>
      </c>
      <c r="J49" s="343">
        <v>60</v>
      </c>
      <c r="K49" s="343">
        <v>60</v>
      </c>
      <c r="L49" s="413"/>
    </row>
    <row r="50" spans="1:12">
      <c r="A50" s="336"/>
      <c r="B50" s="793" t="s">
        <v>176</v>
      </c>
      <c r="C50" s="381">
        <f>((C8/2)*6)/C49</f>
        <v>1.15</v>
      </c>
      <c r="D50" s="381">
        <f>((D8/2)*6)/D49</f>
        <v>1</v>
      </c>
      <c r="E50" s="381">
        <f>((E8/2)*6)/E49</f>
        <v>1</v>
      </c>
      <c r="F50" s="381">
        <f>((F8/2)*6)/F49</f>
        <v>1</v>
      </c>
      <c r="G50" s="343"/>
      <c r="H50" s="343"/>
      <c r="I50" s="343"/>
      <c r="J50" s="343"/>
      <c r="K50" s="343"/>
      <c r="L50" s="413"/>
    </row>
    <row r="51" spans="1:12">
      <c r="A51" s="344"/>
      <c r="B51" s="796" t="s">
        <v>177</v>
      </c>
      <c r="C51" s="383">
        <f t="shared" ref="C51:K51" si="26">(C48*C9)/C49</f>
        <v>1.11166666666667</v>
      </c>
      <c r="D51" s="383">
        <f t="shared" ref="D51" si="27">(D48*D9)/D49</f>
        <v>1.11166666666667</v>
      </c>
      <c r="E51" s="383">
        <f t="shared" ref="E51:F51" si="28">(E48*E9)/E49</f>
        <v>1.11166666666667</v>
      </c>
      <c r="F51" s="383">
        <f t="shared" si="28"/>
        <v>1.11166666666667</v>
      </c>
      <c r="G51" s="383">
        <f t="shared" si="26"/>
        <v>1</v>
      </c>
      <c r="H51" s="383">
        <f t="shared" si="26"/>
        <v>1</v>
      </c>
      <c r="I51" s="383">
        <f t="shared" si="26"/>
        <v>1</v>
      </c>
      <c r="J51" s="383">
        <f t="shared" si="26"/>
        <v>1</v>
      </c>
      <c r="K51" s="383">
        <f t="shared" si="26"/>
        <v>1</v>
      </c>
      <c r="L51" s="413"/>
    </row>
    <row r="52" spans="1:13">
      <c r="A52" s="336"/>
      <c r="B52" s="341"/>
      <c r="C52" s="343"/>
      <c r="D52" s="343"/>
      <c r="E52" s="343"/>
      <c r="F52" s="343"/>
      <c r="G52" s="343"/>
      <c r="H52" s="343"/>
      <c r="I52" s="343"/>
      <c r="J52" s="343"/>
      <c r="K52" s="343"/>
      <c r="L52" s="420"/>
      <c r="M52" s="421"/>
    </row>
    <row r="53" spans="1:13">
      <c r="A53" s="336" t="s">
        <v>62</v>
      </c>
      <c r="B53" s="341"/>
      <c r="C53" s="384"/>
      <c r="D53" s="384"/>
      <c r="E53" s="384"/>
      <c r="F53" s="384"/>
      <c r="G53" s="384"/>
      <c r="H53" s="384"/>
      <c r="I53" s="384"/>
      <c r="J53" s="384"/>
      <c r="K53" s="384"/>
      <c r="L53" s="420"/>
      <c r="M53" s="421"/>
    </row>
    <row r="54" spans="1:16">
      <c r="A54" s="336"/>
      <c r="B54" s="385" t="s">
        <v>63</v>
      </c>
      <c r="C54" s="386">
        <f>IF(ISERROR(VLOOKUP($B54,SupplierBaseInput!$B$6:$C$38,2,FALSE)),"",VLOOKUP($B54,SupplierBaseInput!$B$6:$C$38,2,FALSE))</f>
        <v>4.95</v>
      </c>
      <c r="D54" s="386">
        <f>IF(ISERROR(VLOOKUP($B54,SupplierBaseInput!$B$6:$C$38,2,FALSE)),"",VLOOKUP($B54,SupplierBaseInput!$B$6:$C$38,2,FALSE))</f>
        <v>4.95</v>
      </c>
      <c r="E54" s="386">
        <f>IF(ISERROR(VLOOKUP($B54,SupplierBaseInput!$B$6:$C$38,2,FALSE)),"",VLOOKUP($B54,SupplierBaseInput!$B$6:$C$38,2,FALSE))</f>
        <v>4.95</v>
      </c>
      <c r="F54" s="386">
        <f>IF(ISERROR(VLOOKUP($B54,SupplierBaseInput!$B$6:$C$38,2,FALSE)),"",VLOOKUP($B54,SupplierBaseInput!$B$6:$C$38,2,FALSE))</f>
        <v>4.95</v>
      </c>
      <c r="G54" s="386">
        <f>IF(ISERROR(VLOOKUP($B54,SupplierBaseInput!$B$6:$C$38,2,FALSE)),"",VLOOKUP($B54,SupplierBaseInput!$B$6:$C$38,2,FALSE))</f>
        <v>4.95</v>
      </c>
      <c r="H54" s="386">
        <f>IF(ISERROR(VLOOKUP($B54,SupplierBaseInput!$B$6:$C$38,2,FALSE)),"",VLOOKUP($B54,SupplierBaseInput!$B$6:$C$38,2,FALSE))</f>
        <v>4.95</v>
      </c>
      <c r="I54" s="386">
        <f>IF(ISERROR(VLOOKUP($B54,SupplierBaseInput!$B$6:$C$38,2,FALSE)),"",VLOOKUP($B54,SupplierBaseInput!$B$6:$C$38,2,FALSE))</f>
        <v>4.95</v>
      </c>
      <c r="J54" s="386">
        <f>IF(ISERROR(VLOOKUP($B54,SupplierBaseInput!$B$6:$C$38,2,FALSE)),"",VLOOKUP($B54,SupplierBaseInput!$B$6:$C$38,2,FALSE))</f>
        <v>4.95</v>
      </c>
      <c r="K54" s="386">
        <f>IF(ISERROR(VLOOKUP($B54,SupplierBaseInput!$B$6:$C$38,2,FALSE)),"",VLOOKUP($B54,SupplierBaseInput!$B$6:$C$38,2,FALSE))</f>
        <v>4.95</v>
      </c>
      <c r="L54" s="421"/>
      <c r="M54" s="421"/>
      <c r="P54" s="421"/>
    </row>
    <row r="55" spans="1:16">
      <c r="A55" s="387"/>
      <c r="B55" s="797" t="s">
        <v>178</v>
      </c>
      <c r="C55" s="389">
        <f>((C36*C42)+(C37*C43)+(C38*C44)+(C39*C45))*C51</f>
        <v>466.788833333333</v>
      </c>
      <c r="D55" s="389">
        <f>((D36*D42)+(D37*D43)+(D38*D44)+(D39*D45))*D51</f>
        <v>466.788833333333</v>
      </c>
      <c r="E55" s="389">
        <f>((E36*E42)+(E37*E43)+(E38*E44)+(E39*E45))*E51</f>
        <v>466.788833333333</v>
      </c>
      <c r="F55" s="389">
        <f>((F36*F42)+(F37*F43)+(F38*F44)+(F39*F45))*F51</f>
        <v>466.788833333333</v>
      </c>
      <c r="G55" s="389">
        <f>(G37*G43)+(G38*G44)+(G39*G45)+(G40*G46)</f>
        <v>839.8</v>
      </c>
      <c r="H55" s="389">
        <f>(H37*H43)+(H38*H44)+(H39*H45)+(H40*H46)</f>
        <v>0</v>
      </c>
      <c r="I55" s="389">
        <f>(I37*I43)+(I38*I44)+(I39*I45)+(I40*I46)</f>
        <v>0</v>
      </c>
      <c r="J55" s="389">
        <f>(J37*J43)+(J38*J44)+(J39*J45)+(J40*J46)</f>
        <v>0</v>
      </c>
      <c r="K55" s="389">
        <f>(K37*K43)+(K38*K44)+(K39*K45)+(K40*K46)</f>
        <v>218.4</v>
      </c>
      <c r="L55" s="422"/>
      <c r="M55" s="422"/>
      <c r="P55" s="422"/>
    </row>
    <row r="56" spans="1:16">
      <c r="A56" s="344"/>
      <c r="B56" s="798" t="s">
        <v>179</v>
      </c>
      <c r="C56" s="391">
        <f>C54*C49*C33*C51*C50</f>
        <v>8353.1745</v>
      </c>
      <c r="D56" s="391">
        <f>D54*D49*D33*D51*D50</f>
        <v>12546.27</v>
      </c>
      <c r="E56" s="391">
        <f>E54*E49*E33*E51*E50</f>
        <v>1980.99</v>
      </c>
      <c r="F56" s="391">
        <f>F54*F49*F33*F51*F50</f>
        <v>1320.66</v>
      </c>
      <c r="G56" s="391">
        <f>G54*G51*G33*G49</f>
        <v>6831</v>
      </c>
      <c r="H56" s="391">
        <f>H54*H51*H33*H49</f>
        <v>1930.5</v>
      </c>
      <c r="I56" s="391">
        <f>I54*I51*I33*I49</f>
        <v>148.5</v>
      </c>
      <c r="J56" s="391">
        <f>J54*J51*J33*J49</f>
        <v>148.5</v>
      </c>
      <c r="K56" s="391">
        <f>K54*K51*K33*K49</f>
        <v>148.5</v>
      </c>
      <c r="L56" s="421"/>
      <c r="M56" s="421"/>
      <c r="N56" s="423"/>
      <c r="O56" s="423"/>
      <c r="P56" s="423"/>
    </row>
    <row r="57" spans="1:17">
      <c r="A57" s="336" t="s">
        <v>180</v>
      </c>
      <c r="B57" s="392"/>
      <c r="C57" s="371"/>
      <c r="D57" s="371"/>
      <c r="E57" s="371"/>
      <c r="F57" s="371"/>
      <c r="G57" s="371"/>
      <c r="H57" s="371"/>
      <c r="I57" s="371"/>
      <c r="J57" s="371"/>
      <c r="K57" s="371"/>
      <c r="L57" s="424" t="s">
        <v>102</v>
      </c>
      <c r="M57" s="421"/>
      <c r="N57" s="421"/>
      <c r="O57" s="423"/>
      <c r="P57" s="423"/>
      <c r="Q57" s="423"/>
    </row>
    <row r="58" ht="15.15" spans="1:17">
      <c r="A58" s="393"/>
      <c r="B58" s="394" t="s">
        <v>181</v>
      </c>
      <c r="C58" s="395">
        <f t="shared" ref="C58:K58" si="29">(C56+C55)/C24</f>
        <v>0.148209031896512</v>
      </c>
      <c r="D58" s="395">
        <f t="shared" ref="D58" si="30">(D56+D55)/D24</f>
        <v>0.349263038548753</v>
      </c>
      <c r="E58" s="395">
        <f t="shared" ref="E58:F58" si="31">(E56+E55)/E24</f>
        <v>0.131393961093209</v>
      </c>
      <c r="F58" s="395">
        <f t="shared" si="31"/>
        <v>0.0159913673071568</v>
      </c>
      <c r="G58" s="395">
        <f t="shared" si="29"/>
        <v>0.362377173091459</v>
      </c>
      <c r="H58" s="395">
        <f t="shared" si="29"/>
        <v>0.0911989795918367</v>
      </c>
      <c r="I58" s="395">
        <f t="shared" si="29"/>
        <v>0.00701530612244898</v>
      </c>
      <c r="J58" s="395">
        <f t="shared" si="29"/>
        <v>0.00701530612244898</v>
      </c>
      <c r="K58" s="395">
        <f t="shared" si="29"/>
        <v>0.0173327664399093</v>
      </c>
      <c r="L58" s="425">
        <f>SUM(C58:K58)</f>
        <v>1.12979693021373</v>
      </c>
      <c r="M58" s="421"/>
      <c r="N58" s="421"/>
      <c r="O58" s="423"/>
      <c r="P58" s="423"/>
      <c r="Q58" s="423"/>
    </row>
    <row r="59" ht="15.15" spans="1:18">
      <c r="A59" s="396"/>
      <c r="B59" s="397"/>
      <c r="C59" s="398"/>
      <c r="D59" s="398"/>
      <c r="E59" s="398"/>
      <c r="F59" s="398"/>
      <c r="G59" s="399"/>
      <c r="H59" s="399"/>
      <c r="I59" s="399"/>
      <c r="J59" s="399"/>
      <c r="K59" s="399"/>
      <c r="L59" s="399"/>
      <c r="N59" s="422"/>
      <c r="O59" s="421"/>
      <c r="P59" s="426"/>
      <c r="Q59" s="426"/>
      <c r="R59" s="426"/>
    </row>
    <row r="60" ht="18" spans="1:19">
      <c r="A60" s="328" t="s">
        <v>182</v>
      </c>
      <c r="B60" s="397"/>
      <c r="C60" s="398"/>
      <c r="D60" s="398"/>
      <c r="E60" s="398"/>
      <c r="F60" s="398"/>
      <c r="G60" s="398"/>
      <c r="H60" s="399"/>
      <c r="I60" s="399"/>
      <c r="J60" s="399"/>
      <c r="K60" s="399"/>
      <c r="L60" s="399"/>
      <c r="M60" s="399"/>
      <c r="O60" s="422"/>
      <c r="P60" s="427"/>
      <c r="Q60" s="422"/>
      <c r="R60" s="438"/>
      <c r="S60" s="426"/>
    </row>
    <row r="61" ht="18" spans="1:19">
      <c r="A61" s="328"/>
      <c r="B61" s="397"/>
      <c r="C61" s="398"/>
      <c r="D61" s="398"/>
      <c r="E61" s="398"/>
      <c r="F61" s="398"/>
      <c r="G61" s="398"/>
      <c r="H61" s="399"/>
      <c r="I61" s="399"/>
      <c r="J61" s="399"/>
      <c r="K61" s="399"/>
      <c r="L61" s="399"/>
      <c r="M61" s="399"/>
      <c r="O61" s="422"/>
      <c r="P61" s="421"/>
      <c r="Q61" s="426"/>
      <c r="R61" s="426"/>
      <c r="S61" s="426"/>
    </row>
    <row r="62" ht="24" spans="1:24">
      <c r="A62" s="400" t="s">
        <v>130</v>
      </c>
      <c r="B62" s="401" t="s">
        <v>58</v>
      </c>
      <c r="C62" s="401" t="s">
        <v>183</v>
      </c>
      <c r="D62" s="401"/>
      <c r="E62" s="401"/>
      <c r="F62" s="401"/>
      <c r="G62" s="401"/>
      <c r="H62" s="402"/>
      <c r="I62" s="402" t="s">
        <v>184</v>
      </c>
      <c r="J62" s="428" t="s">
        <v>9</v>
      </c>
      <c r="K62" s="429"/>
      <c r="L62" s="430" t="s">
        <v>185</v>
      </c>
      <c r="M62" s="430"/>
      <c r="N62" s="430" t="s">
        <v>18</v>
      </c>
      <c r="O62" s="430"/>
      <c r="P62" s="430" t="s">
        <v>21</v>
      </c>
      <c r="Q62" s="430"/>
      <c r="R62" s="430" t="s">
        <v>22</v>
      </c>
      <c r="S62" s="430"/>
      <c r="T62" s="430" t="s">
        <v>25</v>
      </c>
      <c r="U62" s="430"/>
      <c r="V62" s="430" t="s">
        <v>28</v>
      </c>
      <c r="W62" s="430"/>
      <c r="X62" s="439" t="s">
        <v>186</v>
      </c>
    </row>
    <row r="63" ht="12.75" customHeight="1" spans="1:24">
      <c r="A63" s="403"/>
      <c r="B63" s="404"/>
      <c r="C63" s="404"/>
      <c r="D63" s="404"/>
      <c r="E63" s="404"/>
      <c r="F63" s="404"/>
      <c r="G63" s="404"/>
      <c r="H63" s="405"/>
      <c r="I63" s="405"/>
      <c r="J63" s="431" t="s">
        <v>177</v>
      </c>
      <c r="K63" s="432" t="s">
        <v>181</v>
      </c>
      <c r="L63" s="431" t="s">
        <v>177</v>
      </c>
      <c r="M63" s="432" t="s">
        <v>181</v>
      </c>
      <c r="N63" s="431" t="s">
        <v>177</v>
      </c>
      <c r="O63" s="432" t="s">
        <v>181</v>
      </c>
      <c r="P63" s="431" t="s">
        <v>177</v>
      </c>
      <c r="Q63" s="432" t="s">
        <v>181</v>
      </c>
      <c r="R63" s="431" t="s">
        <v>177</v>
      </c>
      <c r="S63" s="432" t="s">
        <v>181</v>
      </c>
      <c r="T63" s="431" t="s">
        <v>177</v>
      </c>
      <c r="U63" s="432" t="s">
        <v>181</v>
      </c>
      <c r="V63" s="431" t="s">
        <v>177</v>
      </c>
      <c r="W63" s="432" t="s">
        <v>181</v>
      </c>
      <c r="X63" s="440"/>
    </row>
    <row r="64" spans="1:24">
      <c r="A64" s="336" t="s">
        <v>187</v>
      </c>
      <c r="B64" s="406" t="s">
        <v>67</v>
      </c>
      <c r="C64" s="407">
        <f>J64+L64+N64+P64+R64+T64+V64</f>
        <v>0.095</v>
      </c>
      <c r="D64" s="407"/>
      <c r="E64" s="407"/>
      <c r="F64" s="407"/>
      <c r="G64" s="407"/>
      <c r="H64" s="408"/>
      <c r="I64" s="433">
        <f>IF(ISERROR(VLOOKUP($B64,SupplierBaseInput!$B$6:$C$38,2,FALSE)),"",VLOOKUP($B64,SupplierBaseInput!$B$6:$C$38,2,FALSE))</f>
        <v>60320</v>
      </c>
      <c r="J64" s="434">
        <v>0.08</v>
      </c>
      <c r="K64" s="435">
        <f>$I64*J64/$C$18</f>
        <v>0.0115444976076555</v>
      </c>
      <c r="L64" s="436">
        <v>0</v>
      </c>
      <c r="M64" s="435">
        <f>$I64*L64/$C$18</f>
        <v>0</v>
      </c>
      <c r="N64" s="437">
        <v>0.005</v>
      </c>
      <c r="O64" s="435">
        <f>$I64*N64/$G$18</f>
        <v>0.000721531100478469</v>
      </c>
      <c r="P64" s="436"/>
      <c r="Q64" s="441">
        <f>$I64*P64/$G$18</f>
        <v>0</v>
      </c>
      <c r="R64" s="436"/>
      <c r="S64" s="435">
        <f>$I64*R64/$C$18</f>
        <v>0</v>
      </c>
      <c r="T64" s="442">
        <v>0.01</v>
      </c>
      <c r="U64" s="435">
        <f>$I64*T64/$G$18</f>
        <v>0.00144306220095694</v>
      </c>
      <c r="V64" s="436"/>
      <c r="W64" s="435">
        <f>$I64*V64/$G$18</f>
        <v>0</v>
      </c>
      <c r="X64" s="443" t="s">
        <v>188</v>
      </c>
    </row>
    <row r="65" spans="1:24">
      <c r="A65" s="336"/>
      <c r="B65" s="406" t="s">
        <v>68</v>
      </c>
      <c r="C65" s="407">
        <f>J65+L65+N65+P65+R65+T65+V65</f>
        <v>0.205</v>
      </c>
      <c r="D65" s="407"/>
      <c r="E65" s="407"/>
      <c r="F65" s="407"/>
      <c r="G65" s="407"/>
      <c r="H65" s="408"/>
      <c r="I65" s="539">
        <f>IF(ISERROR(VLOOKUP($B65,SupplierBaseInput!$B$6:$C$38,2,FALSE)),"",VLOOKUP($B65,SupplierBaseInput!$B$6:$C$38,2,FALSE))</f>
        <v>60320</v>
      </c>
      <c r="J65" s="434">
        <v>0.08</v>
      </c>
      <c r="K65" s="435">
        <f>$I65*J65/$C$18</f>
        <v>0.0115444976076555</v>
      </c>
      <c r="L65" s="436">
        <v>0</v>
      </c>
      <c r="M65" s="540">
        <f>$H65*L65/$C$18</f>
        <v>0</v>
      </c>
      <c r="N65" s="437">
        <v>0.125</v>
      </c>
      <c r="O65" s="435">
        <f>$I65*N65/$G$18</f>
        <v>0.0180382775119617</v>
      </c>
      <c r="P65" s="436"/>
      <c r="Q65" s="441">
        <f>$I65*P65/$G$18</f>
        <v>0</v>
      </c>
      <c r="R65" s="436"/>
      <c r="S65" s="435">
        <f>$I65*R65/$C$18</f>
        <v>0</v>
      </c>
      <c r="T65" s="609"/>
      <c r="U65" s="435">
        <f>$I65*T65/$G$18</f>
        <v>0</v>
      </c>
      <c r="V65" s="436"/>
      <c r="W65" s="435">
        <f>$I65*V65/$G$18</f>
        <v>0</v>
      </c>
      <c r="X65" s="443" t="s">
        <v>188</v>
      </c>
    </row>
    <row r="66" spans="1:24">
      <c r="A66" s="336"/>
      <c r="B66" s="406" t="s">
        <v>69</v>
      </c>
      <c r="C66" s="407">
        <f>J66+L66+N66+P66+R66+T66+V66</f>
        <v>0.35</v>
      </c>
      <c r="D66" s="407"/>
      <c r="E66" s="407"/>
      <c r="F66" s="407"/>
      <c r="G66" s="407"/>
      <c r="H66" s="408"/>
      <c r="I66" s="539">
        <f>IF(ISERROR(VLOOKUP($B66,SupplierBaseInput!$B$6:$C$38,2,FALSE)),"",VLOOKUP($B66,SupplierBaseInput!$B$6:$C$38,2,FALSE))</f>
        <v>24440</v>
      </c>
      <c r="J66" s="434">
        <v>0.25</v>
      </c>
      <c r="K66" s="435">
        <f>$I66*J66/$C$18</f>
        <v>0.0146172248803828</v>
      </c>
      <c r="L66" s="436">
        <v>0</v>
      </c>
      <c r="M66" s="540">
        <f>$H66*L66/$C$18</f>
        <v>0</v>
      </c>
      <c r="N66" s="442">
        <v>0.1</v>
      </c>
      <c r="O66" s="435">
        <f>$I66*N66/$G$18</f>
        <v>0.00584688995215311</v>
      </c>
      <c r="P66" s="436"/>
      <c r="Q66" s="441">
        <f>$I66*P66/$G$18</f>
        <v>0</v>
      </c>
      <c r="R66" s="436"/>
      <c r="S66" s="435">
        <f>$I66*R66/$C$18</f>
        <v>0</v>
      </c>
      <c r="T66" s="609"/>
      <c r="U66" s="435">
        <f>$I66*T66/$G$18</f>
        <v>0</v>
      </c>
      <c r="V66" s="436"/>
      <c r="W66" s="435">
        <f>$I66*V66/$G$18</f>
        <v>0</v>
      </c>
      <c r="X66" s="443" t="s">
        <v>188</v>
      </c>
    </row>
    <row r="67" spans="1:24">
      <c r="A67" s="336"/>
      <c r="B67" s="406" t="s">
        <v>70</v>
      </c>
      <c r="C67" s="407">
        <f>J67+L67+N67+P67+R67+T67+V67</f>
        <v>0.13</v>
      </c>
      <c r="D67" s="407"/>
      <c r="E67" s="407"/>
      <c r="F67" s="407"/>
      <c r="G67" s="407"/>
      <c r="H67" s="408"/>
      <c r="I67" s="539">
        <f>IF(ISERROR(VLOOKUP($B67,SupplierBaseInput!$B$6:$C$38,2,FALSE)),"",VLOOKUP($B67,SupplierBaseInput!$B$6:$C$38,2,FALSE))</f>
        <v>31200</v>
      </c>
      <c r="J67" s="434">
        <v>0.08</v>
      </c>
      <c r="K67" s="435">
        <f>$I67*J67/$C$18</f>
        <v>0.00597129186602871</v>
      </c>
      <c r="L67" s="436">
        <v>0</v>
      </c>
      <c r="M67" s="540">
        <f>$H67*L67/$C$18</f>
        <v>0</v>
      </c>
      <c r="N67" s="437">
        <v>0.05</v>
      </c>
      <c r="O67" s="435">
        <f>$I67*N67/$G$18</f>
        <v>0.00373205741626794</v>
      </c>
      <c r="P67" s="436"/>
      <c r="Q67" s="441">
        <f>$I67*P67/$G$18</f>
        <v>0</v>
      </c>
      <c r="R67" s="436"/>
      <c r="S67" s="435">
        <f>$I67*R67/$C$18</f>
        <v>0</v>
      </c>
      <c r="T67" s="609"/>
      <c r="U67" s="435">
        <f>$I67*T67/$G$18</f>
        <v>0</v>
      </c>
      <c r="V67" s="436"/>
      <c r="W67" s="435">
        <f>$I67*V67/$G$18</f>
        <v>0</v>
      </c>
      <c r="X67" s="443" t="s">
        <v>188</v>
      </c>
    </row>
    <row r="68" spans="1:24">
      <c r="A68" s="444"/>
      <c r="B68" s="445"/>
      <c r="C68" s="446"/>
      <c r="D68" s="446"/>
      <c r="E68" s="446"/>
      <c r="F68" s="446"/>
      <c r="G68" s="446"/>
      <c r="H68" s="447"/>
      <c r="I68" s="489"/>
      <c r="J68" s="541"/>
      <c r="K68" s="542">
        <f>$I68*J68/$C$18</f>
        <v>0</v>
      </c>
      <c r="L68" s="543">
        <v>0</v>
      </c>
      <c r="M68" s="544">
        <f>$H68*L68/$C$18</f>
        <v>0</v>
      </c>
      <c r="N68" s="545"/>
      <c r="O68" s="542">
        <f>$I68*N68/$G$18</f>
        <v>0</v>
      </c>
      <c r="P68" s="543"/>
      <c r="Q68" s="610">
        <f>$I68*P68/$G$18</f>
        <v>0</v>
      </c>
      <c r="R68" s="543"/>
      <c r="S68" s="542">
        <f>$I68*R68/$C$18</f>
        <v>0</v>
      </c>
      <c r="T68" s="611"/>
      <c r="U68" s="542">
        <f>$I68*T68/$G$18</f>
        <v>0</v>
      </c>
      <c r="V68" s="543"/>
      <c r="W68" s="542">
        <f>$I68*V68/$G$18</f>
        <v>0</v>
      </c>
      <c r="X68" s="612" t="s">
        <v>188</v>
      </c>
    </row>
    <row r="69" spans="1:25">
      <c r="A69" s="448"/>
      <c r="B69" s="406"/>
      <c r="H69" s="449"/>
      <c r="I69" s="449"/>
      <c r="J69" s="546"/>
      <c r="K69" s="371"/>
      <c r="L69" s="546"/>
      <c r="M69" s="371"/>
      <c r="N69" s="546"/>
      <c r="O69" s="371"/>
      <c r="P69" s="546"/>
      <c r="Q69" s="371"/>
      <c r="R69" s="546"/>
      <c r="S69" s="371"/>
      <c r="T69" s="546"/>
      <c r="U69" s="371"/>
      <c r="V69" s="546"/>
      <c r="W69" s="371"/>
      <c r="X69" s="426"/>
      <c r="Y69" s="423" t="s">
        <v>102</v>
      </c>
    </row>
    <row r="70" ht="15.75" customHeight="1" spans="1:25">
      <c r="A70" s="450" t="s">
        <v>189</v>
      </c>
      <c r="B70" s="450"/>
      <c r="C70" s="451"/>
      <c r="D70" s="451"/>
      <c r="E70" s="451"/>
      <c r="F70" s="451"/>
      <c r="G70" s="451"/>
      <c r="H70" s="451"/>
      <c r="I70" s="451"/>
      <c r="J70" s="547">
        <f>SUM(J64:J68)</f>
        <v>0.49</v>
      </c>
      <c r="K70" s="548">
        <f t="shared" ref="K70:W70" si="32">SUM(K64:K68)</f>
        <v>0.0436775119617225</v>
      </c>
      <c r="L70" s="494">
        <v>0</v>
      </c>
      <c r="M70" s="514">
        <f t="shared" si="32"/>
        <v>0</v>
      </c>
      <c r="N70" s="547">
        <f t="shared" si="32"/>
        <v>0.28</v>
      </c>
      <c r="O70" s="549">
        <f t="shared" si="32"/>
        <v>0.0283387559808612</v>
      </c>
      <c r="P70" s="494">
        <f t="shared" si="32"/>
        <v>0</v>
      </c>
      <c r="Q70" s="514">
        <f t="shared" si="32"/>
        <v>0</v>
      </c>
      <c r="R70" s="494">
        <f t="shared" si="32"/>
        <v>0</v>
      </c>
      <c r="S70" s="514">
        <f t="shared" si="32"/>
        <v>0</v>
      </c>
      <c r="T70" s="494">
        <f t="shared" si="32"/>
        <v>0.01</v>
      </c>
      <c r="U70" s="589">
        <f t="shared" si="32"/>
        <v>0.00144306220095694</v>
      </c>
      <c r="V70" s="494">
        <f t="shared" si="32"/>
        <v>0</v>
      </c>
      <c r="W70" s="514">
        <f t="shared" si="32"/>
        <v>0</v>
      </c>
      <c r="X70" s="562"/>
      <c r="Y70" s="427">
        <f>(U70+S70+Q70+O70+M70+K70+W70)</f>
        <v>0.0734593301435407</v>
      </c>
    </row>
    <row r="71" ht="15.15" spans="1:23">
      <c r="A71" s="452"/>
      <c r="B71" s="406"/>
      <c r="C71" s="449"/>
      <c r="D71" s="449"/>
      <c r="E71" s="449"/>
      <c r="F71" s="449"/>
      <c r="G71" s="449"/>
      <c r="H71" s="453"/>
      <c r="I71" s="453"/>
      <c r="J71" s="371"/>
      <c r="K71" s="453"/>
      <c r="L71" s="371"/>
      <c r="M71" s="453"/>
      <c r="N71" s="371"/>
      <c r="O71" s="453"/>
      <c r="P71" s="371"/>
      <c r="Q71" s="453"/>
      <c r="R71" s="371"/>
      <c r="S71" s="453"/>
      <c r="T71" s="371"/>
      <c r="U71" s="371"/>
      <c r="V71" s="371"/>
      <c r="W71" s="426"/>
    </row>
    <row r="72" ht="12" customHeight="1" spans="1:23">
      <c r="A72" s="454"/>
      <c r="B72" s="455"/>
      <c r="C72" s="456" t="s">
        <v>190</v>
      </c>
      <c r="D72" s="456"/>
      <c r="E72" s="456"/>
      <c r="F72" s="456"/>
      <c r="G72" s="456"/>
      <c r="H72" s="456"/>
      <c r="I72" s="456"/>
      <c r="J72" s="456"/>
      <c r="K72" s="550" t="s">
        <v>22</v>
      </c>
      <c r="L72" s="550"/>
      <c r="M72" s="371"/>
      <c r="N72" s="371"/>
      <c r="O72" s="453"/>
      <c r="P72" s="371"/>
      <c r="Q72" s="453"/>
      <c r="R72" s="371"/>
      <c r="S72" s="453"/>
      <c r="T72" s="371"/>
      <c r="U72" s="371"/>
      <c r="V72" s="371"/>
      <c r="W72" s="426"/>
    </row>
    <row r="73" ht="12" customHeight="1" spans="1:23">
      <c r="A73" s="457" t="s">
        <v>130</v>
      </c>
      <c r="B73" s="458" t="s">
        <v>58</v>
      </c>
      <c r="C73" s="459" t="s">
        <v>184</v>
      </c>
      <c r="D73" s="459"/>
      <c r="E73" s="459"/>
      <c r="F73" s="459"/>
      <c r="G73" s="459"/>
      <c r="H73" s="459"/>
      <c r="I73" s="459" t="s">
        <v>177</v>
      </c>
      <c r="J73" s="551" t="s">
        <v>181</v>
      </c>
      <c r="K73" s="459" t="s">
        <v>177</v>
      </c>
      <c r="L73" s="551" t="s">
        <v>181</v>
      </c>
      <c r="M73" s="552"/>
      <c r="N73" s="552"/>
      <c r="O73" s="552"/>
      <c r="P73" s="552"/>
      <c r="Q73" s="552"/>
      <c r="R73" s="552"/>
      <c r="S73" s="552"/>
      <c r="T73" s="552"/>
      <c r="U73" s="552"/>
      <c r="V73" s="552"/>
      <c r="W73" s="613"/>
    </row>
    <row r="74" spans="1:23">
      <c r="A74" s="460" t="s">
        <v>191</v>
      </c>
      <c r="B74" s="461" t="s">
        <v>71</v>
      </c>
      <c r="C74" s="462">
        <f>IF(ISERROR(VLOOKUP($B74,SupplierBaseInput!$B$6:$C$38,2,FALSE)),"",VLOOKUP($B74,SupplierBaseInput!$B$6:$C$43,2,FALSE))</f>
        <v>20150</v>
      </c>
      <c r="D74" s="463"/>
      <c r="E74" s="463"/>
      <c r="F74" s="463"/>
      <c r="G74" s="464"/>
      <c r="H74" s="465"/>
      <c r="I74" s="553">
        <v>0.04</v>
      </c>
      <c r="J74" s="435">
        <f t="shared" ref="J74:J82" si="33">$C74*I74/$C$18</f>
        <v>0.00192822966507177</v>
      </c>
      <c r="K74" s="554"/>
      <c r="L74" s="435">
        <f t="shared" ref="L74:L82" si="34">$C74*K74/$C$18</f>
        <v>0</v>
      </c>
      <c r="M74" s="358"/>
      <c r="N74" s="555"/>
      <c r="O74" s="358"/>
      <c r="P74" s="358"/>
      <c r="Q74" s="358"/>
      <c r="R74" s="358"/>
      <c r="S74" s="358"/>
      <c r="T74" s="358"/>
      <c r="U74" s="614" t="s">
        <v>188</v>
      </c>
      <c r="W74" s="615"/>
    </row>
    <row r="75" spans="1:23">
      <c r="A75" s="466"/>
      <c r="B75" s="461" t="s">
        <v>72</v>
      </c>
      <c r="C75" s="462">
        <f>IF(ISERROR(VLOOKUP($B75,SupplierBaseInput!$B$6:$C$38,2,FALSE)),"",VLOOKUP($B75,SupplierBaseInput!$B$6:$C$43,2,FALSE))</f>
        <v>20150</v>
      </c>
      <c r="D75" s="463"/>
      <c r="E75" s="463"/>
      <c r="F75" s="463"/>
      <c r="G75" s="467"/>
      <c r="H75" s="465"/>
      <c r="I75" s="553">
        <v>0.08</v>
      </c>
      <c r="J75" s="435">
        <f t="shared" si="33"/>
        <v>0.00385645933014354</v>
      </c>
      <c r="K75" s="554">
        <v>0.05</v>
      </c>
      <c r="L75" s="435">
        <f t="shared" si="34"/>
        <v>0.00241028708133971</v>
      </c>
      <c r="M75" s="358"/>
      <c r="N75" s="555"/>
      <c r="O75" s="556"/>
      <c r="P75" s="358"/>
      <c r="Q75" s="358"/>
      <c r="R75" s="358"/>
      <c r="S75" s="358"/>
      <c r="T75" s="358"/>
      <c r="U75" s="614" t="s">
        <v>188</v>
      </c>
      <c r="W75" s="615"/>
    </row>
    <row r="76" spans="1:23">
      <c r="A76" s="466"/>
      <c r="B76" s="461" t="s">
        <v>73</v>
      </c>
      <c r="C76" s="462">
        <f>IF(ISERROR(VLOOKUP($B76,SupplierBaseInput!$B$6:$C$38,2,FALSE)),"",VLOOKUP($B76,SupplierBaseInput!$B$6:$C$43,2,FALSE))</f>
        <v>20150</v>
      </c>
      <c r="D76" s="463"/>
      <c r="E76" s="463"/>
      <c r="F76" s="463"/>
      <c r="G76" s="467"/>
      <c r="H76" s="465"/>
      <c r="I76" s="553"/>
      <c r="J76" s="435">
        <f t="shared" si="33"/>
        <v>0</v>
      </c>
      <c r="K76" s="554"/>
      <c r="L76" s="435">
        <f t="shared" si="34"/>
        <v>0</v>
      </c>
      <c r="M76" s="358"/>
      <c r="N76" s="555"/>
      <c r="O76" s="358"/>
      <c r="P76" s="358"/>
      <c r="Q76" s="358"/>
      <c r="R76" s="358"/>
      <c r="S76" s="358"/>
      <c r="T76" s="358"/>
      <c r="U76" s="614" t="s">
        <v>188</v>
      </c>
      <c r="W76" s="615"/>
    </row>
    <row r="77" spans="1:23">
      <c r="A77" s="466"/>
      <c r="B77" s="461" t="s">
        <v>74</v>
      </c>
      <c r="C77" s="462">
        <f>IF(ISERROR(VLOOKUP($B77,SupplierBaseInput!$B$6:$C$38,2,FALSE)),"",VLOOKUP($B77,SupplierBaseInput!$B$6:$C$43,2,FALSE))</f>
        <v>20150</v>
      </c>
      <c r="D77" s="463"/>
      <c r="E77" s="463"/>
      <c r="F77" s="463"/>
      <c r="G77" s="467"/>
      <c r="H77" s="465"/>
      <c r="I77" s="553">
        <v>0.24</v>
      </c>
      <c r="J77" s="435">
        <f t="shared" si="33"/>
        <v>0.0115693779904306</v>
      </c>
      <c r="K77" s="554"/>
      <c r="L77" s="435">
        <f t="shared" si="34"/>
        <v>0</v>
      </c>
      <c r="M77" s="358"/>
      <c r="N77" s="555"/>
      <c r="O77" s="358"/>
      <c r="P77" s="358"/>
      <c r="Q77" s="358"/>
      <c r="R77" s="358"/>
      <c r="S77" s="358"/>
      <c r="T77" s="358"/>
      <c r="U77" s="614" t="s">
        <v>188</v>
      </c>
      <c r="W77" s="615"/>
    </row>
    <row r="78" spans="1:23">
      <c r="A78" s="466"/>
      <c r="B78" s="461" t="s">
        <v>75</v>
      </c>
      <c r="C78" s="462">
        <f>IF(ISERROR(VLOOKUP($B78,SupplierBaseInput!$B$6:$C$38,2,FALSE)),"",VLOOKUP($B78,SupplierBaseInput!$B$6:$C$43,2,FALSE))</f>
        <v>20150</v>
      </c>
      <c r="D78" s="463"/>
      <c r="E78" s="463"/>
      <c r="F78" s="463"/>
      <c r="G78" s="467"/>
      <c r="H78" s="465"/>
      <c r="I78" s="553">
        <v>0.048</v>
      </c>
      <c r="J78" s="435">
        <f t="shared" si="33"/>
        <v>0.00231387559808612</v>
      </c>
      <c r="K78" s="554">
        <v>0.2</v>
      </c>
      <c r="L78" s="435">
        <f t="shared" si="34"/>
        <v>0.00964114832535885</v>
      </c>
      <c r="M78" s="358"/>
      <c r="N78" s="555"/>
      <c r="O78" s="358"/>
      <c r="P78" s="358"/>
      <c r="Q78" s="358"/>
      <c r="R78" s="358"/>
      <c r="S78" s="358"/>
      <c r="T78" s="358"/>
      <c r="U78" s="614" t="s">
        <v>188</v>
      </c>
      <c r="W78" s="615"/>
    </row>
    <row r="79" spans="1:23">
      <c r="A79" s="466"/>
      <c r="B79" s="461" t="s">
        <v>76</v>
      </c>
      <c r="C79" s="462">
        <f>IF(ISERROR(VLOOKUP($B79,SupplierBaseInput!$B$6:$C$38,2,FALSE)),"",VLOOKUP($B79,SupplierBaseInput!$B$6:$C$43,2,FALSE))</f>
        <v>20150</v>
      </c>
      <c r="D79" s="463"/>
      <c r="E79" s="463"/>
      <c r="F79" s="463"/>
      <c r="G79" s="467"/>
      <c r="H79" s="465"/>
      <c r="I79" s="553"/>
      <c r="J79" s="435">
        <f t="shared" si="33"/>
        <v>0</v>
      </c>
      <c r="K79" s="554"/>
      <c r="L79" s="435">
        <f t="shared" si="34"/>
        <v>0</v>
      </c>
      <c r="M79" s="358"/>
      <c r="N79" s="555"/>
      <c r="O79" s="358"/>
      <c r="P79" s="358"/>
      <c r="Q79" s="358"/>
      <c r="R79" s="358"/>
      <c r="S79" s="358"/>
      <c r="T79" s="358"/>
      <c r="U79" s="614" t="s">
        <v>188</v>
      </c>
      <c r="W79" s="615"/>
    </row>
    <row r="80" spans="1:23">
      <c r="A80" s="466"/>
      <c r="B80" s="461" t="s">
        <v>77</v>
      </c>
      <c r="C80" s="462">
        <f>IF(ISERROR(VLOOKUP($B80,SupplierBaseInput!$B$6:$C$38,2,FALSE)),"",VLOOKUP($B80,SupplierBaseInput!$B$6:$C$43,2,FALSE))</f>
        <v>20150</v>
      </c>
      <c r="D80" s="463"/>
      <c r="E80" s="463"/>
      <c r="F80" s="463"/>
      <c r="G80" s="467"/>
      <c r="H80" s="465"/>
      <c r="I80" s="553">
        <v>0.15</v>
      </c>
      <c r="J80" s="435">
        <f t="shared" si="33"/>
        <v>0.00723086124401914</v>
      </c>
      <c r="K80" s="554">
        <v>0.12</v>
      </c>
      <c r="L80" s="435">
        <f t="shared" si="34"/>
        <v>0.00578468899521531</v>
      </c>
      <c r="M80" s="358"/>
      <c r="N80" s="555"/>
      <c r="O80" s="358"/>
      <c r="P80" s="358"/>
      <c r="Q80" s="358"/>
      <c r="R80" s="358"/>
      <c r="S80" s="358"/>
      <c r="T80" s="358"/>
      <c r="U80" s="614" t="s">
        <v>188</v>
      </c>
      <c r="W80" s="615"/>
    </row>
    <row r="81" spans="1:23">
      <c r="A81" s="466"/>
      <c r="B81" s="406" t="s">
        <v>78</v>
      </c>
      <c r="C81" s="462">
        <f>IF(ISERROR(VLOOKUP($B81,SupplierBaseInput!$B$6:$C$38,2,FALSE)),"",VLOOKUP($B81,SupplierBaseInput!$B$6:$C$43,2,FALSE))</f>
        <v>20150</v>
      </c>
      <c r="D81" s="463"/>
      <c r="E81" s="463"/>
      <c r="F81" s="463"/>
      <c r="G81" s="467"/>
      <c r="H81" s="465"/>
      <c r="I81" s="553"/>
      <c r="J81" s="435">
        <f t="shared" si="33"/>
        <v>0</v>
      </c>
      <c r="K81" s="554"/>
      <c r="L81" s="435">
        <f t="shared" si="34"/>
        <v>0</v>
      </c>
      <c r="M81" s="358"/>
      <c r="N81" s="555"/>
      <c r="O81" s="358"/>
      <c r="P81" s="358"/>
      <c r="Q81" s="358"/>
      <c r="R81" s="358"/>
      <c r="S81" s="358"/>
      <c r="T81" s="358"/>
      <c r="U81" s="614" t="s">
        <v>188</v>
      </c>
      <c r="W81" s="615"/>
    </row>
    <row r="82" spans="1:24">
      <c r="A82" s="468"/>
      <c r="B82" s="445" t="s">
        <v>79</v>
      </c>
      <c r="C82" s="469">
        <f>IF(ISERROR(VLOOKUP($B82,SupplierBaseInput!$B$6:$C$38,2,FALSE)),"",VLOOKUP($B82,SupplierBaseInput!$B$6:$C$43,2,FALSE))</f>
        <v>20150</v>
      </c>
      <c r="D82" s="470"/>
      <c r="E82" s="470"/>
      <c r="F82" s="470"/>
      <c r="G82" s="471"/>
      <c r="H82" s="472"/>
      <c r="I82" s="557">
        <v>0.08</v>
      </c>
      <c r="J82" s="542">
        <f t="shared" si="33"/>
        <v>0.00385645933014354</v>
      </c>
      <c r="K82" s="558"/>
      <c r="L82" s="542">
        <f t="shared" si="34"/>
        <v>0</v>
      </c>
      <c r="M82" s="362"/>
      <c r="N82" s="559"/>
      <c r="O82" s="362"/>
      <c r="P82" s="362"/>
      <c r="Q82" s="362"/>
      <c r="R82" s="362"/>
      <c r="S82" s="362"/>
      <c r="T82" s="362"/>
      <c r="U82" s="616" t="s">
        <v>188</v>
      </c>
      <c r="V82" s="617"/>
      <c r="W82" s="618"/>
      <c r="X82" s="619" t="s">
        <v>102</v>
      </c>
    </row>
    <row r="83" ht="15.75" customHeight="1" spans="1:24">
      <c r="A83" s="450" t="s">
        <v>192</v>
      </c>
      <c r="B83" s="450"/>
      <c r="C83" s="451"/>
      <c r="D83" s="451"/>
      <c r="E83" s="451"/>
      <c r="F83" s="451"/>
      <c r="G83" s="451"/>
      <c r="H83" s="473"/>
      <c r="I83" s="560">
        <f>SUM(I74:I82)</f>
        <v>0.638</v>
      </c>
      <c r="J83" s="561">
        <f>SUM(J74:J82)</f>
        <v>0.0307552631578947</v>
      </c>
      <c r="K83" s="560">
        <f>SUM(K74:K82)</f>
        <v>0.37</v>
      </c>
      <c r="L83" s="514">
        <f>SUM(L74:L82)</f>
        <v>0.0178361244019139</v>
      </c>
      <c r="M83" s="562"/>
      <c r="N83" s="563"/>
      <c r="O83" s="562"/>
      <c r="P83" s="562"/>
      <c r="Q83" s="562"/>
      <c r="R83" s="562"/>
      <c r="S83" s="562"/>
      <c r="T83" s="562"/>
      <c r="U83" s="562"/>
      <c r="V83" s="562"/>
      <c r="W83" s="562"/>
      <c r="X83" s="620">
        <f>(J83+L83)</f>
        <v>0.0485913875598086</v>
      </c>
    </row>
    <row r="84" ht="15.15" spans="1:14">
      <c r="A84" s="474"/>
      <c r="B84" s="475"/>
      <c r="C84" s="476"/>
      <c r="D84" s="476"/>
      <c r="E84" s="476"/>
      <c r="F84" s="476"/>
      <c r="G84" s="476"/>
      <c r="H84" s="477"/>
      <c r="I84" s="477"/>
      <c r="J84" s="564"/>
      <c r="K84" s="565"/>
      <c r="L84" s="566"/>
      <c r="M84" s="566"/>
      <c r="N84" s="567"/>
    </row>
    <row r="85" ht="18" spans="1:14">
      <c r="A85" s="328" t="s">
        <v>193</v>
      </c>
      <c r="B85" s="475"/>
      <c r="C85" s="476"/>
      <c r="D85" s="476"/>
      <c r="E85" s="476"/>
      <c r="F85" s="476"/>
      <c r="G85" s="476"/>
      <c r="H85" s="477"/>
      <c r="I85" s="477"/>
      <c r="J85" s="564"/>
      <c r="K85" s="565"/>
      <c r="L85" s="566"/>
      <c r="M85" s="566"/>
      <c r="N85" s="567"/>
    </row>
    <row r="86" ht="18" spans="1:21">
      <c r="A86" s="328"/>
      <c r="B86" s="475"/>
      <c r="C86" s="478"/>
      <c r="D86" s="478"/>
      <c r="E86" s="478"/>
      <c r="F86" s="478"/>
      <c r="G86" s="478"/>
      <c r="H86" s="478"/>
      <c r="I86" s="478"/>
      <c r="J86" s="478"/>
      <c r="K86" s="478"/>
      <c r="L86" s="478"/>
      <c r="M86" s="478"/>
      <c r="N86" s="478">
        <v>1</v>
      </c>
      <c r="O86" s="478"/>
      <c r="P86" s="478">
        <v>1</v>
      </c>
      <c r="Q86" s="478"/>
      <c r="R86" s="478">
        <v>1</v>
      </c>
      <c r="S86" s="478"/>
      <c r="T86" s="478">
        <v>1</v>
      </c>
      <c r="U86" s="478"/>
    </row>
    <row r="87" spans="1:14">
      <c r="A87" s="474"/>
      <c r="B87" s="445"/>
      <c r="C87" s="360"/>
      <c r="D87" s="343"/>
      <c r="E87" s="343"/>
      <c r="F87" s="343"/>
      <c r="G87" s="343"/>
      <c r="H87" s="477"/>
      <c r="I87" s="477"/>
      <c r="J87" s="564"/>
      <c r="K87" s="565"/>
      <c r="L87" s="566"/>
      <c r="M87" s="566"/>
      <c r="N87" s="567"/>
    </row>
    <row r="88" ht="15.75" customHeight="1" spans="1:23">
      <c r="A88" s="479" t="s">
        <v>130</v>
      </c>
      <c r="B88" s="401" t="s">
        <v>58</v>
      </c>
      <c r="C88" s="480" t="s">
        <v>9</v>
      </c>
      <c r="D88" s="480"/>
      <c r="E88" s="480"/>
      <c r="F88" s="480"/>
      <c r="G88" s="480"/>
      <c r="H88" s="430"/>
      <c r="I88" s="428"/>
      <c r="J88" s="428" t="s">
        <v>13</v>
      </c>
      <c r="K88" s="429"/>
      <c r="L88" s="430" t="s">
        <v>18</v>
      </c>
      <c r="M88" s="430"/>
      <c r="N88" s="430" t="s">
        <v>21</v>
      </c>
      <c r="O88" s="430"/>
      <c r="P88" s="430" t="s">
        <v>22</v>
      </c>
      <c r="Q88" s="430"/>
      <c r="R88" s="430" t="s">
        <v>25</v>
      </c>
      <c r="S88" s="430"/>
      <c r="T88" s="430" t="s">
        <v>28</v>
      </c>
      <c r="U88" s="430"/>
      <c r="V88" s="621"/>
      <c r="W88" s="439" t="s">
        <v>186</v>
      </c>
    </row>
    <row r="89" ht="12.75" customHeight="1" spans="1:23">
      <c r="A89" s="400"/>
      <c r="B89" s="401"/>
      <c r="C89" s="481" t="s">
        <v>194</v>
      </c>
      <c r="D89" s="481"/>
      <c r="E89" s="481"/>
      <c r="F89" s="481"/>
      <c r="G89" s="481"/>
      <c r="H89" s="482" t="s">
        <v>181</v>
      </c>
      <c r="I89" s="482"/>
      <c r="J89" s="481" t="s">
        <v>194</v>
      </c>
      <c r="K89" s="482" t="s">
        <v>181</v>
      </c>
      <c r="L89" s="481" t="s">
        <v>194</v>
      </c>
      <c r="M89" s="482" t="s">
        <v>181</v>
      </c>
      <c r="N89" s="481" t="s">
        <v>194</v>
      </c>
      <c r="O89" s="482" t="s">
        <v>181</v>
      </c>
      <c r="P89" s="481" t="s">
        <v>194</v>
      </c>
      <c r="Q89" s="482" t="s">
        <v>181</v>
      </c>
      <c r="R89" s="481" t="s">
        <v>194</v>
      </c>
      <c r="S89" s="482" t="s">
        <v>181</v>
      </c>
      <c r="T89" s="481" t="s">
        <v>194</v>
      </c>
      <c r="U89" s="482" t="s">
        <v>181</v>
      </c>
      <c r="V89" s="622"/>
      <c r="W89" s="623"/>
    </row>
    <row r="90" ht="24" customHeight="1" spans="1:23">
      <c r="A90" s="336" t="s">
        <v>11</v>
      </c>
      <c r="B90" s="483" t="s">
        <v>112</v>
      </c>
      <c r="C90" s="484">
        <f>SUM('Equipment List'!O3:O7)</f>
        <v>9600</v>
      </c>
      <c r="D90" s="484"/>
      <c r="E90" s="484"/>
      <c r="F90" s="484"/>
      <c r="G90" s="484"/>
      <c r="H90" s="485">
        <f>SUM('Equipment List'!P3:P7)*(C20/C24)</f>
        <v>0.0045639161458826</v>
      </c>
      <c r="I90" s="568"/>
      <c r="J90" s="569">
        <v>0</v>
      </c>
      <c r="K90" s="486"/>
      <c r="L90" s="570">
        <f>SUM('Equipment List'!O48:O50)</f>
        <v>6728</v>
      </c>
      <c r="M90" s="485">
        <f>SUM('Equipment List'!P48:P50)</f>
        <v>0.0053652312599681</v>
      </c>
      <c r="N90" s="570">
        <f>SUM('Equipment List'!O35:O36)</f>
        <v>8241.6</v>
      </c>
      <c r="O90" s="485">
        <f>SUM('Equipment List'!P35:P36)</f>
        <v>0.00345677830940989</v>
      </c>
      <c r="P90" s="571">
        <v>0</v>
      </c>
      <c r="Q90" s="571">
        <v>0</v>
      </c>
      <c r="R90" s="571"/>
      <c r="S90" s="624"/>
      <c r="T90" s="570">
        <f>SUM('Equipment List'!O55:O57)</f>
        <v>4458</v>
      </c>
      <c r="U90" s="625">
        <f>SUM('Equipment List'!P55:P57)</f>
        <v>0.00304704944178628</v>
      </c>
      <c r="V90" s="496"/>
      <c r="W90" s="626" t="s">
        <v>195</v>
      </c>
    </row>
    <row r="91" ht="24" spans="1:23">
      <c r="A91" s="336"/>
      <c r="B91" s="483" t="s">
        <v>196</v>
      </c>
      <c r="C91" s="486">
        <f>SUM('Equipment List'!O8:O34)</f>
        <v>1641583.45901639</v>
      </c>
      <c r="D91" s="486"/>
      <c r="E91" s="486"/>
      <c r="F91" s="486"/>
      <c r="G91" s="486"/>
      <c r="H91" s="487">
        <f>SUM('Equipment List'!P8:P34)*(C20/C24)</f>
        <v>0.136254302260144</v>
      </c>
      <c r="I91" s="486"/>
      <c r="J91" s="572">
        <v>0</v>
      </c>
      <c r="K91" s="486">
        <v>0</v>
      </c>
      <c r="L91" s="570">
        <f>SUM('Equipment List'!O51:O54)</f>
        <v>2520</v>
      </c>
      <c r="M91" s="485">
        <f>SUM('Equipment List'!P51:P54)</f>
        <v>0.00468102073365231</v>
      </c>
      <c r="N91" s="573">
        <f>SUM('Equipment List'!O37:O47)</f>
        <v>24314.2</v>
      </c>
      <c r="O91" s="574">
        <f>SUM('Equipment List'!P37:P47)</f>
        <v>0.0165430622009569</v>
      </c>
      <c r="P91" s="572">
        <f ca="1">IF(ISERROR(GETPIVOTDATA("Sum of Extended Cost for all lines",#REF!,"Bucket","Material Management","Type Name","Equipment")),0,GETPIVOTDATA("Sum of Extended Cost for all lines",#REF!,"Bucket","Material Management","Type Name","Equipment"))</f>
        <v>0</v>
      </c>
      <c r="Q91" s="486">
        <f ca="1">IF(ISERROR(GETPIVOTDATA("Sum of Unit Cost",#REF!,"Bucket","Material Management","Type Name","Equipment")),0,GETPIVOTDATA("Sum of Unit Cost",#REF!,"Bucket","Material Management","Type Name","Equipment"))*P86</f>
        <v>0</v>
      </c>
      <c r="R91" s="572">
        <f ca="1">IF(ISERROR(GETPIVOTDATA("Sum of Extended Cost for all lines",#REF!,"Bucket","Quality (SMT)","Type Name","Equipment")),0,GETPIVOTDATA("Sum of Extended Cost for all lines",#REF!,"Bucket","Quality (SMT)","Type Name","Equipment"))</f>
        <v>0</v>
      </c>
      <c r="S91" s="486">
        <f ca="1">IF(ISERROR(GETPIVOTDATA("Sum of Unit Cost",#REF!,"Bucket","Quality (SMT)","Type Name","Equipment")),0,GETPIVOTDATA("Sum of Unit Cost",#REF!,"Bucket","Quality (SMT)","Type Name","Equipment"))*R86</f>
        <v>0</v>
      </c>
      <c r="T91" s="573"/>
      <c r="U91" s="485"/>
      <c r="V91" s="496"/>
      <c r="W91" s="626" t="s">
        <v>197</v>
      </c>
    </row>
    <row r="92" ht="28.5" customHeight="1" spans="1:23">
      <c r="A92" s="488"/>
      <c r="B92" s="488" t="s">
        <v>198</v>
      </c>
      <c r="C92" s="489">
        <f>SUM(Consumables!I2:I7)</f>
        <v>151859.4</v>
      </c>
      <c r="D92" s="489"/>
      <c r="E92" s="489"/>
      <c r="F92" s="489"/>
      <c r="G92" s="489"/>
      <c r="H92" s="490">
        <f>SUM(Consumables!J2:J7)</f>
        <v>0.3633</v>
      </c>
      <c r="I92" s="575"/>
      <c r="J92" s="489"/>
      <c r="K92" s="575">
        <f>(J92/$C$18)*J86</f>
        <v>0</v>
      </c>
      <c r="L92" s="576">
        <f>SUM(Consumables!I14:I18)</f>
        <v>3293.5474</v>
      </c>
      <c r="M92" s="577">
        <f>SUM(Consumables!J14:J18)</f>
        <v>0.0078793</v>
      </c>
      <c r="N92" s="489"/>
      <c r="O92" s="575"/>
      <c r="P92" s="489"/>
      <c r="Q92" s="489">
        <f>(P92/C18)*P86</f>
        <v>0</v>
      </c>
      <c r="R92" s="489"/>
      <c r="S92" s="489">
        <f>(R92/I18)*R86</f>
        <v>0</v>
      </c>
      <c r="T92" s="489"/>
      <c r="U92" s="489">
        <f>(T92/K18)*T86</f>
        <v>0</v>
      </c>
      <c r="V92" s="627"/>
      <c r="W92" s="628" t="s">
        <v>195</v>
      </c>
    </row>
    <row r="93" spans="1:24">
      <c r="A93" s="452"/>
      <c r="B93" s="491"/>
      <c r="C93" s="449"/>
      <c r="D93" s="449"/>
      <c r="E93" s="449"/>
      <c r="F93" s="449"/>
      <c r="G93" s="449"/>
      <c r="H93" s="371"/>
      <c r="I93" s="371"/>
      <c r="J93" s="506"/>
      <c r="K93" s="496"/>
      <c r="X93" s="619" t="s">
        <v>102</v>
      </c>
    </row>
    <row r="94" ht="15.15" spans="1:25">
      <c r="A94" s="492" t="s">
        <v>199</v>
      </c>
      <c r="B94" s="493"/>
      <c r="C94" s="451"/>
      <c r="D94" s="451"/>
      <c r="E94" s="451"/>
      <c r="F94" s="451"/>
      <c r="G94" s="451"/>
      <c r="H94" s="494">
        <f>SUM(H90:H92)</f>
        <v>0.504118218406026</v>
      </c>
      <c r="I94" s="494"/>
      <c r="J94" s="514"/>
      <c r="K94" s="494">
        <f>SUM(K90:K92)</f>
        <v>0</v>
      </c>
      <c r="L94" s="494"/>
      <c r="M94" s="578">
        <f>SUM(M90:M92)</f>
        <v>0.0179255519936204</v>
      </c>
      <c r="N94" s="563"/>
      <c r="O94" s="578">
        <f>SUM(O90:O92)</f>
        <v>0.0199998405103668</v>
      </c>
      <c r="P94" s="514"/>
      <c r="Q94" s="494">
        <f ca="1">SUM(Q90:Q92)</f>
        <v>0</v>
      </c>
      <c r="R94" s="514"/>
      <c r="S94" s="494">
        <f ca="1">SUM(S90:S92)</f>
        <v>0</v>
      </c>
      <c r="T94" s="514"/>
      <c r="U94" s="629">
        <f>SUM(U90:U92)</f>
        <v>0.00304704944178628</v>
      </c>
      <c r="V94" s="514"/>
      <c r="W94" s="514"/>
      <c r="X94" s="630">
        <f ca="1">SUM(C94:W94)</f>
        <v>0.5450906603518</v>
      </c>
      <c r="Y94" s="635"/>
    </row>
    <row r="95" ht="15.15" spans="1:11">
      <c r="A95" s="347"/>
      <c r="B95" s="495"/>
      <c r="C95" s="496"/>
      <c r="D95" s="496"/>
      <c r="E95" s="496"/>
      <c r="F95" s="496"/>
      <c r="G95" s="496"/>
      <c r="H95" s="497"/>
      <c r="I95" s="497"/>
      <c r="J95" s="496"/>
      <c r="K95" s="496"/>
    </row>
    <row r="96" spans="1:11">
      <c r="A96" s="347"/>
      <c r="B96" s="495"/>
      <c r="C96" s="496"/>
      <c r="D96" s="496"/>
      <c r="E96" s="496"/>
      <c r="F96" s="496"/>
      <c r="G96" s="496"/>
      <c r="H96" s="497"/>
      <c r="I96" s="497"/>
      <c r="J96" s="496"/>
      <c r="K96" s="496"/>
    </row>
    <row r="97" ht="18" spans="1:22">
      <c r="A97" s="328"/>
      <c r="B97" s="475" t="s">
        <v>177</v>
      </c>
      <c r="H97" s="498"/>
      <c r="I97" s="478">
        <v>1</v>
      </c>
      <c r="J97" s="478"/>
      <c r="K97" s="478">
        <v>1</v>
      </c>
      <c r="L97" s="478"/>
      <c r="M97" s="478">
        <v>1</v>
      </c>
      <c r="N97" s="478"/>
      <c r="O97" s="478">
        <v>1</v>
      </c>
      <c r="P97" s="478"/>
      <c r="Q97" s="478">
        <v>1</v>
      </c>
      <c r="R97" s="478"/>
      <c r="S97" s="478">
        <v>1</v>
      </c>
      <c r="T97" s="478"/>
      <c r="U97" s="478">
        <v>1</v>
      </c>
      <c r="V97" s="478"/>
    </row>
    <row r="98" ht="15.75" customHeight="1" spans="1:23">
      <c r="A98" s="479" t="s">
        <v>130</v>
      </c>
      <c r="B98" s="401" t="s">
        <v>58</v>
      </c>
      <c r="C98" s="402" t="s">
        <v>184</v>
      </c>
      <c r="D98" s="402"/>
      <c r="E98" s="402"/>
      <c r="F98" s="402"/>
      <c r="G98" s="402"/>
      <c r="H98" s="499" t="s">
        <v>9</v>
      </c>
      <c r="I98" s="579"/>
      <c r="J98" s="580"/>
      <c r="K98" s="480" t="s">
        <v>13</v>
      </c>
      <c r="L98" s="480"/>
      <c r="M98" s="480" t="s">
        <v>18</v>
      </c>
      <c r="N98" s="480"/>
      <c r="O98" s="480" t="s">
        <v>21</v>
      </c>
      <c r="P98" s="480"/>
      <c r="Q98" s="480" t="s">
        <v>22</v>
      </c>
      <c r="R98" s="480"/>
      <c r="S98" s="480" t="s">
        <v>25</v>
      </c>
      <c r="T98" s="480"/>
      <c r="U98" s="480" t="s">
        <v>28</v>
      </c>
      <c r="V98" s="480"/>
      <c r="W98" s="439" t="s">
        <v>186</v>
      </c>
    </row>
    <row r="99" ht="12.75" customHeight="1" spans="1:23">
      <c r="A99" s="400"/>
      <c r="B99" s="401"/>
      <c r="C99" s="402"/>
      <c r="D99" s="402"/>
      <c r="E99" s="402"/>
      <c r="F99" s="402"/>
      <c r="G99" s="402"/>
      <c r="H99" s="481"/>
      <c r="I99" s="481" t="s">
        <v>177</v>
      </c>
      <c r="J99" s="482" t="s">
        <v>181</v>
      </c>
      <c r="K99" s="481" t="s">
        <v>177</v>
      </c>
      <c r="L99" s="482" t="s">
        <v>181</v>
      </c>
      <c r="M99" s="481" t="s">
        <v>177</v>
      </c>
      <c r="N99" s="482" t="s">
        <v>181</v>
      </c>
      <c r="O99" s="481" t="s">
        <v>177</v>
      </c>
      <c r="P99" s="482" t="s">
        <v>181</v>
      </c>
      <c r="Q99" s="481" t="s">
        <v>177</v>
      </c>
      <c r="R99" s="482" t="s">
        <v>181</v>
      </c>
      <c r="S99" s="481" t="s">
        <v>177</v>
      </c>
      <c r="T99" s="482" t="s">
        <v>181</v>
      </c>
      <c r="U99" s="481" t="s">
        <v>177</v>
      </c>
      <c r="V99" s="482" t="s">
        <v>181</v>
      </c>
      <c r="W99" s="623"/>
    </row>
    <row r="100" ht="24" spans="1:23">
      <c r="A100" s="336" t="s">
        <v>200</v>
      </c>
      <c r="B100" s="500" t="s">
        <v>201</v>
      </c>
      <c r="C100" s="501">
        <f>IF(ISERROR(VLOOKUP($B100,SupplierBaseInput!$B$6:$C$43,2,FALSE)),"",VLOOKUP($B100,SupplierBaseInput!$B$6:$C$43,2,FALSE))</f>
        <v>14.4276</v>
      </c>
      <c r="D100" s="501"/>
      <c r="E100" s="501"/>
      <c r="F100" s="501"/>
      <c r="G100" s="502"/>
      <c r="H100" s="503"/>
      <c r="I100" s="581">
        <f>729*2</f>
        <v>1458</v>
      </c>
      <c r="J100" s="582">
        <f>(I100*$C$100/$C$18)*I97*(C20/C24)</f>
        <v>0.00848341572043101</v>
      </c>
      <c r="K100" s="503"/>
      <c r="L100" s="583">
        <f>(K100*$C$100/$C$18)*K97</f>
        <v>0</v>
      </c>
      <c r="M100" s="584">
        <f>150*11</f>
        <v>1650</v>
      </c>
      <c r="N100" s="583">
        <f>(M100*$C$100/$G$18)*M97*G20/G24</f>
        <v>0.0269904081632653</v>
      </c>
      <c r="O100" s="503"/>
      <c r="P100" s="583">
        <f>(O100*$C$100/$C$18)*O97</f>
        <v>0</v>
      </c>
      <c r="Q100" s="584">
        <f>10*11</f>
        <v>110</v>
      </c>
      <c r="R100" s="631">
        <f>(Q100*SupplierBaseInput!C30/$C$18)*Q97</f>
        <v>0.00379673684210526</v>
      </c>
      <c r="S100" s="503"/>
      <c r="T100" s="583">
        <f>(S100*$C$100/$G$18)*S97</f>
        <v>0</v>
      </c>
      <c r="U100" s="503">
        <f>8*11</f>
        <v>88</v>
      </c>
      <c r="V100" s="583">
        <f>(U100*$C$100/$G$18)*U97</f>
        <v>0.00303738947368421</v>
      </c>
      <c r="W100" s="632" t="s">
        <v>202</v>
      </c>
    </row>
    <row r="101" ht="12.75" customHeight="1" spans="1:23">
      <c r="A101" s="488"/>
      <c r="B101" s="504"/>
      <c r="C101" s="447"/>
      <c r="D101" s="447"/>
      <c r="E101" s="447"/>
      <c r="F101" s="447"/>
      <c r="G101" s="447"/>
      <c r="H101" s="505"/>
      <c r="I101" s="505"/>
      <c r="J101" s="585"/>
      <c r="K101" s="586"/>
      <c r="L101" s="587"/>
      <c r="M101" s="586"/>
      <c r="N101" s="587"/>
      <c r="O101" s="586"/>
      <c r="P101" s="587"/>
      <c r="Q101" s="587"/>
      <c r="R101" s="587"/>
      <c r="S101" s="586"/>
      <c r="T101" s="587"/>
      <c r="U101" s="586"/>
      <c r="V101" s="587"/>
      <c r="W101" s="632"/>
    </row>
    <row r="102" ht="13.5" customHeight="1" spans="1:24">
      <c r="A102" s="452"/>
      <c r="B102" s="406"/>
      <c r="C102" s="506"/>
      <c r="D102" s="506"/>
      <c r="E102" s="506"/>
      <c r="F102" s="506"/>
      <c r="G102" s="506"/>
      <c r="H102" s="371"/>
      <c r="I102" s="371"/>
      <c r="J102" s="496"/>
      <c r="K102" s="588"/>
      <c r="X102" s="619" t="s">
        <v>102</v>
      </c>
    </row>
    <row r="103" ht="15.15" spans="1:24">
      <c r="A103" s="492" t="s">
        <v>203</v>
      </c>
      <c r="B103" s="493"/>
      <c r="C103" s="451"/>
      <c r="D103" s="451"/>
      <c r="E103" s="451"/>
      <c r="F103" s="451"/>
      <c r="G103" s="451"/>
      <c r="H103" s="494"/>
      <c r="I103" s="494"/>
      <c r="J103" s="589">
        <f>SUM(J100:J101)</f>
        <v>0.00848341572043101</v>
      </c>
      <c r="K103" s="590"/>
      <c r="L103" s="514">
        <f>SUM(L100:L101)</f>
        <v>0</v>
      </c>
      <c r="M103" s="562"/>
      <c r="N103" s="589">
        <f>SUM(N100:N101)</f>
        <v>0.0269904081632653</v>
      </c>
      <c r="O103" s="562"/>
      <c r="P103" s="514">
        <f>SUM(P100:P101)</f>
        <v>0</v>
      </c>
      <c r="Q103" s="562"/>
      <c r="R103" s="633">
        <f>SUM(R100:R101)</f>
        <v>0.00379673684210526</v>
      </c>
      <c r="S103" s="562"/>
      <c r="T103" s="514">
        <f>SUM(T100:T101)</f>
        <v>0</v>
      </c>
      <c r="U103" s="562"/>
      <c r="V103" s="633">
        <f>SUM(V100:V101)</f>
        <v>0.00303738947368421</v>
      </c>
      <c r="W103" s="562"/>
      <c r="X103" s="634">
        <f>SUM(H103:W103)</f>
        <v>0.0423079501994858</v>
      </c>
    </row>
    <row r="104" ht="15.15" spans="1:14">
      <c r="A104" s="474"/>
      <c r="B104" s="475"/>
      <c r="C104" s="476"/>
      <c r="D104" s="476"/>
      <c r="E104" s="476"/>
      <c r="F104" s="476"/>
      <c r="G104" s="476"/>
      <c r="H104" s="477"/>
      <c r="I104" s="477"/>
      <c r="J104" s="564"/>
      <c r="K104" s="565"/>
      <c r="L104" s="566"/>
      <c r="M104" s="566"/>
      <c r="N104" s="567"/>
    </row>
    <row r="105" ht="18" spans="1:14">
      <c r="A105" s="328" t="s">
        <v>204</v>
      </c>
      <c r="B105" s="475"/>
      <c r="C105" s="476"/>
      <c r="D105" s="476"/>
      <c r="E105" s="476"/>
      <c r="F105" s="476"/>
      <c r="G105" s="476"/>
      <c r="H105" s="477"/>
      <c r="I105" s="477"/>
      <c r="J105" s="564"/>
      <c r="K105" s="591"/>
      <c r="L105" s="566"/>
      <c r="M105" s="566"/>
      <c r="N105" s="567"/>
    </row>
    <row r="106" ht="24" spans="1:14">
      <c r="A106" s="507" t="s">
        <v>130</v>
      </c>
      <c r="B106" s="508" t="s">
        <v>58</v>
      </c>
      <c r="C106" s="459" t="s">
        <v>184</v>
      </c>
      <c r="D106" s="459"/>
      <c r="E106" s="459"/>
      <c r="F106" s="459"/>
      <c r="G106" s="459"/>
      <c r="H106" s="459"/>
      <c r="I106" s="459" t="s">
        <v>177</v>
      </c>
      <c r="J106" s="551" t="s">
        <v>181</v>
      </c>
      <c r="K106" s="592" t="s">
        <v>186</v>
      </c>
      <c r="M106" s="593"/>
      <c r="N106" s="427"/>
    </row>
    <row r="107" ht="24" spans="1:14">
      <c r="A107" s="509" t="s">
        <v>205</v>
      </c>
      <c r="B107" s="510" t="s">
        <v>206</v>
      </c>
      <c r="C107" s="511">
        <v>2500</v>
      </c>
      <c r="D107" s="512"/>
      <c r="E107" s="512"/>
      <c r="F107" s="512"/>
      <c r="G107" s="512"/>
      <c r="H107" s="513"/>
      <c r="I107" s="513">
        <f>$G$18</f>
        <v>418000</v>
      </c>
      <c r="J107" s="594">
        <f>C107/I107</f>
        <v>0.00598086124401914</v>
      </c>
      <c r="K107" s="595" t="s">
        <v>195</v>
      </c>
      <c r="L107" s="595"/>
      <c r="N107" s="358"/>
    </row>
    <row r="108" spans="1:13">
      <c r="A108" s="452"/>
      <c r="B108" s="406"/>
      <c r="C108" s="496"/>
      <c r="D108" s="496"/>
      <c r="E108" s="496"/>
      <c r="F108" s="496"/>
      <c r="G108" s="496"/>
      <c r="H108" s="371"/>
      <c r="I108" s="371"/>
      <c r="J108" s="496"/>
      <c r="K108" s="588"/>
      <c r="L108" s="596"/>
      <c r="M108" s="596"/>
    </row>
    <row r="109" ht="15.15" spans="1:11">
      <c r="A109" s="492" t="s">
        <v>207</v>
      </c>
      <c r="B109" s="493"/>
      <c r="C109" s="514"/>
      <c r="D109" s="514"/>
      <c r="E109" s="514"/>
      <c r="F109" s="514"/>
      <c r="G109" s="514"/>
      <c r="H109" s="494"/>
      <c r="I109" s="494"/>
      <c r="J109" s="597">
        <f>SUM(J107:J108)</f>
        <v>0.00598086124401914</v>
      </c>
      <c r="K109" s="590"/>
    </row>
    <row r="110" ht="15.15" spans="1:12">
      <c r="A110" s="509" t="s">
        <v>208</v>
      </c>
      <c r="B110" s="445" t="s">
        <v>92</v>
      </c>
      <c r="C110" s="515">
        <f>IF(ISERROR(VLOOKUP($B110,SupplierBaseInput!$B$6:$C$43,2,FALSE)),"",VLOOKUP($B110,SupplierBaseInput!$B$6:$C$43,2,FALSE))</f>
        <v>0.0008</v>
      </c>
      <c r="D110" s="515"/>
      <c r="E110" s="515"/>
      <c r="F110" s="515"/>
      <c r="G110" s="515"/>
      <c r="H110" s="516"/>
      <c r="I110" s="598">
        <f>SupplierBaseInput!C43</f>
        <v>8.683</v>
      </c>
      <c r="J110" s="599">
        <f>I110*C110</f>
        <v>0.0069464</v>
      </c>
      <c r="K110" s="595" t="s">
        <v>209</v>
      </c>
      <c r="L110" s="595"/>
    </row>
    <row r="111" spans="1:11">
      <c r="A111" s="452"/>
      <c r="B111" s="406"/>
      <c r="C111" s="496"/>
      <c r="D111" s="496"/>
      <c r="E111" s="496"/>
      <c r="F111" s="496"/>
      <c r="G111" s="496"/>
      <c r="H111" s="371"/>
      <c r="I111" s="371"/>
      <c r="J111" s="496"/>
      <c r="K111" s="588"/>
    </row>
    <row r="112" ht="15.15" spans="1:11">
      <c r="A112" s="492" t="s">
        <v>210</v>
      </c>
      <c r="B112" s="493"/>
      <c r="C112" s="514"/>
      <c r="D112" s="514"/>
      <c r="E112" s="514"/>
      <c r="F112" s="514"/>
      <c r="G112" s="514"/>
      <c r="H112" s="494"/>
      <c r="I112" s="494"/>
      <c r="J112" s="589">
        <f>SUM(J110)</f>
        <v>0.0069464</v>
      </c>
      <c r="K112" s="590"/>
    </row>
    <row r="113" ht="15.15" spans="1:11">
      <c r="A113" s="347"/>
      <c r="B113" s="406"/>
      <c r="C113" s="496"/>
      <c r="D113" s="496"/>
      <c r="E113" s="496"/>
      <c r="F113" s="496"/>
      <c r="G113" s="496"/>
      <c r="H113" s="497"/>
      <c r="I113" s="497"/>
      <c r="J113" s="496"/>
      <c r="K113" s="600"/>
    </row>
    <row r="114" spans="1:15">
      <c r="A114" s="509" t="s">
        <v>117</v>
      </c>
      <c r="B114" s="445" t="s">
        <v>211</v>
      </c>
      <c r="C114" s="517">
        <f>'Price Summary'!C30</f>
        <v>8.683</v>
      </c>
      <c r="D114" s="517"/>
      <c r="E114" s="517"/>
      <c r="F114" s="517"/>
      <c r="G114" s="518"/>
      <c r="H114" s="519"/>
      <c r="I114" s="519">
        <v>0.17</v>
      </c>
      <c r="J114" s="601">
        <f>C114*I114/$C$18</f>
        <v>3.53136363636364e-6</v>
      </c>
      <c r="K114" s="595" t="s">
        <v>212</v>
      </c>
      <c r="L114" s="595"/>
      <c r="M114" s="595"/>
      <c r="N114" s="426"/>
      <c r="O114" s="426"/>
    </row>
    <row r="115" spans="1:15">
      <c r="A115" s="520"/>
      <c r="B115" s="461"/>
      <c r="C115" s="371"/>
      <c r="D115" s="371"/>
      <c r="E115" s="371"/>
      <c r="F115" s="371"/>
      <c r="G115" s="371"/>
      <c r="H115" s="521"/>
      <c r="I115" s="521"/>
      <c r="J115" s="602"/>
      <c r="K115" s="496"/>
      <c r="L115" s="521"/>
      <c r="M115" s="602"/>
      <c r="N115" s="426"/>
      <c r="O115" s="426"/>
    </row>
    <row r="116" ht="18" spans="1:15">
      <c r="A116" s="328" t="s">
        <v>213</v>
      </c>
      <c r="B116" s="461"/>
      <c r="C116" s="371"/>
      <c r="D116" s="371"/>
      <c r="E116" s="371"/>
      <c r="F116" s="371"/>
      <c r="G116" s="371"/>
      <c r="H116" s="521"/>
      <c r="I116" s="521"/>
      <c r="J116" s="602"/>
      <c r="K116" s="496"/>
      <c r="L116" s="521"/>
      <c r="M116" s="602"/>
      <c r="N116" s="426"/>
      <c r="O116" s="426"/>
    </row>
    <row r="117" spans="1:15">
      <c r="A117" s="520"/>
      <c r="B117" s="461"/>
      <c r="C117" s="371"/>
      <c r="D117" s="371"/>
      <c r="E117" s="371"/>
      <c r="F117" s="371"/>
      <c r="G117" s="371"/>
      <c r="H117" s="521"/>
      <c r="I117" s="521"/>
      <c r="J117" s="602"/>
      <c r="K117" s="496"/>
      <c r="L117" s="521"/>
      <c r="M117" s="602"/>
      <c r="N117" s="426"/>
      <c r="O117" s="426"/>
    </row>
    <row r="118" ht="15.15" spans="1:15">
      <c r="A118" s="522" t="s">
        <v>214</v>
      </c>
      <c r="B118" s="523"/>
      <c r="C118" s="524">
        <f ca="1">J112+J109+X103+X94+X83+Y70+L58</f>
        <v>1.85217351971239</v>
      </c>
      <c r="D118" s="524"/>
      <c r="E118" s="524"/>
      <c r="F118" s="524"/>
      <c r="G118" s="524"/>
      <c r="H118" s="523"/>
      <c r="I118" s="523"/>
      <c r="J118" s="523"/>
      <c r="K118" s="523"/>
      <c r="L118" s="496"/>
      <c r="M118" s="496"/>
      <c r="N118" s="426"/>
      <c r="O118" s="426"/>
    </row>
    <row r="119" spans="1:15">
      <c r="A119" s="525"/>
      <c r="B119" s="461"/>
      <c r="C119" s="497"/>
      <c r="D119" s="497"/>
      <c r="E119" s="497"/>
      <c r="F119" s="497"/>
      <c r="G119" s="497"/>
      <c r="H119" s="496"/>
      <c r="I119" s="496"/>
      <c r="J119" s="496"/>
      <c r="K119" s="600"/>
      <c r="L119" s="496"/>
      <c r="M119" s="496"/>
      <c r="N119" s="426"/>
      <c r="O119" s="426"/>
    </row>
    <row r="120" spans="1:15">
      <c r="A120" s="525"/>
      <c r="B120" s="461" t="s">
        <v>215</v>
      </c>
      <c r="C120" s="526">
        <v>0.02</v>
      </c>
      <c r="D120" s="527"/>
      <c r="E120" s="527"/>
      <c r="F120" s="527"/>
      <c r="G120" s="527"/>
      <c r="H120" s="496"/>
      <c r="I120" s="496"/>
      <c r="J120" s="496"/>
      <c r="K120" s="600"/>
      <c r="L120" s="496"/>
      <c r="M120" s="496"/>
      <c r="N120" s="426"/>
      <c r="O120" s="426"/>
    </row>
    <row r="121" ht="12.75" customHeight="1" spans="1:15">
      <c r="A121" s="528" t="s">
        <v>216</v>
      </c>
      <c r="B121" s="493" t="s">
        <v>217</v>
      </c>
      <c r="C121" s="529">
        <v>0.14</v>
      </c>
      <c r="D121" s="526"/>
      <c r="E121" s="526"/>
      <c r="F121" s="526"/>
      <c r="G121" s="526"/>
      <c r="H121" s="530"/>
      <c r="I121" s="530">
        <f ca="1">C118+'Price Summary'!C37</f>
        <v>10.5351735197124</v>
      </c>
      <c r="J121" s="603">
        <f ca="1">I121*(C121+C120)</f>
        <v>1.68562776315398</v>
      </c>
      <c r="K121" s="604"/>
      <c r="L121" s="604"/>
      <c r="M121" s="604"/>
      <c r="N121" s="426"/>
      <c r="O121" s="426"/>
    </row>
    <row r="122" ht="15.15" spans="1:15">
      <c r="A122" s="520"/>
      <c r="B122" s="461"/>
      <c r="C122" s="477"/>
      <c r="D122" s="477"/>
      <c r="E122" s="477"/>
      <c r="F122" s="477"/>
      <c r="G122" s="477"/>
      <c r="H122" s="521"/>
      <c r="I122" s="521"/>
      <c r="J122" s="605"/>
      <c r="K122" s="496"/>
      <c r="L122" s="521"/>
      <c r="M122" s="602"/>
      <c r="N122" s="426"/>
      <c r="O122" s="426"/>
    </row>
    <row r="123" spans="1:15">
      <c r="A123" s="336"/>
      <c r="B123" s="406"/>
      <c r="C123" s="371"/>
      <c r="D123" s="371"/>
      <c r="E123" s="371"/>
      <c r="F123" s="371"/>
      <c r="G123" s="371"/>
      <c r="H123" s="521"/>
      <c r="I123" s="521"/>
      <c r="J123" s="602"/>
      <c r="K123" s="496"/>
      <c r="L123" s="521"/>
      <c r="M123" s="602"/>
      <c r="N123" s="426"/>
      <c r="O123" s="426"/>
    </row>
    <row r="124" spans="1:15">
      <c r="A124" s="452"/>
      <c r="B124" s="495"/>
      <c r="C124" s="531"/>
      <c r="D124" s="531"/>
      <c r="E124" s="531"/>
      <c r="F124" s="531"/>
      <c r="G124" s="531"/>
      <c r="H124" s="496"/>
      <c r="I124" s="496"/>
      <c r="J124" s="496"/>
      <c r="K124" s="496"/>
      <c r="L124" s="496"/>
      <c r="M124" s="496"/>
      <c r="N124" s="426"/>
      <c r="O124" s="426"/>
    </row>
    <row r="125" ht="15" customHeight="1" spans="1:15">
      <c r="A125" s="532" t="s">
        <v>122</v>
      </c>
      <c r="B125" s="532"/>
      <c r="C125" s="533">
        <f ca="1">J120+C118+J121</f>
        <v>3.53780128286637</v>
      </c>
      <c r="D125" s="534"/>
      <c r="E125" s="534"/>
      <c r="F125" s="534"/>
      <c r="G125" s="535"/>
      <c r="H125" s="496"/>
      <c r="I125" s="496"/>
      <c r="J125" s="602"/>
      <c r="K125" s="606"/>
      <c r="L125" s="607"/>
      <c r="M125" s="496"/>
      <c r="N125" s="426"/>
      <c r="O125" s="426"/>
    </row>
    <row r="126" ht="15.15" spans="1:7">
      <c r="A126" s="536"/>
      <c r="C126" s="537"/>
      <c r="D126" s="537"/>
      <c r="E126" s="537"/>
      <c r="F126" s="537"/>
      <c r="G126" s="537"/>
    </row>
    <row r="127" spans="2:10">
      <c r="B127" s="409"/>
      <c r="C127" s="538"/>
      <c r="D127" s="538"/>
      <c r="E127" s="538"/>
      <c r="F127" s="538"/>
      <c r="G127" s="538"/>
      <c r="J127" s="608"/>
    </row>
    <row r="128" spans="2:7">
      <c r="B128" s="409"/>
      <c r="C128" s="538"/>
      <c r="D128" s="538"/>
      <c r="E128" s="538"/>
      <c r="F128" s="538"/>
      <c r="G128" s="538"/>
    </row>
    <row r="129" spans="2:7">
      <c r="B129" s="409"/>
      <c r="C129" s="538"/>
      <c r="D129" s="538"/>
      <c r="E129" s="538"/>
      <c r="F129" s="538"/>
      <c r="G129" s="538"/>
    </row>
    <row r="130" spans="2:9">
      <c r="B130" s="409"/>
      <c r="C130" s="538"/>
      <c r="D130" s="538"/>
      <c r="E130" s="538"/>
      <c r="F130" s="538"/>
      <c r="G130" s="538"/>
      <c r="H130" s="534"/>
      <c r="I130" s="534"/>
    </row>
    <row r="131" spans="1:9">
      <c r="A131" s="636"/>
      <c r="B131" s="409"/>
      <c r="C131" s="538"/>
      <c r="D131" s="538"/>
      <c r="E131" s="538"/>
      <c r="F131" s="538"/>
      <c r="G131" s="538"/>
      <c r="H131" s="534"/>
      <c r="I131" s="534"/>
    </row>
    <row r="132" spans="2:7">
      <c r="B132" s="409"/>
      <c r="C132" s="538"/>
      <c r="D132" s="538"/>
      <c r="E132" s="538"/>
      <c r="F132" s="538"/>
      <c r="G132" s="538"/>
    </row>
    <row r="133" spans="2:9">
      <c r="B133" s="409"/>
      <c r="C133" s="538"/>
      <c r="D133" s="538"/>
      <c r="E133" s="538"/>
      <c r="F133" s="538"/>
      <c r="G133" s="538"/>
      <c r="H133" s="637"/>
      <c r="I133" s="637"/>
    </row>
    <row r="134" ht="15.6" spans="1:7">
      <c r="A134" s="636"/>
      <c r="B134" s="638"/>
      <c r="C134" s="538"/>
      <c r="D134" s="538"/>
      <c r="E134" s="538"/>
      <c r="F134" s="538"/>
      <c r="G134" s="538"/>
    </row>
    <row r="135" ht="15.6" spans="2:7">
      <c r="B135" s="638"/>
      <c r="C135" s="538"/>
      <c r="D135" s="538"/>
      <c r="E135" s="538"/>
      <c r="F135" s="538"/>
      <c r="G135" s="538"/>
    </row>
    <row r="136" spans="1:7">
      <c r="A136" s="636"/>
      <c r="B136" s="409"/>
      <c r="C136" s="538"/>
      <c r="D136" s="538"/>
      <c r="E136" s="538"/>
      <c r="F136" s="538"/>
      <c r="G136" s="538"/>
    </row>
    <row r="137" spans="1:7">
      <c r="A137" s="636"/>
      <c r="B137" s="409"/>
      <c r="C137" s="538"/>
      <c r="D137" s="538"/>
      <c r="E137" s="538"/>
      <c r="F137" s="538"/>
      <c r="G137" s="538"/>
    </row>
    <row r="138" spans="1:7">
      <c r="A138" s="636"/>
      <c r="B138" s="409"/>
      <c r="C138" s="538"/>
      <c r="D138" s="538"/>
      <c r="E138" s="538"/>
      <c r="F138" s="538"/>
      <c r="G138" s="538"/>
    </row>
    <row r="139" spans="1:7">
      <c r="A139" s="636"/>
      <c r="B139" s="409"/>
      <c r="C139" s="538"/>
      <c r="D139" s="538"/>
      <c r="E139" s="538"/>
      <c r="F139" s="538"/>
      <c r="G139" s="538"/>
    </row>
    <row r="140" spans="1:7">
      <c r="A140" s="636"/>
      <c r="B140" s="409"/>
      <c r="C140" s="538"/>
      <c r="D140" s="538"/>
      <c r="E140" s="538"/>
      <c r="F140" s="538"/>
      <c r="G140" s="538"/>
    </row>
    <row r="141" spans="1:7">
      <c r="A141" s="636"/>
      <c r="B141" s="409"/>
      <c r="C141" s="538"/>
      <c r="D141" s="538"/>
      <c r="E141" s="538"/>
      <c r="F141" s="538"/>
      <c r="G141" s="538"/>
    </row>
    <row r="142" spans="1:7">
      <c r="A142" s="636"/>
      <c r="B142" s="409"/>
      <c r="C142" s="538"/>
      <c r="D142" s="538"/>
      <c r="E142" s="538"/>
      <c r="F142" s="538"/>
      <c r="G142" s="538"/>
    </row>
    <row r="143" spans="1:7">
      <c r="A143" s="636"/>
      <c r="B143" s="409"/>
      <c r="C143" s="538"/>
      <c r="D143" s="538"/>
      <c r="E143" s="538"/>
      <c r="F143" s="538"/>
      <c r="G143" s="538"/>
    </row>
    <row r="144" spans="1:7">
      <c r="A144" s="636"/>
      <c r="B144" s="409"/>
      <c r="C144" s="538"/>
      <c r="D144" s="538"/>
      <c r="E144" s="538"/>
      <c r="F144" s="538"/>
      <c r="G144" s="538"/>
    </row>
    <row r="145" spans="2:7">
      <c r="B145" s="409"/>
      <c r="C145" s="538"/>
      <c r="D145" s="538"/>
      <c r="E145" s="538"/>
      <c r="F145" s="538"/>
      <c r="G145" s="538"/>
    </row>
    <row r="146" spans="2:7">
      <c r="B146" s="409"/>
      <c r="C146" s="538"/>
      <c r="D146" s="538"/>
      <c r="E146" s="538"/>
      <c r="F146" s="538"/>
      <c r="G146" s="538"/>
    </row>
    <row r="147" spans="2:7">
      <c r="B147" s="409"/>
      <c r="C147" s="538"/>
      <c r="D147" s="538"/>
      <c r="E147" s="538"/>
      <c r="F147" s="538"/>
      <c r="G147" s="538"/>
    </row>
    <row r="148" spans="2:7">
      <c r="B148" s="409"/>
      <c r="C148" s="538"/>
      <c r="D148" s="538"/>
      <c r="E148" s="538"/>
      <c r="F148" s="538"/>
      <c r="G148" s="538"/>
    </row>
    <row r="149" spans="2:7">
      <c r="B149" s="409"/>
      <c r="C149" s="538"/>
      <c r="D149" s="538"/>
      <c r="E149" s="538"/>
      <c r="F149" s="538"/>
      <c r="G149" s="538"/>
    </row>
    <row r="150" spans="2:7">
      <c r="B150" s="409"/>
      <c r="C150" s="538"/>
      <c r="D150" s="538"/>
      <c r="E150" s="538"/>
      <c r="F150" s="538"/>
      <c r="G150" s="538"/>
    </row>
    <row r="151" spans="2:7">
      <c r="B151" s="409"/>
      <c r="C151" s="538"/>
      <c r="D151" s="538"/>
      <c r="E151" s="538"/>
      <c r="F151" s="538"/>
      <c r="G151" s="538"/>
    </row>
    <row r="152" spans="2:7">
      <c r="B152" s="409"/>
      <c r="C152" s="538"/>
      <c r="D152" s="538"/>
      <c r="E152" s="538"/>
      <c r="F152" s="538"/>
      <c r="G152" s="538"/>
    </row>
    <row r="153" spans="2:7">
      <c r="B153" s="409"/>
      <c r="C153" s="538"/>
      <c r="D153" s="538"/>
      <c r="E153" s="538"/>
      <c r="F153" s="538"/>
      <c r="G153" s="538"/>
    </row>
    <row r="154" spans="2:7">
      <c r="B154" s="409"/>
      <c r="C154" s="538"/>
      <c r="D154" s="538"/>
      <c r="E154" s="538"/>
      <c r="F154" s="538"/>
      <c r="G154" s="538"/>
    </row>
    <row r="155" spans="2:7">
      <c r="B155" s="409"/>
      <c r="C155" s="538"/>
      <c r="D155" s="538"/>
      <c r="E155" s="538"/>
      <c r="F155" s="538"/>
      <c r="G155" s="538"/>
    </row>
    <row r="156" spans="1:7">
      <c r="A156" s="409"/>
      <c r="B156" s="409"/>
      <c r="C156" s="538"/>
      <c r="D156" s="538"/>
      <c r="E156" s="538"/>
      <c r="F156" s="538"/>
      <c r="G156" s="538"/>
    </row>
    <row r="157" spans="1:7">
      <c r="A157" s="409"/>
      <c r="B157" s="409"/>
      <c r="C157" s="538"/>
      <c r="D157" s="538"/>
      <c r="E157" s="538"/>
      <c r="F157" s="538"/>
      <c r="G157" s="538"/>
    </row>
    <row r="158" spans="1:7">
      <c r="A158" s="409"/>
      <c r="B158" s="409"/>
      <c r="C158" s="538"/>
      <c r="D158" s="538"/>
      <c r="E158" s="538"/>
      <c r="F158" s="538"/>
      <c r="G158" s="538"/>
    </row>
    <row r="159" spans="1:7">
      <c r="A159" s="409"/>
      <c r="B159" s="409"/>
      <c r="C159" s="538"/>
      <c r="D159" s="538"/>
      <c r="E159" s="538"/>
      <c r="F159" s="538"/>
      <c r="G159" s="538"/>
    </row>
    <row r="160" spans="1:7">
      <c r="A160" s="409"/>
      <c r="B160" s="409"/>
      <c r="C160" s="538"/>
      <c r="D160" s="538"/>
      <c r="E160" s="538"/>
      <c r="F160" s="538"/>
      <c r="G160" s="538"/>
    </row>
    <row r="161" spans="1:7">
      <c r="A161" s="409"/>
      <c r="B161" s="409"/>
      <c r="C161" s="538"/>
      <c r="D161" s="538"/>
      <c r="E161" s="538"/>
      <c r="F161" s="538"/>
      <c r="G161" s="538"/>
    </row>
    <row r="162" spans="1:7">
      <c r="A162" s="409"/>
      <c r="B162" s="409"/>
      <c r="C162" s="538"/>
      <c r="D162" s="538"/>
      <c r="E162" s="538"/>
      <c r="F162" s="538"/>
      <c r="G162" s="538"/>
    </row>
    <row r="163" spans="1:7">
      <c r="A163" s="409"/>
      <c r="B163" s="409"/>
      <c r="C163" s="538"/>
      <c r="D163" s="538"/>
      <c r="E163" s="538"/>
      <c r="F163" s="538"/>
      <c r="G163" s="538"/>
    </row>
    <row r="164" spans="1:7">
      <c r="A164" s="409"/>
      <c r="B164" s="409"/>
      <c r="C164" s="538"/>
      <c r="D164" s="538"/>
      <c r="E164" s="538"/>
      <c r="F164" s="538"/>
      <c r="G164" s="538"/>
    </row>
    <row r="165" spans="1:7">
      <c r="A165" s="409"/>
      <c r="B165" s="409"/>
      <c r="C165" s="538"/>
      <c r="D165" s="538"/>
      <c r="E165" s="538"/>
      <c r="F165" s="538"/>
      <c r="G165" s="538"/>
    </row>
    <row r="166" spans="1:7">
      <c r="A166" s="409"/>
      <c r="B166" s="409"/>
      <c r="C166" s="538"/>
      <c r="D166" s="538"/>
      <c r="E166" s="538"/>
      <c r="F166" s="538"/>
      <c r="G166" s="538"/>
    </row>
    <row r="167" spans="1:7">
      <c r="A167" s="409"/>
      <c r="B167" s="409"/>
      <c r="C167" s="538"/>
      <c r="D167" s="538"/>
      <c r="E167" s="538"/>
      <c r="F167" s="538"/>
      <c r="G167" s="538"/>
    </row>
    <row r="168" spans="1:7">
      <c r="A168" s="409"/>
      <c r="B168" s="409"/>
      <c r="C168" s="538"/>
      <c r="D168" s="538"/>
      <c r="E168" s="538"/>
      <c r="F168" s="538"/>
      <c r="G168" s="538"/>
    </row>
    <row r="169" spans="1:7">
      <c r="A169" s="409"/>
      <c r="B169" s="409"/>
      <c r="C169" s="538"/>
      <c r="D169" s="538"/>
      <c r="E169" s="538"/>
      <c r="F169" s="538"/>
      <c r="G169" s="538"/>
    </row>
    <row r="170" spans="1:7">
      <c r="A170" s="409"/>
      <c r="B170" s="409"/>
      <c r="C170" s="538"/>
      <c r="D170" s="538"/>
      <c r="E170" s="538"/>
      <c r="F170" s="538"/>
      <c r="G170" s="538"/>
    </row>
    <row r="171" spans="1:7">
      <c r="A171" s="409"/>
      <c r="B171" s="409"/>
      <c r="C171" s="538"/>
      <c r="D171" s="538"/>
      <c r="E171" s="538"/>
      <c r="F171" s="538"/>
      <c r="G171" s="538"/>
    </row>
    <row r="172" spans="1:7">
      <c r="A172" s="409"/>
      <c r="B172" s="409"/>
      <c r="C172" s="538"/>
      <c r="D172" s="538"/>
      <c r="E172" s="538"/>
      <c r="F172" s="538"/>
      <c r="G172" s="538"/>
    </row>
    <row r="173" spans="1:7">
      <c r="A173" s="409"/>
      <c r="B173" s="409"/>
      <c r="C173" s="538"/>
      <c r="D173" s="538"/>
      <c r="E173" s="538"/>
      <c r="F173" s="538"/>
      <c r="G173" s="538"/>
    </row>
    <row r="174" spans="1:7">
      <c r="A174" s="409"/>
      <c r="B174" s="409"/>
      <c r="C174" s="538"/>
      <c r="D174" s="538"/>
      <c r="E174" s="538"/>
      <c r="F174" s="538"/>
      <c r="G174" s="538"/>
    </row>
    <row r="175" spans="1:7">
      <c r="A175" s="409"/>
      <c r="B175" s="409"/>
      <c r="C175" s="538"/>
      <c r="D175" s="538"/>
      <c r="E175" s="538"/>
      <c r="F175" s="538"/>
      <c r="G175" s="538"/>
    </row>
    <row r="176" spans="1:7">
      <c r="A176" s="409"/>
      <c r="B176" s="409"/>
      <c r="C176" s="538"/>
      <c r="D176" s="538"/>
      <c r="E176" s="538"/>
      <c r="F176" s="538"/>
      <c r="G176" s="538"/>
    </row>
    <row r="177" spans="1:7">
      <c r="A177" s="409"/>
      <c r="B177" s="409"/>
      <c r="C177" s="538"/>
      <c r="D177" s="538"/>
      <c r="E177" s="538"/>
      <c r="F177" s="538"/>
      <c r="G177" s="538"/>
    </row>
    <row r="178" spans="1:7">
      <c r="A178" s="409"/>
      <c r="B178" s="409"/>
      <c r="C178" s="538"/>
      <c r="D178" s="538"/>
      <c r="E178" s="538"/>
      <c r="F178" s="538"/>
      <c r="G178" s="538"/>
    </row>
    <row r="179" spans="1:7">
      <c r="A179" s="409"/>
      <c r="B179" s="409"/>
      <c r="C179" s="538"/>
      <c r="D179" s="538"/>
      <c r="E179" s="538"/>
      <c r="F179" s="538"/>
      <c r="G179" s="538"/>
    </row>
    <row r="180" spans="1:7">
      <c r="A180" s="409"/>
      <c r="B180" s="409"/>
      <c r="C180" s="538"/>
      <c r="D180" s="538"/>
      <c r="E180" s="538"/>
      <c r="F180" s="538"/>
      <c r="G180" s="538"/>
    </row>
    <row r="181" spans="1:7">
      <c r="A181" s="409"/>
      <c r="B181" s="409"/>
      <c r="C181" s="538"/>
      <c r="D181" s="538"/>
      <c r="E181" s="538"/>
      <c r="F181" s="538"/>
      <c r="G181" s="538"/>
    </row>
    <row r="182" spans="1:7">
      <c r="A182" s="409"/>
      <c r="B182" s="409"/>
      <c r="C182" s="538"/>
      <c r="D182" s="538"/>
      <c r="E182" s="538"/>
      <c r="F182" s="538"/>
      <c r="G182" s="538"/>
    </row>
    <row r="183" spans="1:7">
      <c r="A183" s="409"/>
      <c r="B183" s="409"/>
      <c r="C183" s="538"/>
      <c r="D183" s="538"/>
      <c r="E183" s="538"/>
      <c r="F183" s="538"/>
      <c r="G183" s="538"/>
    </row>
    <row r="184" spans="1:7">
      <c r="A184" s="409"/>
      <c r="B184" s="409"/>
      <c r="C184" s="538"/>
      <c r="D184" s="538"/>
      <c r="E184" s="538"/>
      <c r="F184" s="538"/>
      <c r="G184" s="538"/>
    </row>
    <row r="185" spans="1:7">
      <c r="A185" s="409"/>
      <c r="B185" s="409"/>
      <c r="C185" s="538"/>
      <c r="D185" s="538"/>
      <c r="E185" s="538"/>
      <c r="F185" s="538"/>
      <c r="G185" s="538"/>
    </row>
    <row r="186" spans="1:7">
      <c r="A186" s="409"/>
      <c r="B186" s="409"/>
      <c r="C186" s="538"/>
      <c r="D186" s="538"/>
      <c r="E186" s="538"/>
      <c r="F186" s="538"/>
      <c r="G186" s="538"/>
    </row>
    <row r="187" spans="1:7">
      <c r="A187" s="409"/>
      <c r="B187" s="409"/>
      <c r="C187" s="538"/>
      <c r="D187" s="538"/>
      <c r="E187" s="538"/>
      <c r="F187" s="538"/>
      <c r="G187" s="538"/>
    </row>
    <row r="188" spans="1:7">
      <c r="A188" s="409"/>
      <c r="B188" s="409"/>
      <c r="C188" s="538"/>
      <c r="D188" s="538"/>
      <c r="E188" s="538"/>
      <c r="F188" s="538"/>
      <c r="G188" s="538"/>
    </row>
    <row r="189" spans="1:7">
      <c r="A189" s="409"/>
      <c r="B189" s="409"/>
      <c r="C189" s="538"/>
      <c r="D189" s="538"/>
      <c r="E189" s="538"/>
      <c r="F189" s="538"/>
      <c r="G189" s="538"/>
    </row>
    <row r="190" spans="1:7">
      <c r="A190" s="409"/>
      <c r="B190" s="409"/>
      <c r="C190" s="538"/>
      <c r="D190" s="538"/>
      <c r="E190" s="538"/>
      <c r="F190" s="538"/>
      <c r="G190" s="538"/>
    </row>
    <row r="191" spans="1:7">
      <c r="A191" s="409"/>
      <c r="B191" s="409"/>
      <c r="C191" s="538"/>
      <c r="D191" s="538"/>
      <c r="E191" s="538"/>
      <c r="F191" s="538"/>
      <c r="G191" s="538"/>
    </row>
    <row r="192" spans="1:7">
      <c r="A192" s="409"/>
      <c r="B192" s="409"/>
      <c r="C192" s="538"/>
      <c r="D192" s="538"/>
      <c r="E192" s="538"/>
      <c r="F192" s="538"/>
      <c r="G192" s="538"/>
    </row>
    <row r="193" spans="1:7">
      <c r="A193" s="409"/>
      <c r="B193" s="409"/>
      <c r="C193" s="538"/>
      <c r="D193" s="538"/>
      <c r="E193" s="538"/>
      <c r="F193" s="538"/>
      <c r="G193" s="538"/>
    </row>
    <row r="194" spans="1:7">
      <c r="A194" s="409"/>
      <c r="B194" s="409"/>
      <c r="C194" s="538"/>
      <c r="D194" s="538"/>
      <c r="E194" s="538"/>
      <c r="F194" s="538"/>
      <c r="G194" s="538"/>
    </row>
    <row r="195" spans="1:7">
      <c r="A195" s="409"/>
      <c r="B195" s="409"/>
      <c r="C195" s="538"/>
      <c r="D195" s="538"/>
      <c r="E195" s="538"/>
      <c r="F195" s="538"/>
      <c r="G195" s="538"/>
    </row>
    <row r="196" spans="1:7">
      <c r="A196" s="409"/>
      <c r="B196" s="409"/>
      <c r="C196" s="538"/>
      <c r="D196" s="538"/>
      <c r="E196" s="538"/>
      <c r="F196" s="538"/>
      <c r="G196" s="538"/>
    </row>
    <row r="197" spans="1:7">
      <c r="A197" s="409"/>
      <c r="B197" s="409"/>
      <c r="C197" s="538"/>
      <c r="D197" s="538"/>
      <c r="E197" s="538"/>
      <c r="F197" s="538"/>
      <c r="G197" s="538"/>
    </row>
    <row r="198" spans="1:7">
      <c r="A198" s="409"/>
      <c r="B198" s="409"/>
      <c r="C198" s="538"/>
      <c r="D198" s="538"/>
      <c r="E198" s="538"/>
      <c r="F198" s="538"/>
      <c r="G198" s="538"/>
    </row>
    <row r="199" spans="1:7">
      <c r="A199" s="409"/>
      <c r="B199" s="409"/>
      <c r="C199" s="538"/>
      <c r="D199" s="538"/>
      <c r="E199" s="538"/>
      <c r="F199" s="538"/>
      <c r="G199" s="538"/>
    </row>
    <row r="200" spans="1:7">
      <c r="A200" s="409"/>
      <c r="B200" s="409"/>
      <c r="C200" s="538"/>
      <c r="D200" s="538"/>
      <c r="E200" s="538"/>
      <c r="F200" s="538"/>
      <c r="G200" s="538"/>
    </row>
    <row r="201" spans="1:7">
      <c r="A201" s="409"/>
      <c r="B201" s="409"/>
      <c r="C201" s="538"/>
      <c r="D201" s="538"/>
      <c r="E201" s="538"/>
      <c r="F201" s="538"/>
      <c r="G201" s="538"/>
    </row>
    <row r="202" spans="1:7">
      <c r="A202" s="409"/>
      <c r="B202" s="409"/>
      <c r="C202" s="538"/>
      <c r="D202" s="538"/>
      <c r="E202" s="538"/>
      <c r="F202" s="538"/>
      <c r="G202" s="538"/>
    </row>
    <row r="203" spans="1:7">
      <c r="A203" s="409"/>
      <c r="B203" s="409"/>
      <c r="C203" s="538"/>
      <c r="D203" s="538"/>
      <c r="E203" s="538"/>
      <c r="F203" s="538"/>
      <c r="G203" s="538"/>
    </row>
    <row r="204" spans="1:7">
      <c r="A204" s="409"/>
      <c r="B204" s="409"/>
      <c r="C204" s="538"/>
      <c r="D204" s="538"/>
      <c r="E204" s="538"/>
      <c r="F204" s="538"/>
      <c r="G204" s="538"/>
    </row>
    <row r="205" spans="1:7">
      <c r="A205" s="409"/>
      <c r="B205" s="409"/>
      <c r="C205" s="538"/>
      <c r="D205" s="538"/>
      <c r="E205" s="538"/>
      <c r="F205" s="538"/>
      <c r="G205" s="538"/>
    </row>
    <row r="206" spans="1:7">
      <c r="A206" s="409"/>
      <c r="B206" s="409"/>
      <c r="C206" s="538"/>
      <c r="D206" s="538"/>
      <c r="E206" s="538"/>
      <c r="F206" s="538"/>
      <c r="G206" s="538"/>
    </row>
    <row r="207" spans="1:7">
      <c r="A207" s="409"/>
      <c r="B207" s="409"/>
      <c r="C207" s="538"/>
      <c r="D207" s="538"/>
      <c r="E207" s="538"/>
      <c r="F207" s="538"/>
      <c r="G207" s="538"/>
    </row>
    <row r="208" spans="1:7">
      <c r="A208" s="409"/>
      <c r="B208" s="409"/>
      <c r="C208" s="538"/>
      <c r="D208" s="538"/>
      <c r="E208" s="538"/>
      <c r="F208" s="538"/>
      <c r="G208" s="538"/>
    </row>
    <row r="209" spans="1:7">
      <c r="A209" s="409"/>
      <c r="B209" s="409"/>
      <c r="C209" s="538"/>
      <c r="D209" s="538"/>
      <c r="E209" s="538"/>
      <c r="F209" s="538"/>
      <c r="G209" s="538"/>
    </row>
    <row r="210" spans="1:7">
      <c r="A210" s="409"/>
      <c r="B210" s="409"/>
      <c r="C210" s="538"/>
      <c r="D210" s="538"/>
      <c r="E210" s="538"/>
      <c r="F210" s="538"/>
      <c r="G210" s="538"/>
    </row>
    <row r="211" spans="1:7">
      <c r="A211" s="409"/>
      <c r="B211" s="409"/>
      <c r="C211" s="538"/>
      <c r="D211" s="538"/>
      <c r="E211" s="538"/>
      <c r="F211" s="538"/>
      <c r="G211" s="538"/>
    </row>
    <row r="212" spans="1:7">
      <c r="A212" s="409"/>
      <c r="B212" s="409"/>
      <c r="C212" s="538"/>
      <c r="D212" s="538"/>
      <c r="E212" s="538"/>
      <c r="F212" s="538"/>
      <c r="G212" s="538"/>
    </row>
    <row r="213" spans="1:7">
      <c r="A213" s="409"/>
      <c r="B213" s="409"/>
      <c r="C213" s="538"/>
      <c r="D213" s="538"/>
      <c r="E213" s="538"/>
      <c r="F213" s="538"/>
      <c r="G213" s="538"/>
    </row>
    <row r="214" spans="1:7">
      <c r="A214" s="409"/>
      <c r="B214" s="409"/>
      <c r="C214" s="538"/>
      <c r="D214" s="538"/>
      <c r="E214" s="538"/>
      <c r="F214" s="538"/>
      <c r="G214" s="538"/>
    </row>
    <row r="215" spans="1:7">
      <c r="A215" s="409"/>
      <c r="B215" s="409"/>
      <c r="C215" s="538"/>
      <c r="D215" s="538"/>
      <c r="E215" s="538"/>
      <c r="F215" s="538"/>
      <c r="G215" s="538"/>
    </row>
    <row r="216" spans="1:7">
      <c r="A216" s="409"/>
      <c r="B216" s="409"/>
      <c r="C216" s="538"/>
      <c r="D216" s="538"/>
      <c r="E216" s="538"/>
      <c r="F216" s="538"/>
      <c r="G216" s="538"/>
    </row>
    <row r="217" spans="1:7">
      <c r="A217" s="409"/>
      <c r="B217" s="409"/>
      <c r="C217" s="538"/>
      <c r="D217" s="538"/>
      <c r="E217" s="538"/>
      <c r="F217" s="538"/>
      <c r="G217" s="538"/>
    </row>
    <row r="218" spans="1:7">
      <c r="A218" s="409"/>
      <c r="B218" s="409"/>
      <c r="C218" s="538"/>
      <c r="D218" s="538"/>
      <c r="E218" s="538"/>
      <c r="F218" s="538"/>
      <c r="G218" s="538"/>
    </row>
    <row r="219" spans="1:7">
      <c r="A219" s="409"/>
      <c r="B219" s="409"/>
      <c r="C219" s="538"/>
      <c r="D219" s="538"/>
      <c r="E219" s="538"/>
      <c r="F219" s="538"/>
      <c r="G219" s="538"/>
    </row>
    <row r="220" spans="1:7">
      <c r="A220" s="409"/>
      <c r="B220" s="409"/>
      <c r="C220" s="538"/>
      <c r="D220" s="538"/>
      <c r="E220" s="538"/>
      <c r="F220" s="538"/>
      <c r="G220" s="538"/>
    </row>
    <row r="221" spans="1:7">
      <c r="A221" s="409"/>
      <c r="B221" s="409"/>
      <c r="C221" s="538"/>
      <c r="D221" s="538"/>
      <c r="E221" s="538"/>
      <c r="F221" s="538"/>
      <c r="G221" s="538"/>
    </row>
    <row r="222" spans="1:7">
      <c r="A222" s="409"/>
      <c r="B222" s="409"/>
      <c r="C222" s="538"/>
      <c r="D222" s="538"/>
      <c r="E222" s="538"/>
      <c r="F222" s="538"/>
      <c r="G222" s="538"/>
    </row>
    <row r="223" spans="1:7">
      <c r="A223" s="409"/>
      <c r="B223" s="409"/>
      <c r="C223" s="538"/>
      <c r="D223" s="538"/>
      <c r="E223" s="538"/>
      <c r="F223" s="538"/>
      <c r="G223" s="538"/>
    </row>
    <row r="224" spans="1:7">
      <c r="A224" s="409"/>
      <c r="B224" s="409"/>
      <c r="C224" s="538"/>
      <c r="D224" s="538"/>
      <c r="E224" s="538"/>
      <c r="F224" s="538"/>
      <c r="G224" s="538"/>
    </row>
    <row r="225" spans="1:7">
      <c r="A225" s="409"/>
      <c r="B225" s="409"/>
      <c r="C225" s="538"/>
      <c r="D225" s="538"/>
      <c r="E225" s="538"/>
      <c r="F225" s="538"/>
      <c r="G225" s="538"/>
    </row>
    <row r="226" spans="1:7">
      <c r="A226" s="409"/>
      <c r="B226" s="409"/>
      <c r="C226" s="538"/>
      <c r="D226" s="538"/>
      <c r="E226" s="538"/>
      <c r="F226" s="538"/>
      <c r="G226" s="538"/>
    </row>
    <row r="227" spans="1:7">
      <c r="A227" s="409"/>
      <c r="B227" s="409"/>
      <c r="C227" s="538"/>
      <c r="D227" s="538"/>
      <c r="E227" s="538"/>
      <c r="F227" s="538"/>
      <c r="G227" s="538"/>
    </row>
    <row r="228" spans="1:7">
      <c r="A228" s="409"/>
      <c r="B228" s="409"/>
      <c r="C228" s="538"/>
      <c r="D228" s="538"/>
      <c r="E228" s="538"/>
      <c r="F228" s="538"/>
      <c r="G228" s="538"/>
    </row>
    <row r="229" spans="1:7">
      <c r="A229" s="409"/>
      <c r="B229" s="409"/>
      <c r="C229" s="538"/>
      <c r="D229" s="538"/>
      <c r="E229" s="538"/>
      <c r="F229" s="538"/>
      <c r="G229" s="538"/>
    </row>
    <row r="230" spans="1:7">
      <c r="A230" s="409"/>
      <c r="B230" s="409"/>
      <c r="C230" s="538"/>
      <c r="D230" s="538"/>
      <c r="E230" s="538"/>
      <c r="F230" s="538"/>
      <c r="G230" s="538"/>
    </row>
    <row r="231" spans="1:7">
      <c r="A231" s="409"/>
      <c r="B231" s="409"/>
      <c r="C231" s="538"/>
      <c r="D231" s="538"/>
      <c r="E231" s="538"/>
      <c r="F231" s="538"/>
      <c r="G231" s="538"/>
    </row>
    <row r="232" spans="1:7">
      <c r="A232" s="409"/>
      <c r="B232" s="409"/>
      <c r="C232" s="538"/>
      <c r="D232" s="538"/>
      <c r="E232" s="538"/>
      <c r="F232" s="538"/>
      <c r="G232" s="538"/>
    </row>
    <row r="233" spans="1:7">
      <c r="A233" s="409"/>
      <c r="B233" s="409"/>
      <c r="C233" s="538"/>
      <c r="D233" s="538"/>
      <c r="E233" s="538"/>
      <c r="F233" s="538"/>
      <c r="G233" s="538"/>
    </row>
    <row r="234" spans="1:7">
      <c r="A234" s="409"/>
      <c r="B234" s="409"/>
      <c r="C234" s="538"/>
      <c r="D234" s="538"/>
      <c r="E234" s="538"/>
      <c r="F234" s="538"/>
      <c r="G234" s="538"/>
    </row>
    <row r="235" spans="1:7">
      <c r="A235" s="409"/>
      <c r="B235" s="409"/>
      <c r="C235" s="538"/>
      <c r="D235" s="538"/>
      <c r="E235" s="538"/>
      <c r="F235" s="538"/>
      <c r="G235" s="538"/>
    </row>
    <row r="236" spans="1:7">
      <c r="A236" s="409"/>
      <c r="B236" s="409"/>
      <c r="C236" s="538"/>
      <c r="D236" s="538"/>
      <c r="E236" s="538"/>
      <c r="F236" s="538"/>
      <c r="G236" s="538"/>
    </row>
    <row r="237" spans="1:7">
      <c r="A237" s="409"/>
      <c r="B237" s="409"/>
      <c r="C237" s="538"/>
      <c r="D237" s="538"/>
      <c r="E237" s="538"/>
      <c r="F237" s="538"/>
      <c r="G237" s="538"/>
    </row>
    <row r="238" spans="1:7">
      <c r="A238" s="409"/>
      <c r="B238" s="409"/>
      <c r="C238" s="538"/>
      <c r="D238" s="538"/>
      <c r="E238" s="538"/>
      <c r="F238" s="538"/>
      <c r="G238" s="538"/>
    </row>
    <row r="239" spans="1:7">
      <c r="A239" s="409"/>
      <c r="B239" s="409"/>
      <c r="C239" s="538"/>
      <c r="D239" s="538"/>
      <c r="E239" s="538"/>
      <c r="F239" s="538"/>
      <c r="G239" s="538"/>
    </row>
    <row r="240" spans="1:7">
      <c r="A240" s="409"/>
      <c r="B240" s="409"/>
      <c r="C240" s="538"/>
      <c r="D240" s="538"/>
      <c r="E240" s="538"/>
      <c r="F240" s="538"/>
      <c r="G240" s="538"/>
    </row>
    <row r="241" spans="1:7">
      <c r="A241" s="409"/>
      <c r="B241" s="409"/>
      <c r="C241" s="538"/>
      <c r="D241" s="538"/>
      <c r="E241" s="538"/>
      <c r="F241" s="538"/>
      <c r="G241" s="538"/>
    </row>
    <row r="242" spans="1:7">
      <c r="A242" s="409"/>
      <c r="B242" s="409"/>
      <c r="C242" s="538"/>
      <c r="D242" s="538"/>
      <c r="E242" s="538"/>
      <c r="F242" s="538"/>
      <c r="G242" s="538"/>
    </row>
    <row r="243" spans="1:7">
      <c r="A243" s="409"/>
      <c r="B243" s="409"/>
      <c r="C243" s="538"/>
      <c r="D243" s="538"/>
      <c r="E243" s="538"/>
      <c r="F243" s="538"/>
      <c r="G243" s="538"/>
    </row>
    <row r="244" spans="1:7">
      <c r="A244" s="409"/>
      <c r="B244" s="409"/>
      <c r="C244" s="538"/>
      <c r="D244" s="538"/>
      <c r="E244" s="538"/>
      <c r="F244" s="538"/>
      <c r="G244" s="538"/>
    </row>
    <row r="245" spans="1:7">
      <c r="A245" s="409"/>
      <c r="B245" s="409"/>
      <c r="C245" s="538"/>
      <c r="D245" s="538"/>
      <c r="E245" s="538"/>
      <c r="F245" s="538"/>
      <c r="G245" s="538"/>
    </row>
    <row r="246" spans="1:7">
      <c r="A246" s="409"/>
      <c r="B246" s="409"/>
      <c r="C246" s="538"/>
      <c r="D246" s="538"/>
      <c r="E246" s="538"/>
      <c r="F246" s="538"/>
      <c r="G246" s="538"/>
    </row>
    <row r="247" spans="1:7">
      <c r="A247" s="409"/>
      <c r="B247" s="409"/>
      <c r="C247" s="538"/>
      <c r="D247" s="538"/>
      <c r="E247" s="538"/>
      <c r="F247" s="538"/>
      <c r="G247" s="538"/>
    </row>
    <row r="248" spans="1:7">
      <c r="A248" s="409"/>
      <c r="B248" s="409"/>
      <c r="C248" s="538"/>
      <c r="D248" s="538"/>
      <c r="E248" s="538"/>
      <c r="F248" s="538"/>
      <c r="G248" s="538"/>
    </row>
    <row r="249" spans="1:7">
      <c r="A249" s="409"/>
      <c r="B249" s="409"/>
      <c r="C249" s="538"/>
      <c r="D249" s="538"/>
      <c r="E249" s="538"/>
      <c r="F249" s="538"/>
      <c r="G249" s="538"/>
    </row>
    <row r="250" spans="1:7">
      <c r="A250" s="409"/>
      <c r="B250" s="409"/>
      <c r="C250" s="538"/>
      <c r="D250" s="538"/>
      <c r="E250" s="538"/>
      <c r="F250" s="538"/>
      <c r="G250" s="538"/>
    </row>
    <row r="251" spans="1:7">
      <c r="A251" s="409"/>
      <c r="B251" s="409"/>
      <c r="C251" s="538"/>
      <c r="D251" s="538"/>
      <c r="E251" s="538"/>
      <c r="F251" s="538"/>
      <c r="G251" s="538"/>
    </row>
    <row r="252" spans="1:7">
      <c r="A252" s="409"/>
      <c r="B252" s="409"/>
      <c r="C252" s="538"/>
      <c r="D252" s="538"/>
      <c r="E252" s="538"/>
      <c r="F252" s="538"/>
      <c r="G252" s="538"/>
    </row>
    <row r="253" spans="1:7">
      <c r="A253" s="409"/>
      <c r="B253" s="409"/>
      <c r="C253" s="538"/>
      <c r="D253" s="538"/>
      <c r="E253" s="538"/>
      <c r="F253" s="538"/>
      <c r="G253" s="538"/>
    </row>
    <row r="254" spans="1:7">
      <c r="A254" s="409"/>
      <c r="B254" s="409"/>
      <c r="C254" s="538"/>
      <c r="D254" s="538"/>
      <c r="E254" s="538"/>
      <c r="F254" s="538"/>
      <c r="G254" s="538"/>
    </row>
    <row r="255" spans="1:7">
      <c r="A255" s="409"/>
      <c r="B255" s="409"/>
      <c r="C255" s="538"/>
      <c r="D255" s="538"/>
      <c r="E255" s="538"/>
      <c r="F255" s="538"/>
      <c r="G255" s="538"/>
    </row>
    <row r="256" spans="1:7">
      <c r="A256" s="409"/>
      <c r="B256" s="409"/>
      <c r="C256" s="538"/>
      <c r="D256" s="538"/>
      <c r="E256" s="538"/>
      <c r="F256" s="538"/>
      <c r="G256" s="538"/>
    </row>
    <row r="257" spans="1:7">
      <c r="A257" s="409"/>
      <c r="B257" s="409"/>
      <c r="C257" s="538"/>
      <c r="D257" s="538"/>
      <c r="E257" s="538"/>
      <c r="F257" s="538"/>
      <c r="G257" s="538"/>
    </row>
    <row r="258" spans="1:7">
      <c r="A258" s="409"/>
      <c r="B258" s="409"/>
      <c r="C258" s="538"/>
      <c r="D258" s="538"/>
      <c r="E258" s="538"/>
      <c r="F258" s="538"/>
      <c r="G258" s="538"/>
    </row>
    <row r="259" spans="1:7">
      <c r="A259" s="409"/>
      <c r="B259" s="409"/>
      <c r="C259" s="538"/>
      <c r="D259" s="538"/>
      <c r="E259" s="538"/>
      <c r="F259" s="538"/>
      <c r="G259" s="538"/>
    </row>
    <row r="260" spans="1:7">
      <c r="A260" s="409"/>
      <c r="B260" s="409"/>
      <c r="C260" s="538"/>
      <c r="D260" s="538"/>
      <c r="E260" s="538"/>
      <c r="F260" s="538"/>
      <c r="G260" s="538"/>
    </row>
    <row r="261" spans="1:7">
      <c r="A261" s="409"/>
      <c r="B261" s="409"/>
      <c r="C261" s="538"/>
      <c r="D261" s="538"/>
      <c r="E261" s="538"/>
      <c r="F261" s="538"/>
      <c r="G261" s="538"/>
    </row>
    <row r="262" spans="1:7">
      <c r="A262" s="409"/>
      <c r="B262" s="409"/>
      <c r="C262" s="538"/>
      <c r="D262" s="538"/>
      <c r="E262" s="538"/>
      <c r="F262" s="538"/>
      <c r="G262" s="538"/>
    </row>
    <row r="263" spans="1:7">
      <c r="A263" s="409"/>
      <c r="B263" s="409"/>
      <c r="C263" s="538"/>
      <c r="D263" s="538"/>
      <c r="E263" s="538"/>
      <c r="F263" s="538"/>
      <c r="G263" s="538"/>
    </row>
    <row r="264" spans="1:7">
      <c r="A264" s="409"/>
      <c r="B264" s="409"/>
      <c r="C264" s="538"/>
      <c r="D264" s="538"/>
      <c r="E264" s="538"/>
      <c r="F264" s="538"/>
      <c r="G264" s="538"/>
    </row>
    <row r="265" spans="1:7">
      <c r="A265" s="409"/>
      <c r="B265" s="409"/>
      <c r="C265" s="538"/>
      <c r="D265" s="538"/>
      <c r="E265" s="538"/>
      <c r="F265" s="538"/>
      <c r="G265" s="538"/>
    </row>
    <row r="266" spans="1:7">
      <c r="A266" s="409"/>
      <c r="B266" s="409"/>
      <c r="C266" s="538"/>
      <c r="D266" s="538"/>
      <c r="E266" s="538"/>
      <c r="F266" s="538"/>
      <c r="G266" s="538"/>
    </row>
    <row r="267" spans="1:7">
      <c r="A267" s="409"/>
      <c r="B267" s="409"/>
      <c r="C267" s="538"/>
      <c r="D267" s="538"/>
      <c r="E267" s="538"/>
      <c r="F267" s="538"/>
      <c r="G267" s="538"/>
    </row>
    <row r="268" spans="1:7">
      <c r="A268" s="409"/>
      <c r="B268" s="409"/>
      <c r="C268" s="538"/>
      <c r="D268" s="538"/>
      <c r="E268" s="538"/>
      <c r="F268" s="538"/>
      <c r="G268" s="538"/>
    </row>
    <row r="269" spans="1:7">
      <c r="A269" s="409"/>
      <c r="B269" s="409"/>
      <c r="C269" s="538"/>
      <c r="D269" s="538"/>
      <c r="E269" s="538"/>
      <c r="F269" s="538"/>
      <c r="G269" s="538"/>
    </row>
    <row r="270" spans="1:7">
      <c r="A270" s="409"/>
      <c r="B270" s="409"/>
      <c r="C270" s="538"/>
      <c r="D270" s="538"/>
      <c r="E270" s="538"/>
      <c r="F270" s="538"/>
      <c r="G270" s="538"/>
    </row>
    <row r="271" spans="1:7">
      <c r="A271" s="409"/>
      <c r="B271" s="409"/>
      <c r="C271" s="538"/>
      <c r="D271" s="538"/>
      <c r="E271" s="538"/>
      <c r="F271" s="538"/>
      <c r="G271" s="538"/>
    </row>
    <row r="272" spans="1:7">
      <c r="A272" s="409"/>
      <c r="B272" s="409"/>
      <c r="C272" s="538"/>
      <c r="D272" s="538"/>
      <c r="E272" s="538"/>
      <c r="F272" s="538"/>
      <c r="G272" s="538"/>
    </row>
    <row r="273" spans="1:7">
      <c r="A273" s="409"/>
      <c r="B273" s="409"/>
      <c r="C273" s="538"/>
      <c r="D273" s="538"/>
      <c r="E273" s="538"/>
      <c r="F273" s="538"/>
      <c r="G273" s="538"/>
    </row>
    <row r="274" spans="1:7">
      <c r="A274" s="409"/>
      <c r="B274" s="409"/>
      <c r="C274" s="538"/>
      <c r="D274" s="538"/>
      <c r="E274" s="538"/>
      <c r="F274" s="538"/>
      <c r="G274" s="538"/>
    </row>
    <row r="275" spans="1:7">
      <c r="A275" s="409"/>
      <c r="B275" s="409"/>
      <c r="C275" s="538"/>
      <c r="D275" s="538"/>
      <c r="E275" s="538"/>
      <c r="F275" s="538"/>
      <c r="G275" s="538"/>
    </row>
    <row r="276" spans="1:7">
      <c r="A276" s="409"/>
      <c r="B276" s="409"/>
      <c r="C276" s="538"/>
      <c r="D276" s="538"/>
      <c r="E276" s="538"/>
      <c r="F276" s="538"/>
      <c r="G276" s="538"/>
    </row>
    <row r="277" spans="1:7">
      <c r="A277" s="409"/>
      <c r="B277" s="409"/>
      <c r="C277" s="538"/>
      <c r="D277" s="538"/>
      <c r="E277" s="538"/>
      <c r="F277" s="538"/>
      <c r="G277" s="538"/>
    </row>
    <row r="278" spans="1:7">
      <c r="A278" s="409"/>
      <c r="B278" s="409"/>
      <c r="C278" s="538"/>
      <c r="D278" s="538"/>
      <c r="E278" s="538"/>
      <c r="F278" s="538"/>
      <c r="G278" s="538"/>
    </row>
    <row r="279" spans="1:7">
      <c r="A279" s="409"/>
      <c r="B279" s="409"/>
      <c r="C279" s="538"/>
      <c r="D279" s="538"/>
      <c r="E279" s="538"/>
      <c r="F279" s="538"/>
      <c r="G279" s="538"/>
    </row>
    <row r="280" spans="1:7">
      <c r="A280" s="409"/>
      <c r="B280" s="409"/>
      <c r="C280" s="538"/>
      <c r="D280" s="538"/>
      <c r="E280" s="538"/>
      <c r="F280" s="538"/>
      <c r="G280" s="538"/>
    </row>
    <row r="281" spans="1:7">
      <c r="A281" s="409"/>
      <c r="B281" s="409"/>
      <c r="C281" s="538"/>
      <c r="D281" s="538"/>
      <c r="E281" s="538"/>
      <c r="F281" s="538"/>
      <c r="G281" s="538"/>
    </row>
    <row r="282" spans="1:7">
      <c r="A282" s="409"/>
      <c r="B282" s="409"/>
      <c r="C282" s="538"/>
      <c r="D282" s="538"/>
      <c r="E282" s="538"/>
      <c r="F282" s="538"/>
      <c r="G282" s="538"/>
    </row>
    <row r="283" spans="1:7">
      <c r="A283" s="409"/>
      <c r="B283" s="409"/>
      <c r="C283" s="538"/>
      <c r="D283" s="538"/>
      <c r="E283" s="538"/>
      <c r="F283" s="538"/>
      <c r="G283" s="538"/>
    </row>
    <row r="284" spans="1:7">
      <c r="A284" s="409"/>
      <c r="B284" s="409"/>
      <c r="C284" s="538"/>
      <c r="D284" s="538"/>
      <c r="E284" s="538"/>
      <c r="F284" s="538"/>
      <c r="G284" s="538"/>
    </row>
    <row r="285" spans="1:7">
      <c r="A285" s="409"/>
      <c r="B285" s="409"/>
      <c r="C285" s="538"/>
      <c r="D285" s="538"/>
      <c r="E285" s="538"/>
      <c r="F285" s="538"/>
      <c r="G285" s="538"/>
    </row>
    <row r="286" spans="1:7">
      <c r="A286" s="409"/>
      <c r="B286" s="409"/>
      <c r="C286" s="538"/>
      <c r="D286" s="538"/>
      <c r="E286" s="538"/>
      <c r="F286" s="538"/>
      <c r="G286" s="538"/>
    </row>
    <row r="287" spans="1:7">
      <c r="A287" s="409"/>
      <c r="B287" s="409"/>
      <c r="C287" s="538"/>
      <c r="D287" s="538"/>
      <c r="E287" s="538"/>
      <c r="F287" s="538"/>
      <c r="G287" s="538"/>
    </row>
    <row r="288" spans="1:7">
      <c r="A288" s="409"/>
      <c r="B288" s="409"/>
      <c r="C288" s="538"/>
      <c r="D288" s="538"/>
      <c r="E288" s="538"/>
      <c r="F288" s="538"/>
      <c r="G288" s="538"/>
    </row>
    <row r="289" spans="1:7">
      <c r="A289" s="409"/>
      <c r="B289" s="409"/>
      <c r="C289" s="538"/>
      <c r="D289" s="538"/>
      <c r="E289" s="538"/>
      <c r="F289" s="538"/>
      <c r="G289" s="538"/>
    </row>
    <row r="290" spans="1:7">
      <c r="A290" s="409"/>
      <c r="B290" s="409"/>
      <c r="C290" s="538"/>
      <c r="D290" s="538"/>
      <c r="E290" s="538"/>
      <c r="F290" s="538"/>
      <c r="G290" s="538"/>
    </row>
    <row r="291" spans="1:7">
      <c r="A291" s="409"/>
      <c r="B291" s="409"/>
      <c r="C291" s="538"/>
      <c r="D291" s="538"/>
      <c r="E291" s="538"/>
      <c r="F291" s="538"/>
      <c r="G291" s="538"/>
    </row>
    <row r="292" spans="1:7">
      <c r="A292" s="409"/>
      <c r="B292" s="409"/>
      <c r="C292" s="538"/>
      <c r="D292" s="538"/>
      <c r="E292" s="538"/>
      <c r="F292" s="538"/>
      <c r="G292" s="538"/>
    </row>
    <row r="293" spans="1:7">
      <c r="A293" s="409"/>
      <c r="B293" s="409"/>
      <c r="C293" s="538"/>
      <c r="D293" s="538"/>
      <c r="E293" s="538"/>
      <c r="F293" s="538"/>
      <c r="G293" s="538"/>
    </row>
    <row r="294" spans="1:7">
      <c r="A294" s="409"/>
      <c r="B294" s="409"/>
      <c r="C294" s="538"/>
      <c r="D294" s="538"/>
      <c r="E294" s="538"/>
      <c r="F294" s="538"/>
      <c r="G294" s="538"/>
    </row>
    <row r="295" spans="1:7">
      <c r="A295" s="409"/>
      <c r="B295" s="409"/>
      <c r="C295" s="538"/>
      <c r="D295" s="538"/>
      <c r="E295" s="538"/>
      <c r="F295" s="538"/>
      <c r="G295" s="538"/>
    </row>
    <row r="296" spans="1:7">
      <c r="A296" s="409"/>
      <c r="B296" s="409"/>
      <c r="C296" s="538"/>
      <c r="D296" s="538"/>
      <c r="E296" s="538"/>
      <c r="F296" s="538"/>
      <c r="G296" s="538"/>
    </row>
    <row r="297" spans="1:7">
      <c r="A297" s="409"/>
      <c r="B297" s="409"/>
      <c r="C297" s="538"/>
      <c r="D297" s="538"/>
      <c r="E297" s="538"/>
      <c r="F297" s="538"/>
      <c r="G297" s="538"/>
    </row>
    <row r="298" spans="1:7">
      <c r="A298" s="409"/>
      <c r="B298" s="409"/>
      <c r="C298" s="538"/>
      <c r="D298" s="538"/>
      <c r="E298" s="538"/>
      <c r="F298" s="538"/>
      <c r="G298" s="538"/>
    </row>
    <row r="299" spans="1:7">
      <c r="A299" s="409"/>
      <c r="B299" s="409"/>
      <c r="C299" s="538"/>
      <c r="D299" s="538"/>
      <c r="E299" s="538"/>
      <c r="F299" s="538"/>
      <c r="G299" s="538"/>
    </row>
    <row r="300" spans="1:7">
      <c r="A300" s="409"/>
      <c r="B300" s="409"/>
      <c r="C300" s="538"/>
      <c r="D300" s="538"/>
      <c r="E300" s="538"/>
      <c r="F300" s="538"/>
      <c r="G300" s="538"/>
    </row>
    <row r="301" spans="1:7">
      <c r="A301" s="409"/>
      <c r="B301" s="409"/>
      <c r="C301" s="538"/>
      <c r="D301" s="538"/>
      <c r="E301" s="538"/>
      <c r="F301" s="538"/>
      <c r="G301" s="538"/>
    </row>
    <row r="302" spans="1:7">
      <c r="A302" s="409"/>
      <c r="B302" s="409"/>
      <c r="C302" s="538"/>
      <c r="D302" s="538"/>
      <c r="E302" s="538"/>
      <c r="F302" s="538"/>
      <c r="G302" s="538"/>
    </row>
    <row r="303" spans="1:7">
      <c r="A303" s="409"/>
      <c r="B303" s="409"/>
      <c r="C303" s="538"/>
      <c r="D303" s="538"/>
      <c r="E303" s="538"/>
      <c r="F303" s="538"/>
      <c r="G303" s="538"/>
    </row>
    <row r="304" spans="1:7">
      <c r="A304" s="409"/>
      <c r="B304" s="409"/>
      <c r="C304" s="538"/>
      <c r="D304" s="538"/>
      <c r="E304" s="538"/>
      <c r="F304" s="538"/>
      <c r="G304" s="538"/>
    </row>
    <row r="305" spans="1:7">
      <c r="A305" s="409"/>
      <c r="B305" s="409"/>
      <c r="C305" s="538"/>
      <c r="D305" s="538"/>
      <c r="E305" s="538"/>
      <c r="F305" s="538"/>
      <c r="G305" s="538"/>
    </row>
    <row r="306" spans="1:7">
      <c r="A306" s="409"/>
      <c r="B306" s="409"/>
      <c r="C306" s="538"/>
      <c r="D306" s="538"/>
      <c r="E306" s="538"/>
      <c r="F306" s="538"/>
      <c r="G306" s="538"/>
    </row>
    <row r="307" spans="1:7">
      <c r="A307" s="409"/>
      <c r="B307" s="409"/>
      <c r="C307" s="538"/>
      <c r="D307" s="538"/>
      <c r="E307" s="538"/>
      <c r="F307" s="538"/>
      <c r="G307" s="538"/>
    </row>
    <row r="308" spans="1:7">
      <c r="A308" s="409"/>
      <c r="B308" s="409"/>
      <c r="C308" s="538"/>
      <c r="D308" s="538"/>
      <c r="E308" s="538"/>
      <c r="F308" s="538"/>
      <c r="G308" s="538"/>
    </row>
    <row r="309" spans="1:7">
      <c r="A309" s="409"/>
      <c r="B309" s="409"/>
      <c r="C309" s="538"/>
      <c r="D309" s="538"/>
      <c r="E309" s="538"/>
      <c r="F309" s="538"/>
      <c r="G309" s="538"/>
    </row>
    <row r="310" spans="1:7">
      <c r="A310" s="409"/>
      <c r="B310" s="409"/>
      <c r="C310" s="538"/>
      <c r="D310" s="538"/>
      <c r="E310" s="538"/>
      <c r="F310" s="538"/>
      <c r="G310" s="538"/>
    </row>
    <row r="311" spans="1:7">
      <c r="A311" s="409"/>
      <c r="B311" s="409"/>
      <c r="C311" s="538"/>
      <c r="D311" s="538"/>
      <c r="E311" s="538"/>
      <c r="F311" s="538"/>
      <c r="G311" s="538"/>
    </row>
    <row r="312" spans="1:7">
      <c r="A312" s="409"/>
      <c r="B312" s="409"/>
      <c r="C312" s="538"/>
      <c r="D312" s="538"/>
      <c r="E312" s="538"/>
      <c r="F312" s="538"/>
      <c r="G312" s="538"/>
    </row>
    <row r="313" spans="1:7">
      <c r="A313" s="409"/>
      <c r="B313" s="409"/>
      <c r="C313" s="538"/>
      <c r="D313" s="538"/>
      <c r="E313" s="538"/>
      <c r="F313" s="538"/>
      <c r="G313" s="538"/>
    </row>
    <row r="314" spans="1:7">
      <c r="A314" s="409"/>
      <c r="B314" s="409"/>
      <c r="C314" s="538"/>
      <c r="D314" s="538"/>
      <c r="E314" s="538"/>
      <c r="F314" s="538"/>
      <c r="G314" s="538"/>
    </row>
    <row r="315" spans="1:7">
      <c r="A315" s="409"/>
      <c r="B315" s="409"/>
      <c r="C315" s="538"/>
      <c r="D315" s="538"/>
      <c r="E315" s="538"/>
      <c r="F315" s="538"/>
      <c r="G315" s="538"/>
    </row>
    <row r="316" spans="1:7">
      <c r="A316" s="409"/>
      <c r="B316" s="409"/>
      <c r="C316" s="538"/>
      <c r="D316" s="538"/>
      <c r="E316" s="538"/>
      <c r="F316" s="538"/>
      <c r="G316" s="538"/>
    </row>
    <row r="317" spans="1:7">
      <c r="A317" s="409"/>
      <c r="B317" s="409"/>
      <c r="C317" s="538"/>
      <c r="D317" s="538"/>
      <c r="E317" s="538"/>
      <c r="F317" s="538"/>
      <c r="G317" s="538"/>
    </row>
    <row r="318" spans="1:7">
      <c r="A318" s="409"/>
      <c r="B318" s="409"/>
      <c r="C318" s="538"/>
      <c r="D318" s="538"/>
      <c r="E318" s="538"/>
      <c r="F318" s="538"/>
      <c r="G318" s="538"/>
    </row>
    <row r="319" spans="1:7">
      <c r="A319" s="409"/>
      <c r="B319" s="409"/>
      <c r="C319" s="538"/>
      <c r="D319" s="538"/>
      <c r="E319" s="538"/>
      <c r="F319" s="538"/>
      <c r="G319" s="538"/>
    </row>
    <row r="320" spans="1:7">
      <c r="A320" s="409"/>
      <c r="B320" s="409"/>
      <c r="C320" s="538"/>
      <c r="D320" s="538"/>
      <c r="E320" s="538"/>
      <c r="F320" s="538"/>
      <c r="G320" s="538"/>
    </row>
    <row r="321" spans="1:7">
      <c r="A321" s="409"/>
      <c r="B321" s="409"/>
      <c r="C321" s="538"/>
      <c r="D321" s="538"/>
      <c r="E321" s="538"/>
      <c r="F321" s="538"/>
      <c r="G321" s="538"/>
    </row>
    <row r="322" spans="1:7">
      <c r="A322" s="409"/>
      <c r="B322" s="409"/>
      <c r="C322" s="538"/>
      <c r="D322" s="538"/>
      <c r="E322" s="538"/>
      <c r="F322" s="538"/>
      <c r="G322" s="538"/>
    </row>
    <row r="323" spans="1:7">
      <c r="A323" s="409"/>
      <c r="B323" s="409"/>
      <c r="C323" s="538"/>
      <c r="D323" s="538"/>
      <c r="E323" s="538"/>
      <c r="F323" s="538"/>
      <c r="G323" s="538"/>
    </row>
    <row r="324" spans="1:7">
      <c r="A324" s="409"/>
      <c r="B324" s="409"/>
      <c r="C324" s="538"/>
      <c r="D324" s="538"/>
      <c r="E324" s="538"/>
      <c r="F324" s="538"/>
      <c r="G324" s="538"/>
    </row>
    <row r="325" spans="1:7">
      <c r="A325" s="409"/>
      <c r="B325" s="409"/>
      <c r="C325" s="538"/>
      <c r="D325" s="538"/>
      <c r="E325" s="538"/>
      <c r="F325" s="538"/>
      <c r="G325" s="538"/>
    </row>
    <row r="326" spans="1:7">
      <c r="A326" s="409"/>
      <c r="B326" s="409"/>
      <c r="C326" s="538"/>
      <c r="D326" s="538"/>
      <c r="E326" s="538"/>
      <c r="F326" s="538"/>
      <c r="G326" s="538"/>
    </row>
    <row r="327" spans="1:7">
      <c r="A327" s="409"/>
      <c r="B327" s="409"/>
      <c r="C327" s="538"/>
      <c r="D327" s="538"/>
      <c r="E327" s="538"/>
      <c r="F327" s="538"/>
      <c r="G327" s="538"/>
    </row>
    <row r="328" spans="1:7">
      <c r="A328" s="409"/>
      <c r="B328" s="409"/>
      <c r="C328" s="538"/>
      <c r="D328" s="538"/>
      <c r="E328" s="538"/>
      <c r="F328" s="538"/>
      <c r="G328" s="538"/>
    </row>
    <row r="329" spans="1:7">
      <c r="A329" s="409"/>
      <c r="B329" s="409"/>
      <c r="C329" s="538"/>
      <c r="D329" s="538"/>
      <c r="E329" s="538"/>
      <c r="F329" s="538"/>
      <c r="G329" s="538"/>
    </row>
    <row r="330" spans="1:7">
      <c r="A330" s="409"/>
      <c r="B330" s="409"/>
      <c r="C330" s="538"/>
      <c r="D330" s="538"/>
      <c r="E330" s="538"/>
      <c r="F330" s="538"/>
      <c r="G330" s="538"/>
    </row>
    <row r="331" spans="1:7">
      <c r="A331" s="409"/>
      <c r="B331" s="409"/>
      <c r="C331" s="538"/>
      <c r="D331" s="538"/>
      <c r="E331" s="538"/>
      <c r="F331" s="538"/>
      <c r="G331" s="538"/>
    </row>
    <row r="332" spans="1:7">
      <c r="A332" s="409"/>
      <c r="B332" s="409"/>
      <c r="C332" s="538"/>
      <c r="D332" s="538"/>
      <c r="E332" s="538"/>
      <c r="F332" s="538"/>
      <c r="G332" s="538"/>
    </row>
    <row r="333" spans="1:7">
      <c r="A333" s="409"/>
      <c r="B333" s="409"/>
      <c r="C333" s="538"/>
      <c r="D333" s="538"/>
      <c r="E333" s="538"/>
      <c r="F333" s="538"/>
      <c r="G333" s="538"/>
    </row>
    <row r="334" spans="1:7">
      <c r="A334" s="409"/>
      <c r="B334" s="409"/>
      <c r="C334" s="538"/>
      <c r="D334" s="538"/>
      <c r="E334" s="538"/>
      <c r="F334" s="538"/>
      <c r="G334" s="538"/>
    </row>
    <row r="335" spans="1:7">
      <c r="A335" s="409"/>
      <c r="B335" s="409"/>
      <c r="C335" s="538"/>
      <c r="D335" s="538"/>
      <c r="E335" s="538"/>
      <c r="F335" s="538"/>
      <c r="G335" s="538"/>
    </row>
    <row r="336" spans="1:7">
      <c r="A336" s="409"/>
      <c r="B336" s="409"/>
      <c r="C336" s="538"/>
      <c r="D336" s="538"/>
      <c r="E336" s="538"/>
      <c r="F336" s="538"/>
      <c r="G336" s="538"/>
    </row>
    <row r="337" spans="1:7">
      <c r="A337" s="409"/>
      <c r="B337" s="409"/>
      <c r="C337" s="538"/>
      <c r="D337" s="538"/>
      <c r="E337" s="538"/>
      <c r="F337" s="538"/>
      <c r="G337" s="538"/>
    </row>
    <row r="338" spans="1:7">
      <c r="A338" s="409"/>
      <c r="B338" s="409"/>
      <c r="C338" s="538"/>
      <c r="D338" s="538"/>
      <c r="E338" s="538"/>
      <c r="F338" s="538"/>
      <c r="G338" s="538"/>
    </row>
    <row r="339" spans="1:7">
      <c r="A339" s="409"/>
      <c r="B339" s="409"/>
      <c r="C339" s="538"/>
      <c r="D339" s="538"/>
      <c r="E339" s="538"/>
      <c r="F339" s="538"/>
      <c r="G339" s="538"/>
    </row>
    <row r="340" spans="1:7">
      <c r="A340" s="409"/>
      <c r="B340" s="409"/>
      <c r="C340" s="538"/>
      <c r="D340" s="538"/>
      <c r="E340" s="538"/>
      <c r="F340" s="538"/>
      <c r="G340" s="538"/>
    </row>
    <row r="341" spans="1:7">
      <c r="A341" s="409"/>
      <c r="B341" s="409"/>
      <c r="C341" s="538"/>
      <c r="D341" s="538"/>
      <c r="E341" s="538"/>
      <c r="F341" s="538"/>
      <c r="G341" s="538"/>
    </row>
    <row r="342" spans="1:7">
      <c r="A342" s="409"/>
      <c r="B342" s="409"/>
      <c r="C342" s="538"/>
      <c r="D342" s="538"/>
      <c r="E342" s="538"/>
      <c r="F342" s="538"/>
      <c r="G342" s="538"/>
    </row>
    <row r="343" spans="1:7">
      <c r="A343" s="409"/>
      <c r="B343" s="409"/>
      <c r="C343" s="538"/>
      <c r="D343" s="538"/>
      <c r="E343" s="538"/>
      <c r="F343" s="538"/>
      <c r="G343" s="538"/>
    </row>
    <row r="344" spans="1:7">
      <c r="A344" s="409"/>
      <c r="B344" s="409"/>
      <c r="C344" s="538"/>
      <c r="D344" s="538"/>
      <c r="E344" s="538"/>
      <c r="F344" s="538"/>
      <c r="G344" s="538"/>
    </row>
    <row r="345" spans="1:7">
      <c r="A345" s="409"/>
      <c r="B345" s="409"/>
      <c r="C345" s="538"/>
      <c r="D345" s="538"/>
      <c r="E345" s="538"/>
      <c r="F345" s="538"/>
      <c r="G345" s="538"/>
    </row>
    <row r="346" spans="1:7">
      <c r="A346" s="409"/>
      <c r="B346" s="409"/>
      <c r="C346" s="538"/>
      <c r="D346" s="538"/>
      <c r="E346" s="538"/>
      <c r="F346" s="538"/>
      <c r="G346" s="538"/>
    </row>
    <row r="347" spans="1:7">
      <c r="A347" s="409"/>
      <c r="B347" s="409"/>
      <c r="C347" s="538"/>
      <c r="D347" s="538"/>
      <c r="E347" s="538"/>
      <c r="F347" s="538"/>
      <c r="G347" s="538"/>
    </row>
    <row r="348" spans="1:7">
      <c r="A348" s="409"/>
      <c r="B348" s="409"/>
      <c r="C348" s="538"/>
      <c r="D348" s="538"/>
      <c r="E348" s="538"/>
      <c r="F348" s="538"/>
      <c r="G348" s="538"/>
    </row>
    <row r="349" spans="1:7">
      <c r="A349" s="409"/>
      <c r="B349" s="409"/>
      <c r="C349" s="538"/>
      <c r="D349" s="538"/>
      <c r="E349" s="538"/>
      <c r="F349" s="538"/>
      <c r="G349" s="538"/>
    </row>
    <row r="350" spans="1:7">
      <c r="A350" s="409"/>
      <c r="B350" s="409"/>
      <c r="C350" s="538"/>
      <c r="D350" s="538"/>
      <c r="E350" s="538"/>
      <c r="F350" s="538"/>
      <c r="G350" s="538"/>
    </row>
    <row r="351" spans="1:7">
      <c r="A351" s="409"/>
      <c r="B351" s="409"/>
      <c r="C351" s="538"/>
      <c r="D351" s="538"/>
      <c r="E351" s="538"/>
      <c r="F351" s="538"/>
      <c r="G351" s="538"/>
    </row>
    <row r="352" spans="1:7">
      <c r="A352" s="409"/>
      <c r="B352" s="409"/>
      <c r="C352" s="538"/>
      <c r="D352" s="538"/>
      <c r="E352" s="538"/>
      <c r="F352" s="538"/>
      <c r="G352" s="538"/>
    </row>
    <row r="353" spans="1:7">
      <c r="A353" s="409"/>
      <c r="B353" s="409"/>
      <c r="C353" s="538"/>
      <c r="D353" s="538"/>
      <c r="E353" s="538"/>
      <c r="F353" s="538"/>
      <c r="G353" s="538"/>
    </row>
    <row r="354" spans="1:7">
      <c r="A354" s="409"/>
      <c r="B354" s="409"/>
      <c r="C354" s="538"/>
      <c r="D354" s="538"/>
      <c r="E354" s="538"/>
      <c r="F354" s="538"/>
      <c r="G354" s="538"/>
    </row>
    <row r="355" spans="1:7">
      <c r="A355" s="409"/>
      <c r="B355" s="409"/>
      <c r="C355" s="538"/>
      <c r="D355" s="538"/>
      <c r="E355" s="538"/>
      <c r="F355" s="538"/>
      <c r="G355" s="538"/>
    </row>
    <row r="356" spans="1:7">
      <c r="A356" s="409"/>
      <c r="B356" s="409"/>
      <c r="C356" s="538"/>
      <c r="D356" s="538"/>
      <c r="E356" s="538"/>
      <c r="F356" s="538"/>
      <c r="G356" s="538"/>
    </row>
    <row r="357" spans="1:7">
      <c r="A357" s="409"/>
      <c r="B357" s="409"/>
      <c r="C357" s="538"/>
      <c r="D357" s="538"/>
      <c r="E357" s="538"/>
      <c r="F357" s="538"/>
      <c r="G357" s="538"/>
    </row>
    <row r="358" spans="1:7">
      <c r="A358" s="409"/>
      <c r="B358" s="409"/>
      <c r="C358" s="538"/>
      <c r="D358" s="538"/>
      <c r="E358" s="538"/>
      <c r="F358" s="538"/>
      <c r="G358" s="538"/>
    </row>
    <row r="359" spans="1:7">
      <c r="A359" s="409"/>
      <c r="B359" s="409"/>
      <c r="C359" s="538"/>
      <c r="D359" s="538"/>
      <c r="E359" s="538"/>
      <c r="F359" s="538"/>
      <c r="G359" s="538"/>
    </row>
    <row r="360" spans="1:7">
      <c r="A360" s="409"/>
      <c r="B360" s="409"/>
      <c r="C360" s="538"/>
      <c r="D360" s="538"/>
      <c r="E360" s="538"/>
      <c r="F360" s="538"/>
      <c r="G360" s="538"/>
    </row>
    <row r="361" spans="1:7">
      <c r="A361" s="409"/>
      <c r="B361" s="409"/>
      <c r="C361" s="538"/>
      <c r="D361" s="538"/>
      <c r="E361" s="538"/>
      <c r="F361" s="538"/>
      <c r="G361" s="538"/>
    </row>
    <row r="362" spans="1:7">
      <c r="A362" s="409"/>
      <c r="B362" s="409"/>
      <c r="C362" s="538"/>
      <c r="D362" s="538"/>
      <c r="E362" s="538"/>
      <c r="F362" s="538"/>
      <c r="G362" s="538"/>
    </row>
    <row r="363" spans="1:7">
      <c r="A363" s="409"/>
      <c r="B363" s="409"/>
      <c r="C363" s="538"/>
      <c r="D363" s="538"/>
      <c r="E363" s="538"/>
      <c r="F363" s="538"/>
      <c r="G363" s="538"/>
    </row>
    <row r="364" spans="1:7">
      <c r="A364" s="409"/>
      <c r="B364" s="409"/>
      <c r="C364" s="538"/>
      <c r="D364" s="538"/>
      <c r="E364" s="538"/>
      <c r="F364" s="538"/>
      <c r="G364" s="538"/>
    </row>
    <row r="365" spans="1:7">
      <c r="A365" s="409"/>
      <c r="B365" s="409"/>
      <c r="C365" s="538"/>
      <c r="D365" s="538"/>
      <c r="E365" s="538"/>
      <c r="F365" s="538"/>
      <c r="G365" s="538"/>
    </row>
    <row r="366" spans="1:7">
      <c r="A366" s="409"/>
      <c r="B366" s="409"/>
      <c r="C366" s="538"/>
      <c r="D366" s="538"/>
      <c r="E366" s="538"/>
      <c r="F366" s="538"/>
      <c r="G366" s="538"/>
    </row>
    <row r="367" spans="1:7">
      <c r="A367" s="409"/>
      <c r="B367" s="409"/>
      <c r="C367" s="538"/>
      <c r="D367" s="538"/>
      <c r="E367" s="538"/>
      <c r="F367" s="538"/>
      <c r="G367" s="538"/>
    </row>
    <row r="368" spans="1:7">
      <c r="A368" s="409"/>
      <c r="B368" s="409"/>
      <c r="C368" s="538"/>
      <c r="D368" s="538"/>
      <c r="E368" s="538"/>
      <c r="F368" s="538"/>
      <c r="G368" s="538"/>
    </row>
    <row r="369" spans="1:7">
      <c r="A369" s="409"/>
      <c r="B369" s="409"/>
      <c r="C369" s="538"/>
      <c r="D369" s="538"/>
      <c r="E369" s="538"/>
      <c r="F369" s="538"/>
      <c r="G369" s="538"/>
    </row>
    <row r="370" spans="1:7">
      <c r="A370" s="409"/>
      <c r="B370" s="409"/>
      <c r="C370" s="538"/>
      <c r="D370" s="538"/>
      <c r="E370" s="538"/>
      <c r="F370" s="538"/>
      <c r="G370" s="538"/>
    </row>
    <row r="371" spans="1:7">
      <c r="A371" s="409"/>
      <c r="B371" s="409"/>
      <c r="C371" s="538"/>
      <c r="D371" s="538"/>
      <c r="E371" s="538"/>
      <c r="F371" s="538"/>
      <c r="G371" s="538"/>
    </row>
    <row r="372" spans="1:7">
      <c r="A372" s="409"/>
      <c r="B372" s="409"/>
      <c r="C372" s="538"/>
      <c r="D372" s="538"/>
      <c r="E372" s="538"/>
      <c r="F372" s="538"/>
      <c r="G372" s="538"/>
    </row>
    <row r="373" spans="1:7">
      <c r="A373" s="409"/>
      <c r="B373" s="409"/>
      <c r="C373" s="538"/>
      <c r="D373" s="538"/>
      <c r="E373" s="538"/>
      <c r="F373" s="538"/>
      <c r="G373" s="538"/>
    </row>
    <row r="374" spans="1:7">
      <c r="A374" s="409"/>
      <c r="B374" s="409"/>
      <c r="C374" s="538"/>
      <c r="D374" s="538"/>
      <c r="E374" s="538"/>
      <c r="F374" s="538"/>
      <c r="G374" s="538"/>
    </row>
    <row r="375" spans="1:7">
      <c r="A375" s="409"/>
      <c r="B375" s="409"/>
      <c r="C375" s="538"/>
      <c r="D375" s="538"/>
      <c r="E375" s="538"/>
      <c r="F375" s="538"/>
      <c r="G375" s="538"/>
    </row>
    <row r="376" spans="1:7">
      <c r="A376" s="409"/>
      <c r="B376" s="409"/>
      <c r="C376" s="538"/>
      <c r="D376" s="538"/>
      <c r="E376" s="538"/>
      <c r="F376" s="538"/>
      <c r="G376" s="538"/>
    </row>
    <row r="377" spans="1:7">
      <c r="A377" s="409"/>
      <c r="B377" s="409"/>
      <c r="C377" s="538"/>
      <c r="D377" s="538"/>
      <c r="E377" s="538"/>
      <c r="F377" s="538"/>
      <c r="G377" s="538"/>
    </row>
    <row r="378" spans="1:7">
      <c r="A378" s="409"/>
      <c r="B378" s="409"/>
      <c r="C378" s="538"/>
      <c r="D378" s="538"/>
      <c r="E378" s="538"/>
      <c r="F378" s="538"/>
      <c r="G378" s="538"/>
    </row>
    <row r="379" spans="1:7">
      <c r="A379" s="409"/>
      <c r="B379" s="409"/>
      <c r="C379" s="538"/>
      <c r="D379" s="538"/>
      <c r="E379" s="538"/>
      <c r="F379" s="538"/>
      <c r="G379" s="538"/>
    </row>
    <row r="380" spans="1:7">
      <c r="A380" s="409"/>
      <c r="B380" s="409"/>
      <c r="C380" s="538"/>
      <c r="D380" s="538"/>
      <c r="E380" s="538"/>
      <c r="F380" s="538"/>
      <c r="G380" s="538"/>
    </row>
    <row r="381" spans="1:7">
      <c r="A381" s="409"/>
      <c r="B381" s="409"/>
      <c r="C381" s="538"/>
      <c r="D381" s="538"/>
      <c r="E381" s="538"/>
      <c r="F381" s="538"/>
      <c r="G381" s="538"/>
    </row>
    <row r="382" spans="1:7">
      <c r="A382" s="409"/>
      <c r="B382" s="409"/>
      <c r="C382" s="538"/>
      <c r="D382" s="538"/>
      <c r="E382" s="538"/>
      <c r="F382" s="538"/>
      <c r="G382" s="538"/>
    </row>
    <row r="383" spans="1:7">
      <c r="A383" s="409"/>
      <c r="B383" s="409"/>
      <c r="C383" s="538"/>
      <c r="D383" s="538"/>
      <c r="E383" s="538"/>
      <c r="F383" s="538"/>
      <c r="G383" s="538"/>
    </row>
    <row r="384" spans="1:7">
      <c r="A384" s="409"/>
      <c r="B384" s="409"/>
      <c r="C384" s="538"/>
      <c r="D384" s="538"/>
      <c r="E384" s="538"/>
      <c r="F384" s="538"/>
      <c r="G384" s="538"/>
    </row>
    <row r="385" spans="1:7">
      <c r="A385" s="409"/>
      <c r="B385" s="409"/>
      <c r="C385" s="538"/>
      <c r="D385" s="538"/>
      <c r="E385" s="538"/>
      <c r="F385" s="538"/>
      <c r="G385" s="538"/>
    </row>
    <row r="386" spans="1:7">
      <c r="A386" s="409"/>
      <c r="B386" s="409"/>
      <c r="C386" s="538"/>
      <c r="D386" s="538"/>
      <c r="E386" s="538"/>
      <c r="F386" s="538"/>
      <c r="G386" s="538"/>
    </row>
    <row r="387" spans="1:7">
      <c r="A387" s="409"/>
      <c r="B387" s="409"/>
      <c r="C387" s="538"/>
      <c r="D387" s="538"/>
      <c r="E387" s="538"/>
      <c r="F387" s="538"/>
      <c r="G387" s="538"/>
    </row>
    <row r="388" spans="1:7">
      <c r="A388" s="409"/>
      <c r="B388" s="409"/>
      <c r="C388" s="538"/>
      <c r="D388" s="538"/>
      <c r="E388" s="538"/>
      <c r="F388" s="538"/>
      <c r="G388" s="538"/>
    </row>
    <row r="389" spans="1:7">
      <c r="A389" s="409"/>
      <c r="B389" s="409"/>
      <c r="C389" s="538"/>
      <c r="D389" s="538"/>
      <c r="E389" s="538"/>
      <c r="F389" s="538"/>
      <c r="G389" s="538"/>
    </row>
    <row r="390" spans="1:7">
      <c r="A390" s="409"/>
      <c r="B390" s="409"/>
      <c r="C390" s="538"/>
      <c r="D390" s="538"/>
      <c r="E390" s="538"/>
      <c r="F390" s="538"/>
      <c r="G390" s="538"/>
    </row>
    <row r="391" spans="1:7">
      <c r="A391" s="409"/>
      <c r="B391" s="409"/>
      <c r="C391" s="538"/>
      <c r="D391" s="538"/>
      <c r="E391" s="538"/>
      <c r="F391" s="538"/>
      <c r="G391" s="538"/>
    </row>
    <row r="392" spans="1:7">
      <c r="A392" s="409"/>
      <c r="B392" s="409"/>
      <c r="C392" s="538"/>
      <c r="D392" s="538"/>
      <c r="E392" s="538"/>
      <c r="F392" s="538"/>
      <c r="G392" s="538"/>
    </row>
    <row r="393" spans="1:7">
      <c r="A393" s="409"/>
      <c r="B393" s="409"/>
      <c r="C393" s="538"/>
      <c r="D393" s="538"/>
      <c r="E393" s="538"/>
      <c r="F393" s="538"/>
      <c r="G393" s="538"/>
    </row>
    <row r="394" spans="1:7">
      <c r="A394" s="409"/>
      <c r="B394" s="409"/>
      <c r="C394" s="538"/>
      <c r="D394" s="538"/>
      <c r="E394" s="538"/>
      <c r="F394" s="538"/>
      <c r="G394" s="538"/>
    </row>
    <row r="395" spans="1:7">
      <c r="A395" s="409"/>
      <c r="B395" s="409"/>
      <c r="C395" s="538"/>
      <c r="D395" s="538"/>
      <c r="E395" s="538"/>
      <c r="F395" s="538"/>
      <c r="G395" s="538"/>
    </row>
    <row r="396" spans="1:7">
      <c r="A396" s="409"/>
      <c r="B396" s="409"/>
      <c r="C396" s="538"/>
      <c r="D396" s="538"/>
      <c r="E396" s="538"/>
      <c r="F396" s="538"/>
      <c r="G396" s="538"/>
    </row>
    <row r="397" spans="1:7">
      <c r="A397" s="409"/>
      <c r="B397" s="409"/>
      <c r="C397" s="538"/>
      <c r="D397" s="538"/>
      <c r="E397" s="538"/>
      <c r="F397" s="538"/>
      <c r="G397" s="538"/>
    </row>
    <row r="398" spans="1:7">
      <c r="A398" s="409"/>
      <c r="B398" s="409"/>
      <c r="C398" s="538"/>
      <c r="D398" s="538"/>
      <c r="E398" s="538"/>
      <c r="F398" s="538"/>
      <c r="G398" s="538"/>
    </row>
    <row r="399" spans="1:7">
      <c r="A399" s="409"/>
      <c r="B399" s="409"/>
      <c r="C399" s="538"/>
      <c r="D399" s="538"/>
      <c r="E399" s="538"/>
      <c r="F399" s="538"/>
      <c r="G399" s="538"/>
    </row>
    <row r="400" spans="1:7">
      <c r="A400" s="409"/>
      <c r="B400" s="409"/>
      <c r="C400" s="538"/>
      <c r="D400" s="538"/>
      <c r="E400" s="538"/>
      <c r="F400" s="538"/>
      <c r="G400" s="538"/>
    </row>
    <row r="401" spans="1:7">
      <c r="A401" s="409"/>
      <c r="B401" s="409"/>
      <c r="C401" s="538"/>
      <c r="D401" s="538"/>
      <c r="E401" s="538"/>
      <c r="F401" s="538"/>
      <c r="G401" s="538"/>
    </row>
    <row r="402" spans="1:7">
      <c r="A402" s="409"/>
      <c r="B402" s="409"/>
      <c r="C402" s="538"/>
      <c r="D402" s="538"/>
      <c r="E402" s="538"/>
      <c r="F402" s="538"/>
      <c r="G402" s="538"/>
    </row>
    <row r="403" spans="1:7">
      <c r="A403" s="409"/>
      <c r="B403" s="409"/>
      <c r="C403" s="538"/>
      <c r="D403" s="538"/>
      <c r="E403" s="538"/>
      <c r="F403" s="538"/>
      <c r="G403" s="538"/>
    </row>
    <row r="404" spans="1:7">
      <c r="A404" s="409"/>
      <c r="B404" s="409"/>
      <c r="C404" s="538"/>
      <c r="D404" s="538"/>
      <c r="E404" s="538"/>
      <c r="F404" s="538"/>
      <c r="G404" s="538"/>
    </row>
    <row r="405" spans="1:7">
      <c r="A405" s="409"/>
      <c r="B405" s="409"/>
      <c r="C405" s="538"/>
      <c r="D405" s="538"/>
      <c r="E405" s="538"/>
      <c r="F405" s="538"/>
      <c r="G405" s="538"/>
    </row>
    <row r="406" spans="1:7">
      <c r="A406" s="409"/>
      <c r="B406" s="409"/>
      <c r="C406" s="538"/>
      <c r="D406" s="538"/>
      <c r="E406" s="538"/>
      <c r="F406" s="538"/>
      <c r="G406" s="538"/>
    </row>
    <row r="407" spans="1:7">
      <c r="A407" s="409"/>
      <c r="B407" s="409"/>
      <c r="C407" s="538"/>
      <c r="D407" s="538"/>
      <c r="E407" s="538"/>
      <c r="F407" s="538"/>
      <c r="G407" s="538"/>
    </row>
    <row r="408" spans="1:7">
      <c r="A408" s="409"/>
      <c r="B408" s="409"/>
      <c r="C408" s="538"/>
      <c r="D408" s="538"/>
      <c r="E408" s="538"/>
      <c r="F408" s="538"/>
      <c r="G408" s="538"/>
    </row>
    <row r="409" spans="1:7">
      <c r="A409" s="409"/>
      <c r="B409" s="409"/>
      <c r="C409" s="538"/>
      <c r="D409" s="538"/>
      <c r="E409" s="538"/>
      <c r="F409" s="538"/>
      <c r="G409" s="538"/>
    </row>
    <row r="410" spans="1:7">
      <c r="A410" s="409"/>
      <c r="B410" s="409"/>
      <c r="C410" s="538"/>
      <c r="D410" s="538"/>
      <c r="E410" s="538"/>
      <c r="F410" s="538"/>
      <c r="G410" s="538"/>
    </row>
    <row r="411" spans="1:7">
      <c r="A411" s="409"/>
      <c r="B411" s="409"/>
      <c r="C411" s="538"/>
      <c r="D411" s="538"/>
      <c r="E411" s="538"/>
      <c r="F411" s="538"/>
      <c r="G411" s="538"/>
    </row>
    <row r="412" spans="1:7">
      <c r="A412" s="409"/>
      <c r="B412" s="409"/>
      <c r="C412" s="538"/>
      <c r="D412" s="538"/>
      <c r="E412" s="538"/>
      <c r="F412" s="538"/>
      <c r="G412" s="538"/>
    </row>
    <row r="413" spans="1:7">
      <c r="A413" s="409"/>
      <c r="B413" s="409"/>
      <c r="C413" s="538"/>
      <c r="D413" s="538"/>
      <c r="E413" s="538"/>
      <c r="F413" s="538"/>
      <c r="G413" s="538"/>
    </row>
    <row r="414" spans="1:7">
      <c r="A414" s="409"/>
      <c r="B414" s="409"/>
      <c r="C414" s="538"/>
      <c r="D414" s="538"/>
      <c r="E414" s="538"/>
      <c r="F414" s="538"/>
      <c r="G414" s="538"/>
    </row>
    <row r="415" spans="1:7">
      <c r="A415" s="409"/>
      <c r="B415" s="409"/>
      <c r="C415" s="538"/>
      <c r="D415" s="538"/>
      <c r="E415" s="538"/>
      <c r="F415" s="538"/>
      <c r="G415" s="538"/>
    </row>
    <row r="416" spans="1:7">
      <c r="A416" s="409"/>
      <c r="B416" s="409"/>
      <c r="C416" s="538"/>
      <c r="D416" s="538"/>
      <c r="E416" s="538"/>
      <c r="F416" s="538"/>
      <c r="G416" s="538"/>
    </row>
    <row r="417" spans="1:7">
      <c r="A417" s="409"/>
      <c r="B417" s="409"/>
      <c r="C417" s="538"/>
      <c r="D417" s="538"/>
      <c r="E417" s="538"/>
      <c r="F417" s="538"/>
      <c r="G417" s="538"/>
    </row>
    <row r="418" spans="1:7">
      <c r="A418" s="409"/>
      <c r="B418" s="409"/>
      <c r="C418" s="538"/>
      <c r="D418" s="538"/>
      <c r="E418" s="538"/>
      <c r="F418" s="538"/>
      <c r="G418" s="538"/>
    </row>
    <row r="419" spans="1:7">
      <c r="A419" s="409"/>
      <c r="B419" s="409"/>
      <c r="C419" s="538"/>
      <c r="D419" s="538"/>
      <c r="E419" s="538"/>
      <c r="F419" s="538"/>
      <c r="G419" s="538"/>
    </row>
    <row r="420" spans="1:7">
      <c r="A420" s="409"/>
      <c r="B420" s="409"/>
      <c r="C420" s="538"/>
      <c r="D420" s="538"/>
      <c r="E420" s="538"/>
      <c r="F420" s="538"/>
      <c r="G420" s="538"/>
    </row>
    <row r="421" spans="1:7">
      <c r="A421" s="409"/>
      <c r="B421" s="409"/>
      <c r="C421" s="538"/>
      <c r="D421" s="538"/>
      <c r="E421" s="538"/>
      <c r="F421" s="538"/>
      <c r="G421" s="538"/>
    </row>
    <row r="422" spans="1:7">
      <c r="A422" s="409"/>
      <c r="B422" s="409"/>
      <c r="C422" s="538"/>
      <c r="D422" s="538"/>
      <c r="E422" s="538"/>
      <c r="F422" s="538"/>
      <c r="G422" s="538"/>
    </row>
    <row r="423" spans="1:7">
      <c r="A423" s="409"/>
      <c r="B423" s="409"/>
      <c r="C423" s="538"/>
      <c r="D423" s="538"/>
      <c r="E423" s="538"/>
      <c r="F423" s="538"/>
      <c r="G423" s="538"/>
    </row>
    <row r="424" spans="1:7">
      <c r="A424" s="409"/>
      <c r="B424" s="409"/>
      <c r="C424" s="538"/>
      <c r="D424" s="538"/>
      <c r="E424" s="538"/>
      <c r="F424" s="538"/>
      <c r="G424" s="538"/>
    </row>
    <row r="425" spans="1:7">
      <c r="A425" s="409"/>
      <c r="B425" s="409"/>
      <c r="C425" s="538"/>
      <c r="D425" s="538"/>
      <c r="E425" s="538"/>
      <c r="F425" s="538"/>
      <c r="G425" s="538"/>
    </row>
    <row r="426" spans="1:7">
      <c r="A426" s="409"/>
      <c r="B426" s="409"/>
      <c r="C426" s="538"/>
      <c r="D426" s="538"/>
      <c r="E426" s="538"/>
      <c r="F426" s="538"/>
      <c r="G426" s="538"/>
    </row>
    <row r="427" spans="1:7">
      <c r="A427" s="409"/>
      <c r="B427" s="409"/>
      <c r="C427" s="538"/>
      <c r="D427" s="538"/>
      <c r="E427" s="538"/>
      <c r="F427" s="538"/>
      <c r="G427" s="538"/>
    </row>
    <row r="428" spans="1:7">
      <c r="A428" s="409"/>
      <c r="B428" s="409"/>
      <c r="C428" s="538"/>
      <c r="D428" s="538"/>
      <c r="E428" s="538"/>
      <c r="F428" s="538"/>
      <c r="G428" s="538"/>
    </row>
    <row r="429" spans="1:7">
      <c r="A429" s="409"/>
      <c r="B429" s="409"/>
      <c r="C429" s="538"/>
      <c r="D429" s="538"/>
      <c r="E429" s="538"/>
      <c r="F429" s="538"/>
      <c r="G429" s="538"/>
    </row>
    <row r="430" spans="1:7">
      <c r="A430" s="409"/>
      <c r="B430" s="409"/>
      <c r="C430" s="538"/>
      <c r="D430" s="538"/>
      <c r="E430" s="538"/>
      <c r="F430" s="538"/>
      <c r="G430" s="538"/>
    </row>
    <row r="431" spans="1:7">
      <c r="A431" s="409"/>
      <c r="B431" s="409"/>
      <c r="C431" s="538"/>
      <c r="D431" s="538"/>
      <c r="E431" s="538"/>
      <c r="F431" s="538"/>
      <c r="G431" s="538"/>
    </row>
    <row r="432" spans="1:7">
      <c r="A432" s="409"/>
      <c r="B432" s="409"/>
      <c r="C432" s="538"/>
      <c r="D432" s="538"/>
      <c r="E432" s="538"/>
      <c r="F432" s="538"/>
      <c r="G432" s="538"/>
    </row>
    <row r="433" spans="1:7">
      <c r="A433" s="409"/>
      <c r="B433" s="409"/>
      <c r="C433" s="538"/>
      <c r="D433" s="538"/>
      <c r="E433" s="538"/>
      <c r="F433" s="538"/>
      <c r="G433" s="538"/>
    </row>
    <row r="434" spans="1:7">
      <c r="A434" s="409"/>
      <c r="B434" s="409"/>
      <c r="C434" s="538"/>
      <c r="D434" s="538"/>
      <c r="E434" s="538"/>
      <c r="F434" s="538"/>
      <c r="G434" s="538"/>
    </row>
    <row r="435" spans="1:7">
      <c r="A435" s="409"/>
      <c r="B435" s="409"/>
      <c r="C435" s="538"/>
      <c r="D435" s="538"/>
      <c r="E435" s="538"/>
      <c r="F435" s="538"/>
      <c r="G435" s="538"/>
    </row>
    <row r="436" spans="1:7">
      <c r="A436" s="409"/>
      <c r="B436" s="409"/>
      <c r="C436" s="538"/>
      <c r="D436" s="538"/>
      <c r="E436" s="538"/>
      <c r="F436" s="538"/>
      <c r="G436" s="538"/>
    </row>
    <row r="437" spans="1:7">
      <c r="A437" s="409"/>
      <c r="B437" s="409"/>
      <c r="C437" s="538"/>
      <c r="D437" s="538"/>
      <c r="E437" s="538"/>
      <c r="F437" s="538"/>
      <c r="G437" s="538"/>
    </row>
    <row r="438" spans="1:7">
      <c r="A438" s="409"/>
      <c r="B438" s="409"/>
      <c r="C438" s="538"/>
      <c r="D438" s="538"/>
      <c r="E438" s="538"/>
      <c r="F438" s="538"/>
      <c r="G438" s="538"/>
    </row>
    <row r="439" spans="1:7">
      <c r="A439" s="409"/>
      <c r="B439" s="409"/>
      <c r="C439" s="538"/>
      <c r="D439" s="538"/>
      <c r="E439" s="538"/>
      <c r="F439" s="538"/>
      <c r="G439" s="538"/>
    </row>
    <row r="440" spans="1:7">
      <c r="A440" s="409"/>
      <c r="B440" s="409"/>
      <c r="C440" s="538"/>
      <c r="D440" s="538"/>
      <c r="E440" s="538"/>
      <c r="F440" s="538"/>
      <c r="G440" s="538"/>
    </row>
    <row r="441" spans="1:7">
      <c r="A441" s="409"/>
      <c r="B441" s="409"/>
      <c r="C441" s="538"/>
      <c r="D441" s="538"/>
      <c r="E441" s="538"/>
      <c r="F441" s="538"/>
      <c r="G441" s="538"/>
    </row>
    <row r="442" spans="1:7">
      <c r="A442" s="409"/>
      <c r="B442" s="409"/>
      <c r="C442" s="538"/>
      <c r="D442" s="538"/>
      <c r="E442" s="538"/>
      <c r="F442" s="538"/>
      <c r="G442" s="538"/>
    </row>
    <row r="443" spans="1:7">
      <c r="A443" s="409"/>
      <c r="B443" s="409"/>
      <c r="C443" s="538"/>
      <c r="D443" s="538"/>
      <c r="E443" s="538"/>
      <c r="F443" s="538"/>
      <c r="G443" s="538"/>
    </row>
    <row r="444" spans="1:7">
      <c r="A444" s="409"/>
      <c r="B444" s="409"/>
      <c r="C444" s="538"/>
      <c r="D444" s="538"/>
      <c r="E444" s="538"/>
      <c r="F444" s="538"/>
      <c r="G444" s="538"/>
    </row>
    <row r="445" spans="1:7">
      <c r="A445" s="409"/>
      <c r="B445" s="409"/>
      <c r="C445" s="538"/>
      <c r="D445" s="538"/>
      <c r="E445" s="538"/>
      <c r="F445" s="538"/>
      <c r="G445" s="538"/>
    </row>
    <row r="446" spans="1:7">
      <c r="A446" s="409"/>
      <c r="B446" s="409"/>
      <c r="C446" s="538"/>
      <c r="D446" s="538"/>
      <c r="E446" s="538"/>
      <c r="F446" s="538"/>
      <c r="G446" s="538"/>
    </row>
    <row r="447" spans="1:7">
      <c r="A447" s="409"/>
      <c r="B447" s="409"/>
      <c r="C447" s="538"/>
      <c r="D447" s="538"/>
      <c r="E447" s="538"/>
      <c r="F447" s="538"/>
      <c r="G447" s="538"/>
    </row>
    <row r="448" spans="1:7">
      <c r="A448" s="409"/>
      <c r="B448" s="409"/>
      <c r="C448" s="538"/>
      <c r="D448" s="538"/>
      <c r="E448" s="538"/>
      <c r="F448" s="538"/>
      <c r="G448" s="538"/>
    </row>
    <row r="449" spans="1:7">
      <c r="A449" s="409"/>
      <c r="B449" s="409"/>
      <c r="C449" s="538"/>
      <c r="D449" s="538"/>
      <c r="E449" s="538"/>
      <c r="F449" s="538"/>
      <c r="G449" s="538"/>
    </row>
    <row r="450" spans="1:7">
      <c r="A450" s="409"/>
      <c r="B450" s="409"/>
      <c r="C450" s="538"/>
      <c r="D450" s="538"/>
      <c r="E450" s="538"/>
      <c r="F450" s="538"/>
      <c r="G450" s="538"/>
    </row>
    <row r="451" spans="1:7">
      <c r="A451" s="409"/>
      <c r="B451" s="409"/>
      <c r="C451" s="538"/>
      <c r="D451" s="538"/>
      <c r="E451" s="538"/>
      <c r="F451" s="538"/>
      <c r="G451" s="538"/>
    </row>
    <row r="452" spans="1:7">
      <c r="A452" s="409"/>
      <c r="B452" s="409"/>
      <c r="C452" s="538"/>
      <c r="D452" s="538"/>
      <c r="E452" s="538"/>
      <c r="F452" s="538"/>
      <c r="G452" s="538"/>
    </row>
    <row r="453" spans="1:7">
      <c r="A453" s="409"/>
      <c r="B453" s="409"/>
      <c r="C453" s="538"/>
      <c r="D453" s="538"/>
      <c r="E453" s="538"/>
      <c r="F453" s="538"/>
      <c r="G453" s="538"/>
    </row>
    <row r="454" spans="1:7">
      <c r="A454" s="409"/>
      <c r="B454" s="409"/>
      <c r="C454" s="538"/>
      <c r="D454" s="538"/>
      <c r="E454" s="538"/>
      <c r="F454" s="538"/>
      <c r="G454" s="538"/>
    </row>
    <row r="455" spans="1:7">
      <c r="A455" s="409"/>
      <c r="B455" s="409"/>
      <c r="C455" s="538"/>
      <c r="D455" s="538"/>
      <c r="E455" s="538"/>
      <c r="F455" s="538"/>
      <c r="G455" s="538"/>
    </row>
    <row r="456" spans="1:7">
      <c r="A456" s="409"/>
      <c r="B456" s="409"/>
      <c r="C456" s="538"/>
      <c r="D456" s="538"/>
      <c r="E456" s="538"/>
      <c r="F456" s="538"/>
      <c r="G456" s="538"/>
    </row>
    <row r="457" spans="1:7">
      <c r="A457" s="409"/>
      <c r="B457" s="409"/>
      <c r="C457" s="538"/>
      <c r="D457" s="538"/>
      <c r="E457" s="538"/>
      <c r="F457" s="538"/>
      <c r="G457" s="538"/>
    </row>
    <row r="458" spans="1:7">
      <c r="A458" s="409"/>
      <c r="B458" s="409"/>
      <c r="C458" s="538"/>
      <c r="D458" s="538"/>
      <c r="E458" s="538"/>
      <c r="F458" s="538"/>
      <c r="G458" s="538"/>
    </row>
    <row r="459" spans="1:7">
      <c r="A459" s="409"/>
      <c r="B459" s="409"/>
      <c r="C459" s="538"/>
      <c r="D459" s="538"/>
      <c r="E459" s="538"/>
      <c r="F459" s="538"/>
      <c r="G459" s="538"/>
    </row>
    <row r="460" spans="1:7">
      <c r="A460" s="409"/>
      <c r="B460" s="409"/>
      <c r="C460" s="538"/>
      <c r="D460" s="538"/>
      <c r="E460" s="538"/>
      <c r="F460" s="538"/>
      <c r="G460" s="538"/>
    </row>
    <row r="461" spans="1:7">
      <c r="A461" s="409"/>
      <c r="B461" s="409"/>
      <c r="C461" s="538"/>
      <c r="D461" s="538"/>
      <c r="E461" s="538"/>
      <c r="F461" s="538"/>
      <c r="G461" s="538"/>
    </row>
    <row r="462" spans="1:7">
      <c r="A462" s="409"/>
      <c r="B462" s="409"/>
      <c r="C462" s="538"/>
      <c r="D462" s="538"/>
      <c r="E462" s="538"/>
      <c r="F462" s="538"/>
      <c r="G462" s="538"/>
    </row>
    <row r="463" spans="1:7">
      <c r="A463" s="409"/>
      <c r="B463" s="409"/>
      <c r="C463" s="538"/>
      <c r="D463" s="538"/>
      <c r="E463" s="538"/>
      <c r="F463" s="538"/>
      <c r="G463" s="538"/>
    </row>
    <row r="464" spans="1:7">
      <c r="A464" s="409"/>
      <c r="B464" s="409"/>
      <c r="C464" s="538"/>
      <c r="D464" s="538"/>
      <c r="E464" s="538"/>
      <c r="F464" s="538"/>
      <c r="G464" s="538"/>
    </row>
    <row r="465" spans="1:7">
      <c r="A465" s="409"/>
      <c r="B465" s="409"/>
      <c r="C465" s="538"/>
      <c r="D465" s="538"/>
      <c r="E465" s="538"/>
      <c r="F465" s="538"/>
      <c r="G465" s="538"/>
    </row>
    <row r="466" spans="1:7">
      <c r="A466" s="409"/>
      <c r="B466" s="409"/>
      <c r="C466" s="538"/>
      <c r="D466" s="538"/>
      <c r="E466" s="538"/>
      <c r="F466" s="538"/>
      <c r="G466" s="538"/>
    </row>
    <row r="467" spans="1:7">
      <c r="A467" s="409"/>
      <c r="B467" s="409"/>
      <c r="C467" s="538"/>
      <c r="D467" s="538"/>
      <c r="E467" s="538"/>
      <c r="F467" s="538"/>
      <c r="G467" s="538"/>
    </row>
    <row r="468" spans="1:7">
      <c r="A468" s="409"/>
      <c r="B468" s="409"/>
      <c r="C468" s="538"/>
      <c r="D468" s="538"/>
      <c r="E468" s="538"/>
      <c r="F468" s="538"/>
      <c r="G468" s="538"/>
    </row>
    <row r="469" spans="1:7">
      <c r="A469" s="409"/>
      <c r="B469" s="409"/>
      <c r="C469" s="538"/>
      <c r="D469" s="538"/>
      <c r="E469" s="538"/>
      <c r="F469" s="538"/>
      <c r="G469" s="538"/>
    </row>
    <row r="470" spans="1:7">
      <c r="A470" s="409"/>
      <c r="B470" s="409"/>
      <c r="C470" s="538"/>
      <c r="D470" s="538"/>
      <c r="E470" s="538"/>
      <c r="F470" s="538"/>
      <c r="G470" s="538"/>
    </row>
    <row r="471" spans="1:7">
      <c r="A471" s="409"/>
      <c r="B471" s="409"/>
      <c r="C471" s="538"/>
      <c r="D471" s="538"/>
      <c r="E471" s="538"/>
      <c r="F471" s="538"/>
      <c r="G471" s="538"/>
    </row>
    <row r="472" spans="1:7">
      <c r="A472" s="409"/>
      <c r="B472" s="409"/>
      <c r="C472" s="538"/>
      <c r="D472" s="538"/>
      <c r="E472" s="538"/>
      <c r="F472" s="538"/>
      <c r="G472" s="538"/>
    </row>
    <row r="473" spans="1:7">
      <c r="A473" s="409"/>
      <c r="B473" s="409"/>
      <c r="C473" s="538"/>
      <c r="D473" s="538"/>
      <c r="E473" s="538"/>
      <c r="F473" s="538"/>
      <c r="G473" s="538"/>
    </row>
    <row r="474" spans="1:7">
      <c r="A474" s="409"/>
      <c r="B474" s="409"/>
      <c r="C474" s="538"/>
      <c r="D474" s="538"/>
      <c r="E474" s="538"/>
      <c r="F474" s="538"/>
      <c r="G474" s="538"/>
    </row>
    <row r="475" spans="1:7">
      <c r="A475" s="409"/>
      <c r="B475" s="409"/>
      <c r="C475" s="538"/>
      <c r="D475" s="538"/>
      <c r="E475" s="538"/>
      <c r="F475" s="538"/>
      <c r="G475" s="538"/>
    </row>
    <row r="476" spans="1:7">
      <c r="A476" s="409"/>
      <c r="B476" s="409"/>
      <c r="C476" s="538"/>
      <c r="D476" s="538"/>
      <c r="E476" s="538"/>
      <c r="F476" s="538"/>
      <c r="G476" s="538"/>
    </row>
    <row r="477" spans="1:7">
      <c r="A477" s="409"/>
      <c r="B477" s="409"/>
      <c r="C477" s="538"/>
      <c r="D477" s="538"/>
      <c r="E477" s="538"/>
      <c r="F477" s="538"/>
      <c r="G477" s="538"/>
    </row>
    <row r="478" spans="1:7">
      <c r="A478" s="409"/>
      <c r="B478" s="409"/>
      <c r="C478" s="538"/>
      <c r="D478" s="538"/>
      <c r="E478" s="538"/>
      <c r="F478" s="538"/>
      <c r="G478" s="538"/>
    </row>
    <row r="479" spans="1:7">
      <c r="A479" s="409"/>
      <c r="B479" s="409"/>
      <c r="C479" s="538"/>
      <c r="D479" s="538"/>
      <c r="E479" s="538"/>
      <c r="F479" s="538"/>
      <c r="G479" s="538"/>
    </row>
    <row r="480" spans="1:7">
      <c r="A480" s="409"/>
      <c r="B480" s="409"/>
      <c r="C480" s="538"/>
      <c r="D480" s="538"/>
      <c r="E480" s="538"/>
      <c r="F480" s="538"/>
      <c r="G480" s="538"/>
    </row>
    <row r="481" spans="1:7">
      <c r="A481" s="409"/>
      <c r="B481" s="409"/>
      <c r="C481" s="538"/>
      <c r="D481" s="538"/>
      <c r="E481" s="538"/>
      <c r="F481" s="538"/>
      <c r="G481" s="538"/>
    </row>
    <row r="482" spans="1:7">
      <c r="A482" s="409"/>
      <c r="B482" s="409"/>
      <c r="C482" s="538"/>
      <c r="D482" s="538"/>
      <c r="E482" s="538"/>
      <c r="F482" s="538"/>
      <c r="G482" s="538"/>
    </row>
    <row r="483" spans="1:7">
      <c r="A483" s="409"/>
      <c r="B483" s="409"/>
      <c r="C483" s="538"/>
      <c r="D483" s="538"/>
      <c r="E483" s="538"/>
      <c r="F483" s="538"/>
      <c r="G483" s="538"/>
    </row>
    <row r="484" spans="1:7">
      <c r="A484" s="409"/>
      <c r="B484" s="409"/>
      <c r="C484" s="538"/>
      <c r="D484" s="538"/>
      <c r="E484" s="538"/>
      <c r="F484" s="538"/>
      <c r="G484" s="538"/>
    </row>
    <row r="485" spans="1:7">
      <c r="A485" s="409"/>
      <c r="B485" s="409"/>
      <c r="C485" s="538"/>
      <c r="D485" s="538"/>
      <c r="E485" s="538"/>
      <c r="F485" s="538"/>
      <c r="G485" s="538"/>
    </row>
    <row r="486" spans="1:7">
      <c r="A486" s="409"/>
      <c r="B486" s="409"/>
      <c r="C486" s="538"/>
      <c r="D486" s="538"/>
      <c r="E486" s="538"/>
      <c r="F486" s="538"/>
      <c r="G486" s="538"/>
    </row>
    <row r="487" spans="1:7">
      <c r="A487" s="409"/>
      <c r="B487" s="409"/>
      <c r="C487" s="538"/>
      <c r="D487" s="538"/>
      <c r="E487" s="538"/>
      <c r="F487" s="538"/>
      <c r="G487" s="538"/>
    </row>
    <row r="488" spans="1:7">
      <c r="A488" s="409"/>
      <c r="B488" s="409"/>
      <c r="C488" s="538"/>
      <c r="D488" s="538"/>
      <c r="E488" s="538"/>
      <c r="F488" s="538"/>
      <c r="G488" s="538"/>
    </row>
    <row r="489" spans="1:7">
      <c r="A489" s="409"/>
      <c r="B489" s="409"/>
      <c r="C489" s="538"/>
      <c r="D489" s="538"/>
      <c r="E489" s="538"/>
      <c r="F489" s="538"/>
      <c r="G489" s="538"/>
    </row>
    <row r="490" spans="1:7">
      <c r="A490" s="409"/>
      <c r="B490" s="409"/>
      <c r="C490" s="538"/>
      <c r="D490" s="538"/>
      <c r="E490" s="538"/>
      <c r="F490" s="538"/>
      <c r="G490" s="538"/>
    </row>
    <row r="491" spans="1:7">
      <c r="A491" s="409"/>
      <c r="B491" s="409"/>
      <c r="C491" s="538"/>
      <c r="D491" s="538"/>
      <c r="E491" s="538"/>
      <c r="F491" s="538"/>
      <c r="G491" s="538"/>
    </row>
    <row r="492" spans="1:7">
      <c r="A492" s="409"/>
      <c r="B492" s="409"/>
      <c r="C492" s="538"/>
      <c r="D492" s="538"/>
      <c r="E492" s="538"/>
      <c r="F492" s="538"/>
      <c r="G492" s="538"/>
    </row>
    <row r="493" spans="1:7">
      <c r="A493" s="409"/>
      <c r="B493" s="409"/>
      <c r="C493" s="538"/>
      <c r="D493" s="538"/>
      <c r="E493" s="538"/>
      <c r="F493" s="538"/>
      <c r="G493" s="538"/>
    </row>
    <row r="494" spans="1:7">
      <c r="A494" s="409"/>
      <c r="B494" s="409"/>
      <c r="C494" s="538"/>
      <c r="D494" s="538"/>
      <c r="E494" s="538"/>
      <c r="F494" s="538"/>
      <c r="G494" s="538"/>
    </row>
    <row r="495" spans="1:7">
      <c r="A495" s="409"/>
      <c r="B495" s="409"/>
      <c r="C495" s="538"/>
      <c r="D495" s="538"/>
      <c r="E495" s="538"/>
      <c r="F495" s="538"/>
      <c r="G495" s="538"/>
    </row>
    <row r="496" spans="1:7">
      <c r="A496" s="409"/>
      <c r="B496" s="409"/>
      <c r="C496" s="538"/>
      <c r="D496" s="538"/>
      <c r="E496" s="538"/>
      <c r="F496" s="538"/>
      <c r="G496" s="538"/>
    </row>
    <row r="497" spans="1:7">
      <c r="A497" s="409"/>
      <c r="B497" s="409"/>
      <c r="C497" s="538"/>
      <c r="D497" s="538"/>
      <c r="E497" s="538"/>
      <c r="F497" s="538"/>
      <c r="G497" s="538"/>
    </row>
    <row r="498" spans="1:7">
      <c r="A498" s="409"/>
      <c r="B498" s="409"/>
      <c r="C498" s="538"/>
      <c r="D498" s="538"/>
      <c r="E498" s="538"/>
      <c r="F498" s="538"/>
      <c r="G498" s="538"/>
    </row>
    <row r="499" spans="1:7">
      <c r="A499" s="409"/>
      <c r="B499" s="409"/>
      <c r="C499" s="538"/>
      <c r="D499" s="538"/>
      <c r="E499" s="538"/>
      <c r="F499" s="538"/>
      <c r="G499" s="538"/>
    </row>
    <row r="500" spans="1:7">
      <c r="A500" s="409"/>
      <c r="B500" s="409"/>
      <c r="C500" s="538"/>
      <c r="D500" s="538"/>
      <c r="E500" s="538"/>
      <c r="F500" s="538"/>
      <c r="G500" s="538"/>
    </row>
    <row r="501" spans="1:7">
      <c r="A501" s="409"/>
      <c r="B501" s="409"/>
      <c r="C501" s="538"/>
      <c r="D501" s="538"/>
      <c r="E501" s="538"/>
      <c r="F501" s="538"/>
      <c r="G501" s="538"/>
    </row>
    <row r="502" spans="1:7">
      <c r="A502" s="409"/>
      <c r="B502" s="409"/>
      <c r="C502" s="538"/>
      <c r="D502" s="538"/>
      <c r="E502" s="538"/>
      <c r="F502" s="538"/>
      <c r="G502" s="538"/>
    </row>
    <row r="503" spans="1:7">
      <c r="A503" s="409"/>
      <c r="B503" s="409"/>
      <c r="C503" s="538"/>
      <c r="D503" s="538"/>
      <c r="E503" s="538"/>
      <c r="F503" s="538"/>
      <c r="G503" s="538"/>
    </row>
    <row r="504" spans="1:7">
      <c r="A504" s="409"/>
      <c r="B504" s="409"/>
      <c r="C504" s="538"/>
      <c r="D504" s="538"/>
      <c r="E504" s="538"/>
      <c r="F504" s="538"/>
      <c r="G504" s="538"/>
    </row>
    <row r="505" spans="1:7">
      <c r="A505" s="409"/>
      <c r="B505" s="409"/>
      <c r="C505" s="538"/>
      <c r="D505" s="538"/>
      <c r="E505" s="538"/>
      <c r="F505" s="538"/>
      <c r="G505" s="538"/>
    </row>
    <row r="506" spans="1:7">
      <c r="A506" s="409"/>
      <c r="B506" s="409"/>
      <c r="C506" s="538"/>
      <c r="D506" s="538"/>
      <c r="E506" s="538"/>
      <c r="F506" s="538"/>
      <c r="G506" s="538"/>
    </row>
    <row r="507" spans="1:7">
      <c r="A507" s="409"/>
      <c r="B507" s="409"/>
      <c r="C507" s="538"/>
      <c r="D507" s="538"/>
      <c r="E507" s="538"/>
      <c r="F507" s="538"/>
      <c r="G507" s="538"/>
    </row>
    <row r="508" spans="1:7">
      <c r="A508" s="409"/>
      <c r="B508" s="409"/>
      <c r="C508" s="538"/>
      <c r="D508" s="538"/>
      <c r="E508" s="538"/>
      <c r="F508" s="538"/>
      <c r="G508" s="538"/>
    </row>
    <row r="509" spans="1:7">
      <c r="A509" s="409"/>
      <c r="B509" s="409"/>
      <c r="C509" s="538"/>
      <c r="D509" s="538"/>
      <c r="E509" s="538"/>
      <c r="F509" s="538"/>
      <c r="G509" s="538"/>
    </row>
    <row r="510" spans="1:7">
      <c r="A510" s="409"/>
      <c r="B510" s="409"/>
      <c r="C510" s="538"/>
      <c r="D510" s="538"/>
      <c r="E510" s="538"/>
      <c r="F510" s="538"/>
      <c r="G510" s="538"/>
    </row>
    <row r="511" spans="1:7">
      <c r="A511" s="409"/>
      <c r="B511" s="409"/>
      <c r="C511" s="538"/>
      <c r="D511" s="538"/>
      <c r="E511" s="538"/>
      <c r="F511" s="538"/>
      <c r="G511" s="538"/>
    </row>
    <row r="512" spans="1:7">
      <c r="A512" s="409"/>
      <c r="B512" s="409"/>
      <c r="C512" s="538"/>
      <c r="D512" s="538"/>
      <c r="E512" s="538"/>
      <c r="F512" s="538"/>
      <c r="G512" s="538"/>
    </row>
    <row r="513" spans="1:7">
      <c r="A513" s="409"/>
      <c r="B513" s="409"/>
      <c r="C513" s="538"/>
      <c r="D513" s="538"/>
      <c r="E513" s="538"/>
      <c r="F513" s="538"/>
      <c r="G513" s="538"/>
    </row>
    <row r="514" spans="1:7">
      <c r="A514" s="409"/>
      <c r="B514" s="409"/>
      <c r="C514" s="538"/>
      <c r="D514" s="538"/>
      <c r="E514" s="538"/>
      <c r="F514" s="538"/>
      <c r="G514" s="538"/>
    </row>
    <row r="515" spans="1:7">
      <c r="A515" s="409"/>
      <c r="B515" s="409"/>
      <c r="C515" s="538"/>
      <c r="D515" s="538"/>
      <c r="E515" s="538"/>
      <c r="F515" s="538"/>
      <c r="G515" s="538"/>
    </row>
    <row r="516" spans="1:7">
      <c r="A516" s="409"/>
      <c r="B516" s="409"/>
      <c r="C516" s="538"/>
      <c r="D516" s="538"/>
      <c r="E516" s="538"/>
      <c r="F516" s="538"/>
      <c r="G516" s="538"/>
    </row>
    <row r="517" spans="1:7">
      <c r="A517" s="409"/>
      <c r="B517" s="409"/>
      <c r="C517" s="538"/>
      <c r="D517" s="538"/>
      <c r="E517" s="538"/>
      <c r="F517" s="538"/>
      <c r="G517" s="538"/>
    </row>
    <row r="518" spans="1:7">
      <c r="A518" s="409"/>
      <c r="B518" s="409"/>
      <c r="C518" s="538"/>
      <c r="D518" s="538"/>
      <c r="E518" s="538"/>
      <c r="F518" s="538"/>
      <c r="G518" s="538"/>
    </row>
    <row r="519" spans="1:7">
      <c r="A519" s="409"/>
      <c r="B519" s="409"/>
      <c r="C519" s="538"/>
      <c r="D519" s="538"/>
      <c r="E519" s="538"/>
      <c r="F519" s="538"/>
      <c r="G519" s="538"/>
    </row>
    <row r="520" spans="1:7">
      <c r="A520" s="409"/>
      <c r="B520" s="409"/>
      <c r="C520" s="538"/>
      <c r="D520" s="538"/>
      <c r="E520" s="538"/>
      <c r="F520" s="538"/>
      <c r="G520" s="538"/>
    </row>
    <row r="521" spans="1:7">
      <c r="A521" s="409"/>
      <c r="B521" s="409"/>
      <c r="C521" s="538"/>
      <c r="D521" s="538"/>
      <c r="E521" s="538"/>
      <c r="F521" s="538"/>
      <c r="G521" s="538"/>
    </row>
    <row r="522" spans="1:7">
      <c r="A522" s="409"/>
      <c r="B522" s="409"/>
      <c r="C522" s="538"/>
      <c r="D522" s="538"/>
      <c r="E522" s="538"/>
      <c r="F522" s="538"/>
      <c r="G522" s="538"/>
    </row>
    <row r="523" spans="1:7">
      <c r="A523" s="409"/>
      <c r="B523" s="409"/>
      <c r="C523" s="538"/>
      <c r="D523" s="538"/>
      <c r="E523" s="538"/>
      <c r="F523" s="538"/>
      <c r="G523" s="538"/>
    </row>
    <row r="524" spans="1:7">
      <c r="A524" s="409"/>
      <c r="B524" s="409"/>
      <c r="C524" s="538"/>
      <c r="D524" s="538"/>
      <c r="E524" s="538"/>
      <c r="F524" s="538"/>
      <c r="G524" s="538"/>
    </row>
    <row r="525" spans="1:7">
      <c r="A525" s="409"/>
      <c r="B525" s="409"/>
      <c r="C525" s="538"/>
      <c r="D525" s="538"/>
      <c r="E525" s="538"/>
      <c r="F525" s="538"/>
      <c r="G525" s="538"/>
    </row>
    <row r="526" spans="1:7">
      <c r="A526" s="409"/>
      <c r="B526" s="409"/>
      <c r="C526" s="538"/>
      <c r="D526" s="538"/>
      <c r="E526" s="538"/>
      <c r="F526" s="538"/>
      <c r="G526" s="538"/>
    </row>
    <row r="527" spans="1:7">
      <c r="A527" s="409"/>
      <c r="B527" s="409"/>
      <c r="C527" s="538"/>
      <c r="D527" s="538"/>
      <c r="E527" s="538"/>
      <c r="F527" s="538"/>
      <c r="G527" s="538"/>
    </row>
    <row r="528" spans="1:7">
      <c r="A528" s="409"/>
      <c r="B528" s="409"/>
      <c r="C528" s="538"/>
      <c r="D528" s="538"/>
      <c r="E528" s="538"/>
      <c r="F528" s="538"/>
      <c r="G528" s="538"/>
    </row>
    <row r="529" spans="1:7">
      <c r="A529" s="409"/>
      <c r="B529" s="409"/>
      <c r="C529" s="538"/>
      <c r="D529" s="538"/>
      <c r="E529" s="538"/>
      <c r="F529" s="538"/>
      <c r="G529" s="538"/>
    </row>
    <row r="530" spans="1:7">
      <c r="A530" s="409"/>
      <c r="B530" s="409"/>
      <c r="C530" s="538"/>
      <c r="D530" s="538"/>
      <c r="E530" s="538"/>
      <c r="F530" s="538"/>
      <c r="G530" s="538"/>
    </row>
    <row r="531" spans="1:7">
      <c r="A531" s="409"/>
      <c r="B531" s="409"/>
      <c r="C531" s="538"/>
      <c r="D531" s="538"/>
      <c r="E531" s="538"/>
      <c r="F531" s="538"/>
      <c r="G531" s="538"/>
    </row>
    <row r="532" spans="1:7">
      <c r="A532" s="409"/>
      <c r="B532" s="409"/>
      <c r="C532" s="538"/>
      <c r="D532" s="538"/>
      <c r="E532" s="538"/>
      <c r="F532" s="538"/>
      <c r="G532" s="538"/>
    </row>
    <row r="533" spans="1:7">
      <c r="A533" s="409"/>
      <c r="B533" s="409"/>
      <c r="C533" s="538"/>
      <c r="D533" s="538"/>
      <c r="E533" s="538"/>
      <c r="F533" s="538"/>
      <c r="G533" s="538"/>
    </row>
    <row r="534" spans="1:7">
      <c r="A534" s="409"/>
      <c r="B534" s="409"/>
      <c r="C534" s="538"/>
      <c r="D534" s="538"/>
      <c r="E534" s="538"/>
      <c r="F534" s="538"/>
      <c r="G534" s="538"/>
    </row>
    <row r="535" spans="1:7">
      <c r="A535" s="409"/>
      <c r="B535" s="409"/>
      <c r="C535" s="538"/>
      <c r="D535" s="538"/>
      <c r="E535" s="538"/>
      <c r="F535" s="538"/>
      <c r="G535" s="538"/>
    </row>
    <row r="536" spans="1:7">
      <c r="A536" s="409"/>
      <c r="B536" s="409"/>
      <c r="C536" s="538"/>
      <c r="D536" s="538"/>
      <c r="E536" s="538"/>
      <c r="F536" s="538"/>
      <c r="G536" s="538"/>
    </row>
    <row r="537" spans="1:7">
      <c r="A537" s="409"/>
      <c r="B537" s="409"/>
      <c r="C537" s="538"/>
      <c r="D537" s="538"/>
      <c r="E537" s="538"/>
      <c r="F537" s="538"/>
      <c r="G537" s="538"/>
    </row>
    <row r="538" spans="1:7">
      <c r="A538" s="409"/>
      <c r="B538" s="409"/>
      <c r="C538" s="538"/>
      <c r="D538" s="538"/>
      <c r="E538" s="538"/>
      <c r="F538" s="538"/>
      <c r="G538" s="538"/>
    </row>
    <row r="539" spans="1:7">
      <c r="A539" s="409"/>
      <c r="B539" s="409"/>
      <c r="C539" s="538"/>
      <c r="D539" s="538"/>
      <c r="E539" s="538"/>
      <c r="F539" s="538"/>
      <c r="G539" s="538"/>
    </row>
    <row r="540" spans="1:7">
      <c r="A540" s="409"/>
      <c r="B540" s="409"/>
      <c r="C540" s="538"/>
      <c r="D540" s="538"/>
      <c r="E540" s="538"/>
      <c r="F540" s="538"/>
      <c r="G540" s="538"/>
    </row>
    <row r="541" spans="1:7">
      <c r="A541" s="409"/>
      <c r="B541" s="409"/>
      <c r="C541" s="538"/>
      <c r="D541" s="538"/>
      <c r="E541" s="538"/>
      <c r="F541" s="538"/>
      <c r="G541" s="538"/>
    </row>
    <row r="542" spans="1:7">
      <c r="A542" s="409"/>
      <c r="B542" s="409"/>
      <c r="C542" s="538"/>
      <c r="D542" s="538"/>
      <c r="E542" s="538"/>
      <c r="F542" s="538"/>
      <c r="G542" s="538"/>
    </row>
    <row r="543" spans="1:7">
      <c r="A543" s="409"/>
      <c r="B543" s="409"/>
      <c r="C543" s="538"/>
      <c r="D543" s="538"/>
      <c r="E543" s="538"/>
      <c r="F543" s="538"/>
      <c r="G543" s="538"/>
    </row>
    <row r="544" spans="1:7">
      <c r="A544" s="409"/>
      <c r="B544" s="409"/>
      <c r="C544" s="538"/>
      <c r="D544" s="538"/>
      <c r="E544" s="538"/>
      <c r="F544" s="538"/>
      <c r="G544" s="538"/>
    </row>
    <row r="545" spans="1:7">
      <c r="A545" s="409"/>
      <c r="B545" s="409"/>
      <c r="C545" s="538"/>
      <c r="D545" s="538"/>
      <c r="E545" s="538"/>
      <c r="F545" s="538"/>
      <c r="G545" s="538"/>
    </row>
    <row r="546" spans="1:7">
      <c r="A546" s="409"/>
      <c r="B546" s="409"/>
      <c r="C546" s="538"/>
      <c r="D546" s="538"/>
      <c r="E546" s="538"/>
      <c r="F546" s="538"/>
      <c r="G546" s="538"/>
    </row>
    <row r="547" spans="1:7">
      <c r="A547" s="409"/>
      <c r="B547" s="409"/>
      <c r="C547" s="538"/>
      <c r="D547" s="538"/>
      <c r="E547" s="538"/>
      <c r="F547" s="538"/>
      <c r="G547" s="538"/>
    </row>
    <row r="548" spans="1:7">
      <c r="A548" s="409"/>
      <c r="B548" s="409"/>
      <c r="C548" s="538"/>
      <c r="D548" s="538"/>
      <c r="E548" s="538"/>
      <c r="F548" s="538"/>
      <c r="G548" s="538"/>
    </row>
    <row r="549" spans="1:7">
      <c r="A549" s="409"/>
      <c r="B549" s="409"/>
      <c r="C549" s="538"/>
      <c r="D549" s="538"/>
      <c r="E549" s="538"/>
      <c r="F549" s="538"/>
      <c r="G549" s="538"/>
    </row>
    <row r="550" spans="1:7">
      <c r="A550" s="409"/>
      <c r="B550" s="409"/>
      <c r="C550" s="538"/>
      <c r="D550" s="538"/>
      <c r="E550" s="538"/>
      <c r="F550" s="538"/>
      <c r="G550" s="538"/>
    </row>
    <row r="551" spans="1:7">
      <c r="A551" s="409"/>
      <c r="B551" s="409"/>
      <c r="C551" s="538"/>
      <c r="D551" s="538"/>
      <c r="E551" s="538"/>
      <c r="F551" s="538"/>
      <c r="G551" s="538"/>
    </row>
    <row r="552" spans="1:7">
      <c r="A552" s="409"/>
      <c r="B552" s="409"/>
      <c r="C552" s="538"/>
      <c r="D552" s="538"/>
      <c r="E552" s="538"/>
      <c r="F552" s="538"/>
      <c r="G552" s="538"/>
    </row>
    <row r="553" spans="1:7">
      <c r="A553" s="409"/>
      <c r="B553" s="409"/>
      <c r="C553" s="538"/>
      <c r="D553" s="538"/>
      <c r="E553" s="538"/>
      <c r="F553" s="538"/>
      <c r="G553" s="538"/>
    </row>
    <row r="554" spans="1:7">
      <c r="A554" s="409"/>
      <c r="B554" s="409"/>
      <c r="C554" s="538"/>
      <c r="D554" s="538"/>
      <c r="E554" s="538"/>
      <c r="F554" s="538"/>
      <c r="G554" s="538"/>
    </row>
    <row r="555" spans="1:7">
      <c r="A555" s="409"/>
      <c r="B555" s="409"/>
      <c r="C555" s="538"/>
      <c r="D555" s="538"/>
      <c r="E555" s="538"/>
      <c r="F555" s="538"/>
      <c r="G555" s="538"/>
    </row>
    <row r="556" spans="1:7">
      <c r="A556" s="409"/>
      <c r="B556" s="409"/>
      <c r="C556" s="538"/>
      <c r="D556" s="538"/>
      <c r="E556" s="538"/>
      <c r="F556" s="538"/>
      <c r="G556" s="538"/>
    </row>
    <row r="557" spans="1:7">
      <c r="A557" s="409"/>
      <c r="B557" s="409"/>
      <c r="C557" s="538"/>
      <c r="D557" s="538"/>
      <c r="E557" s="538"/>
      <c r="F557" s="538"/>
      <c r="G557" s="538"/>
    </row>
    <row r="558" spans="1:7">
      <c r="A558" s="409"/>
      <c r="B558" s="409"/>
      <c r="C558" s="538"/>
      <c r="D558" s="538"/>
      <c r="E558" s="538"/>
      <c r="F558" s="538"/>
      <c r="G558" s="538"/>
    </row>
    <row r="559" spans="1:7">
      <c r="A559" s="409"/>
      <c r="B559" s="409"/>
      <c r="C559" s="538"/>
      <c r="D559" s="538"/>
      <c r="E559" s="538"/>
      <c r="F559" s="538"/>
      <c r="G559" s="538"/>
    </row>
    <row r="560" spans="1:7">
      <c r="A560" s="409"/>
      <c r="B560" s="409"/>
      <c r="C560" s="538"/>
      <c r="D560" s="538"/>
      <c r="E560" s="538"/>
      <c r="F560" s="538"/>
      <c r="G560" s="538"/>
    </row>
    <row r="561" spans="1:7">
      <c r="A561" s="409"/>
      <c r="B561" s="409"/>
      <c r="C561" s="538"/>
      <c r="D561" s="538"/>
      <c r="E561" s="538"/>
      <c r="F561" s="538"/>
      <c r="G561" s="538"/>
    </row>
    <row r="562" spans="1:7">
      <c r="A562" s="409"/>
      <c r="B562" s="409"/>
      <c r="C562" s="538"/>
      <c r="D562" s="538"/>
      <c r="E562" s="538"/>
      <c r="F562" s="538"/>
      <c r="G562" s="538"/>
    </row>
    <row r="563" spans="1:7">
      <c r="A563" s="409"/>
      <c r="B563" s="409"/>
      <c r="C563" s="538"/>
      <c r="D563" s="538"/>
      <c r="E563" s="538"/>
      <c r="F563" s="538"/>
      <c r="G563" s="538"/>
    </row>
    <row r="564" spans="1:7">
      <c r="A564" s="409"/>
      <c r="B564" s="409"/>
      <c r="C564" s="538"/>
      <c r="D564" s="538"/>
      <c r="E564" s="538"/>
      <c r="F564" s="538"/>
      <c r="G564" s="538"/>
    </row>
    <row r="565" spans="1:7">
      <c r="A565" s="409"/>
      <c r="B565" s="409"/>
      <c r="C565" s="538"/>
      <c r="D565" s="538"/>
      <c r="E565" s="538"/>
      <c r="F565" s="538"/>
      <c r="G565" s="538"/>
    </row>
    <row r="566" spans="1:7">
      <c r="A566" s="409"/>
      <c r="B566" s="409"/>
      <c r="C566" s="538"/>
      <c r="D566" s="538"/>
      <c r="E566" s="538"/>
      <c r="F566" s="538"/>
      <c r="G566" s="538"/>
    </row>
    <row r="567" spans="1:7">
      <c r="A567" s="409"/>
      <c r="B567" s="409"/>
      <c r="C567" s="538"/>
      <c r="D567" s="538"/>
      <c r="E567" s="538"/>
      <c r="F567" s="538"/>
      <c r="G567" s="538"/>
    </row>
    <row r="568" spans="1:7">
      <c r="A568" s="409"/>
      <c r="B568" s="409"/>
      <c r="C568" s="538"/>
      <c r="D568" s="538"/>
      <c r="E568" s="538"/>
      <c r="F568" s="538"/>
      <c r="G568" s="538"/>
    </row>
    <row r="569" spans="1:7">
      <c r="A569" s="409"/>
      <c r="B569" s="409"/>
      <c r="C569" s="538"/>
      <c r="D569" s="538"/>
      <c r="E569" s="538"/>
      <c r="F569" s="538"/>
      <c r="G569" s="538"/>
    </row>
    <row r="570" spans="1:7">
      <c r="A570" s="409"/>
      <c r="B570" s="409"/>
      <c r="C570" s="538"/>
      <c r="D570" s="538"/>
      <c r="E570" s="538"/>
      <c r="F570" s="538"/>
      <c r="G570" s="538"/>
    </row>
    <row r="571" spans="1:7">
      <c r="A571" s="409"/>
      <c r="B571" s="409"/>
      <c r="C571" s="538"/>
      <c r="D571" s="538"/>
      <c r="E571" s="538"/>
      <c r="F571" s="538"/>
      <c r="G571" s="538"/>
    </row>
    <row r="572" spans="1:7">
      <c r="A572" s="409"/>
      <c r="B572" s="409"/>
      <c r="C572" s="538"/>
      <c r="D572" s="538"/>
      <c r="E572" s="538"/>
      <c r="F572" s="538"/>
      <c r="G572" s="538"/>
    </row>
    <row r="573" spans="1:7">
      <c r="A573" s="409"/>
      <c r="B573" s="409"/>
      <c r="C573" s="538"/>
      <c r="D573" s="538"/>
      <c r="E573" s="538"/>
      <c r="F573" s="538"/>
      <c r="G573" s="538"/>
    </row>
    <row r="574" spans="1:7">
      <c r="A574" s="409"/>
      <c r="B574" s="409"/>
      <c r="C574" s="538"/>
      <c r="D574" s="538"/>
      <c r="E574" s="538"/>
      <c r="F574" s="538"/>
      <c r="G574" s="538"/>
    </row>
    <row r="575" spans="1:7">
      <c r="A575" s="409"/>
      <c r="B575" s="409"/>
      <c r="C575" s="538"/>
      <c r="D575" s="538"/>
      <c r="E575" s="538"/>
      <c r="F575" s="538"/>
      <c r="G575" s="538"/>
    </row>
    <row r="576" spans="1:7">
      <c r="A576" s="409"/>
      <c r="B576" s="409"/>
      <c r="C576" s="538"/>
      <c r="D576" s="538"/>
      <c r="E576" s="538"/>
      <c r="F576" s="538"/>
      <c r="G576" s="538"/>
    </row>
    <row r="577" spans="1:7">
      <c r="A577" s="409"/>
      <c r="B577" s="409"/>
      <c r="C577" s="538"/>
      <c r="D577" s="538"/>
      <c r="E577" s="538"/>
      <c r="F577" s="538"/>
      <c r="G577" s="538"/>
    </row>
    <row r="578" spans="1:7">
      <c r="A578" s="409"/>
      <c r="B578" s="409"/>
      <c r="C578" s="538"/>
      <c r="D578" s="538"/>
      <c r="E578" s="538"/>
      <c r="F578" s="538"/>
      <c r="G578" s="538"/>
    </row>
    <row r="579" spans="1:7">
      <c r="A579" s="409"/>
      <c r="B579" s="409"/>
      <c r="C579" s="538"/>
      <c r="D579" s="538"/>
      <c r="E579" s="538"/>
      <c r="F579" s="538"/>
      <c r="G579" s="538"/>
    </row>
    <row r="580" spans="1:7">
      <c r="A580" s="409"/>
      <c r="B580" s="409"/>
      <c r="C580" s="538"/>
      <c r="D580" s="538"/>
      <c r="E580" s="538"/>
      <c r="F580" s="538"/>
      <c r="G580" s="538"/>
    </row>
    <row r="581" spans="1:7">
      <c r="A581" s="409"/>
      <c r="B581" s="409"/>
      <c r="C581" s="538"/>
      <c r="D581" s="538"/>
      <c r="E581" s="538"/>
      <c r="F581" s="538"/>
      <c r="G581" s="538"/>
    </row>
    <row r="582" spans="1:7">
      <c r="A582" s="409"/>
      <c r="B582" s="409"/>
      <c r="C582" s="538"/>
      <c r="D582" s="538"/>
      <c r="E582" s="538"/>
      <c r="F582" s="538"/>
      <c r="G582" s="538"/>
    </row>
    <row r="583" spans="1:7">
      <c r="A583" s="409"/>
      <c r="B583" s="409"/>
      <c r="C583" s="538"/>
      <c r="D583" s="538"/>
      <c r="E583" s="538"/>
      <c r="F583" s="538"/>
      <c r="G583" s="538"/>
    </row>
    <row r="584" spans="1:7">
      <c r="A584" s="409"/>
      <c r="B584" s="409"/>
      <c r="C584" s="538"/>
      <c r="D584" s="538"/>
      <c r="E584" s="538"/>
      <c r="F584" s="538"/>
      <c r="G584" s="538"/>
    </row>
    <row r="585" spans="1:7">
      <c r="A585" s="409"/>
      <c r="B585" s="409"/>
      <c r="C585" s="538"/>
      <c r="D585" s="538"/>
      <c r="E585" s="538"/>
      <c r="F585" s="538"/>
      <c r="G585" s="538"/>
    </row>
    <row r="586" spans="1:7">
      <c r="A586" s="409"/>
      <c r="B586" s="409"/>
      <c r="C586" s="538"/>
      <c r="D586" s="538"/>
      <c r="E586" s="538"/>
      <c r="F586" s="538"/>
      <c r="G586" s="538"/>
    </row>
    <row r="587" spans="1:7">
      <c r="A587" s="409"/>
      <c r="B587" s="409"/>
      <c r="C587" s="538"/>
      <c r="D587" s="538"/>
      <c r="E587" s="538"/>
      <c r="F587" s="538"/>
      <c r="G587" s="538"/>
    </row>
    <row r="588" spans="1:7">
      <c r="A588" s="409"/>
      <c r="B588" s="409"/>
      <c r="C588" s="538"/>
      <c r="D588" s="538"/>
      <c r="E588" s="538"/>
      <c r="F588" s="538"/>
      <c r="G588" s="538"/>
    </row>
    <row r="589" spans="1:7">
      <c r="A589" s="409"/>
      <c r="B589" s="409"/>
      <c r="C589" s="538"/>
      <c r="D589" s="538"/>
      <c r="E589" s="538"/>
      <c r="F589" s="538"/>
      <c r="G589" s="538"/>
    </row>
    <row r="590" spans="1:7">
      <c r="A590" s="409"/>
      <c r="B590" s="409"/>
      <c r="C590" s="538"/>
      <c r="D590" s="538"/>
      <c r="E590" s="538"/>
      <c r="F590" s="538"/>
      <c r="G590" s="538"/>
    </row>
    <row r="591" spans="1:7">
      <c r="A591" s="409"/>
      <c r="B591" s="409"/>
      <c r="C591" s="538"/>
      <c r="D591" s="538"/>
      <c r="E591" s="538"/>
      <c r="F591" s="538"/>
      <c r="G591" s="538"/>
    </row>
    <row r="592" spans="1:7">
      <c r="A592" s="409"/>
      <c r="B592" s="409"/>
      <c r="C592" s="538"/>
      <c r="D592" s="538"/>
      <c r="E592" s="538"/>
      <c r="F592" s="538"/>
      <c r="G592" s="538"/>
    </row>
    <row r="593" spans="1:7">
      <c r="A593" s="409"/>
      <c r="B593" s="409"/>
      <c r="C593" s="538"/>
      <c r="D593" s="538"/>
      <c r="E593" s="538"/>
      <c r="F593" s="538"/>
      <c r="G593" s="538"/>
    </row>
    <row r="594" spans="1:7">
      <c r="A594" s="409"/>
      <c r="B594" s="409"/>
      <c r="C594" s="538"/>
      <c r="D594" s="538"/>
      <c r="E594" s="538"/>
      <c r="F594" s="538"/>
      <c r="G594" s="538"/>
    </row>
    <row r="595" spans="1:7">
      <c r="A595" s="409"/>
      <c r="B595" s="409"/>
      <c r="C595" s="538"/>
      <c r="D595" s="538"/>
      <c r="E595" s="538"/>
      <c r="F595" s="538"/>
      <c r="G595" s="538"/>
    </row>
    <row r="596" spans="1:7">
      <c r="A596" s="409"/>
      <c r="B596" s="409"/>
      <c r="C596" s="538"/>
      <c r="D596" s="538"/>
      <c r="E596" s="538"/>
      <c r="F596" s="538"/>
      <c r="G596" s="538"/>
    </row>
    <row r="597" spans="1:7">
      <c r="A597" s="409"/>
      <c r="B597" s="409"/>
      <c r="C597" s="538"/>
      <c r="D597" s="538"/>
      <c r="E597" s="538"/>
      <c r="F597" s="538"/>
      <c r="G597" s="538"/>
    </row>
    <row r="598" spans="1:7">
      <c r="A598" s="409"/>
      <c r="B598" s="409"/>
      <c r="C598" s="538"/>
      <c r="D598" s="538"/>
      <c r="E598" s="538"/>
      <c r="F598" s="538"/>
      <c r="G598" s="538"/>
    </row>
    <row r="599" spans="1:7">
      <c r="A599" s="409"/>
      <c r="B599" s="409"/>
      <c r="C599" s="538"/>
      <c r="D599" s="538"/>
      <c r="E599" s="538"/>
      <c r="F599" s="538"/>
      <c r="G599" s="538"/>
    </row>
    <row r="600" spans="1:7">
      <c r="A600" s="409"/>
      <c r="B600" s="409"/>
      <c r="C600" s="538"/>
      <c r="D600" s="538"/>
      <c r="E600" s="538"/>
      <c r="F600" s="538"/>
      <c r="G600" s="538"/>
    </row>
    <row r="601" spans="1:7">
      <c r="A601" s="409"/>
      <c r="B601" s="409"/>
      <c r="C601" s="538"/>
      <c r="D601" s="538"/>
      <c r="E601" s="538"/>
      <c r="F601" s="538"/>
      <c r="G601" s="538"/>
    </row>
    <row r="602" spans="1:7">
      <c r="A602" s="409"/>
      <c r="B602" s="409"/>
      <c r="C602" s="538"/>
      <c r="D602" s="538"/>
      <c r="E602" s="538"/>
      <c r="F602" s="538"/>
      <c r="G602" s="538"/>
    </row>
    <row r="603" spans="1:7">
      <c r="A603" s="409"/>
      <c r="B603" s="409"/>
      <c r="C603" s="538"/>
      <c r="D603" s="538"/>
      <c r="E603" s="538"/>
      <c r="F603" s="538"/>
      <c r="G603" s="538"/>
    </row>
    <row r="604" spans="1:7">
      <c r="A604" s="409"/>
      <c r="B604" s="409"/>
      <c r="C604" s="538"/>
      <c r="D604" s="538"/>
      <c r="E604" s="538"/>
      <c r="F604" s="538"/>
      <c r="G604" s="538"/>
    </row>
    <row r="605" spans="1:7">
      <c r="A605" s="409"/>
      <c r="B605" s="409"/>
      <c r="C605" s="538"/>
      <c r="D605" s="538"/>
      <c r="E605" s="538"/>
      <c r="F605" s="538"/>
      <c r="G605" s="538"/>
    </row>
    <row r="606" spans="1:7">
      <c r="A606" s="409"/>
      <c r="B606" s="409"/>
      <c r="C606" s="538"/>
      <c r="D606" s="538"/>
      <c r="E606" s="538"/>
      <c r="F606" s="538"/>
      <c r="G606" s="538"/>
    </row>
    <row r="607" spans="1:7">
      <c r="A607" s="409"/>
      <c r="B607" s="409"/>
      <c r="C607" s="538"/>
      <c r="D607" s="538"/>
      <c r="E607" s="538"/>
      <c r="F607" s="538"/>
      <c r="G607" s="538"/>
    </row>
    <row r="608" spans="1:7">
      <c r="A608" s="409"/>
      <c r="B608" s="409"/>
      <c r="C608" s="538"/>
      <c r="D608" s="538"/>
      <c r="E608" s="538"/>
      <c r="F608" s="538"/>
      <c r="G608" s="538"/>
    </row>
    <row r="609" spans="1:7">
      <c r="A609" s="409"/>
      <c r="B609" s="409"/>
      <c r="C609" s="538"/>
      <c r="D609" s="538"/>
      <c r="E609" s="538"/>
      <c r="F609" s="538"/>
      <c r="G609" s="538"/>
    </row>
    <row r="610" spans="1:7">
      <c r="A610" s="409"/>
      <c r="B610" s="409"/>
      <c r="C610" s="538"/>
      <c r="D610" s="538"/>
      <c r="E610" s="538"/>
      <c r="F610" s="538"/>
      <c r="G610" s="538"/>
    </row>
    <row r="611" spans="1:7">
      <c r="A611" s="409"/>
      <c r="B611" s="409"/>
      <c r="C611" s="538"/>
      <c r="D611" s="538"/>
      <c r="E611" s="538"/>
      <c r="F611" s="538"/>
      <c r="G611" s="538"/>
    </row>
    <row r="612" spans="1:7">
      <c r="A612" s="409"/>
      <c r="B612" s="409"/>
      <c r="C612" s="538"/>
      <c r="D612" s="538"/>
      <c r="E612" s="538"/>
      <c r="F612" s="538"/>
      <c r="G612" s="538"/>
    </row>
    <row r="613" spans="1:7">
      <c r="A613" s="409"/>
      <c r="B613" s="409"/>
      <c r="C613" s="538"/>
      <c r="D613" s="538"/>
      <c r="E613" s="538"/>
      <c r="F613" s="538"/>
      <c r="G613" s="538"/>
    </row>
    <row r="614" spans="1:7">
      <c r="A614" s="409"/>
      <c r="B614" s="409"/>
      <c r="C614" s="538"/>
      <c r="D614" s="538"/>
      <c r="E614" s="538"/>
      <c r="F614" s="538"/>
      <c r="G614" s="538"/>
    </row>
    <row r="615" spans="1:7">
      <c r="A615" s="409"/>
      <c r="B615" s="409"/>
      <c r="C615" s="538"/>
      <c r="D615" s="538"/>
      <c r="E615" s="538"/>
      <c r="F615" s="538"/>
      <c r="G615" s="538"/>
    </row>
    <row r="616" spans="1:7">
      <c r="A616" s="409"/>
      <c r="B616" s="409"/>
      <c r="C616" s="538"/>
      <c r="D616" s="538"/>
      <c r="E616" s="538"/>
      <c r="F616" s="538"/>
      <c r="G616" s="538"/>
    </row>
    <row r="617" spans="1:7">
      <c r="A617" s="409"/>
      <c r="B617" s="409"/>
      <c r="C617" s="538"/>
      <c r="D617" s="538"/>
      <c r="E617" s="538"/>
      <c r="F617" s="538"/>
      <c r="G617" s="538"/>
    </row>
    <row r="618" spans="1:7">
      <c r="A618" s="409"/>
      <c r="B618" s="409"/>
      <c r="C618" s="538"/>
      <c r="D618" s="538"/>
      <c r="E618" s="538"/>
      <c r="F618" s="538"/>
      <c r="G618" s="538"/>
    </row>
    <row r="619" spans="1:7">
      <c r="A619" s="409"/>
      <c r="B619" s="409"/>
      <c r="C619" s="538"/>
      <c r="D619" s="538"/>
      <c r="E619" s="538"/>
      <c r="F619" s="538"/>
      <c r="G619" s="538"/>
    </row>
    <row r="620" spans="1:7">
      <c r="A620" s="409"/>
      <c r="B620" s="409"/>
      <c r="C620" s="538"/>
      <c r="D620" s="538"/>
      <c r="E620" s="538"/>
      <c r="F620" s="538"/>
      <c r="G620" s="538"/>
    </row>
    <row r="621" spans="1:7">
      <c r="A621" s="409"/>
      <c r="B621" s="409"/>
      <c r="C621" s="538"/>
      <c r="D621" s="538"/>
      <c r="E621" s="538"/>
      <c r="F621" s="538"/>
      <c r="G621" s="538"/>
    </row>
    <row r="622" spans="1:7">
      <c r="A622" s="409"/>
      <c r="B622" s="409"/>
      <c r="C622" s="538"/>
      <c r="D622" s="538"/>
      <c r="E622" s="538"/>
      <c r="F622" s="538"/>
      <c r="G622" s="538"/>
    </row>
    <row r="623" spans="1:7">
      <c r="A623" s="409"/>
      <c r="B623" s="409"/>
      <c r="C623" s="538"/>
      <c r="D623" s="538"/>
      <c r="E623" s="538"/>
      <c r="F623" s="538"/>
      <c r="G623" s="538"/>
    </row>
    <row r="624" spans="1:7">
      <c r="A624" s="409"/>
      <c r="B624" s="409"/>
      <c r="C624" s="538"/>
      <c r="D624" s="538"/>
      <c r="E624" s="538"/>
      <c r="F624" s="538"/>
      <c r="G624" s="538"/>
    </row>
    <row r="625" spans="1:7">
      <c r="A625" s="409"/>
      <c r="B625" s="409"/>
      <c r="C625" s="538"/>
      <c r="D625" s="538"/>
      <c r="E625" s="538"/>
      <c r="F625" s="538"/>
      <c r="G625" s="538"/>
    </row>
    <row r="626" spans="1:7">
      <c r="A626" s="409"/>
      <c r="B626" s="409"/>
      <c r="C626" s="538"/>
      <c r="D626" s="538"/>
      <c r="E626" s="538"/>
      <c r="F626" s="538"/>
      <c r="G626" s="538"/>
    </row>
    <row r="627" spans="1:7">
      <c r="A627" s="409"/>
      <c r="B627" s="409"/>
      <c r="C627" s="538"/>
      <c r="D627" s="538"/>
      <c r="E627" s="538"/>
      <c r="F627" s="538"/>
      <c r="G627" s="538"/>
    </row>
    <row r="628" spans="1:7">
      <c r="A628" s="409"/>
      <c r="B628" s="409"/>
      <c r="C628" s="538"/>
      <c r="D628" s="538"/>
      <c r="E628" s="538"/>
      <c r="F628" s="538"/>
      <c r="G628" s="538"/>
    </row>
    <row r="629" spans="1:7">
      <c r="A629" s="409"/>
      <c r="B629" s="409"/>
      <c r="C629" s="538"/>
      <c r="D629" s="538"/>
      <c r="E629" s="538"/>
      <c r="F629" s="538"/>
      <c r="G629" s="538"/>
    </row>
    <row r="630" spans="1:7">
      <c r="A630" s="409"/>
      <c r="B630" s="409"/>
      <c r="C630" s="538"/>
      <c r="D630" s="538"/>
      <c r="E630" s="538"/>
      <c r="F630" s="538"/>
      <c r="G630" s="538"/>
    </row>
    <row r="631" spans="1:7">
      <c r="A631" s="409"/>
      <c r="B631" s="409"/>
      <c r="C631" s="538"/>
      <c r="D631" s="538"/>
      <c r="E631" s="538"/>
      <c r="F631" s="538"/>
      <c r="G631" s="538"/>
    </row>
    <row r="632" spans="1:7">
      <c r="A632" s="409"/>
      <c r="B632" s="409"/>
      <c r="C632" s="538"/>
      <c r="D632" s="538"/>
      <c r="E632" s="538"/>
      <c r="F632" s="538"/>
      <c r="G632" s="538"/>
    </row>
    <row r="633" spans="1:7">
      <c r="A633" s="409"/>
      <c r="B633" s="409"/>
      <c r="C633" s="538"/>
      <c r="D633" s="538"/>
      <c r="E633" s="538"/>
      <c r="F633" s="538"/>
      <c r="G633" s="538"/>
    </row>
    <row r="634" spans="1:7">
      <c r="A634" s="409"/>
      <c r="B634" s="409"/>
      <c r="C634" s="538"/>
      <c r="D634" s="538"/>
      <c r="E634" s="538"/>
      <c r="F634" s="538"/>
      <c r="G634" s="538"/>
    </row>
    <row r="635" spans="1:7">
      <c r="A635" s="409"/>
      <c r="B635" s="409"/>
      <c r="C635" s="538"/>
      <c r="D635" s="538"/>
      <c r="E635" s="538"/>
      <c r="F635" s="538"/>
      <c r="G635" s="538"/>
    </row>
    <row r="636" spans="1:7">
      <c r="A636" s="409"/>
      <c r="B636" s="409"/>
      <c r="C636" s="538"/>
      <c r="D636" s="538"/>
      <c r="E636" s="538"/>
      <c r="F636" s="538"/>
      <c r="G636" s="538"/>
    </row>
    <row r="637" spans="1:7">
      <c r="A637" s="409"/>
      <c r="B637" s="409"/>
      <c r="C637" s="538"/>
      <c r="D637" s="538"/>
      <c r="E637" s="538"/>
      <c r="F637" s="538"/>
      <c r="G637" s="538"/>
    </row>
    <row r="638" spans="1:7">
      <c r="A638" s="409"/>
      <c r="B638" s="409"/>
      <c r="C638" s="538"/>
      <c r="D638" s="538"/>
      <c r="E638" s="538"/>
      <c r="F638" s="538"/>
      <c r="G638" s="538"/>
    </row>
    <row r="639" spans="1:7">
      <c r="A639" s="409"/>
      <c r="B639" s="409"/>
      <c r="C639" s="538"/>
      <c r="D639" s="538"/>
      <c r="E639" s="538"/>
      <c r="F639" s="538"/>
      <c r="G639" s="538"/>
    </row>
    <row r="640" spans="1:7">
      <c r="A640" s="409"/>
      <c r="B640" s="409"/>
      <c r="C640" s="538"/>
      <c r="D640" s="538"/>
      <c r="E640" s="538"/>
      <c r="F640" s="538"/>
      <c r="G640" s="538"/>
    </row>
    <row r="641" spans="1:7">
      <c r="A641" s="409"/>
      <c r="B641" s="409"/>
      <c r="C641" s="538"/>
      <c r="D641" s="538"/>
      <c r="E641" s="538"/>
      <c r="F641" s="538"/>
      <c r="G641" s="538"/>
    </row>
    <row r="642" spans="1:7">
      <c r="A642" s="409"/>
      <c r="B642" s="409"/>
      <c r="C642" s="538"/>
      <c r="D642" s="538"/>
      <c r="E642" s="538"/>
      <c r="F642" s="538"/>
      <c r="G642" s="538"/>
    </row>
    <row r="643" spans="1:7">
      <c r="A643" s="409"/>
      <c r="B643" s="409"/>
      <c r="C643" s="538"/>
      <c r="D643" s="538"/>
      <c r="E643" s="538"/>
      <c r="F643" s="538"/>
      <c r="G643" s="538"/>
    </row>
    <row r="644" spans="1:7">
      <c r="A644" s="409"/>
      <c r="B644" s="409"/>
      <c r="C644" s="538"/>
      <c r="D644" s="538"/>
      <c r="E644" s="538"/>
      <c r="F644" s="538"/>
      <c r="G644" s="538"/>
    </row>
    <row r="645" spans="1:7">
      <c r="A645" s="409"/>
      <c r="B645" s="409"/>
      <c r="C645" s="538"/>
      <c r="D645" s="538"/>
      <c r="E645" s="538"/>
      <c r="F645" s="538"/>
      <c r="G645" s="538"/>
    </row>
    <row r="646" spans="1:7">
      <c r="A646" s="409"/>
      <c r="B646" s="409"/>
      <c r="C646" s="538"/>
      <c r="D646" s="538"/>
      <c r="E646" s="538"/>
      <c r="F646" s="538"/>
      <c r="G646" s="538"/>
    </row>
    <row r="647" spans="1:7">
      <c r="A647" s="409"/>
      <c r="B647" s="409"/>
      <c r="C647" s="538"/>
      <c r="D647" s="538"/>
      <c r="E647" s="538"/>
      <c r="F647" s="538"/>
      <c r="G647" s="538"/>
    </row>
    <row r="648" spans="1:7">
      <c r="A648" s="409"/>
      <c r="B648" s="409"/>
      <c r="C648" s="538"/>
      <c r="D648" s="538"/>
      <c r="E648" s="538"/>
      <c r="F648" s="538"/>
      <c r="G648" s="538"/>
    </row>
    <row r="649" spans="1:7">
      <c r="A649" s="409"/>
      <c r="B649" s="409"/>
      <c r="C649" s="538"/>
      <c r="D649" s="538"/>
      <c r="E649" s="538"/>
      <c r="F649" s="538"/>
      <c r="G649" s="538"/>
    </row>
    <row r="650" spans="1:7">
      <c r="A650" s="409"/>
      <c r="B650" s="409"/>
      <c r="C650" s="538"/>
      <c r="D650" s="538"/>
      <c r="E650" s="538"/>
      <c r="F650" s="538"/>
      <c r="G650" s="538"/>
    </row>
    <row r="651" spans="1:7">
      <c r="A651" s="409"/>
      <c r="B651" s="409"/>
      <c r="C651" s="538"/>
      <c r="D651" s="538"/>
      <c r="E651" s="538"/>
      <c r="F651" s="538"/>
      <c r="G651" s="538"/>
    </row>
    <row r="652" spans="1:7">
      <c r="A652" s="409"/>
      <c r="B652" s="409"/>
      <c r="C652" s="538"/>
      <c r="D652" s="538"/>
      <c r="E652" s="538"/>
      <c r="F652" s="538"/>
      <c r="G652" s="538"/>
    </row>
    <row r="653" spans="1:7">
      <c r="A653" s="409"/>
      <c r="B653" s="409"/>
      <c r="C653" s="538"/>
      <c r="D653" s="538"/>
      <c r="E653" s="538"/>
      <c r="F653" s="538"/>
      <c r="G653" s="538"/>
    </row>
    <row r="654" spans="1:7">
      <c r="A654" s="409"/>
      <c r="B654" s="409"/>
      <c r="C654" s="538"/>
      <c r="D654" s="538"/>
      <c r="E654" s="538"/>
      <c r="F654" s="538"/>
      <c r="G654" s="538"/>
    </row>
    <row r="655" spans="1:7">
      <c r="A655" s="409"/>
      <c r="B655" s="409"/>
      <c r="C655" s="538"/>
      <c r="D655" s="538"/>
      <c r="E655" s="538"/>
      <c r="F655" s="538"/>
      <c r="G655" s="538"/>
    </row>
    <row r="656" spans="1:7">
      <c r="A656" s="409"/>
      <c r="B656" s="409"/>
      <c r="C656" s="538"/>
      <c r="D656" s="538"/>
      <c r="E656" s="538"/>
      <c r="F656" s="538"/>
      <c r="G656" s="538"/>
    </row>
    <row r="657" spans="1:7">
      <c r="A657" s="409"/>
      <c r="B657" s="409"/>
      <c r="C657" s="538"/>
      <c r="D657" s="538"/>
      <c r="E657" s="538"/>
      <c r="F657" s="538"/>
      <c r="G657" s="538"/>
    </row>
    <row r="658" spans="1:7">
      <c r="A658" s="409"/>
      <c r="B658" s="409"/>
      <c r="C658" s="538"/>
      <c r="D658" s="538"/>
      <c r="E658" s="538"/>
      <c r="F658" s="538"/>
      <c r="G658" s="538"/>
    </row>
    <row r="659" spans="1:7">
      <c r="A659" s="409"/>
      <c r="B659" s="409"/>
      <c r="C659" s="538"/>
      <c r="D659" s="538"/>
      <c r="E659" s="538"/>
      <c r="F659" s="538"/>
      <c r="G659" s="538"/>
    </row>
    <row r="660" spans="1:7">
      <c r="A660" s="409"/>
      <c r="B660" s="409"/>
      <c r="C660" s="538"/>
      <c r="D660" s="538"/>
      <c r="E660" s="538"/>
      <c r="F660" s="538"/>
      <c r="G660" s="538"/>
    </row>
    <row r="661" spans="1:7">
      <c r="A661" s="409"/>
      <c r="B661" s="409"/>
      <c r="C661" s="538"/>
      <c r="D661" s="538"/>
      <c r="E661" s="538"/>
      <c r="F661" s="538"/>
      <c r="G661" s="538"/>
    </row>
    <row r="662" spans="1:7">
      <c r="A662" s="409"/>
      <c r="B662" s="409"/>
      <c r="C662" s="538"/>
      <c r="D662" s="538"/>
      <c r="E662" s="538"/>
      <c r="F662" s="538"/>
      <c r="G662" s="538"/>
    </row>
    <row r="663" spans="1:7">
      <c r="A663" s="409"/>
      <c r="B663" s="409"/>
      <c r="C663" s="538"/>
      <c r="D663" s="538"/>
      <c r="E663" s="538"/>
      <c r="F663" s="538"/>
      <c r="G663" s="538"/>
    </row>
    <row r="664" spans="1:7">
      <c r="A664" s="409"/>
      <c r="B664" s="409"/>
      <c r="C664" s="538"/>
      <c r="D664" s="538"/>
      <c r="E664" s="538"/>
      <c r="F664" s="538"/>
      <c r="G664" s="538"/>
    </row>
    <row r="665" spans="1:7">
      <c r="A665" s="409"/>
      <c r="B665" s="409"/>
      <c r="C665" s="538"/>
      <c r="D665" s="538"/>
      <c r="E665" s="538"/>
      <c r="F665" s="538"/>
      <c r="G665" s="538"/>
    </row>
    <row r="666" spans="1:7">
      <c r="A666" s="409"/>
      <c r="B666" s="409"/>
      <c r="C666" s="538"/>
      <c r="D666" s="538"/>
      <c r="E666" s="538"/>
      <c r="F666" s="538"/>
      <c r="G666" s="538"/>
    </row>
    <row r="667" spans="1:7">
      <c r="A667" s="409"/>
      <c r="B667" s="409"/>
      <c r="C667" s="538"/>
      <c r="D667" s="538"/>
      <c r="E667" s="538"/>
      <c r="F667" s="538"/>
      <c r="G667" s="538"/>
    </row>
    <row r="668" spans="1:7">
      <c r="A668" s="409"/>
      <c r="B668" s="409"/>
      <c r="C668" s="538"/>
      <c r="D668" s="538"/>
      <c r="E668" s="538"/>
      <c r="F668" s="538"/>
      <c r="G668" s="538"/>
    </row>
    <row r="669" spans="1:7">
      <c r="A669" s="409"/>
      <c r="B669" s="409"/>
      <c r="C669" s="538"/>
      <c r="D669" s="538"/>
      <c r="E669" s="538"/>
      <c r="F669" s="538"/>
      <c r="G669" s="538"/>
    </row>
    <row r="670" spans="1:7">
      <c r="A670" s="409"/>
      <c r="B670" s="409"/>
      <c r="C670" s="538"/>
      <c r="D670" s="538"/>
      <c r="E670" s="538"/>
      <c r="F670" s="538"/>
      <c r="G670" s="538"/>
    </row>
    <row r="671" spans="1:7">
      <c r="A671" s="409"/>
      <c r="B671" s="409"/>
      <c r="C671" s="538"/>
      <c r="D671" s="538"/>
      <c r="E671" s="538"/>
      <c r="F671" s="538"/>
      <c r="G671" s="538"/>
    </row>
    <row r="672" spans="1:7">
      <c r="A672" s="409"/>
      <c r="B672" s="409"/>
      <c r="C672" s="538"/>
      <c r="D672" s="538"/>
      <c r="E672" s="538"/>
      <c r="F672" s="538"/>
      <c r="G672" s="538"/>
    </row>
    <row r="673" spans="1:7">
      <c r="A673" s="409"/>
      <c r="B673" s="409"/>
      <c r="C673" s="538"/>
      <c r="D673" s="538"/>
      <c r="E673" s="538"/>
      <c r="F673" s="538"/>
      <c r="G673" s="538"/>
    </row>
    <row r="674" spans="1:7">
      <c r="A674" s="409"/>
      <c r="B674" s="409"/>
      <c r="C674" s="538"/>
      <c r="D674" s="538"/>
      <c r="E674" s="538"/>
      <c r="F674" s="538"/>
      <c r="G674" s="538"/>
    </row>
    <row r="675" spans="1:7">
      <c r="A675" s="409"/>
      <c r="B675" s="409"/>
      <c r="C675" s="538"/>
      <c r="D675" s="538"/>
      <c r="E675" s="538"/>
      <c r="F675" s="538"/>
      <c r="G675" s="538"/>
    </row>
    <row r="676" spans="1:7">
      <c r="A676" s="409"/>
      <c r="B676" s="409"/>
      <c r="C676" s="538"/>
      <c r="D676" s="538"/>
      <c r="E676" s="538"/>
      <c r="F676" s="538"/>
      <c r="G676" s="538"/>
    </row>
    <row r="677" spans="1:7">
      <c r="A677" s="409"/>
      <c r="B677" s="409"/>
      <c r="C677" s="538"/>
      <c r="D677" s="538"/>
      <c r="E677" s="538"/>
      <c r="F677" s="538"/>
      <c r="G677" s="538"/>
    </row>
    <row r="678" spans="1:7">
      <c r="A678" s="409"/>
      <c r="B678" s="409"/>
      <c r="C678" s="538"/>
      <c r="D678" s="538"/>
      <c r="E678" s="538"/>
      <c r="F678" s="538"/>
      <c r="G678" s="538"/>
    </row>
    <row r="679" spans="1:7">
      <c r="A679" s="409"/>
      <c r="B679" s="409"/>
      <c r="C679" s="538"/>
      <c r="D679" s="538"/>
      <c r="E679" s="538"/>
      <c r="F679" s="538"/>
      <c r="G679" s="538"/>
    </row>
    <row r="680" spans="1:7">
      <c r="A680" s="409"/>
      <c r="B680" s="409"/>
      <c r="C680" s="538"/>
      <c r="D680" s="538"/>
      <c r="E680" s="538"/>
      <c r="F680" s="538"/>
      <c r="G680" s="538"/>
    </row>
    <row r="681" spans="1:7">
      <c r="A681" s="409"/>
      <c r="B681" s="409"/>
      <c r="C681" s="538"/>
      <c r="D681" s="538"/>
      <c r="E681" s="538"/>
      <c r="F681" s="538"/>
      <c r="G681" s="538"/>
    </row>
    <row r="682" spans="1:7">
      <c r="A682" s="409"/>
      <c r="B682" s="409"/>
      <c r="C682" s="538"/>
      <c r="D682" s="538"/>
      <c r="E682" s="538"/>
      <c r="F682" s="538"/>
      <c r="G682" s="538"/>
    </row>
    <row r="683" spans="1:7">
      <c r="A683" s="409"/>
      <c r="B683" s="409"/>
      <c r="C683" s="538"/>
      <c r="D683" s="538"/>
      <c r="E683" s="538"/>
      <c r="F683" s="538"/>
      <c r="G683" s="538"/>
    </row>
    <row r="684" spans="1:7">
      <c r="A684" s="409"/>
      <c r="B684" s="409"/>
      <c r="C684" s="538"/>
      <c r="D684" s="538"/>
      <c r="E684" s="538"/>
      <c r="F684" s="538"/>
      <c r="G684" s="538"/>
    </row>
    <row r="685" spans="1:7">
      <c r="A685" s="409"/>
      <c r="B685" s="409"/>
      <c r="C685" s="538"/>
      <c r="D685" s="538"/>
      <c r="E685" s="538"/>
      <c r="F685" s="538"/>
      <c r="G685" s="538"/>
    </row>
    <row r="686" spans="1:7">
      <c r="A686" s="409"/>
      <c r="B686" s="409"/>
      <c r="C686" s="538"/>
      <c r="D686" s="538"/>
      <c r="E686" s="538"/>
      <c r="F686" s="538"/>
      <c r="G686" s="538"/>
    </row>
    <row r="687" spans="1:7">
      <c r="A687" s="409"/>
      <c r="B687" s="409"/>
      <c r="C687" s="538"/>
      <c r="D687" s="538"/>
      <c r="E687" s="538"/>
      <c r="F687" s="538"/>
      <c r="G687" s="538"/>
    </row>
    <row r="688" spans="1:7">
      <c r="A688" s="409"/>
      <c r="B688" s="409"/>
      <c r="C688" s="538"/>
      <c r="D688" s="538"/>
      <c r="E688" s="538"/>
      <c r="F688" s="538"/>
      <c r="G688" s="538"/>
    </row>
    <row r="689" spans="1:7">
      <c r="A689" s="409"/>
      <c r="B689" s="409"/>
      <c r="C689" s="538"/>
      <c r="D689" s="538"/>
      <c r="E689" s="538"/>
      <c r="F689" s="538"/>
      <c r="G689" s="538"/>
    </row>
    <row r="690" spans="1:7">
      <c r="A690" s="409"/>
      <c r="B690" s="409"/>
      <c r="C690" s="538"/>
      <c r="D690" s="538"/>
      <c r="E690" s="538"/>
      <c r="F690" s="538"/>
      <c r="G690" s="538"/>
    </row>
    <row r="691" spans="1:7">
      <c r="A691" s="409"/>
      <c r="B691" s="409"/>
      <c r="C691" s="538"/>
      <c r="D691" s="538"/>
      <c r="E691" s="538"/>
      <c r="F691" s="538"/>
      <c r="G691" s="538"/>
    </row>
    <row r="692" spans="1:7">
      <c r="A692" s="409"/>
      <c r="B692" s="409"/>
      <c r="C692" s="538"/>
      <c r="D692" s="538"/>
      <c r="E692" s="538"/>
      <c r="F692" s="538"/>
      <c r="G692" s="538"/>
    </row>
    <row r="693" spans="1:7">
      <c r="A693" s="409"/>
      <c r="B693" s="409"/>
      <c r="C693" s="538"/>
      <c r="D693" s="538"/>
      <c r="E693" s="538"/>
      <c r="F693" s="538"/>
      <c r="G693" s="538"/>
    </row>
    <row r="694" spans="1:7">
      <c r="A694" s="409"/>
      <c r="B694" s="409"/>
      <c r="C694" s="538"/>
      <c r="D694" s="538"/>
      <c r="E694" s="538"/>
      <c r="F694" s="538"/>
      <c r="G694" s="538"/>
    </row>
    <row r="695" spans="1:7">
      <c r="A695" s="409"/>
      <c r="B695" s="409"/>
      <c r="C695" s="538"/>
      <c r="D695" s="538"/>
      <c r="E695" s="538"/>
      <c r="F695" s="538"/>
      <c r="G695" s="538"/>
    </row>
    <row r="696" spans="1:7">
      <c r="A696" s="409"/>
      <c r="B696" s="409"/>
      <c r="C696" s="538"/>
      <c r="D696" s="538"/>
      <c r="E696" s="538"/>
      <c r="F696" s="538"/>
      <c r="G696" s="538"/>
    </row>
    <row r="697" spans="1:7">
      <c r="A697" s="409"/>
      <c r="B697" s="409"/>
      <c r="C697" s="538"/>
      <c r="D697" s="538"/>
      <c r="E697" s="538"/>
      <c r="F697" s="538"/>
      <c r="G697" s="538"/>
    </row>
    <row r="698" spans="1:7">
      <c r="A698" s="409"/>
      <c r="B698" s="409"/>
      <c r="C698" s="538"/>
      <c r="D698" s="538"/>
      <c r="E698" s="538"/>
      <c r="F698" s="538"/>
      <c r="G698" s="538"/>
    </row>
    <row r="699" spans="1:7">
      <c r="A699" s="409"/>
      <c r="B699" s="409"/>
      <c r="C699" s="538"/>
      <c r="D699" s="538"/>
      <c r="E699" s="538"/>
      <c r="F699" s="538"/>
      <c r="G699" s="538"/>
    </row>
    <row r="700" spans="1:7">
      <c r="A700" s="409"/>
      <c r="B700" s="409"/>
      <c r="C700" s="538"/>
      <c r="D700" s="538"/>
      <c r="E700" s="538"/>
      <c r="F700" s="538"/>
      <c r="G700" s="538"/>
    </row>
    <row r="701" spans="1:7">
      <c r="A701" s="409"/>
      <c r="B701" s="409"/>
      <c r="C701" s="538"/>
      <c r="D701" s="538"/>
      <c r="E701" s="538"/>
      <c r="F701" s="538"/>
      <c r="G701" s="538"/>
    </row>
    <row r="702" spans="1:7">
      <c r="A702" s="409"/>
      <c r="B702" s="409"/>
      <c r="C702" s="538"/>
      <c r="D702" s="538"/>
      <c r="E702" s="538"/>
      <c r="F702" s="538"/>
      <c r="G702" s="538"/>
    </row>
    <row r="703" spans="1:7">
      <c r="A703" s="409"/>
      <c r="B703" s="409"/>
      <c r="C703" s="538"/>
      <c r="D703" s="538"/>
      <c r="E703" s="538"/>
      <c r="F703" s="538"/>
      <c r="G703" s="538"/>
    </row>
    <row r="704" spans="1:7">
      <c r="A704" s="409"/>
      <c r="B704" s="409"/>
      <c r="C704" s="538"/>
      <c r="D704" s="538"/>
      <c r="E704" s="538"/>
      <c r="F704" s="538"/>
      <c r="G704" s="538"/>
    </row>
    <row r="705" spans="1:7">
      <c r="A705" s="409"/>
      <c r="B705" s="409"/>
      <c r="C705" s="538"/>
      <c r="D705" s="538"/>
      <c r="E705" s="538"/>
      <c r="F705" s="538"/>
      <c r="G705" s="538"/>
    </row>
    <row r="706" spans="1:7">
      <c r="A706" s="409"/>
      <c r="B706" s="409"/>
      <c r="C706" s="538"/>
      <c r="D706" s="538"/>
      <c r="E706" s="538"/>
      <c r="F706" s="538"/>
      <c r="G706" s="538"/>
    </row>
    <row r="707" spans="1:7">
      <c r="A707" s="409"/>
      <c r="B707" s="409"/>
      <c r="C707" s="538"/>
      <c r="D707" s="538"/>
      <c r="E707" s="538"/>
      <c r="F707" s="538"/>
      <c r="G707" s="538"/>
    </row>
    <row r="708" spans="1:7">
      <c r="A708" s="409"/>
      <c r="B708" s="409"/>
      <c r="C708" s="538"/>
      <c r="D708" s="538"/>
      <c r="E708" s="538"/>
      <c r="F708" s="538"/>
      <c r="G708" s="538"/>
    </row>
    <row r="709" spans="1:7">
      <c r="A709" s="409"/>
      <c r="B709" s="409"/>
      <c r="C709" s="538"/>
      <c r="D709" s="538"/>
      <c r="E709" s="538"/>
      <c r="F709" s="538"/>
      <c r="G709" s="538"/>
    </row>
    <row r="710" spans="1:7">
      <c r="A710" s="409"/>
      <c r="B710" s="409"/>
      <c r="C710" s="538"/>
      <c r="D710" s="538"/>
      <c r="E710" s="538"/>
      <c r="F710" s="538"/>
      <c r="G710" s="538"/>
    </row>
    <row r="711" spans="1:7">
      <c r="A711" s="409"/>
      <c r="B711" s="409"/>
      <c r="C711" s="538"/>
      <c r="D711" s="538"/>
      <c r="E711" s="538"/>
      <c r="F711" s="538"/>
      <c r="G711" s="538"/>
    </row>
    <row r="712" spans="1:7">
      <c r="A712" s="409"/>
      <c r="B712" s="409"/>
      <c r="C712" s="538"/>
      <c r="D712" s="538"/>
      <c r="E712" s="538"/>
      <c r="F712" s="538"/>
      <c r="G712" s="538"/>
    </row>
    <row r="713" spans="1:7">
      <c r="A713" s="409"/>
      <c r="B713" s="409"/>
      <c r="C713" s="538"/>
      <c r="D713" s="538"/>
      <c r="E713" s="538"/>
      <c r="F713" s="538"/>
      <c r="G713" s="538"/>
    </row>
    <row r="714" spans="1:7">
      <c r="A714" s="409"/>
      <c r="B714" s="409"/>
      <c r="C714" s="538"/>
      <c r="D714" s="538"/>
      <c r="E714" s="538"/>
      <c r="F714" s="538"/>
      <c r="G714" s="538"/>
    </row>
    <row r="715" spans="1:7">
      <c r="A715" s="409"/>
      <c r="B715" s="409"/>
      <c r="C715" s="538"/>
      <c r="D715" s="538"/>
      <c r="E715" s="538"/>
      <c r="F715" s="538"/>
      <c r="G715" s="538"/>
    </row>
    <row r="716" spans="1:7">
      <c r="A716" s="409"/>
      <c r="B716" s="409"/>
      <c r="C716" s="538"/>
      <c r="D716" s="538"/>
      <c r="E716" s="538"/>
      <c r="F716" s="538"/>
      <c r="G716" s="538"/>
    </row>
    <row r="717" spans="1:7">
      <c r="A717" s="409"/>
      <c r="B717" s="409"/>
      <c r="C717" s="538"/>
      <c r="D717" s="538"/>
      <c r="E717" s="538"/>
      <c r="F717" s="538"/>
      <c r="G717" s="538"/>
    </row>
    <row r="718" spans="1:7">
      <c r="A718" s="409"/>
      <c r="B718" s="409"/>
      <c r="C718" s="538"/>
      <c r="D718" s="538"/>
      <c r="E718" s="538"/>
      <c r="F718" s="538"/>
      <c r="G718" s="538"/>
    </row>
    <row r="719" spans="1:7">
      <c r="A719" s="409"/>
      <c r="B719" s="409"/>
      <c r="C719" s="538"/>
      <c r="D719" s="538"/>
      <c r="E719" s="538"/>
      <c r="F719" s="538"/>
      <c r="G719" s="538"/>
    </row>
    <row r="720" spans="1:7">
      <c r="A720" s="409"/>
      <c r="B720" s="409"/>
      <c r="C720" s="538"/>
      <c r="D720" s="538"/>
      <c r="E720" s="538"/>
      <c r="F720" s="538"/>
      <c r="G720" s="538"/>
    </row>
    <row r="721" spans="1:7">
      <c r="A721" s="409"/>
      <c r="B721" s="409"/>
      <c r="C721" s="538"/>
      <c r="D721" s="538"/>
      <c r="E721" s="538"/>
      <c r="F721" s="538"/>
      <c r="G721" s="538"/>
    </row>
    <row r="722" spans="1:7">
      <c r="A722" s="409"/>
      <c r="B722" s="409"/>
      <c r="C722" s="538"/>
      <c r="D722" s="538"/>
      <c r="E722" s="538"/>
      <c r="F722" s="538"/>
      <c r="G722" s="538"/>
    </row>
    <row r="723" spans="1:7">
      <c r="A723" s="409"/>
      <c r="B723" s="409"/>
      <c r="C723" s="538"/>
      <c r="D723" s="538"/>
      <c r="E723" s="538"/>
      <c r="F723" s="538"/>
      <c r="G723" s="538"/>
    </row>
    <row r="724" spans="1:7">
      <c r="A724" s="409"/>
      <c r="B724" s="409"/>
      <c r="C724" s="538"/>
      <c r="D724" s="538"/>
      <c r="E724" s="538"/>
      <c r="F724" s="538"/>
      <c r="G724" s="538"/>
    </row>
    <row r="725" spans="1:7">
      <c r="A725" s="409"/>
      <c r="B725" s="409"/>
      <c r="C725" s="538"/>
      <c r="D725" s="538"/>
      <c r="E725" s="538"/>
      <c r="F725" s="538"/>
      <c r="G725" s="538"/>
    </row>
    <row r="726" spans="1:7">
      <c r="A726" s="409"/>
      <c r="B726" s="409"/>
      <c r="C726" s="538"/>
      <c r="D726" s="538"/>
      <c r="E726" s="538"/>
      <c r="F726" s="538"/>
      <c r="G726" s="538"/>
    </row>
    <row r="727" spans="1:7">
      <c r="A727" s="409"/>
      <c r="B727" s="409"/>
      <c r="C727" s="538"/>
      <c r="D727" s="538"/>
      <c r="E727" s="538"/>
      <c r="F727" s="538"/>
      <c r="G727" s="538"/>
    </row>
    <row r="728" spans="1:7">
      <c r="A728" s="409"/>
      <c r="B728" s="409"/>
      <c r="C728" s="538"/>
      <c r="D728" s="538"/>
      <c r="E728" s="538"/>
      <c r="F728" s="538"/>
      <c r="G728" s="538"/>
    </row>
    <row r="729" spans="1:7">
      <c r="A729" s="409"/>
      <c r="B729" s="409"/>
      <c r="C729" s="538"/>
      <c r="D729" s="538"/>
      <c r="E729" s="538"/>
      <c r="F729" s="538"/>
      <c r="G729" s="538"/>
    </row>
    <row r="730" spans="1:7">
      <c r="A730" s="409"/>
      <c r="B730" s="409"/>
      <c r="C730" s="538"/>
      <c r="D730" s="538"/>
      <c r="E730" s="538"/>
      <c r="F730" s="538"/>
      <c r="G730" s="538"/>
    </row>
    <row r="731" spans="1:7">
      <c r="A731" s="409"/>
      <c r="B731" s="409"/>
      <c r="C731" s="538"/>
      <c r="D731" s="538"/>
      <c r="E731" s="538"/>
      <c r="F731" s="538"/>
      <c r="G731" s="538"/>
    </row>
    <row r="732" spans="1:7">
      <c r="A732" s="409"/>
      <c r="B732" s="409"/>
      <c r="C732" s="538"/>
      <c r="D732" s="538"/>
      <c r="E732" s="538"/>
      <c r="F732" s="538"/>
      <c r="G732" s="538"/>
    </row>
    <row r="733" spans="1:7">
      <c r="A733" s="409"/>
      <c r="B733" s="409"/>
      <c r="C733" s="538"/>
      <c r="D733" s="538"/>
      <c r="E733" s="538"/>
      <c r="F733" s="538"/>
      <c r="G733" s="538"/>
    </row>
    <row r="734" spans="1:7">
      <c r="A734" s="409"/>
      <c r="B734" s="409"/>
      <c r="C734" s="538"/>
      <c r="D734" s="538"/>
      <c r="E734" s="538"/>
      <c r="F734" s="538"/>
      <c r="G734" s="538"/>
    </row>
    <row r="735" spans="1:7">
      <c r="A735" s="409"/>
      <c r="B735" s="409"/>
      <c r="C735" s="538"/>
      <c r="D735" s="538"/>
      <c r="E735" s="538"/>
      <c r="F735" s="538"/>
      <c r="G735" s="538"/>
    </row>
    <row r="736" spans="1:7">
      <c r="A736" s="409"/>
      <c r="B736" s="409"/>
      <c r="C736" s="538"/>
      <c r="D736" s="538"/>
      <c r="E736" s="538"/>
      <c r="F736" s="538"/>
      <c r="G736" s="538"/>
    </row>
    <row r="737" spans="1:7">
      <c r="A737" s="409"/>
      <c r="B737" s="409"/>
      <c r="C737" s="538"/>
      <c r="D737" s="538"/>
      <c r="E737" s="538"/>
      <c r="F737" s="538"/>
      <c r="G737" s="538"/>
    </row>
    <row r="738" spans="1:7">
      <c r="A738" s="409"/>
      <c r="B738" s="409"/>
      <c r="C738" s="538"/>
      <c r="D738" s="538"/>
      <c r="E738" s="538"/>
      <c r="F738" s="538"/>
      <c r="G738" s="538"/>
    </row>
    <row r="739" spans="1:7">
      <c r="A739" s="409"/>
      <c r="B739" s="409"/>
      <c r="C739" s="538"/>
      <c r="D739" s="538"/>
      <c r="E739" s="538"/>
      <c r="F739" s="538"/>
      <c r="G739" s="538"/>
    </row>
    <row r="740" spans="1:7">
      <c r="A740" s="409"/>
      <c r="B740" s="409"/>
      <c r="C740" s="538"/>
      <c r="D740" s="538"/>
      <c r="E740" s="538"/>
      <c r="F740" s="538"/>
      <c r="G740" s="538"/>
    </row>
    <row r="741" spans="1:7">
      <c r="A741" s="409"/>
      <c r="B741" s="409"/>
      <c r="C741" s="538"/>
      <c r="D741" s="538"/>
      <c r="E741" s="538"/>
      <c r="F741" s="538"/>
      <c r="G741" s="538"/>
    </row>
    <row r="742" spans="1:7">
      <c r="A742" s="409"/>
      <c r="B742" s="409"/>
      <c r="C742" s="538"/>
      <c r="D742" s="538"/>
      <c r="E742" s="538"/>
      <c r="F742" s="538"/>
      <c r="G742" s="538"/>
    </row>
    <row r="743" spans="1:7">
      <c r="A743" s="409"/>
      <c r="B743" s="409"/>
      <c r="C743" s="538"/>
      <c r="D743" s="538"/>
      <c r="E743" s="538"/>
      <c r="F743" s="538"/>
      <c r="G743" s="538"/>
    </row>
    <row r="744" spans="1:7">
      <c r="A744" s="409"/>
      <c r="B744" s="409"/>
      <c r="C744" s="538"/>
      <c r="D744" s="538"/>
      <c r="E744" s="538"/>
      <c r="F744" s="538"/>
      <c r="G744" s="538"/>
    </row>
    <row r="745" spans="1:7">
      <c r="A745" s="409"/>
      <c r="B745" s="409"/>
      <c r="C745" s="538"/>
      <c r="D745" s="538"/>
      <c r="E745" s="538"/>
      <c r="F745" s="538"/>
      <c r="G745" s="538"/>
    </row>
    <row r="746" spans="1:7">
      <c r="A746" s="409"/>
      <c r="B746" s="409"/>
      <c r="C746" s="538"/>
      <c r="D746" s="538"/>
      <c r="E746" s="538"/>
      <c r="F746" s="538"/>
      <c r="G746" s="538"/>
    </row>
    <row r="747" spans="1:7">
      <c r="A747" s="409"/>
      <c r="B747" s="409"/>
      <c r="C747" s="538"/>
      <c r="D747" s="538"/>
      <c r="E747" s="538"/>
      <c r="F747" s="538"/>
      <c r="G747" s="538"/>
    </row>
    <row r="748" spans="1:7">
      <c r="A748" s="409"/>
      <c r="B748" s="409"/>
      <c r="C748" s="538"/>
      <c r="D748" s="538"/>
      <c r="E748" s="538"/>
      <c r="F748" s="538"/>
      <c r="G748" s="538"/>
    </row>
    <row r="749" spans="1:7">
      <c r="A749" s="409"/>
      <c r="B749" s="409"/>
      <c r="C749" s="538"/>
      <c r="D749" s="538"/>
      <c r="E749" s="538"/>
      <c r="F749" s="538"/>
      <c r="G749" s="538"/>
    </row>
    <row r="750" spans="1:7">
      <c r="A750" s="409"/>
      <c r="B750" s="409"/>
      <c r="C750" s="538"/>
      <c r="D750" s="538"/>
      <c r="E750" s="538"/>
      <c r="F750" s="538"/>
      <c r="G750" s="538"/>
    </row>
    <row r="751" spans="1:7">
      <c r="A751" s="409"/>
      <c r="B751" s="409"/>
      <c r="C751" s="538"/>
      <c r="D751" s="538"/>
      <c r="E751" s="538"/>
      <c r="F751" s="538"/>
      <c r="G751" s="538"/>
    </row>
    <row r="752" spans="1:7">
      <c r="A752" s="409"/>
      <c r="B752" s="409"/>
      <c r="C752" s="538"/>
      <c r="D752" s="538"/>
      <c r="E752" s="538"/>
      <c r="F752" s="538"/>
      <c r="G752" s="538"/>
    </row>
    <row r="753" spans="1:7">
      <c r="A753" s="409"/>
      <c r="B753" s="409"/>
      <c r="C753" s="538"/>
      <c r="D753" s="538"/>
      <c r="E753" s="538"/>
      <c r="F753" s="538"/>
      <c r="G753" s="538"/>
    </row>
    <row r="754" spans="1:7">
      <c r="A754" s="409"/>
      <c r="B754" s="409"/>
      <c r="C754" s="538"/>
      <c r="D754" s="538"/>
      <c r="E754" s="538"/>
      <c r="F754" s="538"/>
      <c r="G754" s="538"/>
    </row>
    <row r="755" spans="1:7">
      <c r="A755" s="409"/>
      <c r="B755" s="409"/>
      <c r="C755" s="538"/>
      <c r="D755" s="538"/>
      <c r="E755" s="538"/>
      <c r="F755" s="538"/>
      <c r="G755" s="538"/>
    </row>
    <row r="756" spans="1:7">
      <c r="A756" s="409"/>
      <c r="B756" s="409"/>
      <c r="C756" s="538"/>
      <c r="D756" s="538"/>
      <c r="E756" s="538"/>
      <c r="F756" s="538"/>
      <c r="G756" s="538"/>
    </row>
    <row r="757" spans="1:7">
      <c r="A757" s="409"/>
      <c r="B757" s="409"/>
      <c r="C757" s="538"/>
      <c r="D757" s="538"/>
      <c r="E757" s="538"/>
      <c r="F757" s="538"/>
      <c r="G757" s="538"/>
    </row>
    <row r="758" spans="1:7">
      <c r="A758" s="409"/>
      <c r="B758" s="409"/>
      <c r="C758" s="538"/>
      <c r="D758" s="538"/>
      <c r="E758" s="538"/>
      <c r="F758" s="538"/>
      <c r="G758" s="538"/>
    </row>
    <row r="759" spans="1:7">
      <c r="A759" s="409"/>
      <c r="B759" s="409"/>
      <c r="C759" s="538"/>
      <c r="D759" s="538"/>
      <c r="E759" s="538"/>
      <c r="F759" s="538"/>
      <c r="G759" s="538"/>
    </row>
    <row r="760" spans="1:7">
      <c r="A760" s="409"/>
      <c r="B760" s="409"/>
      <c r="C760" s="538"/>
      <c r="D760" s="538"/>
      <c r="E760" s="538"/>
      <c r="F760" s="538"/>
      <c r="G760" s="538"/>
    </row>
    <row r="761" spans="1:7">
      <c r="A761" s="409"/>
      <c r="B761" s="409"/>
      <c r="C761" s="538"/>
      <c r="D761" s="538"/>
      <c r="E761" s="538"/>
      <c r="F761" s="538"/>
      <c r="G761" s="538"/>
    </row>
    <row r="762" spans="1:7">
      <c r="A762" s="409"/>
      <c r="B762" s="409"/>
      <c r="C762" s="538"/>
      <c r="D762" s="538"/>
      <c r="E762" s="538"/>
      <c r="F762" s="538"/>
      <c r="G762" s="538"/>
    </row>
    <row r="763" spans="1:7">
      <c r="A763" s="409"/>
      <c r="B763" s="409"/>
      <c r="C763" s="538"/>
      <c r="D763" s="538"/>
      <c r="E763" s="538"/>
      <c r="F763" s="538"/>
      <c r="G763" s="538"/>
    </row>
    <row r="764" spans="1:7">
      <c r="A764" s="409"/>
      <c r="B764" s="409"/>
      <c r="C764" s="538"/>
      <c r="D764" s="538"/>
      <c r="E764" s="538"/>
      <c r="F764" s="538"/>
      <c r="G764" s="538"/>
    </row>
    <row r="765" spans="1:7">
      <c r="A765" s="409"/>
      <c r="B765" s="409"/>
      <c r="C765" s="538"/>
      <c r="D765" s="538"/>
      <c r="E765" s="538"/>
      <c r="F765" s="538"/>
      <c r="G765" s="538"/>
    </row>
    <row r="766" spans="1:7">
      <c r="A766" s="409"/>
      <c r="B766" s="409"/>
      <c r="C766" s="538"/>
      <c r="D766" s="538"/>
      <c r="E766" s="538"/>
      <c r="F766" s="538"/>
      <c r="G766" s="538"/>
    </row>
    <row r="767" spans="1:7">
      <c r="A767" s="409"/>
      <c r="B767" s="409"/>
      <c r="C767" s="538"/>
      <c r="D767" s="538"/>
      <c r="E767" s="538"/>
      <c r="F767" s="538"/>
      <c r="G767" s="538"/>
    </row>
    <row r="768" spans="1:7">
      <c r="A768" s="409"/>
      <c r="B768" s="409"/>
      <c r="C768" s="538"/>
      <c r="D768" s="538"/>
      <c r="E768" s="538"/>
      <c r="F768" s="538"/>
      <c r="G768" s="538"/>
    </row>
    <row r="769" spans="1:7">
      <c r="A769" s="409"/>
      <c r="B769" s="409"/>
      <c r="C769" s="538"/>
      <c r="D769" s="538"/>
      <c r="E769" s="538"/>
      <c r="F769" s="538"/>
      <c r="G769" s="538"/>
    </row>
    <row r="770" spans="1:7">
      <c r="A770" s="409"/>
      <c r="B770" s="409"/>
      <c r="C770" s="538"/>
      <c r="D770" s="538"/>
      <c r="E770" s="538"/>
      <c r="F770" s="538"/>
      <c r="G770" s="538"/>
    </row>
    <row r="771" spans="1:7">
      <c r="A771" s="409"/>
      <c r="B771" s="409"/>
      <c r="C771" s="538"/>
      <c r="D771" s="538"/>
      <c r="E771" s="538"/>
      <c r="F771" s="538"/>
      <c r="G771" s="538"/>
    </row>
    <row r="772" spans="1:7">
      <c r="A772" s="409"/>
      <c r="B772" s="409"/>
      <c r="C772" s="538"/>
      <c r="D772" s="538"/>
      <c r="E772" s="538"/>
      <c r="F772" s="538"/>
      <c r="G772" s="538"/>
    </row>
    <row r="773" spans="1:7">
      <c r="A773" s="409"/>
      <c r="B773" s="409"/>
      <c r="C773" s="538"/>
      <c r="D773" s="538"/>
      <c r="E773" s="538"/>
      <c r="F773" s="538"/>
      <c r="G773" s="538"/>
    </row>
    <row r="774" spans="1:7">
      <c r="A774" s="409"/>
      <c r="B774" s="409"/>
      <c r="C774" s="538"/>
      <c r="D774" s="538"/>
      <c r="E774" s="538"/>
      <c r="F774" s="538"/>
      <c r="G774" s="538"/>
    </row>
    <row r="775" spans="1:7">
      <c r="A775" s="409"/>
      <c r="B775" s="409"/>
      <c r="C775" s="538"/>
      <c r="D775" s="538"/>
      <c r="E775" s="538"/>
      <c r="F775" s="538"/>
      <c r="G775" s="538"/>
    </row>
    <row r="776" spans="1:7">
      <c r="A776" s="409"/>
      <c r="B776" s="409"/>
      <c r="C776" s="538"/>
      <c r="D776" s="538"/>
      <c r="E776" s="538"/>
      <c r="F776" s="538"/>
      <c r="G776" s="538"/>
    </row>
    <row r="777" spans="1:7">
      <c r="A777" s="409"/>
      <c r="B777" s="409"/>
      <c r="C777" s="538"/>
      <c r="D777" s="538"/>
      <c r="E777" s="538"/>
      <c r="F777" s="538"/>
      <c r="G777" s="538"/>
    </row>
    <row r="778" spans="1:7">
      <c r="A778" s="409"/>
      <c r="B778" s="409"/>
      <c r="C778" s="538"/>
      <c r="D778" s="538"/>
      <c r="E778" s="538"/>
      <c r="F778" s="538"/>
      <c r="G778" s="538"/>
    </row>
    <row r="779" spans="1:7">
      <c r="A779" s="409"/>
      <c r="B779" s="409"/>
      <c r="C779" s="538"/>
      <c r="D779" s="538"/>
      <c r="E779" s="538"/>
      <c r="F779" s="538"/>
      <c r="G779" s="538"/>
    </row>
    <row r="780" spans="1:7">
      <c r="A780" s="409"/>
      <c r="B780" s="409"/>
      <c r="C780" s="538"/>
      <c r="D780" s="538"/>
      <c r="E780" s="538"/>
      <c r="F780" s="538"/>
      <c r="G780" s="538"/>
    </row>
    <row r="781" spans="1:7">
      <c r="A781" s="409"/>
      <c r="B781" s="409"/>
      <c r="C781" s="538"/>
      <c r="D781" s="538"/>
      <c r="E781" s="538"/>
      <c r="F781" s="538"/>
      <c r="G781" s="538"/>
    </row>
    <row r="782" spans="1:7">
      <c r="A782" s="409"/>
      <c r="B782" s="409"/>
      <c r="C782" s="538"/>
      <c r="D782" s="538"/>
      <c r="E782" s="538"/>
      <c r="F782" s="538"/>
      <c r="G782" s="538"/>
    </row>
    <row r="783" spans="1:7">
      <c r="A783" s="409"/>
      <c r="B783" s="409"/>
      <c r="C783" s="538"/>
      <c r="D783" s="538"/>
      <c r="E783" s="538"/>
      <c r="F783" s="538"/>
      <c r="G783" s="538"/>
    </row>
    <row r="784" spans="1:7">
      <c r="A784" s="409"/>
      <c r="B784" s="409"/>
      <c r="C784" s="538"/>
      <c r="D784" s="538"/>
      <c r="E784" s="538"/>
      <c r="F784" s="538"/>
      <c r="G784" s="538"/>
    </row>
    <row r="785" spans="1:7">
      <c r="A785" s="409"/>
      <c r="B785" s="409"/>
      <c r="C785" s="538"/>
      <c r="D785" s="538"/>
      <c r="E785" s="538"/>
      <c r="F785" s="538"/>
      <c r="G785" s="538"/>
    </row>
    <row r="786" spans="1:7">
      <c r="A786" s="409"/>
      <c r="B786" s="409"/>
      <c r="C786" s="538"/>
      <c r="D786" s="538"/>
      <c r="E786" s="538"/>
      <c r="F786" s="538"/>
      <c r="G786" s="538"/>
    </row>
    <row r="787" spans="1:7">
      <c r="A787" s="409"/>
      <c r="B787" s="409"/>
      <c r="C787" s="538"/>
      <c r="D787" s="538"/>
      <c r="E787" s="538"/>
      <c r="F787" s="538"/>
      <c r="G787" s="538"/>
    </row>
    <row r="788" spans="1:7">
      <c r="A788" s="409"/>
      <c r="B788" s="409"/>
      <c r="C788" s="538"/>
      <c r="D788" s="538"/>
      <c r="E788" s="538"/>
      <c r="F788" s="538"/>
      <c r="G788" s="538"/>
    </row>
    <row r="789" spans="1:7">
      <c r="A789" s="409"/>
      <c r="B789" s="409"/>
      <c r="C789" s="538"/>
      <c r="D789" s="538"/>
      <c r="E789" s="538"/>
      <c r="F789" s="538"/>
      <c r="G789" s="538"/>
    </row>
    <row r="790" spans="1:7">
      <c r="A790" s="409"/>
      <c r="B790" s="409"/>
      <c r="C790" s="538"/>
      <c r="D790" s="538"/>
      <c r="E790" s="538"/>
      <c r="F790" s="538"/>
      <c r="G790" s="538"/>
    </row>
    <row r="791" spans="1:7">
      <c r="A791" s="409"/>
      <c r="B791" s="409"/>
      <c r="C791" s="538"/>
      <c r="D791" s="538"/>
      <c r="E791" s="538"/>
      <c r="F791" s="538"/>
      <c r="G791" s="538"/>
    </row>
    <row r="792" spans="1:7">
      <c r="A792" s="409"/>
      <c r="B792" s="409"/>
      <c r="C792" s="538"/>
      <c r="D792" s="538"/>
      <c r="E792" s="538"/>
      <c r="F792" s="538"/>
      <c r="G792" s="538"/>
    </row>
    <row r="793" spans="1:7">
      <c r="A793" s="409"/>
      <c r="B793" s="409"/>
      <c r="C793" s="538"/>
      <c r="D793" s="538"/>
      <c r="E793" s="538"/>
      <c r="F793" s="538"/>
      <c r="G793" s="538"/>
    </row>
    <row r="794" spans="1:7">
      <c r="A794" s="409"/>
      <c r="B794" s="409"/>
      <c r="C794" s="538"/>
      <c r="D794" s="538"/>
      <c r="E794" s="538"/>
      <c r="F794" s="538"/>
      <c r="G794" s="538"/>
    </row>
    <row r="795" spans="1:7">
      <c r="A795" s="409"/>
      <c r="B795" s="409"/>
      <c r="C795" s="538"/>
      <c r="D795" s="538"/>
      <c r="E795" s="538"/>
      <c r="F795" s="538"/>
      <c r="G795" s="538"/>
    </row>
    <row r="796" spans="1:7">
      <c r="A796" s="409"/>
      <c r="B796" s="409"/>
      <c r="C796" s="538"/>
      <c r="D796" s="538"/>
      <c r="E796" s="538"/>
      <c r="F796" s="538"/>
      <c r="G796" s="538"/>
    </row>
    <row r="797" spans="1:7">
      <c r="A797" s="409"/>
      <c r="B797" s="409"/>
      <c r="C797" s="538"/>
      <c r="D797" s="538"/>
      <c r="E797" s="538"/>
      <c r="F797" s="538"/>
      <c r="G797" s="538"/>
    </row>
    <row r="798" spans="1:7">
      <c r="A798" s="409"/>
      <c r="B798" s="409"/>
      <c r="C798" s="538"/>
      <c r="D798" s="538"/>
      <c r="E798" s="538"/>
      <c r="F798" s="538"/>
      <c r="G798" s="538"/>
    </row>
    <row r="799" spans="1:7">
      <c r="A799" s="409"/>
      <c r="B799" s="409"/>
      <c r="C799" s="538"/>
      <c r="D799" s="538"/>
      <c r="E799" s="538"/>
      <c r="F799" s="538"/>
      <c r="G799" s="538"/>
    </row>
    <row r="800" spans="1:7">
      <c r="A800" s="409"/>
      <c r="B800" s="409"/>
      <c r="C800" s="538"/>
      <c r="D800" s="538"/>
      <c r="E800" s="538"/>
      <c r="F800" s="538"/>
      <c r="G800" s="538"/>
    </row>
    <row r="801" spans="1:7">
      <c r="A801" s="409"/>
      <c r="B801" s="409"/>
      <c r="C801" s="538"/>
      <c r="D801" s="538"/>
      <c r="E801" s="538"/>
      <c r="F801" s="538"/>
      <c r="G801" s="538"/>
    </row>
    <row r="802" spans="1:7">
      <c r="A802" s="409"/>
      <c r="B802" s="409"/>
      <c r="C802" s="538"/>
      <c r="D802" s="538"/>
      <c r="E802" s="538"/>
      <c r="F802" s="538"/>
      <c r="G802" s="538"/>
    </row>
    <row r="803" spans="1:7">
      <c r="A803" s="409"/>
      <c r="B803" s="409"/>
      <c r="C803" s="538"/>
      <c r="D803" s="538"/>
      <c r="E803" s="538"/>
      <c r="F803" s="538"/>
      <c r="G803" s="538"/>
    </row>
    <row r="804" spans="1:7">
      <c r="A804" s="409"/>
      <c r="B804" s="409"/>
      <c r="C804" s="538"/>
      <c r="D804" s="538"/>
      <c r="E804" s="538"/>
      <c r="F804" s="538"/>
      <c r="G804" s="538"/>
    </row>
    <row r="805" spans="1:7">
      <c r="A805" s="409"/>
      <c r="B805" s="409"/>
      <c r="C805" s="538"/>
      <c r="D805" s="538"/>
      <c r="E805" s="538"/>
      <c r="F805" s="538"/>
      <c r="G805" s="538"/>
    </row>
    <row r="806" spans="1:7">
      <c r="A806" s="409"/>
      <c r="B806" s="409"/>
      <c r="C806" s="538"/>
      <c r="D806" s="538"/>
      <c r="E806" s="538"/>
      <c r="F806" s="538"/>
      <c r="G806" s="538"/>
    </row>
    <row r="807" spans="1:7">
      <c r="A807" s="409"/>
      <c r="B807" s="409"/>
      <c r="C807" s="538"/>
      <c r="D807" s="538"/>
      <c r="E807" s="538"/>
      <c r="F807" s="538"/>
      <c r="G807" s="538"/>
    </row>
    <row r="808" spans="1:7">
      <c r="A808" s="409"/>
      <c r="B808" s="409"/>
      <c r="C808" s="538"/>
      <c r="D808" s="538"/>
      <c r="E808" s="538"/>
      <c r="F808" s="538"/>
      <c r="G808" s="538"/>
    </row>
    <row r="809" spans="1:7">
      <c r="A809" s="409"/>
      <c r="B809" s="409"/>
      <c r="C809" s="538"/>
      <c r="D809" s="538"/>
      <c r="E809" s="538"/>
      <c r="F809" s="538"/>
      <c r="G809" s="538"/>
    </row>
    <row r="810" spans="1:7">
      <c r="A810" s="409"/>
      <c r="B810" s="409"/>
      <c r="C810" s="538"/>
      <c r="D810" s="538"/>
      <c r="E810" s="538"/>
      <c r="F810" s="538"/>
      <c r="G810" s="538"/>
    </row>
    <row r="811" spans="1:7">
      <c r="A811" s="409"/>
      <c r="B811" s="409"/>
      <c r="C811" s="538"/>
      <c r="D811" s="538"/>
      <c r="E811" s="538"/>
      <c r="F811" s="538"/>
      <c r="G811" s="538"/>
    </row>
    <row r="812" spans="1:7">
      <c r="A812" s="409"/>
      <c r="B812" s="409"/>
      <c r="C812" s="538"/>
      <c r="D812" s="538"/>
      <c r="E812" s="538"/>
      <c r="F812" s="538"/>
      <c r="G812" s="538"/>
    </row>
    <row r="813" spans="1:7">
      <c r="A813" s="409"/>
      <c r="B813" s="409"/>
      <c r="C813" s="538"/>
      <c r="D813" s="538"/>
      <c r="E813" s="538"/>
      <c r="F813" s="538"/>
      <c r="G813" s="538"/>
    </row>
    <row r="814" spans="1:7">
      <c r="A814" s="409"/>
      <c r="B814" s="409"/>
      <c r="C814" s="538"/>
      <c r="D814" s="538"/>
      <c r="E814" s="538"/>
      <c r="F814" s="538"/>
      <c r="G814" s="538"/>
    </row>
    <row r="815" spans="1:7">
      <c r="A815" s="409"/>
      <c r="B815" s="409"/>
      <c r="C815" s="538"/>
      <c r="D815" s="538"/>
      <c r="E815" s="538"/>
      <c r="F815" s="538"/>
      <c r="G815" s="538"/>
    </row>
    <row r="816" spans="1:7">
      <c r="A816" s="409"/>
      <c r="B816" s="409"/>
      <c r="C816" s="538"/>
      <c r="D816" s="538"/>
      <c r="E816" s="538"/>
      <c r="F816" s="538"/>
      <c r="G816" s="538"/>
    </row>
    <row r="817" spans="1:7">
      <c r="A817" s="409"/>
      <c r="B817" s="409"/>
      <c r="C817" s="538"/>
      <c r="D817" s="538"/>
      <c r="E817" s="538"/>
      <c r="F817" s="538"/>
      <c r="G817" s="538"/>
    </row>
    <row r="818" spans="1:7">
      <c r="A818" s="409"/>
      <c r="B818" s="409"/>
      <c r="C818" s="538"/>
      <c r="D818" s="538"/>
      <c r="E818" s="538"/>
      <c r="F818" s="538"/>
      <c r="G818" s="538"/>
    </row>
    <row r="819" spans="1:7">
      <c r="A819" s="409"/>
      <c r="B819" s="409"/>
      <c r="C819" s="538"/>
      <c r="D819" s="538"/>
      <c r="E819" s="538"/>
      <c r="F819" s="538"/>
      <c r="G819" s="538"/>
    </row>
    <row r="820" spans="1:7">
      <c r="A820" s="409"/>
      <c r="B820" s="409"/>
      <c r="C820" s="538"/>
      <c r="D820" s="538"/>
      <c r="E820" s="538"/>
      <c r="F820" s="538"/>
      <c r="G820" s="538"/>
    </row>
    <row r="821" spans="1:7">
      <c r="A821" s="409"/>
      <c r="B821" s="409"/>
      <c r="C821" s="538"/>
      <c r="D821" s="538"/>
      <c r="E821" s="538"/>
      <c r="F821" s="538"/>
      <c r="G821" s="538"/>
    </row>
    <row r="822" spans="1:7">
      <c r="A822" s="409"/>
      <c r="B822" s="409"/>
      <c r="C822" s="538"/>
      <c r="D822" s="538"/>
      <c r="E822" s="538"/>
      <c r="F822" s="538"/>
      <c r="G822" s="538"/>
    </row>
    <row r="823" spans="1:7">
      <c r="A823" s="409"/>
      <c r="B823" s="409"/>
      <c r="C823" s="538"/>
      <c r="D823" s="538"/>
      <c r="E823" s="538"/>
      <c r="F823" s="538"/>
      <c r="G823" s="538"/>
    </row>
    <row r="824" spans="1:7">
      <c r="A824" s="409"/>
      <c r="B824" s="409"/>
      <c r="C824" s="538"/>
      <c r="D824" s="538"/>
      <c r="E824" s="538"/>
      <c r="F824" s="538"/>
      <c r="G824" s="538"/>
    </row>
    <row r="825" spans="1:7">
      <c r="A825" s="409"/>
      <c r="B825" s="409"/>
      <c r="C825" s="538"/>
      <c r="D825" s="538"/>
      <c r="E825" s="538"/>
      <c r="F825" s="538"/>
      <c r="G825" s="538"/>
    </row>
    <row r="826" spans="1:7">
      <c r="A826" s="409"/>
      <c r="B826" s="409"/>
      <c r="C826" s="538"/>
      <c r="D826" s="538"/>
      <c r="E826" s="538"/>
      <c r="F826" s="538"/>
      <c r="G826" s="538"/>
    </row>
    <row r="827" spans="1:7">
      <c r="A827" s="409"/>
      <c r="B827" s="409"/>
      <c r="C827" s="538"/>
      <c r="D827" s="538"/>
      <c r="E827" s="538"/>
      <c r="F827" s="538"/>
      <c r="G827" s="538"/>
    </row>
    <row r="828" spans="1:7">
      <c r="A828" s="409"/>
      <c r="B828" s="409"/>
      <c r="C828" s="538"/>
      <c r="D828" s="538"/>
      <c r="E828" s="538"/>
      <c r="F828" s="538"/>
      <c r="G828" s="538"/>
    </row>
    <row r="829" spans="1:7">
      <c r="A829" s="409"/>
      <c r="B829" s="409"/>
      <c r="C829" s="538"/>
      <c r="D829" s="538"/>
      <c r="E829" s="538"/>
      <c r="F829" s="538"/>
      <c r="G829" s="538"/>
    </row>
    <row r="830" spans="1:7">
      <c r="A830" s="409"/>
      <c r="B830" s="409"/>
      <c r="C830" s="538"/>
      <c r="D830" s="538"/>
      <c r="E830" s="538"/>
      <c r="F830" s="538"/>
      <c r="G830" s="538"/>
    </row>
    <row r="831" spans="1:7">
      <c r="A831" s="409"/>
      <c r="B831" s="409"/>
      <c r="C831" s="538"/>
      <c r="D831" s="538"/>
      <c r="E831" s="538"/>
      <c r="F831" s="538"/>
      <c r="G831" s="538"/>
    </row>
    <row r="832" spans="1:7">
      <c r="A832" s="409"/>
      <c r="B832" s="409"/>
      <c r="C832" s="538"/>
      <c r="D832" s="538"/>
      <c r="E832" s="538"/>
      <c r="F832" s="538"/>
      <c r="G832" s="538"/>
    </row>
    <row r="833" spans="1:7">
      <c r="A833" s="409"/>
      <c r="B833" s="409"/>
      <c r="C833" s="538"/>
      <c r="D833" s="538"/>
      <c r="E833" s="538"/>
      <c r="F833" s="538"/>
      <c r="G833" s="538"/>
    </row>
    <row r="834" spans="1:7">
      <c r="A834" s="409"/>
      <c r="B834" s="409"/>
      <c r="C834" s="538"/>
      <c r="D834" s="538"/>
      <c r="E834" s="538"/>
      <c r="F834" s="538"/>
      <c r="G834" s="538"/>
    </row>
    <row r="835" spans="1:7">
      <c r="A835" s="409"/>
      <c r="B835" s="409"/>
      <c r="C835" s="538"/>
      <c r="D835" s="538"/>
      <c r="E835" s="538"/>
      <c r="F835" s="538"/>
      <c r="G835" s="538"/>
    </row>
    <row r="836" spans="1:7">
      <c r="A836" s="409"/>
      <c r="B836" s="409"/>
      <c r="C836" s="538"/>
      <c r="D836" s="538"/>
      <c r="E836" s="538"/>
      <c r="F836" s="538"/>
      <c r="G836" s="538"/>
    </row>
    <row r="837" spans="1:7">
      <c r="A837" s="409"/>
      <c r="B837" s="409"/>
      <c r="C837" s="538"/>
      <c r="D837" s="538"/>
      <c r="E837" s="538"/>
      <c r="F837" s="538"/>
      <c r="G837" s="538"/>
    </row>
    <row r="838" spans="1:7">
      <c r="A838" s="409"/>
      <c r="B838" s="409"/>
      <c r="C838" s="538"/>
      <c r="D838" s="538"/>
      <c r="E838" s="538"/>
      <c r="F838" s="538"/>
      <c r="G838" s="538"/>
    </row>
    <row r="839" spans="1:7">
      <c r="A839" s="409"/>
      <c r="B839" s="409"/>
      <c r="C839" s="538"/>
      <c r="D839" s="538"/>
      <c r="E839" s="538"/>
      <c r="F839" s="538"/>
      <c r="G839" s="538"/>
    </row>
    <row r="840" spans="1:7">
      <c r="A840" s="409"/>
      <c r="B840" s="409"/>
      <c r="C840" s="538"/>
      <c r="D840" s="538"/>
      <c r="E840" s="538"/>
      <c r="F840" s="538"/>
      <c r="G840" s="538"/>
    </row>
    <row r="841" spans="1:7">
      <c r="A841" s="409"/>
      <c r="B841" s="409"/>
      <c r="C841" s="538"/>
      <c r="D841" s="538"/>
      <c r="E841" s="538"/>
      <c r="F841" s="538"/>
      <c r="G841" s="538"/>
    </row>
    <row r="842" spans="1:7">
      <c r="A842" s="409"/>
      <c r="B842" s="409"/>
      <c r="C842" s="538"/>
      <c r="D842" s="538"/>
      <c r="E842" s="538"/>
      <c r="F842" s="538"/>
      <c r="G842" s="538"/>
    </row>
    <row r="843" spans="1:7">
      <c r="A843" s="409"/>
      <c r="B843" s="409"/>
      <c r="C843" s="538"/>
      <c r="D843" s="538"/>
      <c r="E843" s="538"/>
      <c r="F843" s="538"/>
      <c r="G843" s="538"/>
    </row>
    <row r="844" spans="1:7">
      <c r="A844" s="409"/>
      <c r="B844" s="409"/>
      <c r="C844" s="538"/>
      <c r="D844" s="538"/>
      <c r="E844" s="538"/>
      <c r="F844" s="538"/>
      <c r="G844" s="538"/>
    </row>
    <row r="845" spans="1:7">
      <c r="A845" s="409"/>
      <c r="B845" s="409"/>
      <c r="C845" s="538"/>
      <c r="D845" s="538"/>
      <c r="E845" s="538"/>
      <c r="F845" s="538"/>
      <c r="G845" s="538"/>
    </row>
    <row r="846" spans="1:7">
      <c r="A846" s="409"/>
      <c r="B846" s="409"/>
      <c r="C846" s="538"/>
      <c r="D846" s="538"/>
      <c r="E846" s="538"/>
      <c r="F846" s="538"/>
      <c r="G846" s="538"/>
    </row>
    <row r="847" spans="1:7">
      <c r="A847" s="409"/>
      <c r="B847" s="409"/>
      <c r="C847" s="538"/>
      <c r="D847" s="538"/>
      <c r="E847" s="538"/>
      <c r="F847" s="538"/>
      <c r="G847" s="538"/>
    </row>
    <row r="848" spans="1:7">
      <c r="A848" s="409"/>
      <c r="B848" s="409"/>
      <c r="C848" s="538"/>
      <c r="D848" s="538"/>
      <c r="E848" s="538"/>
      <c r="F848" s="538"/>
      <c r="G848" s="538"/>
    </row>
    <row r="849" spans="1:7">
      <c r="A849" s="409"/>
      <c r="B849" s="409"/>
      <c r="C849" s="538"/>
      <c r="D849" s="538"/>
      <c r="E849" s="538"/>
      <c r="F849" s="538"/>
      <c r="G849" s="538"/>
    </row>
    <row r="850" spans="1:7">
      <c r="A850" s="409"/>
      <c r="B850" s="409"/>
      <c r="C850" s="538"/>
      <c r="D850" s="538"/>
      <c r="E850" s="538"/>
      <c r="F850" s="538"/>
      <c r="G850" s="538"/>
    </row>
    <row r="851" spans="1:7">
      <c r="A851" s="409"/>
      <c r="B851" s="409"/>
      <c r="C851" s="538"/>
      <c r="D851" s="538"/>
      <c r="E851" s="538"/>
      <c r="F851" s="538"/>
      <c r="G851" s="538"/>
    </row>
    <row r="852" spans="1:7">
      <c r="A852" s="409"/>
      <c r="B852" s="409"/>
      <c r="C852" s="538"/>
      <c r="D852" s="538"/>
      <c r="E852" s="538"/>
      <c r="F852" s="538"/>
      <c r="G852" s="538"/>
    </row>
    <row r="853" spans="1:7">
      <c r="A853" s="409"/>
      <c r="B853" s="409"/>
      <c r="C853" s="538"/>
      <c r="D853" s="538"/>
      <c r="E853" s="538"/>
      <c r="F853" s="538"/>
      <c r="G853" s="538"/>
    </row>
    <row r="854" spans="1:7">
      <c r="A854" s="409"/>
      <c r="B854" s="409"/>
      <c r="C854" s="538"/>
      <c r="D854" s="538"/>
      <c r="E854" s="538"/>
      <c r="F854" s="538"/>
      <c r="G854" s="538"/>
    </row>
    <row r="855" spans="1:7">
      <c r="A855" s="409"/>
      <c r="B855" s="409"/>
      <c r="C855" s="538"/>
      <c r="D855" s="538"/>
      <c r="E855" s="538"/>
      <c r="F855" s="538"/>
      <c r="G855" s="538"/>
    </row>
    <row r="856" spans="1:7">
      <c r="A856" s="409"/>
      <c r="B856" s="409"/>
      <c r="C856" s="538"/>
      <c r="D856" s="538"/>
      <c r="E856" s="538"/>
      <c r="F856" s="538"/>
      <c r="G856" s="538"/>
    </row>
    <row r="857" spans="1:7">
      <c r="A857" s="409"/>
      <c r="B857" s="409"/>
      <c r="C857" s="538"/>
      <c r="D857" s="538"/>
      <c r="E857" s="538"/>
      <c r="F857" s="538"/>
      <c r="G857" s="538"/>
    </row>
    <row r="858" spans="1:7">
      <c r="A858" s="409"/>
      <c r="B858" s="409"/>
      <c r="C858" s="538"/>
      <c r="D858" s="538"/>
      <c r="E858" s="538"/>
      <c r="F858" s="538"/>
      <c r="G858" s="538"/>
    </row>
    <row r="859" spans="1:7">
      <c r="A859" s="409"/>
      <c r="B859" s="409"/>
      <c r="C859" s="538"/>
      <c r="D859" s="538"/>
      <c r="E859" s="538"/>
      <c r="F859" s="538"/>
      <c r="G859" s="538"/>
    </row>
    <row r="860" spans="1:7">
      <c r="A860" s="409"/>
      <c r="B860" s="409"/>
      <c r="C860" s="538"/>
      <c r="D860" s="538"/>
      <c r="E860" s="538"/>
      <c r="F860" s="538"/>
      <c r="G860" s="538"/>
    </row>
    <row r="861" spans="1:7">
      <c r="A861" s="409"/>
      <c r="B861" s="409"/>
      <c r="C861" s="538"/>
      <c r="D861" s="538"/>
      <c r="E861" s="538"/>
      <c r="F861" s="538"/>
      <c r="G861" s="538"/>
    </row>
    <row r="862" spans="1:7">
      <c r="A862" s="409"/>
      <c r="B862" s="409"/>
      <c r="C862" s="538"/>
      <c r="D862" s="538"/>
      <c r="E862" s="538"/>
      <c r="F862" s="538"/>
      <c r="G862" s="538"/>
    </row>
    <row r="863" spans="1:7">
      <c r="A863" s="409"/>
      <c r="B863" s="409"/>
      <c r="C863" s="538"/>
      <c r="D863" s="538"/>
      <c r="E863" s="538"/>
      <c r="F863" s="538"/>
      <c r="G863" s="538"/>
    </row>
    <row r="864" spans="1:7">
      <c r="A864" s="409"/>
      <c r="B864" s="409"/>
      <c r="C864" s="538"/>
      <c r="D864" s="538"/>
      <c r="E864" s="538"/>
      <c r="F864" s="538"/>
      <c r="G864" s="538"/>
    </row>
    <row r="865" spans="1:7">
      <c r="A865" s="409"/>
      <c r="B865" s="409"/>
      <c r="C865" s="538"/>
      <c r="D865" s="538"/>
      <c r="E865" s="538"/>
      <c r="F865" s="538"/>
      <c r="G865" s="538"/>
    </row>
    <row r="866" spans="1:7">
      <c r="A866" s="409"/>
      <c r="B866" s="409"/>
      <c r="C866" s="538"/>
      <c r="D866" s="538"/>
      <c r="E866" s="538"/>
      <c r="F866" s="538"/>
      <c r="G866" s="538"/>
    </row>
    <row r="867" spans="1:7">
      <c r="A867" s="409"/>
      <c r="B867" s="409"/>
      <c r="C867" s="538"/>
      <c r="D867" s="538"/>
      <c r="E867" s="538"/>
      <c r="F867" s="538"/>
      <c r="G867" s="538"/>
    </row>
    <row r="868" spans="1:7">
      <c r="A868" s="409"/>
      <c r="B868" s="409"/>
      <c r="C868" s="538"/>
      <c r="D868" s="538"/>
      <c r="E868" s="538"/>
      <c r="F868" s="538"/>
      <c r="G868" s="538"/>
    </row>
    <row r="869" spans="1:7">
      <c r="A869" s="409"/>
      <c r="B869" s="409"/>
      <c r="C869" s="538"/>
      <c r="D869" s="538"/>
      <c r="E869" s="538"/>
      <c r="F869" s="538"/>
      <c r="G869" s="538"/>
    </row>
    <row r="870" spans="1:7">
      <c r="A870" s="409"/>
      <c r="B870" s="409"/>
      <c r="C870" s="538"/>
      <c r="D870" s="538"/>
      <c r="E870" s="538"/>
      <c r="F870" s="538"/>
      <c r="G870" s="538"/>
    </row>
    <row r="871" spans="1:7">
      <c r="A871" s="409"/>
      <c r="B871" s="409"/>
      <c r="C871" s="538"/>
      <c r="D871" s="538"/>
      <c r="E871" s="538"/>
      <c r="F871" s="538"/>
      <c r="G871" s="538"/>
    </row>
    <row r="872" spans="1:7">
      <c r="A872" s="409"/>
      <c r="B872" s="409"/>
      <c r="C872" s="538"/>
      <c r="D872" s="538"/>
      <c r="E872" s="538"/>
      <c r="F872" s="538"/>
      <c r="G872" s="538"/>
    </row>
    <row r="873" spans="1:7">
      <c r="A873" s="409"/>
      <c r="B873" s="409"/>
      <c r="C873" s="538"/>
      <c r="D873" s="538"/>
      <c r="E873" s="538"/>
      <c r="F873" s="538"/>
      <c r="G873" s="538"/>
    </row>
    <row r="874" spans="1:7">
      <c r="A874" s="409"/>
      <c r="B874" s="409"/>
      <c r="C874" s="538"/>
      <c r="D874" s="538"/>
      <c r="E874" s="538"/>
      <c r="F874" s="538"/>
      <c r="G874" s="538"/>
    </row>
    <row r="875" spans="1:7">
      <c r="A875" s="409"/>
      <c r="B875" s="409"/>
      <c r="C875" s="538"/>
      <c r="D875" s="538"/>
      <c r="E875" s="538"/>
      <c r="F875" s="538"/>
      <c r="G875" s="538"/>
    </row>
    <row r="876" spans="1:7">
      <c r="A876" s="409"/>
      <c r="B876" s="409"/>
      <c r="C876" s="538"/>
      <c r="D876" s="538"/>
      <c r="E876" s="538"/>
      <c r="F876" s="538"/>
      <c r="G876" s="538"/>
    </row>
    <row r="877" spans="1:7">
      <c r="A877" s="409"/>
      <c r="B877" s="409"/>
      <c r="C877" s="538"/>
      <c r="D877" s="538"/>
      <c r="E877" s="538"/>
      <c r="F877" s="538"/>
      <c r="G877" s="538"/>
    </row>
    <row r="878" spans="1:7">
      <c r="A878" s="409"/>
      <c r="B878" s="409"/>
      <c r="C878" s="538"/>
      <c r="D878" s="538"/>
      <c r="E878" s="538"/>
      <c r="F878" s="538"/>
      <c r="G878" s="538"/>
    </row>
    <row r="879" spans="1:7">
      <c r="A879" s="409"/>
      <c r="B879" s="409"/>
      <c r="C879" s="538"/>
      <c r="D879" s="538"/>
      <c r="E879" s="538"/>
      <c r="F879" s="538"/>
      <c r="G879" s="538"/>
    </row>
    <row r="880" spans="1:7">
      <c r="A880" s="409"/>
      <c r="B880" s="409"/>
      <c r="C880" s="538"/>
      <c r="D880" s="538"/>
      <c r="E880" s="538"/>
      <c r="F880" s="538"/>
      <c r="G880" s="538"/>
    </row>
    <row r="881" spans="1:7">
      <c r="A881" s="409"/>
      <c r="B881" s="409"/>
      <c r="C881" s="538"/>
      <c r="D881" s="538"/>
      <c r="E881" s="538"/>
      <c r="F881" s="538"/>
      <c r="G881" s="538"/>
    </row>
    <row r="882" spans="1:7">
      <c r="A882" s="409"/>
      <c r="B882" s="409"/>
      <c r="C882" s="538"/>
      <c r="D882" s="538"/>
      <c r="E882" s="538"/>
      <c r="F882" s="538"/>
      <c r="G882" s="538"/>
    </row>
    <row r="883" spans="1:7">
      <c r="A883" s="409"/>
      <c r="B883" s="409"/>
      <c r="C883" s="538"/>
      <c r="D883" s="538"/>
      <c r="E883" s="538"/>
      <c r="F883" s="538"/>
      <c r="G883" s="538"/>
    </row>
    <row r="884" spans="1:7">
      <c r="A884" s="409"/>
      <c r="B884" s="409"/>
      <c r="C884" s="538"/>
      <c r="D884" s="538"/>
      <c r="E884" s="538"/>
      <c r="F884" s="538"/>
      <c r="G884" s="538"/>
    </row>
    <row r="885" spans="1:7">
      <c r="A885" s="409"/>
      <c r="B885" s="409"/>
      <c r="C885" s="538"/>
      <c r="D885" s="538"/>
      <c r="E885" s="538"/>
      <c r="F885" s="538"/>
      <c r="G885" s="538"/>
    </row>
    <row r="886" spans="1:7">
      <c r="A886" s="409"/>
      <c r="B886" s="409"/>
      <c r="C886" s="538"/>
      <c r="D886" s="538"/>
      <c r="E886" s="538"/>
      <c r="F886" s="538"/>
      <c r="G886" s="538"/>
    </row>
    <row r="887" spans="1:7">
      <c r="A887" s="409"/>
      <c r="B887" s="409"/>
      <c r="C887" s="538"/>
      <c r="D887" s="538"/>
      <c r="E887" s="538"/>
      <c r="F887" s="538"/>
      <c r="G887" s="538"/>
    </row>
    <row r="888" spans="1:7">
      <c r="A888" s="409"/>
      <c r="B888" s="409"/>
      <c r="C888" s="538"/>
      <c r="D888" s="538"/>
      <c r="E888" s="538"/>
      <c r="F888" s="538"/>
      <c r="G888" s="538"/>
    </row>
    <row r="889" spans="1:7">
      <c r="A889" s="409"/>
      <c r="B889" s="409"/>
      <c r="C889" s="538"/>
      <c r="D889" s="538"/>
      <c r="E889" s="538"/>
      <c r="F889" s="538"/>
      <c r="G889" s="538"/>
    </row>
    <row r="890" spans="1:7">
      <c r="A890" s="409"/>
      <c r="B890" s="409"/>
      <c r="C890" s="538"/>
      <c r="D890" s="538"/>
      <c r="E890" s="538"/>
      <c r="F890" s="538"/>
      <c r="G890" s="538"/>
    </row>
    <row r="891" spans="1:7">
      <c r="A891" s="409"/>
      <c r="B891" s="409"/>
      <c r="C891" s="538"/>
      <c r="D891" s="538"/>
      <c r="E891" s="538"/>
      <c r="F891" s="538"/>
      <c r="G891" s="538"/>
    </row>
    <row r="892" spans="1:7">
      <c r="A892" s="409"/>
      <c r="B892" s="409"/>
      <c r="C892" s="538"/>
      <c r="D892" s="538"/>
      <c r="E892" s="538"/>
      <c r="F892" s="538"/>
      <c r="G892" s="538"/>
    </row>
    <row r="893" spans="1:7">
      <c r="A893" s="409"/>
      <c r="B893" s="409"/>
      <c r="C893" s="538"/>
      <c r="D893" s="538"/>
      <c r="E893" s="538"/>
      <c r="F893" s="538"/>
      <c r="G893" s="538"/>
    </row>
    <row r="894" spans="1:7">
      <c r="A894" s="409"/>
      <c r="B894" s="409"/>
      <c r="C894" s="538"/>
      <c r="D894" s="538"/>
      <c r="E894" s="538"/>
      <c r="F894" s="538"/>
      <c r="G894" s="538"/>
    </row>
    <row r="895" spans="1:7">
      <c r="A895" s="409"/>
      <c r="B895" s="409"/>
      <c r="C895" s="538"/>
      <c r="D895" s="538"/>
      <c r="E895" s="538"/>
      <c r="F895" s="538"/>
      <c r="G895" s="538"/>
    </row>
    <row r="896" spans="1:7">
      <c r="A896" s="409"/>
      <c r="B896" s="409"/>
      <c r="C896" s="538"/>
      <c r="D896" s="538"/>
      <c r="E896" s="538"/>
      <c r="F896" s="538"/>
      <c r="G896" s="538"/>
    </row>
    <row r="897" spans="1:7">
      <c r="A897" s="409"/>
      <c r="B897" s="409"/>
      <c r="C897" s="538"/>
      <c r="D897" s="538"/>
      <c r="E897" s="538"/>
      <c r="F897" s="538"/>
      <c r="G897" s="538"/>
    </row>
    <row r="898" spans="1:7">
      <c r="A898" s="409"/>
      <c r="B898" s="409"/>
      <c r="C898" s="538"/>
      <c r="D898" s="538"/>
      <c r="E898" s="538"/>
      <c r="F898" s="538"/>
      <c r="G898" s="538"/>
    </row>
    <row r="899" spans="1:7">
      <c r="A899" s="409"/>
      <c r="B899" s="409"/>
      <c r="C899" s="538"/>
      <c r="D899" s="538"/>
      <c r="E899" s="538"/>
      <c r="F899" s="538"/>
      <c r="G899" s="538"/>
    </row>
    <row r="900" spans="1:7">
      <c r="A900" s="409"/>
      <c r="B900" s="409"/>
      <c r="C900" s="538"/>
      <c r="D900" s="538"/>
      <c r="E900" s="538"/>
      <c r="F900" s="538"/>
      <c r="G900" s="538"/>
    </row>
    <row r="901" spans="1:7">
      <c r="A901" s="409"/>
      <c r="B901" s="409"/>
      <c r="C901" s="538"/>
      <c r="D901" s="538"/>
      <c r="E901" s="538"/>
      <c r="F901" s="538"/>
      <c r="G901" s="538"/>
    </row>
    <row r="902" spans="1:7">
      <c r="A902" s="409"/>
      <c r="B902" s="409"/>
      <c r="C902" s="538"/>
      <c r="D902" s="538"/>
      <c r="E902" s="538"/>
      <c r="F902" s="538"/>
      <c r="G902" s="538"/>
    </row>
    <row r="903" spans="1:7">
      <c r="A903" s="409"/>
      <c r="B903" s="409"/>
      <c r="C903" s="538"/>
      <c r="D903" s="538"/>
      <c r="E903" s="538"/>
      <c r="F903" s="538"/>
      <c r="G903" s="538"/>
    </row>
    <row r="904" spans="1:7">
      <c r="A904" s="409"/>
      <c r="B904" s="409"/>
      <c r="C904" s="538"/>
      <c r="D904" s="538"/>
      <c r="E904" s="538"/>
      <c r="F904" s="538"/>
      <c r="G904" s="538"/>
    </row>
    <row r="905" spans="1:7">
      <c r="A905" s="409"/>
      <c r="B905" s="409"/>
      <c r="C905" s="538"/>
      <c r="D905" s="538"/>
      <c r="E905" s="538"/>
      <c r="F905" s="538"/>
      <c r="G905" s="538"/>
    </row>
    <row r="906" spans="1:7">
      <c r="A906" s="409"/>
      <c r="B906" s="409"/>
      <c r="C906" s="538"/>
      <c r="D906" s="538"/>
      <c r="E906" s="538"/>
      <c r="F906" s="538"/>
      <c r="G906" s="538"/>
    </row>
    <row r="907" spans="1:7">
      <c r="A907" s="409"/>
      <c r="B907" s="409"/>
      <c r="C907" s="538"/>
      <c r="D907" s="538"/>
      <c r="E907" s="538"/>
      <c r="F907" s="538"/>
      <c r="G907" s="538"/>
    </row>
    <row r="908" spans="1:7">
      <c r="A908" s="409"/>
      <c r="B908" s="409"/>
      <c r="C908" s="538"/>
      <c r="D908" s="538"/>
      <c r="E908" s="538"/>
      <c r="F908" s="538"/>
      <c r="G908" s="538"/>
    </row>
    <row r="909" spans="1:7">
      <c r="A909" s="409"/>
      <c r="B909" s="409"/>
      <c r="C909" s="538"/>
      <c r="D909" s="538"/>
      <c r="E909" s="538"/>
      <c r="F909" s="538"/>
      <c r="G909" s="538"/>
    </row>
    <row r="910" spans="1:7">
      <c r="A910" s="409"/>
      <c r="B910" s="409"/>
      <c r="C910" s="538"/>
      <c r="D910" s="538"/>
      <c r="E910" s="538"/>
      <c r="F910" s="538"/>
      <c r="G910" s="538"/>
    </row>
    <row r="911" spans="1:7">
      <c r="A911" s="409"/>
      <c r="B911" s="409"/>
      <c r="C911" s="538"/>
      <c r="D911" s="538"/>
      <c r="E911" s="538"/>
      <c r="F911" s="538"/>
      <c r="G911" s="538"/>
    </row>
    <row r="912" spans="1:7">
      <c r="A912" s="409"/>
      <c r="B912" s="409"/>
      <c r="C912" s="538"/>
      <c r="D912" s="538"/>
      <c r="E912" s="538"/>
      <c r="F912" s="538"/>
      <c r="G912" s="538"/>
    </row>
    <row r="913" spans="1:7">
      <c r="A913" s="409"/>
      <c r="B913" s="409"/>
      <c r="C913" s="538"/>
      <c r="D913" s="538"/>
      <c r="E913" s="538"/>
      <c r="F913" s="538"/>
      <c r="G913" s="538"/>
    </row>
    <row r="914" spans="1:7">
      <c r="A914" s="409"/>
      <c r="B914" s="409"/>
      <c r="C914" s="538"/>
      <c r="D914" s="538"/>
      <c r="E914" s="538"/>
      <c r="F914" s="538"/>
      <c r="G914" s="538"/>
    </row>
    <row r="915" spans="1:7">
      <c r="A915" s="409"/>
      <c r="B915" s="409"/>
      <c r="C915" s="538"/>
      <c r="D915" s="538"/>
      <c r="E915" s="538"/>
      <c r="F915" s="538"/>
      <c r="G915" s="538"/>
    </row>
    <row r="916" spans="1:7">
      <c r="A916" s="409"/>
      <c r="B916" s="409"/>
      <c r="C916" s="538"/>
      <c r="D916" s="538"/>
      <c r="E916" s="538"/>
      <c r="F916" s="538"/>
      <c r="G916" s="538"/>
    </row>
    <row r="917" spans="1:7">
      <c r="A917" s="409"/>
      <c r="B917" s="409"/>
      <c r="C917" s="538"/>
      <c r="D917" s="538"/>
      <c r="E917" s="538"/>
      <c r="F917" s="538"/>
      <c r="G917" s="538"/>
    </row>
    <row r="918" spans="1:7">
      <c r="A918" s="409"/>
      <c r="B918" s="409"/>
      <c r="C918" s="538"/>
      <c r="D918" s="538"/>
      <c r="E918" s="538"/>
      <c r="F918" s="538"/>
      <c r="G918" s="538"/>
    </row>
    <row r="919" spans="1:7">
      <c r="A919" s="409"/>
      <c r="B919" s="409"/>
      <c r="C919" s="538"/>
      <c r="D919" s="538"/>
      <c r="E919" s="538"/>
      <c r="F919" s="538"/>
      <c r="G919" s="538"/>
    </row>
    <row r="920" spans="1:7">
      <c r="A920" s="409"/>
      <c r="B920" s="409"/>
      <c r="C920" s="538"/>
      <c r="D920" s="538"/>
      <c r="E920" s="538"/>
      <c r="F920" s="538"/>
      <c r="G920" s="538"/>
    </row>
    <row r="921" spans="1:7">
      <c r="A921" s="409"/>
      <c r="B921" s="409"/>
      <c r="C921" s="538"/>
      <c r="D921" s="538"/>
      <c r="E921" s="538"/>
      <c r="F921" s="538"/>
      <c r="G921" s="538"/>
    </row>
    <row r="922" spans="1:7">
      <c r="A922" s="409"/>
      <c r="B922" s="409"/>
      <c r="C922" s="538"/>
      <c r="D922" s="538"/>
      <c r="E922" s="538"/>
      <c r="F922" s="538"/>
      <c r="G922" s="538"/>
    </row>
    <row r="923" spans="1:7">
      <c r="A923" s="409"/>
      <c r="B923" s="409"/>
      <c r="C923" s="538"/>
      <c r="D923" s="538"/>
      <c r="E923" s="538"/>
      <c r="F923" s="538"/>
      <c r="G923" s="538"/>
    </row>
    <row r="924" spans="1:7">
      <c r="A924" s="409"/>
      <c r="B924" s="409"/>
      <c r="C924" s="538"/>
      <c r="D924" s="538"/>
      <c r="E924" s="538"/>
      <c r="F924" s="538"/>
      <c r="G924" s="538"/>
    </row>
    <row r="925" spans="1:7">
      <c r="A925" s="409"/>
      <c r="B925" s="409"/>
      <c r="C925" s="538"/>
      <c r="D925" s="538"/>
      <c r="E925" s="538"/>
      <c r="F925" s="538"/>
      <c r="G925" s="538"/>
    </row>
    <row r="926" spans="1:7">
      <c r="A926" s="409"/>
      <c r="B926" s="409"/>
      <c r="C926" s="538"/>
      <c r="D926" s="538"/>
      <c r="E926" s="538"/>
      <c r="F926" s="538"/>
      <c r="G926" s="538"/>
    </row>
    <row r="927" spans="1:7">
      <c r="A927" s="409"/>
      <c r="B927" s="409"/>
      <c r="C927" s="538"/>
      <c r="D927" s="538"/>
      <c r="E927" s="538"/>
      <c r="F927" s="538"/>
      <c r="G927" s="538"/>
    </row>
    <row r="928" spans="1:7">
      <c r="A928" s="409"/>
      <c r="B928" s="409"/>
      <c r="C928" s="538"/>
      <c r="D928" s="538"/>
      <c r="E928" s="538"/>
      <c r="F928" s="538"/>
      <c r="G928" s="538"/>
    </row>
    <row r="929" spans="1:7">
      <c r="A929" s="409"/>
      <c r="B929" s="409"/>
      <c r="C929" s="538"/>
      <c r="D929" s="538"/>
      <c r="E929" s="538"/>
      <c r="F929" s="538"/>
      <c r="G929" s="538"/>
    </row>
    <row r="930" spans="1:7">
      <c r="A930" s="409"/>
      <c r="B930" s="409"/>
      <c r="C930" s="538"/>
      <c r="D930" s="538"/>
      <c r="E930" s="538"/>
      <c r="F930" s="538"/>
      <c r="G930" s="538"/>
    </row>
    <row r="931" spans="1:7">
      <c r="A931" s="409"/>
      <c r="B931" s="409"/>
      <c r="C931" s="538"/>
      <c r="D931" s="538"/>
      <c r="E931" s="538"/>
      <c r="F931" s="538"/>
      <c r="G931" s="538"/>
    </row>
    <row r="932" spans="1:7">
      <c r="A932" s="409"/>
      <c r="B932" s="409"/>
      <c r="C932" s="538"/>
      <c r="D932" s="538"/>
      <c r="E932" s="538"/>
      <c r="F932" s="538"/>
      <c r="G932" s="538"/>
    </row>
    <row r="933" spans="1:7">
      <c r="A933" s="409"/>
      <c r="B933" s="409"/>
      <c r="C933" s="538"/>
      <c r="D933" s="538"/>
      <c r="E933" s="538"/>
      <c r="F933" s="538"/>
      <c r="G933" s="538"/>
    </row>
    <row r="934" spans="1:7">
      <c r="A934" s="409"/>
      <c r="B934" s="409"/>
      <c r="C934" s="538"/>
      <c r="D934" s="538"/>
      <c r="E934" s="538"/>
      <c r="F934" s="538"/>
      <c r="G934" s="538"/>
    </row>
    <row r="935" spans="1:7">
      <c r="A935" s="409"/>
      <c r="B935" s="409"/>
      <c r="C935" s="538"/>
      <c r="D935" s="538"/>
      <c r="E935" s="538"/>
      <c r="F935" s="538"/>
      <c r="G935" s="538"/>
    </row>
    <row r="936" spans="1:7">
      <c r="A936" s="409"/>
      <c r="B936" s="409"/>
      <c r="C936" s="538"/>
      <c r="D936" s="538"/>
      <c r="E936" s="538"/>
      <c r="F936" s="538"/>
      <c r="G936" s="538"/>
    </row>
    <row r="937" spans="1:7">
      <c r="A937" s="409"/>
      <c r="B937" s="409"/>
      <c r="C937" s="538"/>
      <c r="D937" s="538"/>
      <c r="E937" s="538"/>
      <c r="F937" s="538"/>
      <c r="G937" s="538"/>
    </row>
    <row r="938" spans="1:7">
      <c r="A938" s="409"/>
      <c r="B938" s="409"/>
      <c r="C938" s="538"/>
      <c r="D938" s="538"/>
      <c r="E938" s="538"/>
      <c r="F938" s="538"/>
      <c r="G938" s="538"/>
    </row>
    <row r="939" spans="1:7">
      <c r="A939" s="409"/>
      <c r="B939" s="409"/>
      <c r="C939" s="538"/>
      <c r="D939" s="538"/>
      <c r="E939" s="538"/>
      <c r="F939" s="538"/>
      <c r="G939" s="538"/>
    </row>
    <row r="940" spans="1:7">
      <c r="A940" s="409"/>
      <c r="B940" s="409"/>
      <c r="C940" s="538"/>
      <c r="D940" s="538"/>
      <c r="E940" s="538"/>
      <c r="F940" s="538"/>
      <c r="G940" s="538"/>
    </row>
    <row r="941" spans="1:7">
      <c r="A941" s="409"/>
      <c r="B941" s="409"/>
      <c r="C941" s="538"/>
      <c r="D941" s="538"/>
      <c r="E941" s="538"/>
      <c r="F941" s="538"/>
      <c r="G941" s="538"/>
    </row>
    <row r="942" spans="1:7">
      <c r="A942" s="409"/>
      <c r="B942" s="409"/>
      <c r="C942" s="538"/>
      <c r="D942" s="538"/>
      <c r="E942" s="538"/>
      <c r="F942" s="538"/>
      <c r="G942" s="538"/>
    </row>
    <row r="943" spans="1:7">
      <c r="A943" s="409"/>
      <c r="B943" s="409"/>
      <c r="C943" s="538"/>
      <c r="D943" s="538"/>
      <c r="E943" s="538"/>
      <c r="F943" s="538"/>
      <c r="G943" s="538"/>
    </row>
    <row r="944" spans="1:7">
      <c r="A944" s="409"/>
      <c r="B944" s="409"/>
      <c r="C944" s="538"/>
      <c r="D944" s="538"/>
      <c r="E944" s="538"/>
      <c r="F944" s="538"/>
      <c r="G944" s="538"/>
    </row>
    <row r="945" spans="1:7">
      <c r="A945" s="409"/>
      <c r="B945" s="409"/>
      <c r="C945" s="538"/>
      <c r="D945" s="538"/>
      <c r="E945" s="538"/>
      <c r="F945" s="538"/>
      <c r="G945" s="538"/>
    </row>
    <row r="946" spans="1:7">
      <c r="A946" s="409"/>
      <c r="B946" s="409"/>
      <c r="C946" s="538"/>
      <c r="D946" s="538"/>
      <c r="E946" s="538"/>
      <c r="F946" s="538"/>
      <c r="G946" s="538"/>
    </row>
    <row r="947" spans="1:7">
      <c r="A947" s="409"/>
      <c r="B947" s="409"/>
      <c r="C947" s="538"/>
      <c r="D947" s="538"/>
      <c r="E947" s="538"/>
      <c r="F947" s="538"/>
      <c r="G947" s="538"/>
    </row>
    <row r="948" spans="1:7">
      <c r="A948" s="409"/>
      <c r="B948" s="409"/>
      <c r="C948" s="538"/>
      <c r="D948" s="538"/>
      <c r="E948" s="538"/>
      <c r="F948" s="538"/>
      <c r="G948" s="538"/>
    </row>
    <row r="949" spans="1:7">
      <c r="A949" s="409"/>
      <c r="B949" s="409"/>
      <c r="C949" s="538"/>
      <c r="D949" s="538"/>
      <c r="E949" s="538"/>
      <c r="F949" s="538"/>
      <c r="G949" s="538"/>
    </row>
    <row r="950" spans="1:7">
      <c r="A950" s="409"/>
      <c r="B950" s="409"/>
      <c r="C950" s="538"/>
      <c r="D950" s="538"/>
      <c r="E950" s="538"/>
      <c r="F950" s="538"/>
      <c r="G950" s="538"/>
    </row>
    <row r="951" spans="1:7">
      <c r="A951" s="409"/>
      <c r="B951" s="409"/>
      <c r="C951" s="538"/>
      <c r="D951" s="538"/>
      <c r="E951" s="538"/>
      <c r="F951" s="538"/>
      <c r="G951" s="538"/>
    </row>
    <row r="952" spans="1:7">
      <c r="A952" s="409"/>
      <c r="B952" s="409"/>
      <c r="C952" s="538"/>
      <c r="D952" s="538"/>
      <c r="E952" s="538"/>
      <c r="F952" s="538"/>
      <c r="G952" s="538"/>
    </row>
    <row r="953" spans="1:7">
      <c r="A953" s="409"/>
      <c r="B953" s="409"/>
      <c r="C953" s="538"/>
      <c r="D953" s="538"/>
      <c r="E953" s="538"/>
      <c r="F953" s="538"/>
      <c r="G953" s="538"/>
    </row>
    <row r="954" spans="1:7">
      <c r="A954" s="409"/>
      <c r="B954" s="409"/>
      <c r="C954" s="538"/>
      <c r="D954" s="538"/>
      <c r="E954" s="538"/>
      <c r="F954" s="538"/>
      <c r="G954" s="538"/>
    </row>
    <row r="955" spans="1:7">
      <c r="A955" s="409"/>
      <c r="B955" s="409"/>
      <c r="C955" s="538"/>
      <c r="D955" s="538"/>
      <c r="E955" s="538"/>
      <c r="F955" s="538"/>
      <c r="G955" s="538"/>
    </row>
    <row r="956" spans="1:7">
      <c r="A956" s="409"/>
      <c r="B956" s="409"/>
      <c r="C956" s="538"/>
      <c r="D956" s="538"/>
      <c r="E956" s="538"/>
      <c r="F956" s="538"/>
      <c r="G956" s="538"/>
    </row>
    <row r="957" spans="1:7">
      <c r="A957" s="409"/>
      <c r="B957" s="409"/>
      <c r="C957" s="538"/>
      <c r="D957" s="538"/>
      <c r="E957" s="538"/>
      <c r="F957" s="538"/>
      <c r="G957" s="538"/>
    </row>
    <row r="958" spans="1:7">
      <c r="A958" s="409"/>
      <c r="B958" s="409"/>
      <c r="C958" s="538"/>
      <c r="D958" s="538"/>
      <c r="E958" s="538"/>
      <c r="F958" s="538"/>
      <c r="G958" s="538"/>
    </row>
    <row r="959" spans="1:7">
      <c r="A959" s="409"/>
      <c r="B959" s="409"/>
      <c r="C959" s="538"/>
      <c r="D959" s="538"/>
      <c r="E959" s="538"/>
      <c r="F959" s="538"/>
      <c r="G959" s="538"/>
    </row>
    <row r="960" spans="1:7">
      <c r="A960" s="409"/>
      <c r="B960" s="409"/>
      <c r="C960" s="538"/>
      <c r="D960" s="538"/>
      <c r="E960" s="538"/>
      <c r="F960" s="538"/>
      <c r="G960" s="538"/>
    </row>
    <row r="961" spans="1:7">
      <c r="A961" s="409"/>
      <c r="B961" s="409"/>
      <c r="C961" s="538"/>
      <c r="D961" s="538"/>
      <c r="E961" s="538"/>
      <c r="F961" s="538"/>
      <c r="G961" s="538"/>
    </row>
    <row r="962" spans="1:7">
      <c r="A962" s="409"/>
      <c r="B962" s="409"/>
      <c r="C962" s="538"/>
      <c r="D962" s="538"/>
      <c r="E962" s="538"/>
      <c r="F962" s="538"/>
      <c r="G962" s="538"/>
    </row>
    <row r="963" spans="1:7">
      <c r="A963" s="409"/>
      <c r="B963" s="409"/>
      <c r="C963" s="538"/>
      <c r="D963" s="538"/>
      <c r="E963" s="538"/>
      <c r="F963" s="538"/>
      <c r="G963" s="538"/>
    </row>
    <row r="964" spans="1:7">
      <c r="A964" s="409"/>
      <c r="B964" s="409"/>
      <c r="C964" s="538"/>
      <c r="D964" s="538"/>
      <c r="E964" s="538"/>
      <c r="F964" s="538"/>
      <c r="G964" s="538"/>
    </row>
    <row r="965" spans="1:7">
      <c r="A965" s="409"/>
      <c r="B965" s="409"/>
      <c r="C965" s="538"/>
      <c r="D965" s="538"/>
      <c r="E965" s="538"/>
      <c r="F965" s="538"/>
      <c r="G965" s="538"/>
    </row>
    <row r="966" spans="1:7">
      <c r="A966" s="409"/>
      <c r="B966" s="409"/>
      <c r="C966" s="538"/>
      <c r="D966" s="538"/>
      <c r="E966" s="538"/>
      <c r="F966" s="538"/>
      <c r="G966" s="538"/>
    </row>
    <row r="967" spans="1:7">
      <c r="A967" s="409"/>
      <c r="B967" s="409"/>
      <c r="C967" s="538"/>
      <c r="D967" s="538"/>
      <c r="E967" s="538"/>
      <c r="F967" s="538"/>
      <c r="G967" s="538"/>
    </row>
    <row r="968" spans="1:7">
      <c r="A968" s="409"/>
      <c r="B968" s="409"/>
      <c r="C968" s="538"/>
      <c r="D968" s="538"/>
      <c r="E968" s="538"/>
      <c r="F968" s="538"/>
      <c r="G968" s="538"/>
    </row>
    <row r="969" spans="1:7">
      <c r="A969" s="409"/>
      <c r="B969" s="409"/>
      <c r="C969" s="538"/>
      <c r="D969" s="538"/>
      <c r="E969" s="538"/>
      <c r="F969" s="538"/>
      <c r="G969" s="538"/>
    </row>
    <row r="970" spans="1:7">
      <c r="A970" s="409"/>
      <c r="B970" s="409"/>
      <c r="C970" s="538"/>
      <c r="D970" s="538"/>
      <c r="E970" s="538"/>
      <c r="F970" s="538"/>
      <c r="G970" s="538"/>
    </row>
    <row r="971" spans="1:7">
      <c r="A971" s="409"/>
      <c r="B971" s="409"/>
      <c r="C971" s="538"/>
      <c r="D971" s="538"/>
      <c r="E971" s="538"/>
      <c r="F971" s="538"/>
      <c r="G971" s="538"/>
    </row>
    <row r="972" spans="1:7">
      <c r="A972" s="409"/>
      <c r="B972" s="409"/>
      <c r="C972" s="538"/>
      <c r="D972" s="538"/>
      <c r="E972" s="538"/>
      <c r="F972" s="538"/>
      <c r="G972" s="538"/>
    </row>
    <row r="973" spans="1:7">
      <c r="A973" s="409"/>
      <c r="B973" s="409"/>
      <c r="C973" s="538"/>
      <c r="D973" s="538"/>
      <c r="E973" s="538"/>
      <c r="F973" s="538"/>
      <c r="G973" s="538"/>
    </row>
    <row r="974" spans="1:7">
      <c r="A974" s="409"/>
      <c r="B974" s="409"/>
      <c r="C974" s="538"/>
      <c r="D974" s="538"/>
      <c r="E974" s="538"/>
      <c r="F974" s="538"/>
      <c r="G974" s="538"/>
    </row>
    <row r="975" spans="1:7">
      <c r="A975" s="409"/>
      <c r="B975" s="409"/>
      <c r="C975" s="538"/>
      <c r="D975" s="538"/>
      <c r="E975" s="538"/>
      <c r="F975" s="538"/>
      <c r="G975" s="538"/>
    </row>
    <row r="976" spans="1:7">
      <c r="A976" s="409"/>
      <c r="B976" s="409"/>
      <c r="C976" s="538"/>
      <c r="D976" s="538"/>
      <c r="E976" s="538"/>
      <c r="F976" s="538"/>
      <c r="G976" s="538"/>
    </row>
    <row r="977" spans="1:7">
      <c r="A977" s="409"/>
      <c r="B977" s="409"/>
      <c r="C977" s="538"/>
      <c r="D977" s="538"/>
      <c r="E977" s="538"/>
      <c r="F977" s="538"/>
      <c r="G977" s="538"/>
    </row>
    <row r="978" spans="1:7">
      <c r="A978" s="409"/>
      <c r="B978" s="409"/>
      <c r="C978" s="538"/>
      <c r="D978" s="538"/>
      <c r="E978" s="538"/>
      <c r="F978" s="538"/>
      <c r="G978" s="538"/>
    </row>
    <row r="979" spans="1:7">
      <c r="A979" s="409"/>
      <c r="B979" s="409"/>
      <c r="C979" s="538"/>
      <c r="D979" s="538"/>
      <c r="E979" s="538"/>
      <c r="F979" s="538"/>
      <c r="G979" s="538"/>
    </row>
    <row r="980" spans="1:7">
      <c r="A980" s="409"/>
      <c r="B980" s="409"/>
      <c r="C980" s="538"/>
      <c r="D980" s="538"/>
      <c r="E980" s="538"/>
      <c r="F980" s="538"/>
      <c r="G980" s="538"/>
    </row>
    <row r="981" spans="1:7">
      <c r="A981" s="409"/>
      <c r="B981" s="409"/>
      <c r="C981" s="538"/>
      <c r="D981" s="538"/>
      <c r="E981" s="538"/>
      <c r="F981" s="538"/>
      <c r="G981" s="538"/>
    </row>
    <row r="982" spans="1:7">
      <c r="A982" s="409"/>
      <c r="B982" s="409"/>
      <c r="C982" s="538"/>
      <c r="D982" s="538"/>
      <c r="E982" s="538"/>
      <c r="F982" s="538"/>
      <c r="G982" s="538"/>
    </row>
    <row r="983" spans="1:7">
      <c r="A983" s="409"/>
      <c r="B983" s="409"/>
      <c r="C983" s="538"/>
      <c r="D983" s="538"/>
      <c r="E983" s="538"/>
      <c r="F983" s="538"/>
      <c r="G983" s="538"/>
    </row>
    <row r="984" spans="1:7">
      <c r="A984" s="409"/>
      <c r="B984" s="409"/>
      <c r="C984" s="538"/>
      <c r="D984" s="538"/>
      <c r="E984" s="538"/>
      <c r="F984" s="538"/>
      <c r="G984" s="538"/>
    </row>
    <row r="985" spans="1:7">
      <c r="A985" s="409"/>
      <c r="B985" s="409"/>
      <c r="C985" s="538"/>
      <c r="D985" s="538"/>
      <c r="E985" s="538"/>
      <c r="F985" s="538"/>
      <c r="G985" s="538"/>
    </row>
    <row r="986" spans="1:7">
      <c r="A986" s="409"/>
      <c r="B986" s="409"/>
      <c r="C986" s="538"/>
      <c r="D986" s="538"/>
      <c r="E986" s="538"/>
      <c r="F986" s="538"/>
      <c r="G986" s="538"/>
    </row>
    <row r="987" spans="1:7">
      <c r="A987" s="409"/>
      <c r="B987" s="409"/>
      <c r="C987" s="538"/>
      <c r="D987" s="538"/>
      <c r="E987" s="538"/>
      <c r="F987" s="538"/>
      <c r="G987" s="538"/>
    </row>
    <row r="988" spans="1:7">
      <c r="A988" s="409"/>
      <c r="B988" s="409"/>
      <c r="C988" s="538"/>
      <c r="D988" s="538"/>
      <c r="E988" s="538"/>
      <c r="F988" s="538"/>
      <c r="G988" s="538"/>
    </row>
    <row r="989" spans="1:7">
      <c r="A989" s="409"/>
      <c r="B989" s="409"/>
      <c r="C989" s="538"/>
      <c r="D989" s="538"/>
      <c r="E989" s="538"/>
      <c r="F989" s="538"/>
      <c r="G989" s="538"/>
    </row>
    <row r="990" spans="1:7">
      <c r="A990" s="409"/>
      <c r="B990" s="409"/>
      <c r="C990" s="538"/>
      <c r="D990" s="538"/>
      <c r="E990" s="538"/>
      <c r="F990" s="538"/>
      <c r="G990" s="538"/>
    </row>
    <row r="991" spans="1:7">
      <c r="A991" s="409"/>
      <c r="B991" s="409"/>
      <c r="C991" s="538"/>
      <c r="D991" s="538"/>
      <c r="E991" s="538"/>
      <c r="F991" s="538"/>
      <c r="G991" s="538"/>
    </row>
    <row r="992" spans="1:7">
      <c r="A992" s="409"/>
      <c r="B992" s="409"/>
      <c r="C992" s="538"/>
      <c r="D992" s="538"/>
      <c r="E992" s="538"/>
      <c r="F992" s="538"/>
      <c r="G992" s="538"/>
    </row>
    <row r="993" spans="1:7">
      <c r="A993" s="409"/>
      <c r="B993" s="409"/>
      <c r="C993" s="538"/>
      <c r="D993" s="538"/>
      <c r="E993" s="538"/>
      <c r="F993" s="538"/>
      <c r="G993" s="538"/>
    </row>
    <row r="994" spans="1:7">
      <c r="A994" s="409"/>
      <c r="B994" s="409"/>
      <c r="C994" s="538"/>
      <c r="D994" s="538"/>
      <c r="E994" s="538"/>
      <c r="F994" s="538"/>
      <c r="G994" s="538"/>
    </row>
    <row r="995" spans="1:7">
      <c r="A995" s="409"/>
      <c r="B995" s="409"/>
      <c r="C995" s="538"/>
      <c r="D995" s="538"/>
      <c r="E995" s="538"/>
      <c r="F995" s="538"/>
      <c r="G995" s="538"/>
    </row>
    <row r="996" spans="1:7">
      <c r="A996" s="409"/>
      <c r="B996" s="409"/>
      <c r="C996" s="538"/>
      <c r="D996" s="538"/>
      <c r="E996" s="538"/>
      <c r="F996" s="538"/>
      <c r="G996" s="538"/>
    </row>
    <row r="997" spans="1:7">
      <c r="A997" s="409"/>
      <c r="B997" s="409"/>
      <c r="C997" s="538"/>
      <c r="D997" s="538"/>
      <c r="E997" s="538"/>
      <c r="F997" s="538"/>
      <c r="G997" s="538"/>
    </row>
    <row r="998" spans="1:7">
      <c r="A998" s="409"/>
      <c r="B998" s="409"/>
      <c r="C998" s="538"/>
      <c r="D998" s="538"/>
      <c r="E998" s="538"/>
      <c r="F998" s="538"/>
      <c r="G998" s="538"/>
    </row>
    <row r="999" spans="1:7">
      <c r="A999" s="409"/>
      <c r="B999" s="409"/>
      <c r="C999" s="538"/>
      <c r="D999" s="538"/>
      <c r="E999" s="538"/>
      <c r="F999" s="538"/>
      <c r="G999" s="538"/>
    </row>
    <row r="1000" spans="1:7">
      <c r="A1000" s="409"/>
      <c r="B1000" s="409"/>
      <c r="C1000" s="538"/>
      <c r="D1000" s="538"/>
      <c r="E1000" s="538"/>
      <c r="F1000" s="538"/>
      <c r="G1000" s="538"/>
    </row>
    <row r="1001" spans="1:7">
      <c r="A1001" s="409"/>
      <c r="B1001" s="409"/>
      <c r="C1001" s="538"/>
      <c r="D1001" s="538"/>
      <c r="E1001" s="538"/>
      <c r="F1001" s="538"/>
      <c r="G1001" s="538"/>
    </row>
    <row r="1002" spans="1:7">
      <c r="A1002" s="409"/>
      <c r="B1002" s="409"/>
      <c r="C1002" s="538"/>
      <c r="D1002" s="538"/>
      <c r="E1002" s="538"/>
      <c r="F1002" s="538"/>
      <c r="G1002" s="538"/>
    </row>
    <row r="1003" spans="1:7">
      <c r="A1003" s="409"/>
      <c r="B1003" s="409"/>
      <c r="C1003" s="538"/>
      <c r="D1003" s="538"/>
      <c r="E1003" s="538"/>
      <c r="F1003" s="538"/>
      <c r="G1003" s="538"/>
    </row>
    <row r="1004" spans="1:7">
      <c r="A1004" s="409"/>
      <c r="B1004" s="409"/>
      <c r="C1004" s="538"/>
      <c r="D1004" s="538"/>
      <c r="E1004" s="538"/>
      <c r="F1004" s="538"/>
      <c r="G1004" s="538"/>
    </row>
    <row r="1005" spans="1:7">
      <c r="A1005" s="409"/>
      <c r="B1005" s="409"/>
      <c r="C1005" s="538"/>
      <c r="D1005" s="538"/>
      <c r="E1005" s="538"/>
      <c r="F1005" s="538"/>
      <c r="G1005" s="538"/>
    </row>
    <row r="1006" spans="1:7">
      <c r="A1006" s="409"/>
      <c r="B1006" s="409"/>
      <c r="C1006" s="538"/>
      <c r="D1006" s="538"/>
      <c r="E1006" s="538"/>
      <c r="F1006" s="538"/>
      <c r="G1006" s="538"/>
    </row>
    <row r="1007" spans="1:7">
      <c r="A1007" s="409"/>
      <c r="B1007" s="409"/>
      <c r="C1007" s="538"/>
      <c r="D1007" s="538"/>
      <c r="E1007" s="538"/>
      <c r="F1007" s="538"/>
      <c r="G1007" s="538"/>
    </row>
    <row r="1008" spans="1:7">
      <c r="A1008" s="409"/>
      <c r="B1008" s="409"/>
      <c r="C1008" s="538"/>
      <c r="D1008" s="538"/>
      <c r="E1008" s="538"/>
      <c r="F1008" s="538"/>
      <c r="G1008" s="538"/>
    </row>
    <row r="1009" spans="1:7">
      <c r="A1009" s="409"/>
      <c r="B1009" s="409"/>
      <c r="C1009" s="538"/>
      <c r="D1009" s="538"/>
      <c r="E1009" s="538"/>
      <c r="F1009" s="538"/>
      <c r="G1009" s="538"/>
    </row>
    <row r="1010" spans="1:7">
      <c r="A1010" s="409"/>
      <c r="B1010" s="409"/>
      <c r="C1010" s="538"/>
      <c r="D1010" s="538"/>
      <c r="E1010" s="538"/>
      <c r="F1010" s="538"/>
      <c r="G1010" s="538"/>
    </row>
    <row r="1011" spans="1:7">
      <c r="A1011" s="409"/>
      <c r="B1011" s="409"/>
      <c r="C1011" s="538"/>
      <c r="D1011" s="538"/>
      <c r="E1011" s="538"/>
      <c r="F1011" s="538"/>
      <c r="G1011" s="538"/>
    </row>
    <row r="1012" spans="1:7">
      <c r="A1012" s="409"/>
      <c r="B1012" s="409"/>
      <c r="C1012" s="538"/>
      <c r="D1012" s="538"/>
      <c r="E1012" s="538"/>
      <c r="F1012" s="538"/>
      <c r="G1012" s="538"/>
    </row>
    <row r="1013" spans="1:7">
      <c r="A1013" s="409"/>
      <c r="B1013" s="409"/>
      <c r="C1013" s="538"/>
      <c r="D1013" s="538"/>
      <c r="E1013" s="538"/>
      <c r="F1013" s="538"/>
      <c r="G1013" s="538"/>
    </row>
    <row r="1014" spans="1:7">
      <c r="A1014" s="409"/>
      <c r="B1014" s="409"/>
      <c r="C1014" s="538"/>
      <c r="D1014" s="538"/>
      <c r="E1014" s="538"/>
      <c r="F1014" s="538"/>
      <c r="G1014" s="538"/>
    </row>
    <row r="1015" spans="1:7">
      <c r="A1015" s="409"/>
      <c r="B1015" s="409"/>
      <c r="C1015" s="538"/>
      <c r="D1015" s="538"/>
      <c r="E1015" s="538"/>
      <c r="F1015" s="538"/>
      <c r="G1015" s="538"/>
    </row>
    <row r="1016" spans="1:7">
      <c r="A1016" s="409"/>
      <c r="B1016" s="409"/>
      <c r="C1016" s="538"/>
      <c r="D1016" s="538"/>
      <c r="E1016" s="538"/>
      <c r="F1016" s="538"/>
      <c r="G1016" s="538"/>
    </row>
    <row r="1017" spans="1:7">
      <c r="A1017" s="409"/>
      <c r="B1017" s="409"/>
      <c r="C1017" s="538"/>
      <c r="D1017" s="538"/>
      <c r="E1017" s="538"/>
      <c r="F1017" s="538"/>
      <c r="G1017" s="538"/>
    </row>
    <row r="1018" spans="1:7">
      <c r="A1018" s="409"/>
      <c r="B1018" s="409"/>
      <c r="C1018" s="538"/>
      <c r="D1018" s="538"/>
      <c r="E1018" s="538"/>
      <c r="F1018" s="538"/>
      <c r="G1018" s="538"/>
    </row>
    <row r="1019" spans="1:7">
      <c r="A1019" s="409"/>
      <c r="B1019" s="409"/>
      <c r="C1019" s="538"/>
      <c r="D1019" s="538"/>
      <c r="E1019" s="538"/>
      <c r="F1019" s="538"/>
      <c r="G1019" s="538"/>
    </row>
    <row r="1020" spans="1:7">
      <c r="A1020" s="409"/>
      <c r="B1020" s="409"/>
      <c r="C1020" s="538"/>
      <c r="D1020" s="538"/>
      <c r="E1020" s="538"/>
      <c r="F1020" s="538"/>
      <c r="G1020" s="538"/>
    </row>
    <row r="1021" spans="1:7">
      <c r="A1021" s="409"/>
      <c r="B1021" s="409"/>
      <c r="C1021" s="538"/>
      <c r="D1021" s="538"/>
      <c r="E1021" s="538"/>
      <c r="F1021" s="538"/>
      <c r="G1021" s="538"/>
    </row>
    <row r="1022" spans="1:7">
      <c r="A1022" s="409"/>
      <c r="B1022" s="409"/>
      <c r="C1022" s="538"/>
      <c r="D1022" s="538"/>
      <c r="E1022" s="538"/>
      <c r="F1022" s="538"/>
      <c r="G1022" s="538"/>
    </row>
    <row r="1023" spans="1:7">
      <c r="A1023" s="409"/>
      <c r="B1023" s="409"/>
      <c r="C1023" s="538"/>
      <c r="D1023" s="538"/>
      <c r="E1023" s="538"/>
      <c r="F1023" s="538"/>
      <c r="G1023" s="538"/>
    </row>
    <row r="1024" spans="1:7">
      <c r="A1024" s="409"/>
      <c r="B1024" s="409"/>
      <c r="C1024" s="538"/>
      <c r="D1024" s="538"/>
      <c r="E1024" s="538"/>
      <c r="F1024" s="538"/>
      <c r="G1024" s="538"/>
    </row>
    <row r="1025" spans="1:7">
      <c r="A1025" s="409"/>
      <c r="B1025" s="409"/>
      <c r="C1025" s="538"/>
      <c r="D1025" s="538"/>
      <c r="E1025" s="538"/>
      <c r="F1025" s="538"/>
      <c r="G1025" s="538"/>
    </row>
    <row r="1026" spans="1:7">
      <c r="A1026" s="409"/>
      <c r="B1026" s="409"/>
      <c r="C1026" s="538"/>
      <c r="D1026" s="538"/>
      <c r="E1026" s="538"/>
      <c r="F1026" s="538"/>
      <c r="G1026" s="538"/>
    </row>
    <row r="1027" spans="1:7">
      <c r="A1027" s="409"/>
      <c r="B1027" s="409"/>
      <c r="C1027" s="538"/>
      <c r="D1027" s="538"/>
      <c r="E1027" s="538"/>
      <c r="F1027" s="538"/>
      <c r="G1027" s="538"/>
    </row>
    <row r="1028" spans="1:7">
      <c r="A1028" s="409"/>
      <c r="B1028" s="409"/>
      <c r="C1028" s="538"/>
      <c r="D1028" s="538"/>
      <c r="E1028" s="538"/>
      <c r="F1028" s="538"/>
      <c r="G1028" s="538"/>
    </row>
    <row r="1029" spans="1:7">
      <c r="A1029" s="409"/>
      <c r="B1029" s="409"/>
      <c r="C1029" s="538"/>
      <c r="D1029" s="538"/>
      <c r="E1029" s="538"/>
      <c r="F1029" s="538"/>
      <c r="G1029" s="538"/>
    </row>
    <row r="1030" spans="1:7">
      <c r="A1030" s="409"/>
      <c r="B1030" s="409"/>
      <c r="C1030" s="538"/>
      <c r="D1030" s="538"/>
      <c r="E1030" s="538"/>
      <c r="F1030" s="538"/>
      <c r="G1030" s="538"/>
    </row>
    <row r="1031" spans="1:7">
      <c r="A1031" s="409"/>
      <c r="B1031" s="409"/>
      <c r="C1031" s="538"/>
      <c r="D1031" s="538"/>
      <c r="E1031" s="538"/>
      <c r="F1031" s="538"/>
      <c r="G1031" s="538"/>
    </row>
    <row r="1032" spans="1:7">
      <c r="A1032" s="409"/>
      <c r="B1032" s="409"/>
      <c r="C1032" s="538"/>
      <c r="D1032" s="538"/>
      <c r="E1032" s="538"/>
      <c r="F1032" s="538"/>
      <c r="G1032" s="538"/>
    </row>
    <row r="1033" spans="1:7">
      <c r="A1033" s="409"/>
      <c r="B1033" s="409"/>
      <c r="C1033" s="538"/>
      <c r="D1033" s="538"/>
      <c r="E1033" s="538"/>
      <c r="F1033" s="538"/>
      <c r="G1033" s="538"/>
    </row>
    <row r="1034" spans="1:7">
      <c r="A1034" s="409"/>
      <c r="B1034" s="409"/>
      <c r="C1034" s="538"/>
      <c r="D1034" s="538"/>
      <c r="E1034" s="538"/>
      <c r="F1034" s="538"/>
      <c r="G1034" s="538"/>
    </row>
    <row r="1035" spans="1:7">
      <c r="A1035" s="409"/>
      <c r="B1035" s="409"/>
      <c r="C1035" s="538"/>
      <c r="D1035" s="538"/>
      <c r="E1035" s="538"/>
      <c r="F1035" s="538"/>
      <c r="G1035" s="538"/>
    </row>
    <row r="1036" spans="1:7">
      <c r="A1036" s="409"/>
      <c r="B1036" s="409"/>
      <c r="C1036" s="538"/>
      <c r="D1036" s="538"/>
      <c r="E1036" s="538"/>
      <c r="F1036" s="538"/>
      <c r="G1036" s="538"/>
    </row>
    <row r="1037" spans="1:7">
      <c r="A1037" s="409"/>
      <c r="B1037" s="409"/>
      <c r="C1037" s="538"/>
      <c r="D1037" s="538"/>
      <c r="E1037" s="538"/>
      <c r="F1037" s="538"/>
      <c r="G1037" s="538"/>
    </row>
    <row r="1038" spans="1:7">
      <c r="A1038" s="409"/>
      <c r="B1038" s="409"/>
      <c r="C1038" s="538"/>
      <c r="D1038" s="538"/>
      <c r="E1038" s="538"/>
      <c r="F1038" s="538"/>
      <c r="G1038" s="538"/>
    </row>
    <row r="1039" spans="1:7">
      <c r="A1039" s="409"/>
      <c r="B1039" s="409"/>
      <c r="C1039" s="538"/>
      <c r="D1039" s="538"/>
      <c r="E1039" s="538"/>
      <c r="F1039" s="538"/>
      <c r="G1039" s="538"/>
    </row>
    <row r="1040" spans="1:7">
      <c r="A1040" s="409"/>
      <c r="B1040" s="409"/>
      <c r="C1040" s="538"/>
      <c r="D1040" s="538"/>
      <c r="E1040" s="538"/>
      <c r="F1040" s="538"/>
      <c r="G1040" s="538"/>
    </row>
    <row r="1041" spans="1:7">
      <c r="A1041" s="409"/>
      <c r="B1041" s="409"/>
      <c r="C1041" s="538"/>
      <c r="D1041" s="538"/>
      <c r="E1041" s="538"/>
      <c r="F1041" s="538"/>
      <c r="G1041" s="538"/>
    </row>
    <row r="1042" spans="1:7">
      <c r="A1042" s="409"/>
      <c r="B1042" s="409"/>
      <c r="C1042" s="538"/>
      <c r="D1042" s="538"/>
      <c r="E1042" s="538"/>
      <c r="F1042" s="538"/>
      <c r="G1042" s="538"/>
    </row>
    <row r="1043" spans="1:7">
      <c r="A1043" s="409"/>
      <c r="B1043" s="409"/>
      <c r="C1043" s="538"/>
      <c r="D1043" s="538"/>
      <c r="E1043" s="538"/>
      <c r="F1043" s="538"/>
      <c r="G1043" s="538"/>
    </row>
    <row r="1044" spans="1:7">
      <c r="A1044" s="409"/>
      <c r="B1044" s="409"/>
      <c r="C1044" s="538"/>
      <c r="D1044" s="538"/>
      <c r="E1044" s="538"/>
      <c r="F1044" s="538"/>
      <c r="G1044" s="538"/>
    </row>
    <row r="1045" spans="1:7">
      <c r="A1045" s="409"/>
      <c r="B1045" s="409"/>
      <c r="C1045" s="538"/>
      <c r="D1045" s="538"/>
      <c r="E1045" s="538"/>
      <c r="F1045" s="538"/>
      <c r="G1045" s="538"/>
    </row>
    <row r="1046" spans="1:7">
      <c r="A1046" s="409"/>
      <c r="B1046" s="409"/>
      <c r="C1046" s="538"/>
      <c r="D1046" s="538"/>
      <c r="E1046" s="538"/>
      <c r="F1046" s="538"/>
      <c r="G1046" s="538"/>
    </row>
    <row r="1047" spans="1:7">
      <c r="A1047" s="409"/>
      <c r="B1047" s="409"/>
      <c r="C1047" s="538"/>
      <c r="D1047" s="538"/>
      <c r="E1047" s="538"/>
      <c r="F1047" s="538"/>
      <c r="G1047" s="538"/>
    </row>
    <row r="1048" spans="1:7">
      <c r="A1048" s="409"/>
      <c r="B1048" s="409"/>
      <c r="C1048" s="538"/>
      <c r="D1048" s="538"/>
      <c r="E1048" s="538"/>
      <c r="F1048" s="538"/>
      <c r="G1048" s="538"/>
    </row>
    <row r="1049" spans="1:7">
      <c r="A1049" s="409"/>
      <c r="B1049" s="409"/>
      <c r="C1049" s="538"/>
      <c r="D1049" s="538"/>
      <c r="E1049" s="538"/>
      <c r="F1049" s="538"/>
      <c r="G1049" s="538"/>
    </row>
    <row r="1050" spans="1:7">
      <c r="A1050" s="409"/>
      <c r="B1050" s="409"/>
      <c r="C1050" s="538"/>
      <c r="D1050" s="538"/>
      <c r="E1050" s="538"/>
      <c r="F1050" s="538"/>
      <c r="G1050" s="538"/>
    </row>
    <row r="1051" spans="1:7">
      <c r="A1051" s="409"/>
      <c r="B1051" s="409"/>
      <c r="C1051" s="538"/>
      <c r="D1051" s="538"/>
      <c r="E1051" s="538"/>
      <c r="F1051" s="538"/>
      <c r="G1051" s="538"/>
    </row>
    <row r="1052" spans="1:7">
      <c r="A1052" s="409"/>
      <c r="B1052" s="409"/>
      <c r="C1052" s="538"/>
      <c r="D1052" s="538"/>
      <c r="E1052" s="538"/>
      <c r="F1052" s="538"/>
      <c r="G1052" s="538"/>
    </row>
    <row r="1053" spans="1:7">
      <c r="A1053" s="409"/>
      <c r="B1053" s="409"/>
      <c r="C1053" s="538"/>
      <c r="D1053" s="538"/>
      <c r="E1053" s="538"/>
      <c r="F1053" s="538"/>
      <c r="G1053" s="538"/>
    </row>
    <row r="1054" spans="1:7">
      <c r="A1054" s="409"/>
      <c r="B1054" s="409"/>
      <c r="C1054" s="538"/>
      <c r="D1054" s="538"/>
      <c r="E1054" s="538"/>
      <c r="F1054" s="538"/>
      <c r="G1054" s="538"/>
    </row>
    <row r="1055" spans="1:7">
      <c r="A1055" s="409"/>
      <c r="B1055" s="409"/>
      <c r="C1055" s="538"/>
      <c r="D1055" s="538"/>
      <c r="E1055" s="538"/>
      <c r="F1055" s="538"/>
      <c r="G1055" s="538"/>
    </row>
    <row r="1056" spans="1:7">
      <c r="A1056" s="409"/>
      <c r="B1056" s="409"/>
      <c r="C1056" s="538"/>
      <c r="D1056" s="538"/>
      <c r="E1056" s="538"/>
      <c r="F1056" s="538"/>
      <c r="G1056" s="538"/>
    </row>
    <row r="1057" spans="1:7">
      <c r="A1057" s="409"/>
      <c r="B1057" s="409"/>
      <c r="C1057" s="538"/>
      <c r="D1057" s="538"/>
      <c r="E1057" s="538"/>
      <c r="F1057" s="538"/>
      <c r="G1057" s="538"/>
    </row>
    <row r="1058" spans="1:7">
      <c r="A1058" s="409"/>
      <c r="B1058" s="409"/>
      <c r="C1058" s="538"/>
      <c r="D1058" s="538"/>
      <c r="E1058" s="538"/>
      <c r="F1058" s="538"/>
      <c r="G1058" s="538"/>
    </row>
    <row r="1059" spans="1:7">
      <c r="A1059" s="409"/>
      <c r="B1059" s="409"/>
      <c r="C1059" s="538"/>
      <c r="D1059" s="538"/>
      <c r="E1059" s="538"/>
      <c r="F1059" s="538"/>
      <c r="G1059" s="538"/>
    </row>
    <row r="1060" spans="1:7">
      <c r="A1060" s="409"/>
      <c r="B1060" s="409"/>
      <c r="C1060" s="538"/>
      <c r="D1060" s="538"/>
      <c r="E1060" s="538"/>
      <c r="F1060" s="538"/>
      <c r="G1060" s="538"/>
    </row>
    <row r="1061" spans="1:7">
      <c r="A1061" s="409"/>
      <c r="B1061" s="409"/>
      <c r="C1061" s="538"/>
      <c r="D1061" s="538"/>
      <c r="E1061" s="538"/>
      <c r="F1061" s="538"/>
      <c r="G1061" s="538"/>
    </row>
    <row r="1062" spans="1:7">
      <c r="A1062" s="409"/>
      <c r="B1062" s="409"/>
      <c r="C1062" s="538"/>
      <c r="D1062" s="538"/>
      <c r="E1062" s="538"/>
      <c r="F1062" s="538"/>
      <c r="G1062" s="538"/>
    </row>
    <row r="1063" spans="1:7">
      <c r="A1063" s="409"/>
      <c r="B1063" s="409"/>
      <c r="C1063" s="538"/>
      <c r="D1063" s="538"/>
      <c r="E1063" s="538"/>
      <c r="F1063" s="538"/>
      <c r="G1063" s="538"/>
    </row>
    <row r="1064" spans="1:7">
      <c r="A1064" s="409"/>
      <c r="B1064" s="409"/>
      <c r="C1064" s="538"/>
      <c r="D1064" s="538"/>
      <c r="E1064" s="538"/>
      <c r="F1064" s="538"/>
      <c r="G1064" s="538"/>
    </row>
    <row r="1065" spans="1:7">
      <c r="A1065" s="409"/>
      <c r="B1065" s="409"/>
      <c r="C1065" s="538"/>
      <c r="D1065" s="538"/>
      <c r="E1065" s="538"/>
      <c r="F1065" s="538"/>
      <c r="G1065" s="538"/>
    </row>
    <row r="1066" spans="1:7">
      <c r="A1066" s="409"/>
      <c r="B1066" s="409"/>
      <c r="C1066" s="538"/>
      <c r="D1066" s="538"/>
      <c r="E1066" s="538"/>
      <c r="F1066" s="538"/>
      <c r="G1066" s="538"/>
    </row>
    <row r="1067" spans="1:7">
      <c r="A1067" s="409"/>
      <c r="B1067" s="409"/>
      <c r="C1067" s="538"/>
      <c r="D1067" s="538"/>
      <c r="E1067" s="538"/>
      <c r="F1067" s="538"/>
      <c r="G1067" s="538"/>
    </row>
    <row r="1068" spans="1:7">
      <c r="A1068" s="409"/>
      <c r="B1068" s="409"/>
      <c r="C1068" s="538"/>
      <c r="D1068" s="538"/>
      <c r="E1068" s="538"/>
      <c r="F1068" s="538"/>
      <c r="G1068" s="538"/>
    </row>
    <row r="1069" spans="1:7">
      <c r="A1069" s="409"/>
      <c r="B1069" s="409"/>
      <c r="C1069" s="538"/>
      <c r="D1069" s="538"/>
      <c r="E1069" s="538"/>
      <c r="F1069" s="538"/>
      <c r="G1069" s="538"/>
    </row>
    <row r="1070" spans="1:7">
      <c r="A1070" s="409"/>
      <c r="B1070" s="409"/>
      <c r="C1070" s="538"/>
      <c r="D1070" s="538"/>
      <c r="E1070" s="538"/>
      <c r="F1070" s="538"/>
      <c r="G1070" s="538"/>
    </row>
    <row r="1071" spans="1:7">
      <c r="A1071" s="409"/>
      <c r="B1071" s="409"/>
      <c r="C1071" s="538"/>
      <c r="D1071" s="538"/>
      <c r="E1071" s="538"/>
      <c r="F1071" s="538"/>
      <c r="G1071" s="538"/>
    </row>
    <row r="1072" spans="1:7">
      <c r="A1072" s="409"/>
      <c r="B1072" s="409"/>
      <c r="C1072" s="538"/>
      <c r="D1072" s="538"/>
      <c r="E1072" s="538"/>
      <c r="F1072" s="538"/>
      <c r="G1072" s="538"/>
    </row>
    <row r="1073" spans="1:7">
      <c r="A1073" s="409"/>
      <c r="B1073" s="409"/>
      <c r="C1073" s="538"/>
      <c r="D1073" s="538"/>
      <c r="E1073" s="538"/>
      <c r="F1073" s="538"/>
      <c r="G1073" s="538"/>
    </row>
    <row r="1074" spans="1:7">
      <c r="A1074" s="409"/>
      <c r="B1074" s="409"/>
      <c r="C1074" s="538"/>
      <c r="D1074" s="538"/>
      <c r="E1074" s="538"/>
      <c r="F1074" s="538"/>
      <c r="G1074" s="538"/>
    </row>
    <row r="1075" spans="1:7">
      <c r="A1075" s="409"/>
      <c r="B1075" s="409"/>
      <c r="C1075" s="538"/>
      <c r="D1075" s="538"/>
      <c r="E1075" s="538"/>
      <c r="F1075" s="538"/>
      <c r="G1075" s="538"/>
    </row>
    <row r="1076" spans="1:7">
      <c r="A1076" s="409"/>
      <c r="B1076" s="409"/>
      <c r="C1076" s="538"/>
      <c r="D1076" s="538"/>
      <c r="E1076" s="538"/>
      <c r="F1076" s="538"/>
      <c r="G1076" s="538"/>
    </row>
    <row r="1077" spans="1:7">
      <c r="A1077" s="409"/>
      <c r="B1077" s="409"/>
      <c r="C1077" s="538"/>
      <c r="D1077" s="538"/>
      <c r="E1077" s="538"/>
      <c r="F1077" s="538"/>
      <c r="G1077" s="538"/>
    </row>
    <row r="1078" spans="1:7">
      <c r="A1078" s="409"/>
      <c r="B1078" s="409"/>
      <c r="C1078" s="538"/>
      <c r="D1078" s="538"/>
      <c r="E1078" s="538"/>
      <c r="F1078" s="538"/>
      <c r="G1078" s="538"/>
    </row>
    <row r="1079" spans="1:7">
      <c r="A1079" s="409"/>
      <c r="B1079" s="409"/>
      <c r="C1079" s="538"/>
      <c r="D1079" s="538"/>
      <c r="E1079" s="538"/>
      <c r="F1079" s="538"/>
      <c r="G1079" s="538"/>
    </row>
    <row r="1080" spans="1:7">
      <c r="A1080" s="409"/>
      <c r="B1080" s="409"/>
      <c r="C1080" s="538"/>
      <c r="D1080" s="538"/>
      <c r="E1080" s="538"/>
      <c r="F1080" s="538"/>
      <c r="G1080" s="538"/>
    </row>
    <row r="1081" spans="1:7">
      <c r="A1081" s="409"/>
      <c r="B1081" s="409"/>
      <c r="C1081" s="538"/>
      <c r="D1081" s="538"/>
      <c r="E1081" s="538"/>
      <c r="F1081" s="538"/>
      <c r="G1081" s="538"/>
    </row>
    <row r="1082" spans="1:7">
      <c r="A1082" s="409"/>
      <c r="B1082" s="409"/>
      <c r="C1082" s="538"/>
      <c r="D1082" s="538"/>
      <c r="E1082" s="538"/>
      <c r="F1082" s="538"/>
      <c r="G1082" s="538"/>
    </row>
    <row r="1083" spans="1:7">
      <c r="A1083" s="409"/>
      <c r="B1083" s="409"/>
      <c r="C1083" s="538"/>
      <c r="D1083" s="538"/>
      <c r="E1083" s="538"/>
      <c r="F1083" s="538"/>
      <c r="G1083" s="538"/>
    </row>
    <row r="1084" spans="1:7">
      <c r="A1084" s="409"/>
      <c r="B1084" s="409"/>
      <c r="C1084" s="538"/>
      <c r="D1084" s="538"/>
      <c r="E1084" s="538"/>
      <c r="F1084" s="538"/>
      <c r="G1084" s="538"/>
    </row>
    <row r="1085" spans="1:7">
      <c r="A1085" s="409"/>
      <c r="B1085" s="409"/>
      <c r="C1085" s="538"/>
      <c r="D1085" s="538"/>
      <c r="E1085" s="538"/>
      <c r="F1085" s="538"/>
      <c r="G1085" s="538"/>
    </row>
    <row r="1086" spans="1:7">
      <c r="A1086" s="409"/>
      <c r="B1086" s="409"/>
      <c r="C1086" s="538"/>
      <c r="D1086" s="538"/>
      <c r="E1086" s="538"/>
      <c r="F1086" s="538"/>
      <c r="G1086" s="538"/>
    </row>
    <row r="1087" spans="1:7">
      <c r="A1087" s="409"/>
      <c r="B1087" s="409"/>
      <c r="C1087" s="538"/>
      <c r="D1087" s="538"/>
      <c r="E1087" s="538"/>
      <c r="F1087" s="538"/>
      <c r="G1087" s="538"/>
    </row>
    <row r="1088" spans="1:7">
      <c r="A1088" s="409"/>
      <c r="B1088" s="409"/>
      <c r="C1088" s="538"/>
      <c r="D1088" s="538"/>
      <c r="E1088" s="538"/>
      <c r="F1088" s="538"/>
      <c r="G1088" s="538"/>
    </row>
    <row r="1089" spans="1:7">
      <c r="A1089" s="409"/>
      <c r="B1089" s="409"/>
      <c r="C1089" s="538"/>
      <c r="D1089" s="538"/>
      <c r="E1089" s="538"/>
      <c r="F1089" s="538"/>
      <c r="G1089" s="538"/>
    </row>
    <row r="1090" spans="1:7">
      <c r="A1090" s="409"/>
      <c r="B1090" s="409"/>
      <c r="C1090" s="538"/>
      <c r="D1090" s="538"/>
      <c r="E1090" s="538"/>
      <c r="F1090" s="538"/>
      <c r="G1090" s="538"/>
    </row>
    <row r="1091" spans="1:7">
      <c r="A1091" s="409"/>
      <c r="B1091" s="409"/>
      <c r="C1091" s="538"/>
      <c r="D1091" s="538"/>
      <c r="E1091" s="538"/>
      <c r="F1091" s="538"/>
      <c r="G1091" s="538"/>
    </row>
    <row r="1092" spans="1:7">
      <c r="A1092" s="409"/>
      <c r="B1092" s="409"/>
      <c r="C1092" s="538"/>
      <c r="D1092" s="538"/>
      <c r="E1092" s="538"/>
      <c r="F1092" s="538"/>
      <c r="G1092" s="538"/>
    </row>
    <row r="1093" spans="1:7">
      <c r="A1093" s="409"/>
      <c r="B1093" s="409"/>
      <c r="C1093" s="538"/>
      <c r="D1093" s="538"/>
      <c r="E1093" s="538"/>
      <c r="F1093" s="538"/>
      <c r="G1093" s="538"/>
    </row>
    <row r="1094" spans="1:7">
      <c r="A1094" s="409"/>
      <c r="B1094" s="409"/>
      <c r="C1094" s="538"/>
      <c r="D1094" s="538"/>
      <c r="E1094" s="538"/>
      <c r="F1094" s="538"/>
      <c r="G1094" s="538"/>
    </row>
    <row r="1095" spans="1:7">
      <c r="A1095" s="409"/>
      <c r="B1095" s="409"/>
      <c r="C1095" s="538"/>
      <c r="D1095" s="538"/>
      <c r="E1095" s="538"/>
      <c r="F1095" s="538"/>
      <c r="G1095" s="538"/>
    </row>
    <row r="1096" spans="1:7">
      <c r="A1096" s="409"/>
      <c r="B1096" s="409"/>
      <c r="C1096" s="538"/>
      <c r="D1096" s="538"/>
      <c r="E1096" s="538"/>
      <c r="F1096" s="538"/>
      <c r="G1096" s="538"/>
    </row>
    <row r="1097" spans="1:7">
      <c r="A1097" s="409"/>
      <c r="B1097" s="409"/>
      <c r="C1097" s="538"/>
      <c r="D1097" s="538"/>
      <c r="E1097" s="538"/>
      <c r="F1097" s="538"/>
      <c r="G1097" s="538"/>
    </row>
    <row r="1098" spans="1:7">
      <c r="A1098" s="409"/>
      <c r="B1098" s="409"/>
      <c r="C1098" s="538"/>
      <c r="D1098" s="538"/>
      <c r="E1098" s="538"/>
      <c r="F1098" s="538"/>
      <c r="G1098" s="538"/>
    </row>
    <row r="1099" spans="1:7">
      <c r="A1099" s="409"/>
      <c r="B1099" s="409"/>
      <c r="C1099" s="538"/>
      <c r="D1099" s="538"/>
      <c r="E1099" s="538"/>
      <c r="F1099" s="538"/>
      <c r="G1099" s="538"/>
    </row>
    <row r="1100" spans="1:7">
      <c r="A1100" s="409"/>
      <c r="B1100" s="409"/>
      <c r="C1100" s="538"/>
      <c r="D1100" s="538"/>
      <c r="E1100" s="538"/>
      <c r="F1100" s="538"/>
      <c r="G1100" s="538"/>
    </row>
    <row r="1101" spans="1:7">
      <c r="A1101" s="409"/>
      <c r="B1101" s="409"/>
      <c r="C1101" s="538"/>
      <c r="D1101" s="538"/>
      <c r="E1101" s="538"/>
      <c r="F1101" s="538"/>
      <c r="G1101" s="538"/>
    </row>
    <row r="1102" spans="1:7">
      <c r="A1102" s="409"/>
      <c r="B1102" s="409"/>
      <c r="C1102" s="538"/>
      <c r="D1102" s="538"/>
      <c r="E1102" s="538"/>
      <c r="F1102" s="538"/>
      <c r="G1102" s="538"/>
    </row>
    <row r="1103" spans="1:7">
      <c r="A1103" s="409"/>
      <c r="B1103" s="409"/>
      <c r="C1103" s="538"/>
      <c r="D1103" s="538"/>
      <c r="E1103" s="538"/>
      <c r="F1103" s="538"/>
      <c r="G1103" s="538"/>
    </row>
    <row r="1104" spans="1:7">
      <c r="A1104" s="409"/>
      <c r="B1104" s="409"/>
      <c r="C1104" s="538"/>
      <c r="D1104" s="538"/>
      <c r="E1104" s="538"/>
      <c r="F1104" s="538"/>
      <c r="G1104" s="538"/>
    </row>
    <row r="1105" spans="1:7">
      <c r="A1105" s="409"/>
      <c r="B1105" s="409"/>
      <c r="C1105" s="538"/>
      <c r="D1105" s="538"/>
      <c r="E1105" s="538"/>
      <c r="F1105" s="538"/>
      <c r="G1105" s="538"/>
    </row>
    <row r="1106" spans="1:7">
      <c r="A1106" s="409"/>
      <c r="B1106" s="409"/>
      <c r="C1106" s="538"/>
      <c r="D1106" s="538"/>
      <c r="E1106" s="538"/>
      <c r="F1106" s="538"/>
      <c r="G1106" s="538"/>
    </row>
    <row r="1107" spans="1:7">
      <c r="A1107" s="409"/>
      <c r="B1107" s="409"/>
      <c r="C1107" s="538"/>
      <c r="D1107" s="538"/>
      <c r="E1107" s="538"/>
      <c r="F1107" s="538"/>
      <c r="G1107" s="538"/>
    </row>
    <row r="1108" spans="1:7">
      <c r="A1108" s="409"/>
      <c r="B1108" s="409"/>
      <c r="C1108" s="538"/>
      <c r="D1108" s="538"/>
      <c r="E1108" s="538"/>
      <c r="F1108" s="538"/>
      <c r="G1108" s="538"/>
    </row>
    <row r="1109" spans="1:7">
      <c r="A1109" s="409"/>
      <c r="B1109" s="409"/>
      <c r="C1109" s="538"/>
      <c r="D1109" s="538"/>
      <c r="E1109" s="538"/>
      <c r="F1109" s="538"/>
      <c r="G1109" s="538"/>
    </row>
    <row r="1110" spans="1:7">
      <c r="A1110" s="409"/>
      <c r="B1110" s="409"/>
      <c r="C1110" s="538"/>
      <c r="D1110" s="538"/>
      <c r="E1110" s="538"/>
      <c r="F1110" s="538"/>
      <c r="G1110" s="538"/>
    </row>
    <row r="1111" spans="1:7">
      <c r="A1111" s="409"/>
      <c r="B1111" s="409"/>
      <c r="C1111" s="538"/>
      <c r="D1111" s="538"/>
      <c r="E1111" s="538"/>
      <c r="F1111" s="538"/>
      <c r="G1111" s="538"/>
    </row>
    <row r="1112" spans="1:7">
      <c r="A1112" s="409"/>
      <c r="B1112" s="409"/>
      <c r="C1112" s="538"/>
      <c r="D1112" s="538"/>
      <c r="E1112" s="538"/>
      <c r="F1112" s="538"/>
      <c r="G1112" s="538"/>
    </row>
    <row r="1113" spans="1:7">
      <c r="A1113" s="409"/>
      <c r="B1113" s="409"/>
      <c r="C1113" s="538"/>
      <c r="D1113" s="538"/>
      <c r="E1113" s="538"/>
      <c r="F1113" s="538"/>
      <c r="G1113" s="538"/>
    </row>
    <row r="1114" spans="1:7">
      <c r="A1114" s="409"/>
      <c r="B1114" s="409"/>
      <c r="C1114" s="538"/>
      <c r="D1114" s="538"/>
      <c r="E1114" s="538"/>
      <c r="F1114" s="538"/>
      <c r="G1114" s="538"/>
    </row>
    <row r="1115" spans="1:7">
      <c r="A1115" s="409"/>
      <c r="B1115" s="409"/>
      <c r="C1115" s="538"/>
      <c r="D1115" s="538"/>
      <c r="E1115" s="538"/>
      <c r="F1115" s="538"/>
      <c r="G1115" s="538"/>
    </row>
    <row r="1116" spans="1:7">
      <c r="A1116" s="409"/>
      <c r="B1116" s="409"/>
      <c r="C1116" s="538"/>
      <c r="D1116" s="538"/>
      <c r="E1116" s="538"/>
      <c r="F1116" s="538"/>
      <c r="G1116" s="538"/>
    </row>
    <row r="1117" spans="1:7">
      <c r="A1117" s="409"/>
      <c r="B1117" s="409"/>
      <c r="C1117" s="538"/>
      <c r="D1117" s="538"/>
      <c r="E1117" s="538"/>
      <c r="F1117" s="538"/>
      <c r="G1117" s="538"/>
    </row>
    <row r="1118" spans="1:7">
      <c r="A1118" s="409"/>
      <c r="B1118" s="409"/>
      <c r="C1118" s="538"/>
      <c r="D1118" s="538"/>
      <c r="E1118" s="538"/>
      <c r="F1118" s="538"/>
      <c r="G1118" s="538"/>
    </row>
    <row r="1119" spans="1:7">
      <c r="A1119" s="409"/>
      <c r="B1119" s="409"/>
      <c r="C1119" s="538"/>
      <c r="D1119" s="538"/>
      <c r="E1119" s="538"/>
      <c r="F1119" s="538"/>
      <c r="G1119" s="538"/>
    </row>
    <row r="1120" spans="1:7">
      <c r="A1120" s="409"/>
      <c r="B1120" s="409"/>
      <c r="C1120" s="538"/>
      <c r="D1120" s="538"/>
      <c r="E1120" s="538"/>
      <c r="F1120" s="538"/>
      <c r="G1120" s="538"/>
    </row>
    <row r="1121" spans="1:7">
      <c r="A1121" s="409"/>
      <c r="B1121" s="409"/>
      <c r="C1121" s="538"/>
      <c r="D1121" s="538"/>
      <c r="E1121" s="538"/>
      <c r="F1121" s="538"/>
      <c r="G1121" s="538"/>
    </row>
    <row r="1122" spans="1:7">
      <c r="A1122" s="409"/>
      <c r="B1122" s="409"/>
      <c r="C1122" s="538"/>
      <c r="D1122" s="538"/>
      <c r="E1122" s="538"/>
      <c r="F1122" s="538"/>
      <c r="G1122" s="538"/>
    </row>
    <row r="1123" spans="1:7">
      <c r="A1123" s="409"/>
      <c r="B1123" s="409"/>
      <c r="C1123" s="538"/>
      <c r="D1123" s="538"/>
      <c r="E1123" s="538"/>
      <c r="F1123" s="538"/>
      <c r="G1123" s="538"/>
    </row>
    <row r="1124" spans="1:7">
      <c r="A1124" s="409"/>
      <c r="B1124" s="409"/>
      <c r="C1124" s="538"/>
      <c r="D1124" s="538"/>
      <c r="E1124" s="538"/>
      <c r="F1124" s="538"/>
      <c r="G1124" s="538"/>
    </row>
    <row r="1125" spans="1:7">
      <c r="A1125" s="409"/>
      <c r="B1125" s="409"/>
      <c r="C1125" s="538"/>
      <c r="D1125" s="538"/>
      <c r="E1125" s="538"/>
      <c r="F1125" s="538"/>
      <c r="G1125" s="538"/>
    </row>
    <row r="1126" spans="1:7">
      <c r="A1126" s="409"/>
      <c r="B1126" s="409"/>
      <c r="C1126" s="538"/>
      <c r="D1126" s="538"/>
      <c r="E1126" s="538"/>
      <c r="F1126" s="538"/>
      <c r="G1126" s="538"/>
    </row>
    <row r="1127" spans="1:7">
      <c r="A1127" s="409"/>
      <c r="B1127" s="409"/>
      <c r="C1127" s="538"/>
      <c r="D1127" s="538"/>
      <c r="E1127" s="538"/>
      <c r="F1127" s="538"/>
      <c r="G1127" s="538"/>
    </row>
    <row r="1128" spans="1:7">
      <c r="A1128" s="409"/>
      <c r="B1128" s="409"/>
      <c r="C1128" s="538"/>
      <c r="D1128" s="538"/>
      <c r="E1128" s="538"/>
      <c r="F1128" s="538"/>
      <c r="G1128" s="538"/>
    </row>
    <row r="1129" spans="1:7">
      <c r="A1129" s="409"/>
      <c r="B1129" s="409"/>
      <c r="C1129" s="538"/>
      <c r="D1129" s="538"/>
      <c r="E1129" s="538"/>
      <c r="F1129" s="538"/>
      <c r="G1129" s="538"/>
    </row>
    <row r="1130" spans="1:7">
      <c r="A1130" s="409"/>
      <c r="B1130" s="409"/>
      <c r="C1130" s="538"/>
      <c r="D1130" s="538"/>
      <c r="E1130" s="538"/>
      <c r="F1130" s="538"/>
      <c r="G1130" s="538"/>
    </row>
    <row r="1131" spans="1:7">
      <c r="A1131" s="409"/>
      <c r="B1131" s="409"/>
      <c r="C1131" s="538"/>
      <c r="D1131" s="538"/>
      <c r="E1131" s="538"/>
      <c r="F1131" s="538"/>
      <c r="G1131" s="538"/>
    </row>
    <row r="1132" spans="1:7">
      <c r="A1132" s="409"/>
      <c r="B1132" s="409"/>
      <c r="C1132" s="538"/>
      <c r="D1132" s="538"/>
      <c r="E1132" s="538"/>
      <c r="F1132" s="538"/>
      <c r="G1132" s="538"/>
    </row>
    <row r="1133" spans="1:7">
      <c r="A1133" s="409"/>
      <c r="B1133" s="409"/>
      <c r="C1133" s="538"/>
      <c r="D1133" s="538"/>
      <c r="E1133" s="538"/>
      <c r="F1133" s="538"/>
      <c r="G1133" s="538"/>
    </row>
    <row r="1134" spans="1:7">
      <c r="A1134" s="409"/>
      <c r="B1134" s="409"/>
      <c r="C1134" s="538"/>
      <c r="D1134" s="538"/>
      <c r="E1134" s="538"/>
      <c r="F1134" s="538"/>
      <c r="G1134" s="538"/>
    </row>
    <row r="1135" spans="1:7">
      <c r="A1135" s="409"/>
      <c r="B1135" s="409"/>
      <c r="C1135" s="538"/>
      <c r="D1135" s="538"/>
      <c r="E1135" s="538"/>
      <c r="F1135" s="538"/>
      <c r="G1135" s="538"/>
    </row>
    <row r="1136" spans="1:7">
      <c r="A1136" s="409"/>
      <c r="B1136" s="409"/>
      <c r="C1136" s="538"/>
      <c r="D1136" s="538"/>
      <c r="E1136" s="538"/>
      <c r="F1136" s="538"/>
      <c r="G1136" s="538"/>
    </row>
    <row r="1137" spans="1:7">
      <c r="A1137" s="409"/>
      <c r="B1137" s="409"/>
      <c r="C1137" s="538"/>
      <c r="D1137" s="538"/>
      <c r="E1137" s="538"/>
      <c r="F1137" s="538"/>
      <c r="G1137" s="538"/>
    </row>
    <row r="1138" spans="1:7">
      <c r="A1138" s="409"/>
      <c r="B1138" s="409"/>
      <c r="C1138" s="538"/>
      <c r="D1138" s="538"/>
      <c r="E1138" s="538"/>
      <c r="F1138" s="538"/>
      <c r="G1138" s="538"/>
    </row>
    <row r="1139" spans="1:7">
      <c r="A1139" s="409"/>
      <c r="B1139" s="409"/>
      <c r="C1139" s="538"/>
      <c r="D1139" s="538"/>
      <c r="E1139" s="538"/>
      <c r="F1139" s="538"/>
      <c r="G1139" s="538"/>
    </row>
    <row r="1140" spans="1:7">
      <c r="A1140" s="409"/>
      <c r="B1140" s="409"/>
      <c r="C1140" s="538"/>
      <c r="D1140" s="538"/>
      <c r="E1140" s="538"/>
      <c r="F1140" s="538"/>
      <c r="G1140" s="538"/>
    </row>
    <row r="1141" spans="1:7">
      <c r="A1141" s="409"/>
      <c r="B1141" s="409"/>
      <c r="C1141" s="538"/>
      <c r="D1141" s="538"/>
      <c r="E1141" s="538"/>
      <c r="F1141" s="538"/>
      <c r="G1141" s="538"/>
    </row>
    <row r="1142" spans="1:7">
      <c r="A1142" s="409"/>
      <c r="B1142" s="409"/>
      <c r="C1142" s="538"/>
      <c r="D1142" s="538"/>
      <c r="E1142" s="538"/>
      <c r="F1142" s="538"/>
      <c r="G1142" s="538"/>
    </row>
    <row r="1143" spans="1:7">
      <c r="A1143" s="409"/>
      <c r="B1143" s="409"/>
      <c r="C1143" s="538"/>
      <c r="D1143" s="538"/>
      <c r="E1143" s="538"/>
      <c r="F1143" s="538"/>
      <c r="G1143" s="538"/>
    </row>
    <row r="1144" spans="1:7">
      <c r="A1144" s="409"/>
      <c r="B1144" s="409"/>
      <c r="C1144" s="538"/>
      <c r="D1144" s="538"/>
      <c r="E1144" s="538"/>
      <c r="F1144" s="538"/>
      <c r="G1144" s="538"/>
    </row>
    <row r="1145" spans="1:7">
      <c r="A1145" s="409"/>
      <c r="B1145" s="409"/>
      <c r="C1145" s="538"/>
      <c r="D1145" s="538"/>
      <c r="E1145" s="538"/>
      <c r="F1145" s="538"/>
      <c r="G1145" s="538"/>
    </row>
    <row r="1146" spans="1:7">
      <c r="A1146" s="409"/>
      <c r="B1146" s="409"/>
      <c r="C1146" s="538"/>
      <c r="D1146" s="538"/>
      <c r="E1146" s="538"/>
      <c r="F1146" s="538"/>
      <c r="G1146" s="538"/>
    </row>
    <row r="1147" spans="1:7">
      <c r="A1147" s="409"/>
      <c r="B1147" s="409"/>
      <c r="C1147" s="538"/>
      <c r="D1147" s="538"/>
      <c r="E1147" s="538"/>
      <c r="F1147" s="538"/>
      <c r="G1147" s="538"/>
    </row>
    <row r="1148" spans="1:7">
      <c r="A1148" s="409"/>
      <c r="B1148" s="409"/>
      <c r="C1148" s="538"/>
      <c r="D1148" s="538"/>
      <c r="E1148" s="538"/>
      <c r="F1148" s="538"/>
      <c r="G1148" s="538"/>
    </row>
    <row r="1149" spans="1:7">
      <c r="A1149" s="409"/>
      <c r="B1149" s="409"/>
      <c r="C1149" s="538"/>
      <c r="D1149" s="538"/>
      <c r="E1149" s="538"/>
      <c r="F1149" s="538"/>
      <c r="G1149" s="538"/>
    </row>
    <row r="1150" spans="1:7">
      <c r="A1150" s="409"/>
      <c r="B1150" s="409"/>
      <c r="C1150" s="538"/>
      <c r="D1150" s="538"/>
      <c r="E1150" s="538"/>
      <c r="F1150" s="538"/>
      <c r="G1150" s="538"/>
    </row>
    <row r="1151" spans="1:7">
      <c r="A1151" s="409"/>
      <c r="B1151" s="409"/>
      <c r="C1151" s="538"/>
      <c r="D1151" s="538"/>
      <c r="E1151" s="538"/>
      <c r="F1151" s="538"/>
      <c r="G1151" s="538"/>
    </row>
    <row r="1152" spans="1:7">
      <c r="A1152" s="409"/>
      <c r="B1152" s="409"/>
      <c r="C1152" s="538"/>
      <c r="D1152" s="538"/>
      <c r="E1152" s="538"/>
      <c r="F1152" s="538"/>
      <c r="G1152" s="538"/>
    </row>
    <row r="1153" spans="1:7">
      <c r="A1153" s="409"/>
      <c r="B1153" s="409"/>
      <c r="C1153" s="538"/>
      <c r="D1153" s="538"/>
      <c r="E1153" s="538"/>
      <c r="F1153" s="538"/>
      <c r="G1153" s="538"/>
    </row>
    <row r="1154" spans="1:7">
      <c r="A1154" s="409"/>
      <c r="B1154" s="409"/>
      <c r="C1154" s="538"/>
      <c r="D1154" s="538"/>
      <c r="E1154" s="538"/>
      <c r="F1154" s="538"/>
      <c r="G1154" s="538"/>
    </row>
    <row r="1155" spans="1:7">
      <c r="A1155" s="409"/>
      <c r="B1155" s="409"/>
      <c r="C1155" s="538"/>
      <c r="D1155" s="538"/>
      <c r="E1155" s="538"/>
      <c r="F1155" s="538"/>
      <c r="G1155" s="538"/>
    </row>
    <row r="1156" spans="1:7">
      <c r="A1156" s="409"/>
      <c r="B1156" s="409"/>
      <c r="C1156" s="538"/>
      <c r="D1156" s="538"/>
      <c r="E1156" s="538"/>
      <c r="F1156" s="538"/>
      <c r="G1156" s="538"/>
    </row>
    <row r="1157" spans="1:7">
      <c r="A1157" s="409"/>
      <c r="B1157" s="409"/>
      <c r="C1157" s="538"/>
      <c r="D1157" s="538"/>
      <c r="E1157" s="538"/>
      <c r="F1157" s="538"/>
      <c r="G1157" s="538"/>
    </row>
    <row r="1158" spans="1:7">
      <c r="A1158" s="409"/>
      <c r="B1158" s="409"/>
      <c r="C1158" s="538"/>
      <c r="D1158" s="538"/>
      <c r="E1158" s="538"/>
      <c r="F1158" s="538"/>
      <c r="G1158" s="538"/>
    </row>
    <row r="1159" spans="1:7">
      <c r="A1159" s="409"/>
      <c r="B1159" s="409"/>
      <c r="C1159" s="538"/>
      <c r="D1159" s="538"/>
      <c r="E1159" s="538"/>
      <c r="F1159" s="538"/>
      <c r="G1159" s="538"/>
    </row>
    <row r="1160" spans="1:7">
      <c r="A1160" s="409"/>
      <c r="B1160" s="409"/>
      <c r="C1160" s="538"/>
      <c r="D1160" s="538"/>
      <c r="E1160" s="538"/>
      <c r="F1160" s="538"/>
      <c r="G1160" s="538"/>
    </row>
    <row r="1161" spans="1:7">
      <c r="A1161" s="409"/>
      <c r="B1161" s="409"/>
      <c r="C1161" s="538"/>
      <c r="D1161" s="538"/>
      <c r="E1161" s="538"/>
      <c r="F1161" s="538"/>
      <c r="G1161" s="538"/>
    </row>
    <row r="1162" spans="1:7">
      <c r="A1162" s="409"/>
      <c r="B1162" s="409"/>
      <c r="C1162" s="538"/>
      <c r="D1162" s="538"/>
      <c r="E1162" s="538"/>
      <c r="F1162" s="538"/>
      <c r="G1162" s="538"/>
    </row>
    <row r="1163" spans="1:7">
      <c r="A1163" s="409"/>
      <c r="B1163" s="409"/>
      <c r="C1163" s="538"/>
      <c r="D1163" s="538"/>
      <c r="E1163" s="538"/>
      <c r="F1163" s="538"/>
      <c r="G1163" s="538"/>
    </row>
    <row r="1164" spans="1:7">
      <c r="A1164" s="409"/>
      <c r="B1164" s="409"/>
      <c r="C1164" s="538"/>
      <c r="D1164" s="538"/>
      <c r="E1164" s="538"/>
      <c r="F1164" s="538"/>
      <c r="G1164" s="538"/>
    </row>
    <row r="1165" spans="1:7">
      <c r="A1165" s="409"/>
      <c r="B1165" s="409"/>
      <c r="C1165" s="538"/>
      <c r="D1165" s="538"/>
      <c r="E1165" s="538"/>
      <c r="F1165" s="538"/>
      <c r="G1165" s="538"/>
    </row>
    <row r="1166" spans="1:7">
      <c r="A1166" s="409"/>
      <c r="B1166" s="409"/>
      <c r="C1166" s="538"/>
      <c r="D1166" s="538"/>
      <c r="E1166" s="538"/>
      <c r="F1166" s="538"/>
      <c r="G1166" s="538"/>
    </row>
    <row r="1167" spans="1:7">
      <c r="A1167" s="409"/>
      <c r="B1167" s="409"/>
      <c r="C1167" s="538"/>
      <c r="D1167" s="538"/>
      <c r="E1167" s="538"/>
      <c r="F1167" s="538"/>
      <c r="G1167" s="538"/>
    </row>
    <row r="1168" spans="1:7">
      <c r="A1168" s="409"/>
      <c r="B1168" s="409"/>
      <c r="C1168" s="538"/>
      <c r="D1168" s="538"/>
      <c r="E1168" s="538"/>
      <c r="F1168" s="538"/>
      <c r="G1168" s="538"/>
    </row>
    <row r="1169" spans="1:7">
      <c r="A1169" s="409"/>
      <c r="B1169" s="409"/>
      <c r="C1169" s="538"/>
      <c r="D1169" s="538"/>
      <c r="E1169" s="538"/>
      <c r="F1169" s="538"/>
      <c r="G1169" s="538"/>
    </row>
    <row r="1170" spans="1:7">
      <c r="A1170" s="409"/>
      <c r="B1170" s="409"/>
      <c r="C1170" s="538"/>
      <c r="D1170" s="538"/>
      <c r="E1170" s="538"/>
      <c r="F1170" s="538"/>
      <c r="G1170" s="538"/>
    </row>
    <row r="1171" spans="1:7">
      <c r="A1171" s="409"/>
      <c r="B1171" s="409"/>
      <c r="C1171" s="538"/>
      <c r="D1171" s="538"/>
      <c r="E1171" s="538"/>
      <c r="F1171" s="538"/>
      <c r="G1171" s="538"/>
    </row>
    <row r="1172" spans="1:7">
      <c r="A1172" s="409"/>
      <c r="B1172" s="409"/>
      <c r="C1172" s="538"/>
      <c r="D1172" s="538"/>
      <c r="E1172" s="538"/>
      <c r="F1172" s="538"/>
      <c r="G1172" s="538"/>
    </row>
    <row r="1173" spans="1:7">
      <c r="A1173" s="409"/>
      <c r="B1173" s="409"/>
      <c r="C1173" s="538"/>
      <c r="D1173" s="538"/>
      <c r="E1173" s="538"/>
      <c r="F1173" s="538"/>
      <c r="G1173" s="538"/>
    </row>
    <row r="1174" spans="1:7">
      <c r="A1174" s="409"/>
      <c r="B1174" s="409"/>
      <c r="C1174" s="538"/>
      <c r="D1174" s="538"/>
      <c r="E1174" s="538"/>
      <c r="F1174" s="538"/>
      <c r="G1174" s="538"/>
    </row>
    <row r="1175" spans="1:7">
      <c r="A1175" s="409"/>
      <c r="B1175" s="409"/>
      <c r="C1175" s="538"/>
      <c r="D1175" s="538"/>
      <c r="E1175" s="538"/>
      <c r="F1175" s="538"/>
      <c r="G1175" s="538"/>
    </row>
    <row r="1176" spans="1:7">
      <c r="A1176" s="409"/>
      <c r="B1176" s="409"/>
      <c r="C1176" s="538"/>
      <c r="D1176" s="538"/>
      <c r="E1176" s="538"/>
      <c r="F1176" s="538"/>
      <c r="G1176" s="538"/>
    </row>
    <row r="1177" spans="1:7">
      <c r="A1177" s="409"/>
      <c r="B1177" s="409"/>
      <c r="C1177" s="538"/>
      <c r="D1177" s="538"/>
      <c r="E1177" s="538"/>
      <c r="F1177" s="538"/>
      <c r="G1177" s="538"/>
    </row>
    <row r="1178" spans="1:7">
      <c r="A1178" s="409"/>
      <c r="B1178" s="409"/>
      <c r="C1178" s="538"/>
      <c r="D1178" s="538"/>
      <c r="E1178" s="538"/>
      <c r="F1178" s="538"/>
      <c r="G1178" s="538"/>
    </row>
    <row r="1179" spans="1:7">
      <c r="A1179" s="409"/>
      <c r="B1179" s="409"/>
      <c r="C1179" s="538"/>
      <c r="D1179" s="538"/>
      <c r="E1179" s="538"/>
      <c r="F1179" s="538"/>
      <c r="G1179" s="538"/>
    </row>
    <row r="1180" spans="1:7">
      <c r="A1180" s="409"/>
      <c r="B1180" s="409"/>
      <c r="C1180" s="538"/>
      <c r="D1180" s="538"/>
      <c r="E1180" s="538"/>
      <c r="F1180" s="538"/>
      <c r="G1180" s="538"/>
    </row>
    <row r="1181" spans="1:7">
      <c r="A1181" s="409"/>
      <c r="B1181" s="409"/>
      <c r="C1181" s="538"/>
      <c r="D1181" s="538"/>
      <c r="E1181" s="538"/>
      <c r="F1181" s="538"/>
      <c r="G1181" s="538"/>
    </row>
    <row r="1182" spans="1:7">
      <c r="A1182" s="409"/>
      <c r="B1182" s="409"/>
      <c r="C1182" s="538"/>
      <c r="D1182" s="538"/>
      <c r="E1182" s="538"/>
      <c r="F1182" s="538"/>
      <c r="G1182" s="538"/>
    </row>
    <row r="1183" spans="1:7">
      <c r="A1183" s="409"/>
      <c r="B1183" s="409"/>
      <c r="C1183" s="538"/>
      <c r="D1183" s="538"/>
      <c r="E1183" s="538"/>
      <c r="F1183" s="538"/>
      <c r="G1183" s="538"/>
    </row>
    <row r="1184" spans="1:7">
      <c r="A1184" s="409"/>
      <c r="B1184" s="409"/>
      <c r="C1184" s="538"/>
      <c r="D1184" s="538"/>
      <c r="E1184" s="538"/>
      <c r="F1184" s="538"/>
      <c r="G1184" s="538"/>
    </row>
    <row r="1185" spans="1:7">
      <c r="A1185" s="409"/>
      <c r="B1185" s="409"/>
      <c r="C1185" s="538"/>
      <c r="D1185" s="538"/>
      <c r="E1185" s="538"/>
      <c r="F1185" s="538"/>
      <c r="G1185" s="538"/>
    </row>
    <row r="1186" spans="1:7">
      <c r="A1186" s="409"/>
      <c r="B1186" s="409"/>
      <c r="C1186" s="538"/>
      <c r="D1186" s="538"/>
      <c r="E1186" s="538"/>
      <c r="F1186" s="538"/>
      <c r="G1186" s="538"/>
    </row>
    <row r="1187" spans="1:7">
      <c r="A1187" s="409"/>
      <c r="B1187" s="409"/>
      <c r="C1187" s="538"/>
      <c r="D1187" s="538"/>
      <c r="E1187" s="538"/>
      <c r="F1187" s="538"/>
      <c r="G1187" s="538"/>
    </row>
    <row r="1188" spans="1:7">
      <c r="A1188" s="409"/>
      <c r="B1188" s="409"/>
      <c r="C1188" s="538"/>
      <c r="D1188" s="538"/>
      <c r="E1188" s="538"/>
      <c r="F1188" s="538"/>
      <c r="G1188" s="538"/>
    </row>
    <row r="1189" spans="1:7">
      <c r="A1189" s="409"/>
      <c r="B1189" s="409"/>
      <c r="C1189" s="538"/>
      <c r="D1189" s="538"/>
      <c r="E1189" s="538"/>
      <c r="F1189" s="538"/>
      <c r="G1189" s="538"/>
    </row>
    <row r="1190" spans="1:7">
      <c r="A1190" s="409"/>
      <c r="B1190" s="409"/>
      <c r="C1190" s="538"/>
      <c r="D1190" s="538"/>
      <c r="E1190" s="538"/>
      <c r="F1190" s="538"/>
      <c r="G1190" s="538"/>
    </row>
    <row r="1191" spans="1:7">
      <c r="A1191" s="409"/>
      <c r="B1191" s="409"/>
      <c r="C1191" s="538"/>
      <c r="D1191" s="538"/>
      <c r="E1191" s="538"/>
      <c r="F1191" s="538"/>
      <c r="G1191" s="538"/>
    </row>
    <row r="1192" spans="1:7">
      <c r="A1192" s="409"/>
      <c r="B1192" s="409"/>
      <c r="C1192" s="538"/>
      <c r="D1192" s="538"/>
      <c r="E1192" s="538"/>
      <c r="F1192" s="538"/>
      <c r="G1192" s="538"/>
    </row>
    <row r="1193" spans="1:7">
      <c r="A1193" s="409"/>
      <c r="B1193" s="409"/>
      <c r="C1193" s="538"/>
      <c r="D1193" s="538"/>
      <c r="E1193" s="538"/>
      <c r="F1193" s="538"/>
      <c r="G1193" s="538"/>
    </row>
    <row r="1194" spans="1:7">
      <c r="A1194" s="409"/>
      <c r="B1194" s="409"/>
      <c r="C1194" s="538"/>
      <c r="D1194" s="538"/>
      <c r="E1194" s="538"/>
      <c r="F1194" s="538"/>
      <c r="G1194" s="538"/>
    </row>
    <row r="1195" spans="1:7">
      <c r="A1195" s="409"/>
      <c r="B1195" s="409"/>
      <c r="C1195" s="538"/>
      <c r="D1195" s="538"/>
      <c r="E1195" s="538"/>
      <c r="F1195" s="538"/>
      <c r="G1195" s="538"/>
    </row>
    <row r="1196" spans="1:7">
      <c r="A1196" s="409"/>
      <c r="B1196" s="409"/>
      <c r="C1196" s="538"/>
      <c r="D1196" s="538"/>
      <c r="E1196" s="538"/>
      <c r="F1196" s="538"/>
      <c r="G1196" s="538"/>
    </row>
    <row r="1197" spans="1:7">
      <c r="A1197" s="409"/>
      <c r="B1197" s="409"/>
      <c r="C1197" s="538"/>
      <c r="D1197" s="538"/>
      <c r="E1197" s="538"/>
      <c r="F1197" s="538"/>
      <c r="G1197" s="538"/>
    </row>
    <row r="1198" spans="1:7">
      <c r="A1198" s="409"/>
      <c r="B1198" s="409"/>
      <c r="C1198" s="538"/>
      <c r="D1198" s="538"/>
      <c r="E1198" s="538"/>
      <c r="F1198" s="538"/>
      <c r="G1198" s="538"/>
    </row>
    <row r="1199" spans="1:7">
      <c r="A1199" s="409"/>
      <c r="B1199" s="409"/>
      <c r="C1199" s="538"/>
      <c r="D1199" s="538"/>
      <c r="E1199" s="538"/>
      <c r="F1199" s="538"/>
      <c r="G1199" s="538"/>
    </row>
    <row r="1200" spans="1:7">
      <c r="A1200" s="409"/>
      <c r="B1200" s="409"/>
      <c r="C1200" s="538"/>
      <c r="D1200" s="538"/>
      <c r="E1200" s="538"/>
      <c r="F1200" s="538"/>
      <c r="G1200" s="538"/>
    </row>
    <row r="1201" spans="1:7">
      <c r="A1201" s="409"/>
      <c r="B1201" s="409"/>
      <c r="C1201" s="538"/>
      <c r="D1201" s="538"/>
      <c r="E1201" s="538"/>
      <c r="F1201" s="538"/>
      <c r="G1201" s="538"/>
    </row>
    <row r="1202" spans="1:7">
      <c r="A1202" s="409"/>
      <c r="B1202" s="409"/>
      <c r="C1202" s="538"/>
      <c r="D1202" s="538"/>
      <c r="E1202" s="538"/>
      <c r="F1202" s="538"/>
      <c r="G1202" s="538"/>
    </row>
    <row r="1203" spans="1:7">
      <c r="A1203" s="409"/>
      <c r="B1203" s="409"/>
      <c r="C1203" s="538"/>
      <c r="D1203" s="538"/>
      <c r="E1203" s="538"/>
      <c r="F1203" s="538"/>
      <c r="G1203" s="538"/>
    </row>
    <row r="1204" spans="1:7">
      <c r="A1204" s="409"/>
      <c r="B1204" s="409"/>
      <c r="C1204" s="538"/>
      <c r="D1204" s="538"/>
      <c r="E1204" s="538"/>
      <c r="F1204" s="538"/>
      <c r="G1204" s="538"/>
    </row>
    <row r="1205" spans="1:7">
      <c r="A1205" s="409"/>
      <c r="B1205" s="409"/>
      <c r="C1205" s="538"/>
      <c r="D1205" s="538"/>
      <c r="E1205" s="538"/>
      <c r="F1205" s="538"/>
      <c r="G1205" s="538"/>
    </row>
    <row r="1206" spans="1:7">
      <c r="A1206" s="409"/>
      <c r="B1206" s="409"/>
      <c r="C1206" s="538"/>
      <c r="D1206" s="538"/>
      <c r="E1206" s="538"/>
      <c r="F1206" s="538"/>
      <c r="G1206" s="538"/>
    </row>
    <row r="1207" spans="1:7">
      <c r="A1207" s="409"/>
      <c r="B1207" s="409"/>
      <c r="C1207" s="538"/>
      <c r="D1207" s="538"/>
      <c r="E1207" s="538"/>
      <c r="F1207" s="538"/>
      <c r="G1207" s="538"/>
    </row>
    <row r="1208" spans="1:7">
      <c r="A1208" s="409"/>
      <c r="B1208" s="409"/>
      <c r="C1208" s="538"/>
      <c r="D1208" s="538"/>
      <c r="E1208" s="538"/>
      <c r="F1208" s="538"/>
      <c r="G1208" s="538"/>
    </row>
    <row r="1209" spans="1:7">
      <c r="A1209" s="409"/>
      <c r="B1209" s="409"/>
      <c r="C1209" s="538"/>
      <c r="D1209" s="538"/>
      <c r="E1209" s="538"/>
      <c r="F1209" s="538"/>
      <c r="G1209" s="538"/>
    </row>
    <row r="1210" spans="1:7">
      <c r="A1210" s="409"/>
      <c r="B1210" s="409"/>
      <c r="C1210" s="538"/>
      <c r="D1210" s="538"/>
      <c r="E1210" s="538"/>
      <c r="F1210" s="538"/>
      <c r="G1210" s="538"/>
    </row>
    <row r="1211" spans="1:7">
      <c r="A1211" s="409"/>
      <c r="B1211" s="409"/>
      <c r="C1211" s="538"/>
      <c r="D1211" s="538"/>
      <c r="E1211" s="538"/>
      <c r="F1211" s="538"/>
      <c r="G1211" s="538"/>
    </row>
    <row r="1212" spans="1:7">
      <c r="A1212" s="409"/>
      <c r="B1212" s="409"/>
      <c r="C1212" s="538"/>
      <c r="D1212" s="538"/>
      <c r="E1212" s="538"/>
      <c r="F1212" s="538"/>
      <c r="G1212" s="538"/>
    </row>
    <row r="1213" spans="1:7">
      <c r="A1213" s="409"/>
      <c r="B1213" s="409"/>
      <c r="C1213" s="538"/>
      <c r="D1213" s="538"/>
      <c r="E1213" s="538"/>
      <c r="F1213" s="538"/>
      <c r="G1213" s="538"/>
    </row>
    <row r="1214" spans="1:7">
      <c r="A1214" s="409"/>
      <c r="B1214" s="409"/>
      <c r="C1214" s="538"/>
      <c r="D1214" s="538"/>
      <c r="E1214" s="538"/>
      <c r="F1214" s="538"/>
      <c r="G1214" s="538"/>
    </row>
    <row r="1215" spans="1:7">
      <c r="A1215" s="409"/>
      <c r="B1215" s="409"/>
      <c r="C1215" s="538"/>
      <c r="D1215" s="538"/>
      <c r="E1215" s="538"/>
      <c r="F1215" s="538"/>
      <c r="G1215" s="538"/>
    </row>
    <row r="1216" spans="1:7">
      <c r="A1216" s="409"/>
      <c r="B1216" s="409"/>
      <c r="C1216" s="538"/>
      <c r="D1216" s="538"/>
      <c r="E1216" s="538"/>
      <c r="F1216" s="538"/>
      <c r="G1216" s="538"/>
    </row>
    <row r="1217" spans="1:7">
      <c r="A1217" s="409"/>
      <c r="B1217" s="409"/>
      <c r="C1217" s="538"/>
      <c r="D1217" s="538"/>
      <c r="E1217" s="538"/>
      <c r="F1217" s="538"/>
      <c r="G1217" s="538"/>
    </row>
    <row r="1218" spans="1:7">
      <c r="A1218" s="409"/>
      <c r="B1218" s="409"/>
      <c r="C1218" s="538"/>
      <c r="D1218" s="538"/>
      <c r="E1218" s="538"/>
      <c r="F1218" s="538"/>
      <c r="G1218" s="538"/>
    </row>
    <row r="1219" spans="1:7">
      <c r="A1219" s="409"/>
      <c r="B1219" s="409"/>
      <c r="C1219" s="538"/>
      <c r="D1219" s="538"/>
      <c r="E1219" s="538"/>
      <c r="F1219" s="538"/>
      <c r="G1219" s="538"/>
    </row>
    <row r="1220" spans="1:7">
      <c r="A1220" s="409"/>
      <c r="B1220" s="409"/>
      <c r="C1220" s="538"/>
      <c r="D1220" s="538"/>
      <c r="E1220" s="538"/>
      <c r="F1220" s="538"/>
      <c r="G1220" s="538"/>
    </row>
    <row r="1221" spans="1:7">
      <c r="A1221" s="409"/>
      <c r="B1221" s="409"/>
      <c r="C1221" s="538"/>
      <c r="D1221" s="538"/>
      <c r="E1221" s="538"/>
      <c r="F1221" s="538"/>
      <c r="G1221" s="538"/>
    </row>
    <row r="1222" spans="1:7">
      <c r="A1222" s="409"/>
      <c r="B1222" s="409"/>
      <c r="C1222" s="538"/>
      <c r="D1222" s="538"/>
      <c r="E1222" s="538"/>
      <c r="F1222" s="538"/>
      <c r="G1222" s="538"/>
    </row>
    <row r="1223" spans="1:7">
      <c r="A1223" s="409"/>
      <c r="B1223" s="409"/>
      <c r="C1223" s="538"/>
      <c r="D1223" s="538"/>
      <c r="E1223" s="538"/>
      <c r="F1223" s="538"/>
      <c r="G1223" s="538"/>
    </row>
    <row r="1224" spans="1:7">
      <c r="A1224" s="409"/>
      <c r="B1224" s="409"/>
      <c r="C1224" s="538"/>
      <c r="D1224" s="538"/>
      <c r="E1224" s="538"/>
      <c r="F1224" s="538"/>
      <c r="G1224" s="538"/>
    </row>
    <row r="1225" spans="1:7">
      <c r="A1225" s="409"/>
      <c r="B1225" s="409"/>
      <c r="C1225" s="538"/>
      <c r="D1225" s="538"/>
      <c r="E1225" s="538"/>
      <c r="F1225" s="538"/>
      <c r="G1225" s="538"/>
    </row>
    <row r="1226" spans="1:7">
      <c r="A1226" s="409"/>
      <c r="B1226" s="409"/>
      <c r="C1226" s="538"/>
      <c r="D1226" s="538"/>
      <c r="E1226" s="538"/>
      <c r="F1226" s="538"/>
      <c r="G1226" s="538"/>
    </row>
    <row r="1227" spans="1:7">
      <c r="A1227" s="409"/>
      <c r="B1227" s="409"/>
      <c r="C1227" s="538"/>
      <c r="D1227" s="538"/>
      <c r="E1227" s="538"/>
      <c r="F1227" s="538"/>
      <c r="G1227" s="538"/>
    </row>
    <row r="1228" spans="1:7">
      <c r="A1228" s="409"/>
      <c r="B1228" s="409"/>
      <c r="C1228" s="538"/>
      <c r="D1228" s="538"/>
      <c r="E1228" s="538"/>
      <c r="F1228" s="538"/>
      <c r="G1228" s="538"/>
    </row>
    <row r="1229" spans="1:7">
      <c r="A1229" s="409"/>
      <c r="B1229" s="409"/>
      <c r="C1229" s="538"/>
      <c r="D1229" s="538"/>
      <c r="E1229" s="538"/>
      <c r="F1229" s="538"/>
      <c r="G1229" s="538"/>
    </row>
    <row r="1230" spans="1:7">
      <c r="A1230" s="409"/>
      <c r="B1230" s="409"/>
      <c r="C1230" s="538"/>
      <c r="D1230" s="538"/>
      <c r="E1230" s="538"/>
      <c r="F1230" s="538"/>
      <c r="G1230" s="538"/>
    </row>
    <row r="1231" spans="1:7">
      <c r="A1231" s="409"/>
      <c r="B1231" s="409"/>
      <c r="C1231" s="538"/>
      <c r="D1231" s="538"/>
      <c r="E1231" s="538"/>
      <c r="F1231" s="538"/>
      <c r="G1231" s="538"/>
    </row>
    <row r="1232" spans="1:7">
      <c r="A1232" s="409"/>
      <c r="B1232" s="409"/>
      <c r="C1232" s="538"/>
      <c r="D1232" s="538"/>
      <c r="E1232" s="538"/>
      <c r="F1232" s="538"/>
      <c r="G1232" s="538"/>
    </row>
    <row r="1233" spans="1:7">
      <c r="A1233" s="409"/>
      <c r="B1233" s="409"/>
      <c r="C1233" s="538"/>
      <c r="D1233" s="538"/>
      <c r="E1233" s="538"/>
      <c r="F1233" s="538"/>
      <c r="G1233" s="538"/>
    </row>
    <row r="1234" spans="1:7">
      <c r="A1234" s="409"/>
      <c r="B1234" s="409"/>
      <c r="C1234" s="538"/>
      <c r="D1234" s="538"/>
      <c r="E1234" s="538"/>
      <c r="F1234" s="538"/>
      <c r="G1234" s="538"/>
    </row>
    <row r="1235" spans="1:7">
      <c r="A1235" s="409"/>
      <c r="B1235" s="409"/>
      <c r="C1235" s="538"/>
      <c r="D1235" s="538"/>
      <c r="E1235" s="538"/>
      <c r="F1235" s="538"/>
      <c r="G1235" s="538"/>
    </row>
    <row r="1236" spans="1:7">
      <c r="A1236" s="409"/>
      <c r="B1236" s="409"/>
      <c r="C1236" s="538"/>
      <c r="D1236" s="538"/>
      <c r="E1236" s="538"/>
      <c r="F1236" s="538"/>
      <c r="G1236" s="538"/>
    </row>
    <row r="1237" spans="1:7">
      <c r="A1237" s="409"/>
      <c r="B1237" s="409"/>
      <c r="C1237" s="538"/>
      <c r="D1237" s="538"/>
      <c r="E1237" s="538"/>
      <c r="F1237" s="538"/>
      <c r="G1237" s="538"/>
    </row>
    <row r="1238" spans="1:7">
      <c r="A1238" s="409"/>
      <c r="B1238" s="409"/>
      <c r="C1238" s="538"/>
      <c r="D1238" s="538"/>
      <c r="E1238" s="538"/>
      <c r="F1238" s="538"/>
      <c r="G1238" s="538"/>
    </row>
    <row r="1239" spans="1:7">
      <c r="A1239" s="409"/>
      <c r="B1239" s="409"/>
      <c r="C1239" s="538"/>
      <c r="D1239" s="538"/>
      <c r="E1239" s="538"/>
      <c r="F1239" s="538"/>
      <c r="G1239" s="538"/>
    </row>
    <row r="1240" spans="1:7">
      <c r="A1240" s="409"/>
      <c r="B1240" s="409"/>
      <c r="C1240" s="538"/>
      <c r="D1240" s="538"/>
      <c r="E1240" s="538"/>
      <c r="F1240" s="538"/>
      <c r="G1240" s="538"/>
    </row>
    <row r="1241" spans="1:7">
      <c r="A1241" s="409"/>
      <c r="B1241" s="409"/>
      <c r="C1241" s="538"/>
      <c r="D1241" s="538"/>
      <c r="E1241" s="538"/>
      <c r="F1241" s="538"/>
      <c r="G1241" s="538"/>
    </row>
    <row r="1242" spans="1:7">
      <c r="A1242" s="409"/>
      <c r="B1242" s="409"/>
      <c r="C1242" s="538"/>
      <c r="D1242" s="538"/>
      <c r="E1242" s="538"/>
      <c r="F1242" s="538"/>
      <c r="G1242" s="538"/>
    </row>
    <row r="1243" spans="1:7">
      <c r="A1243" s="409"/>
      <c r="B1243" s="409"/>
      <c r="C1243" s="538"/>
      <c r="D1243" s="538"/>
      <c r="E1243" s="538"/>
      <c r="F1243" s="538"/>
      <c r="G1243" s="538"/>
    </row>
    <row r="1244" spans="1:7">
      <c r="A1244" s="409"/>
      <c r="B1244" s="409"/>
      <c r="C1244" s="538"/>
      <c r="D1244" s="538"/>
      <c r="E1244" s="538"/>
      <c r="F1244" s="538"/>
      <c r="G1244" s="538"/>
    </row>
    <row r="1245" spans="1:7">
      <c r="A1245" s="409"/>
      <c r="B1245" s="409"/>
      <c r="C1245" s="538"/>
      <c r="D1245" s="538"/>
      <c r="E1245" s="538"/>
      <c r="F1245" s="538"/>
      <c r="G1245" s="538"/>
    </row>
    <row r="1246" spans="1:7">
      <c r="A1246" s="409"/>
      <c r="B1246" s="409"/>
      <c r="C1246" s="538"/>
      <c r="D1246" s="538"/>
      <c r="E1246" s="538"/>
      <c r="F1246" s="538"/>
      <c r="G1246" s="538"/>
    </row>
    <row r="1247" spans="1:7">
      <c r="A1247" s="409"/>
      <c r="B1247" s="409"/>
      <c r="C1247" s="538"/>
      <c r="D1247" s="538"/>
      <c r="E1247" s="538"/>
      <c r="F1247" s="538"/>
      <c r="G1247" s="538"/>
    </row>
    <row r="1248" spans="1:7">
      <c r="A1248" s="409"/>
      <c r="B1248" s="409"/>
      <c r="C1248" s="538"/>
      <c r="D1248" s="538"/>
      <c r="E1248" s="538"/>
      <c r="F1248" s="538"/>
      <c r="G1248" s="538"/>
    </row>
    <row r="1249" spans="1:7">
      <c r="A1249" s="409"/>
      <c r="B1249" s="409"/>
      <c r="C1249" s="538"/>
      <c r="D1249" s="538"/>
      <c r="E1249" s="538"/>
      <c r="F1249" s="538"/>
      <c r="G1249" s="538"/>
    </row>
    <row r="1250" spans="1:7">
      <c r="A1250" s="409"/>
      <c r="B1250" s="409"/>
      <c r="C1250" s="538"/>
      <c r="D1250" s="538"/>
      <c r="E1250" s="538"/>
      <c r="F1250" s="538"/>
      <c r="G1250" s="538"/>
    </row>
    <row r="1251" spans="1:7">
      <c r="A1251" s="409"/>
      <c r="B1251" s="409"/>
      <c r="C1251" s="538"/>
      <c r="D1251" s="538"/>
      <c r="E1251" s="538"/>
      <c r="F1251" s="538"/>
      <c r="G1251" s="538"/>
    </row>
    <row r="1252" spans="1:7">
      <c r="A1252" s="409"/>
      <c r="B1252" s="409"/>
      <c r="C1252" s="538"/>
      <c r="D1252" s="538"/>
      <c r="E1252" s="538"/>
      <c r="F1252" s="538"/>
      <c r="G1252" s="538"/>
    </row>
    <row r="1253" spans="1:7">
      <c r="A1253" s="409"/>
      <c r="B1253" s="409"/>
      <c r="C1253" s="538"/>
      <c r="D1253" s="538"/>
      <c r="E1253" s="538"/>
      <c r="F1253" s="538"/>
      <c r="G1253" s="538"/>
    </row>
    <row r="1254" spans="1:7">
      <c r="A1254" s="409"/>
      <c r="B1254" s="409"/>
      <c r="C1254" s="538"/>
      <c r="D1254" s="538"/>
      <c r="E1254" s="538"/>
      <c r="F1254" s="538"/>
      <c r="G1254" s="538"/>
    </row>
    <row r="1255" spans="1:7">
      <c r="A1255" s="409"/>
      <c r="B1255" s="409"/>
      <c r="C1255" s="538"/>
      <c r="D1255" s="538"/>
      <c r="E1255" s="538"/>
      <c r="F1255" s="538"/>
      <c r="G1255" s="538"/>
    </row>
    <row r="1256" spans="1:7">
      <c r="A1256" s="409"/>
      <c r="B1256" s="409"/>
      <c r="C1256" s="538"/>
      <c r="D1256" s="538"/>
      <c r="E1256" s="538"/>
      <c r="F1256" s="538"/>
      <c r="G1256" s="538"/>
    </row>
    <row r="1257" spans="1:7">
      <c r="A1257" s="409"/>
      <c r="B1257" s="409"/>
      <c r="C1257" s="538"/>
      <c r="D1257" s="538"/>
      <c r="E1257" s="538"/>
      <c r="F1257" s="538"/>
      <c r="G1257" s="538"/>
    </row>
    <row r="1258" spans="1:7">
      <c r="A1258" s="409"/>
      <c r="B1258" s="409"/>
      <c r="C1258" s="538"/>
      <c r="D1258" s="538"/>
      <c r="E1258" s="538"/>
      <c r="F1258" s="538"/>
      <c r="G1258" s="538"/>
    </row>
    <row r="1259" spans="1:7">
      <c r="A1259" s="409"/>
      <c r="B1259" s="409"/>
      <c r="C1259" s="538"/>
      <c r="D1259" s="538"/>
      <c r="E1259" s="538"/>
      <c r="F1259" s="538"/>
      <c r="G1259" s="538"/>
    </row>
    <row r="1260" spans="1:7">
      <c r="A1260" s="409"/>
      <c r="B1260" s="409"/>
      <c r="C1260" s="538"/>
      <c r="D1260" s="538"/>
      <c r="E1260" s="538"/>
      <c r="F1260" s="538"/>
      <c r="G1260" s="538"/>
    </row>
    <row r="1261" spans="1:7">
      <c r="A1261" s="409"/>
      <c r="B1261" s="409"/>
      <c r="C1261" s="538"/>
      <c r="D1261" s="538"/>
      <c r="E1261" s="538"/>
      <c r="F1261" s="538"/>
      <c r="G1261" s="538"/>
    </row>
    <row r="1262" spans="1:7">
      <c r="A1262" s="409"/>
      <c r="B1262" s="409"/>
      <c r="C1262" s="538"/>
      <c r="D1262" s="538"/>
      <c r="E1262" s="538"/>
      <c r="F1262" s="538"/>
      <c r="G1262" s="538"/>
    </row>
    <row r="1263" spans="1:7">
      <c r="A1263" s="409"/>
      <c r="B1263" s="409"/>
      <c r="C1263" s="538"/>
      <c r="D1263" s="538"/>
      <c r="E1263" s="538"/>
      <c r="F1263" s="538"/>
      <c r="G1263" s="538"/>
    </row>
    <row r="1264" spans="1:7">
      <c r="A1264" s="409"/>
      <c r="B1264" s="409"/>
      <c r="C1264" s="538"/>
      <c r="D1264" s="538"/>
      <c r="E1264" s="538"/>
      <c r="F1264" s="538"/>
      <c r="G1264" s="538"/>
    </row>
    <row r="1265" spans="1:7">
      <c r="A1265" s="409"/>
      <c r="B1265" s="409"/>
      <c r="C1265" s="538"/>
      <c r="D1265" s="538"/>
      <c r="E1265" s="538"/>
      <c r="F1265" s="538"/>
      <c r="G1265" s="538"/>
    </row>
    <row r="1266" spans="1:7">
      <c r="A1266" s="409"/>
      <c r="B1266" s="409"/>
      <c r="C1266" s="538"/>
      <c r="D1266" s="538"/>
      <c r="E1266" s="538"/>
      <c r="F1266" s="538"/>
      <c r="G1266" s="538"/>
    </row>
    <row r="1267" spans="1:7">
      <c r="A1267" s="409"/>
      <c r="B1267" s="409"/>
      <c r="C1267" s="538"/>
      <c r="D1267" s="538"/>
      <c r="E1267" s="538"/>
      <c r="F1267" s="538"/>
      <c r="G1267" s="538"/>
    </row>
    <row r="1268" spans="1:7">
      <c r="A1268" s="409"/>
      <c r="B1268" s="409"/>
      <c r="C1268" s="538"/>
      <c r="D1268" s="538"/>
      <c r="E1268" s="538"/>
      <c r="F1268" s="538"/>
      <c r="G1268" s="538"/>
    </row>
    <row r="1269" spans="1:7">
      <c r="A1269" s="409"/>
      <c r="B1269" s="409"/>
      <c r="C1269" s="538"/>
      <c r="D1269" s="538"/>
      <c r="E1269" s="538"/>
      <c r="F1269" s="538"/>
      <c r="G1269" s="538"/>
    </row>
    <row r="1270" spans="1:7">
      <c r="A1270" s="409"/>
      <c r="B1270" s="409"/>
      <c r="C1270" s="538"/>
      <c r="D1270" s="538"/>
      <c r="E1270" s="538"/>
      <c r="F1270" s="538"/>
      <c r="G1270" s="538"/>
    </row>
    <row r="1271" spans="1:7">
      <c r="A1271" s="409"/>
      <c r="B1271" s="409"/>
      <c r="C1271" s="538"/>
      <c r="D1271" s="538"/>
      <c r="E1271" s="538"/>
      <c r="F1271" s="538"/>
      <c r="G1271" s="538"/>
    </row>
    <row r="1272" spans="1:7">
      <c r="A1272" s="409"/>
      <c r="B1272" s="409"/>
      <c r="C1272" s="538"/>
      <c r="D1272" s="538"/>
      <c r="E1272" s="538"/>
      <c r="F1272" s="538"/>
      <c r="G1272" s="538"/>
    </row>
    <row r="1273" spans="1:7">
      <c r="A1273" s="409"/>
      <c r="B1273" s="409"/>
      <c r="C1273" s="538"/>
      <c r="D1273" s="538"/>
      <c r="E1273" s="538"/>
      <c r="F1273" s="538"/>
      <c r="G1273" s="538"/>
    </row>
    <row r="1274" spans="1:7">
      <c r="A1274" s="409"/>
      <c r="B1274" s="409"/>
      <c r="C1274" s="538"/>
      <c r="D1274" s="538"/>
      <c r="E1274" s="538"/>
      <c r="F1274" s="538"/>
      <c r="G1274" s="538"/>
    </row>
    <row r="1275" spans="1:7">
      <c r="A1275" s="409"/>
      <c r="B1275" s="409"/>
      <c r="C1275" s="538"/>
      <c r="D1275" s="538"/>
      <c r="E1275" s="538"/>
      <c r="F1275" s="538"/>
      <c r="G1275" s="538"/>
    </row>
    <row r="1276" spans="1:7">
      <c r="A1276" s="409"/>
      <c r="B1276" s="409"/>
      <c r="C1276" s="538"/>
      <c r="D1276" s="538"/>
      <c r="E1276" s="538"/>
      <c r="F1276" s="538"/>
      <c r="G1276" s="538"/>
    </row>
    <row r="1277" spans="1:7">
      <c r="A1277" s="409"/>
      <c r="B1277" s="409"/>
      <c r="C1277" s="538"/>
      <c r="D1277" s="538"/>
      <c r="E1277" s="538"/>
      <c r="F1277" s="538"/>
      <c r="G1277" s="538"/>
    </row>
    <row r="1278" spans="1:7">
      <c r="A1278" s="409"/>
      <c r="B1278" s="409"/>
      <c r="C1278" s="538"/>
      <c r="D1278" s="538"/>
      <c r="E1278" s="538"/>
      <c r="F1278" s="538"/>
      <c r="G1278" s="538"/>
    </row>
    <row r="1279" spans="1:7">
      <c r="A1279" s="409"/>
      <c r="B1279" s="409"/>
      <c r="C1279" s="538"/>
      <c r="D1279" s="538"/>
      <c r="E1279" s="538"/>
      <c r="F1279" s="538"/>
      <c r="G1279" s="538"/>
    </row>
    <row r="1280" spans="1:7">
      <c r="A1280" s="409"/>
      <c r="B1280" s="409"/>
      <c r="C1280" s="538"/>
      <c r="D1280" s="538"/>
      <c r="E1280" s="538"/>
      <c r="F1280" s="538"/>
      <c r="G1280" s="538"/>
    </row>
    <row r="1281" spans="1:7">
      <c r="A1281" s="409"/>
      <c r="B1281" s="409"/>
      <c r="C1281" s="538"/>
      <c r="D1281" s="538"/>
      <c r="E1281" s="538"/>
      <c r="F1281" s="538"/>
      <c r="G1281" s="538"/>
    </row>
    <row r="1282" spans="1:7">
      <c r="A1282" s="409"/>
      <c r="B1282" s="409"/>
      <c r="C1282" s="538"/>
      <c r="D1282" s="538"/>
      <c r="E1282" s="538"/>
      <c r="F1282" s="538"/>
      <c r="G1282" s="538"/>
    </row>
    <row r="1283" spans="1:7">
      <c r="A1283" s="409"/>
      <c r="B1283" s="409"/>
      <c r="C1283" s="538"/>
      <c r="D1283" s="538"/>
      <c r="E1283" s="538"/>
      <c r="F1283" s="538"/>
      <c r="G1283" s="538"/>
    </row>
    <row r="1284" spans="1:7">
      <c r="A1284" s="409"/>
      <c r="B1284" s="409"/>
      <c r="C1284" s="538"/>
      <c r="D1284" s="538"/>
      <c r="E1284" s="538"/>
      <c r="F1284" s="538"/>
      <c r="G1284" s="538"/>
    </row>
    <row r="1285" spans="1:7">
      <c r="A1285" s="409"/>
      <c r="B1285" s="409"/>
      <c r="C1285" s="538"/>
      <c r="D1285" s="538"/>
      <c r="E1285" s="538"/>
      <c r="F1285" s="538"/>
      <c r="G1285" s="538"/>
    </row>
    <row r="1286" spans="1:7">
      <c r="A1286" s="409"/>
      <c r="B1286" s="409"/>
      <c r="C1286" s="538"/>
      <c r="D1286" s="538"/>
      <c r="E1286" s="538"/>
      <c r="F1286" s="538"/>
      <c r="G1286" s="538"/>
    </row>
    <row r="1287" spans="1:7">
      <c r="A1287" s="409"/>
      <c r="B1287" s="409"/>
      <c r="C1287" s="538"/>
      <c r="D1287" s="538"/>
      <c r="E1287" s="538"/>
      <c r="F1287" s="538"/>
      <c r="G1287" s="538"/>
    </row>
    <row r="1288" spans="1:7">
      <c r="A1288" s="409"/>
      <c r="B1288" s="409"/>
      <c r="C1288" s="538"/>
      <c r="D1288" s="538"/>
      <c r="E1288" s="538"/>
      <c r="F1288" s="538"/>
      <c r="G1288" s="538"/>
    </row>
    <row r="1289" spans="1:7">
      <c r="A1289" s="409"/>
      <c r="B1289" s="409"/>
      <c r="C1289" s="538"/>
      <c r="D1289" s="538"/>
      <c r="E1289" s="538"/>
      <c r="F1289" s="538"/>
      <c r="G1289" s="538"/>
    </row>
    <row r="1290" spans="1:7">
      <c r="A1290" s="409"/>
      <c r="B1290" s="409"/>
      <c r="C1290" s="538"/>
      <c r="D1290" s="538"/>
      <c r="E1290" s="538"/>
      <c r="F1290" s="538"/>
      <c r="G1290" s="538"/>
    </row>
    <row r="1291" spans="1:7">
      <c r="A1291" s="409"/>
      <c r="B1291" s="409"/>
      <c r="C1291" s="538"/>
      <c r="D1291" s="538"/>
      <c r="E1291" s="538"/>
      <c r="F1291" s="538"/>
      <c r="G1291" s="538"/>
    </row>
    <row r="1292" spans="1:7">
      <c r="A1292" s="409"/>
      <c r="B1292" s="409"/>
      <c r="C1292" s="538"/>
      <c r="D1292" s="538"/>
      <c r="E1292" s="538"/>
      <c r="F1292" s="538"/>
      <c r="G1292" s="538"/>
    </row>
    <row r="1293" spans="1:7">
      <c r="A1293" s="409"/>
      <c r="B1293" s="409"/>
      <c r="C1293" s="538"/>
      <c r="D1293" s="538"/>
      <c r="E1293" s="538"/>
      <c r="F1293" s="538"/>
      <c r="G1293" s="538"/>
    </row>
    <row r="1294" spans="1:7">
      <c r="A1294" s="409"/>
      <c r="B1294" s="409"/>
      <c r="C1294" s="538"/>
      <c r="D1294" s="538"/>
      <c r="E1294" s="538"/>
      <c r="F1294" s="538"/>
      <c r="G1294" s="538"/>
    </row>
    <row r="1295" spans="1:7">
      <c r="A1295" s="409"/>
      <c r="B1295" s="409"/>
      <c r="C1295" s="538"/>
      <c r="D1295" s="538"/>
      <c r="E1295" s="538"/>
      <c r="F1295" s="538"/>
      <c r="G1295" s="538"/>
    </row>
    <row r="1296" spans="1:7">
      <c r="A1296" s="409"/>
      <c r="B1296" s="409"/>
      <c r="C1296" s="538"/>
      <c r="D1296" s="538"/>
      <c r="E1296" s="538"/>
      <c r="F1296" s="538"/>
      <c r="G1296" s="538"/>
    </row>
    <row r="1297" spans="1:7">
      <c r="A1297" s="409"/>
      <c r="B1297" s="409"/>
      <c r="C1297" s="538"/>
      <c r="D1297" s="538"/>
      <c r="E1297" s="538"/>
      <c r="F1297" s="538"/>
      <c r="G1297" s="538"/>
    </row>
    <row r="1298" spans="1:7">
      <c r="A1298" s="409"/>
      <c r="B1298" s="409"/>
      <c r="C1298" s="538"/>
      <c r="D1298" s="538"/>
      <c r="E1298" s="538"/>
      <c r="F1298" s="538"/>
      <c r="G1298" s="538"/>
    </row>
    <row r="1299" spans="1:7">
      <c r="A1299" s="409"/>
      <c r="B1299" s="409"/>
      <c r="C1299" s="538"/>
      <c r="D1299" s="538"/>
      <c r="E1299" s="538"/>
      <c r="F1299" s="538"/>
      <c r="G1299" s="538"/>
    </row>
    <row r="1300" spans="1:7">
      <c r="A1300" s="409"/>
      <c r="B1300" s="409"/>
      <c r="C1300" s="538"/>
      <c r="D1300" s="538"/>
      <c r="E1300" s="538"/>
      <c r="F1300" s="538"/>
      <c r="G1300" s="538"/>
    </row>
    <row r="1301" spans="1:7">
      <c r="A1301" s="409"/>
      <c r="B1301" s="409"/>
      <c r="C1301" s="538"/>
      <c r="D1301" s="538"/>
      <c r="E1301" s="538"/>
      <c r="F1301" s="538"/>
      <c r="G1301" s="538"/>
    </row>
    <row r="1302" spans="1:7">
      <c r="A1302" s="409"/>
      <c r="B1302" s="409"/>
      <c r="C1302" s="538"/>
      <c r="D1302" s="538"/>
      <c r="E1302" s="538"/>
      <c r="F1302" s="538"/>
      <c r="G1302" s="538"/>
    </row>
    <row r="1303" spans="1:7">
      <c r="A1303" s="409"/>
      <c r="B1303" s="409"/>
      <c r="C1303" s="538"/>
      <c r="D1303" s="538"/>
      <c r="E1303" s="538"/>
      <c r="F1303" s="538"/>
      <c r="G1303" s="538"/>
    </row>
    <row r="1304" spans="1:7">
      <c r="A1304" s="409"/>
      <c r="B1304" s="409"/>
      <c r="C1304" s="538"/>
      <c r="D1304" s="538"/>
      <c r="E1304" s="538"/>
      <c r="F1304" s="538"/>
      <c r="G1304" s="538"/>
    </row>
    <row r="1305" spans="1:7">
      <c r="A1305" s="409"/>
      <c r="B1305" s="409"/>
      <c r="C1305" s="538"/>
      <c r="D1305" s="538"/>
      <c r="E1305" s="538"/>
      <c r="F1305" s="538"/>
      <c r="G1305" s="538"/>
    </row>
    <row r="1306" spans="1:7">
      <c r="A1306" s="409"/>
      <c r="B1306" s="409"/>
      <c r="C1306" s="538"/>
      <c r="D1306" s="538"/>
      <c r="E1306" s="538"/>
      <c r="F1306" s="538"/>
      <c r="G1306" s="538"/>
    </row>
    <row r="1307" spans="1:7">
      <c r="A1307" s="409"/>
      <c r="B1307" s="409"/>
      <c r="C1307" s="538"/>
      <c r="D1307" s="538"/>
      <c r="E1307" s="538"/>
      <c r="F1307" s="538"/>
      <c r="G1307" s="538"/>
    </row>
    <row r="1308" spans="1:7">
      <c r="A1308" s="409"/>
      <c r="B1308" s="409"/>
      <c r="C1308" s="538"/>
      <c r="D1308" s="538"/>
      <c r="E1308" s="538"/>
      <c r="F1308" s="538"/>
      <c r="G1308" s="538"/>
    </row>
    <row r="1309" spans="1:7">
      <c r="A1309" s="409"/>
      <c r="B1309" s="409"/>
      <c r="C1309" s="538"/>
      <c r="D1309" s="538"/>
      <c r="E1309" s="538"/>
      <c r="F1309" s="538"/>
      <c r="G1309" s="538"/>
    </row>
    <row r="1310" spans="1:7">
      <c r="A1310" s="409"/>
      <c r="B1310" s="409"/>
      <c r="C1310" s="538"/>
      <c r="D1310" s="538"/>
      <c r="E1310" s="538"/>
      <c r="F1310" s="538"/>
      <c r="G1310" s="538"/>
    </row>
    <row r="1311" spans="1:7">
      <c r="A1311" s="409"/>
      <c r="B1311" s="409"/>
      <c r="C1311" s="538"/>
      <c r="D1311" s="538"/>
      <c r="E1311" s="538"/>
      <c r="F1311" s="538"/>
      <c r="G1311" s="538"/>
    </row>
    <row r="1312" spans="1:7">
      <c r="A1312" s="409"/>
      <c r="B1312" s="409"/>
      <c r="C1312" s="538"/>
      <c r="D1312" s="538"/>
      <c r="E1312" s="538"/>
      <c r="F1312" s="538"/>
      <c r="G1312" s="538"/>
    </row>
    <row r="1313" spans="1:7">
      <c r="A1313" s="409"/>
      <c r="B1313" s="409"/>
      <c r="C1313" s="538"/>
      <c r="D1313" s="538"/>
      <c r="E1313" s="538"/>
      <c r="F1313" s="538"/>
      <c r="G1313" s="538"/>
    </row>
    <row r="1314" spans="1:7">
      <c r="A1314" s="409"/>
      <c r="B1314" s="409"/>
      <c r="C1314" s="538"/>
      <c r="D1314" s="538"/>
      <c r="E1314" s="538"/>
      <c r="F1314" s="538"/>
      <c r="G1314" s="538"/>
    </row>
    <row r="1315" spans="1:7">
      <c r="A1315" s="409"/>
      <c r="B1315" s="409"/>
      <c r="C1315" s="538"/>
      <c r="D1315" s="538"/>
      <c r="E1315" s="538"/>
      <c r="F1315" s="538"/>
      <c r="G1315" s="538"/>
    </row>
    <row r="1316" spans="1:7">
      <c r="A1316" s="409"/>
      <c r="B1316" s="409"/>
      <c r="C1316" s="538"/>
      <c r="D1316" s="538"/>
      <c r="E1316" s="538"/>
      <c r="F1316" s="538"/>
      <c r="G1316" s="538"/>
    </row>
    <row r="1317" spans="1:7">
      <c r="A1317" s="409"/>
      <c r="B1317" s="409"/>
      <c r="C1317" s="538"/>
      <c r="D1317" s="538"/>
      <c r="E1317" s="538"/>
      <c r="F1317" s="538"/>
      <c r="G1317" s="538"/>
    </row>
    <row r="1318" spans="1:7">
      <c r="A1318" s="409"/>
      <c r="B1318" s="409"/>
      <c r="C1318" s="538"/>
      <c r="D1318" s="538"/>
      <c r="E1318" s="538"/>
      <c r="F1318" s="538"/>
      <c r="G1318" s="538"/>
    </row>
    <row r="1319" spans="1:7">
      <c r="A1319" s="409"/>
      <c r="B1319" s="409"/>
      <c r="C1319" s="538"/>
      <c r="D1319" s="538"/>
      <c r="E1319" s="538"/>
      <c r="F1319" s="538"/>
      <c r="G1319" s="538"/>
    </row>
    <row r="1320" spans="1:7">
      <c r="A1320" s="409"/>
      <c r="B1320" s="409"/>
      <c r="C1320" s="538"/>
      <c r="D1320" s="538"/>
      <c r="E1320" s="538"/>
      <c r="F1320" s="538"/>
      <c r="G1320" s="538"/>
    </row>
    <row r="1321" spans="1:7">
      <c r="A1321" s="409"/>
      <c r="B1321" s="409"/>
      <c r="C1321" s="538"/>
      <c r="D1321" s="538"/>
      <c r="E1321" s="538"/>
      <c r="F1321" s="538"/>
      <c r="G1321" s="538"/>
    </row>
    <row r="1322" spans="1:7">
      <c r="A1322" s="409"/>
      <c r="B1322" s="409"/>
      <c r="C1322" s="538"/>
      <c r="D1322" s="538"/>
      <c r="E1322" s="538"/>
      <c r="F1322" s="538"/>
      <c r="G1322" s="538"/>
    </row>
    <row r="1323" spans="1:7">
      <c r="A1323" s="409"/>
      <c r="B1323" s="409"/>
      <c r="C1323" s="538"/>
      <c r="D1323" s="538"/>
      <c r="E1323" s="538"/>
      <c r="F1323" s="538"/>
      <c r="G1323" s="538"/>
    </row>
    <row r="1324" spans="1:7">
      <c r="A1324" s="409"/>
      <c r="B1324" s="409"/>
      <c r="C1324" s="538"/>
      <c r="D1324" s="538"/>
      <c r="E1324" s="538"/>
      <c r="F1324" s="538"/>
      <c r="G1324" s="538"/>
    </row>
    <row r="1325" spans="1:7">
      <c r="A1325" s="409"/>
      <c r="B1325" s="409"/>
      <c r="C1325" s="538"/>
      <c r="D1325" s="538"/>
      <c r="E1325" s="538"/>
      <c r="F1325" s="538"/>
      <c r="G1325" s="538"/>
    </row>
    <row r="1326" spans="1:7">
      <c r="A1326" s="409"/>
      <c r="B1326" s="409"/>
      <c r="C1326" s="538"/>
      <c r="D1326" s="538"/>
      <c r="E1326" s="538"/>
      <c r="F1326" s="538"/>
      <c r="G1326" s="538"/>
    </row>
    <row r="1327" spans="1:7">
      <c r="A1327" s="409"/>
      <c r="B1327" s="409"/>
      <c r="C1327" s="538"/>
      <c r="D1327" s="538"/>
      <c r="E1327" s="538"/>
      <c r="F1327" s="538"/>
      <c r="G1327" s="538"/>
    </row>
    <row r="1328" spans="1:7">
      <c r="A1328" s="409"/>
      <c r="B1328" s="409"/>
      <c r="C1328" s="538"/>
      <c r="D1328" s="538"/>
      <c r="E1328" s="538"/>
      <c r="F1328" s="538"/>
      <c r="G1328" s="538"/>
    </row>
    <row r="1329" spans="1:7">
      <c r="A1329" s="409"/>
      <c r="B1329" s="409"/>
      <c r="C1329" s="538"/>
      <c r="D1329" s="538"/>
      <c r="E1329" s="538"/>
      <c r="F1329" s="538"/>
      <c r="G1329" s="538"/>
    </row>
    <row r="1330" spans="1:7">
      <c r="A1330" s="409"/>
      <c r="B1330" s="409"/>
      <c r="C1330" s="538"/>
      <c r="D1330" s="538"/>
      <c r="E1330" s="538"/>
      <c r="F1330" s="538"/>
      <c r="G1330" s="538"/>
    </row>
    <row r="1331" spans="1:7">
      <c r="A1331" s="409"/>
      <c r="B1331" s="409"/>
      <c r="C1331" s="538"/>
      <c r="D1331" s="538"/>
      <c r="E1331" s="538"/>
      <c r="F1331" s="538"/>
      <c r="G1331" s="538"/>
    </row>
    <row r="1332" spans="1:7">
      <c r="A1332" s="409"/>
      <c r="B1332" s="409"/>
      <c r="C1332" s="538"/>
      <c r="D1332" s="538"/>
      <c r="E1332" s="538"/>
      <c r="F1332" s="538"/>
      <c r="G1332" s="538"/>
    </row>
    <row r="1333" spans="1:7">
      <c r="A1333" s="409"/>
      <c r="B1333" s="409"/>
      <c r="C1333" s="538"/>
      <c r="D1333" s="538"/>
      <c r="E1333" s="538"/>
      <c r="F1333" s="538"/>
      <c r="G1333" s="538"/>
    </row>
    <row r="1334" spans="1:7">
      <c r="A1334" s="409"/>
      <c r="B1334" s="409"/>
      <c r="C1334" s="538"/>
      <c r="D1334" s="538"/>
      <c r="E1334" s="538"/>
      <c r="F1334" s="538"/>
      <c r="G1334" s="538"/>
    </row>
    <row r="1335" spans="1:7">
      <c r="A1335" s="409"/>
      <c r="B1335" s="409"/>
      <c r="C1335" s="538"/>
      <c r="D1335" s="538"/>
      <c r="E1335" s="538"/>
      <c r="F1335" s="538"/>
      <c r="G1335" s="538"/>
    </row>
    <row r="1336" spans="1:7">
      <c r="A1336" s="409"/>
      <c r="B1336" s="409"/>
      <c r="C1336" s="538"/>
      <c r="D1336" s="538"/>
      <c r="E1336" s="538"/>
      <c r="F1336" s="538"/>
      <c r="G1336" s="538"/>
    </row>
    <row r="1337" spans="1:7">
      <c r="A1337" s="409"/>
      <c r="B1337" s="409"/>
      <c r="C1337" s="538"/>
      <c r="D1337" s="538"/>
      <c r="E1337" s="538"/>
      <c r="F1337" s="538"/>
      <c r="G1337" s="538"/>
    </row>
    <row r="1338" spans="1:7">
      <c r="A1338" s="409"/>
      <c r="B1338" s="409"/>
      <c r="C1338" s="538"/>
      <c r="D1338" s="538"/>
      <c r="E1338" s="538"/>
      <c r="F1338" s="538"/>
      <c r="G1338" s="538"/>
    </row>
    <row r="1339" spans="1:7">
      <c r="A1339" s="409"/>
      <c r="B1339" s="409"/>
      <c r="C1339" s="538"/>
      <c r="D1339" s="538"/>
      <c r="E1339" s="538"/>
      <c r="F1339" s="538"/>
      <c r="G1339" s="538"/>
    </row>
    <row r="1340" spans="1:7">
      <c r="A1340" s="409"/>
      <c r="B1340" s="409"/>
      <c r="C1340" s="538"/>
      <c r="D1340" s="538"/>
      <c r="E1340" s="538"/>
      <c r="F1340" s="538"/>
      <c r="G1340" s="538"/>
    </row>
    <row r="1341" spans="1:7">
      <c r="A1341" s="409"/>
      <c r="B1341" s="409"/>
      <c r="C1341" s="538"/>
      <c r="D1341" s="538"/>
      <c r="E1341" s="538"/>
      <c r="F1341" s="538"/>
      <c r="G1341" s="538"/>
    </row>
    <row r="1342" spans="1:7">
      <c r="A1342" s="409"/>
      <c r="B1342" s="409"/>
      <c r="C1342" s="538"/>
      <c r="D1342" s="538"/>
      <c r="E1342" s="538"/>
      <c r="F1342" s="538"/>
      <c r="G1342" s="538"/>
    </row>
    <row r="1343" spans="1:7">
      <c r="A1343" s="409"/>
      <c r="B1343" s="409"/>
      <c r="C1343" s="538"/>
      <c r="D1343" s="538"/>
      <c r="E1343" s="538"/>
      <c r="F1343" s="538"/>
      <c r="G1343" s="538"/>
    </row>
    <row r="1344" spans="1:7">
      <c r="A1344" s="409"/>
      <c r="B1344" s="409"/>
      <c r="C1344" s="538"/>
      <c r="D1344" s="538"/>
      <c r="E1344" s="538"/>
      <c r="F1344" s="538"/>
      <c r="G1344" s="538"/>
    </row>
    <row r="1345" spans="1:7">
      <c r="A1345" s="409"/>
      <c r="B1345" s="409"/>
      <c r="C1345" s="538"/>
      <c r="D1345" s="538"/>
      <c r="E1345" s="538"/>
      <c r="F1345" s="538"/>
      <c r="G1345" s="538"/>
    </row>
    <row r="1346" spans="1:7">
      <c r="A1346" s="409"/>
      <c r="B1346" s="409"/>
      <c r="C1346" s="538"/>
      <c r="D1346" s="538"/>
      <c r="E1346" s="538"/>
      <c r="F1346" s="538"/>
      <c r="G1346" s="538"/>
    </row>
    <row r="1347" spans="1:7">
      <c r="A1347" s="409"/>
      <c r="B1347" s="409"/>
      <c r="C1347" s="538"/>
      <c r="D1347" s="538"/>
      <c r="E1347" s="538"/>
      <c r="F1347" s="538"/>
      <c r="G1347" s="538"/>
    </row>
    <row r="1348" spans="1:7">
      <c r="A1348" s="409"/>
      <c r="B1348" s="409"/>
      <c r="C1348" s="538"/>
      <c r="D1348" s="538"/>
      <c r="E1348" s="538"/>
      <c r="F1348" s="538"/>
      <c r="G1348" s="538"/>
    </row>
    <row r="1349" spans="1:7">
      <c r="A1349" s="409"/>
      <c r="B1349" s="409"/>
      <c r="C1349" s="538"/>
      <c r="D1349" s="538"/>
      <c r="E1349" s="538"/>
      <c r="F1349" s="538"/>
      <c r="G1349" s="538"/>
    </row>
    <row r="1350" spans="1:7">
      <c r="A1350" s="409"/>
      <c r="B1350" s="409"/>
      <c r="C1350" s="538"/>
      <c r="D1350" s="538"/>
      <c r="E1350" s="538"/>
      <c r="F1350" s="538"/>
      <c r="G1350" s="538"/>
    </row>
    <row r="1351" spans="1:7">
      <c r="A1351" s="409"/>
      <c r="B1351" s="409"/>
      <c r="C1351" s="538"/>
      <c r="D1351" s="538"/>
      <c r="E1351" s="538"/>
      <c r="F1351" s="538"/>
      <c r="G1351" s="538"/>
    </row>
    <row r="1352" spans="1:7">
      <c r="A1352" s="409"/>
      <c r="B1352" s="409"/>
      <c r="C1352" s="538"/>
      <c r="D1352" s="538"/>
      <c r="E1352" s="538"/>
      <c r="F1352" s="538"/>
      <c r="G1352" s="538"/>
    </row>
    <row r="1353" spans="1:7">
      <c r="A1353" s="409"/>
      <c r="B1353" s="409"/>
      <c r="C1353" s="538"/>
      <c r="D1353" s="538"/>
      <c r="E1353" s="538"/>
      <c r="F1353" s="538"/>
      <c r="G1353" s="538"/>
    </row>
    <row r="1354" spans="1:7">
      <c r="A1354" s="409"/>
      <c r="B1354" s="409"/>
      <c r="C1354" s="538"/>
      <c r="D1354" s="538"/>
      <c r="E1354" s="538"/>
      <c r="F1354" s="538"/>
      <c r="G1354" s="538"/>
    </row>
    <row r="1355" spans="1:7">
      <c r="A1355" s="409"/>
      <c r="B1355" s="409"/>
      <c r="C1355" s="538"/>
      <c r="D1355" s="538"/>
      <c r="E1355" s="538"/>
      <c r="F1355" s="538"/>
      <c r="G1355" s="538"/>
    </row>
    <row r="1356" spans="1:7">
      <c r="A1356" s="409"/>
      <c r="B1356" s="409"/>
      <c r="C1356" s="538"/>
      <c r="D1356" s="538"/>
      <c r="E1356" s="538"/>
      <c r="F1356" s="538"/>
      <c r="G1356" s="538"/>
    </row>
    <row r="1357" spans="1:7">
      <c r="A1357" s="409"/>
      <c r="B1357" s="409"/>
      <c r="C1357" s="538"/>
      <c r="D1357" s="538"/>
      <c r="E1357" s="538"/>
      <c r="F1357" s="538"/>
      <c r="G1357" s="538"/>
    </row>
    <row r="1358" spans="1:7">
      <c r="A1358" s="409"/>
      <c r="B1358" s="409"/>
      <c r="C1358" s="538"/>
      <c r="D1358" s="538"/>
      <c r="E1358" s="538"/>
      <c r="F1358" s="538"/>
      <c r="G1358" s="538"/>
    </row>
    <row r="1359" spans="1:7">
      <c r="A1359" s="409"/>
      <c r="B1359" s="409"/>
      <c r="C1359" s="538"/>
      <c r="D1359" s="538"/>
      <c r="E1359" s="538"/>
      <c r="F1359" s="538"/>
      <c r="G1359" s="538"/>
    </row>
    <row r="1360" spans="1:7">
      <c r="A1360" s="409"/>
      <c r="B1360" s="409"/>
      <c r="C1360" s="538"/>
      <c r="D1360" s="538"/>
      <c r="E1360" s="538"/>
      <c r="F1360" s="538"/>
      <c r="G1360" s="538"/>
    </row>
    <row r="1361" spans="1:7">
      <c r="A1361" s="409"/>
      <c r="B1361" s="409"/>
      <c r="C1361" s="538"/>
      <c r="D1361" s="538"/>
      <c r="E1361" s="538"/>
      <c r="F1361" s="538"/>
      <c r="G1361" s="538"/>
    </row>
    <row r="1362" spans="1:7">
      <c r="A1362" s="409"/>
      <c r="B1362" s="409"/>
      <c r="C1362" s="538"/>
      <c r="D1362" s="538"/>
      <c r="E1362" s="538"/>
      <c r="F1362" s="538"/>
      <c r="G1362" s="538"/>
    </row>
    <row r="1363" spans="1:7">
      <c r="A1363" s="409"/>
      <c r="B1363" s="409"/>
      <c r="C1363" s="538"/>
      <c r="D1363" s="538"/>
      <c r="E1363" s="538"/>
      <c r="F1363" s="538"/>
      <c r="G1363" s="538"/>
    </row>
    <row r="1364" spans="1:7">
      <c r="A1364" s="409"/>
      <c r="B1364" s="409"/>
      <c r="C1364" s="538"/>
      <c r="D1364" s="538"/>
      <c r="E1364" s="538"/>
      <c r="F1364" s="538"/>
      <c r="G1364" s="538"/>
    </row>
    <row r="1365" spans="1:7">
      <c r="A1365" s="409"/>
      <c r="B1365" s="409"/>
      <c r="C1365" s="538"/>
      <c r="D1365" s="538"/>
      <c r="E1365" s="538"/>
      <c r="F1365" s="538"/>
      <c r="G1365" s="538"/>
    </row>
    <row r="1366" spans="1:7">
      <c r="A1366" s="409"/>
      <c r="B1366" s="409"/>
      <c r="C1366" s="538"/>
      <c r="D1366" s="538"/>
      <c r="E1366" s="538"/>
      <c r="F1366" s="538"/>
      <c r="G1366" s="538"/>
    </row>
    <row r="1367" spans="1:7">
      <c r="A1367" s="409"/>
      <c r="B1367" s="409"/>
      <c r="C1367" s="538"/>
      <c r="D1367" s="538"/>
      <c r="E1367" s="538"/>
      <c r="F1367" s="538"/>
      <c r="G1367" s="538"/>
    </row>
    <row r="1368" spans="1:7">
      <c r="A1368" s="409"/>
      <c r="B1368" s="409"/>
      <c r="C1368" s="538"/>
      <c r="D1368" s="538"/>
      <c r="E1368" s="538"/>
      <c r="F1368" s="538"/>
      <c r="G1368" s="538"/>
    </row>
    <row r="1369" spans="1:7">
      <c r="A1369" s="409"/>
      <c r="B1369" s="409"/>
      <c r="C1369" s="538"/>
      <c r="D1369" s="538"/>
      <c r="E1369" s="538"/>
      <c r="F1369" s="538"/>
      <c r="G1369" s="538"/>
    </row>
    <row r="1370" spans="1:7">
      <c r="A1370" s="409"/>
      <c r="B1370" s="409"/>
      <c r="C1370" s="538"/>
      <c r="D1370" s="538"/>
      <c r="E1370" s="538"/>
      <c r="F1370" s="538"/>
      <c r="G1370" s="538"/>
    </row>
    <row r="1371" spans="1:7">
      <c r="A1371" s="409"/>
      <c r="B1371" s="409"/>
      <c r="C1371" s="538"/>
      <c r="D1371" s="538"/>
      <c r="E1371" s="538"/>
      <c r="F1371" s="538"/>
      <c r="G1371" s="538"/>
    </row>
    <row r="1372" spans="1:7">
      <c r="A1372" s="409"/>
      <c r="B1372" s="409"/>
      <c r="C1372" s="538"/>
      <c r="D1372" s="538"/>
      <c r="E1372" s="538"/>
      <c r="F1372" s="538"/>
      <c r="G1372" s="538"/>
    </row>
    <row r="1373" spans="1:7">
      <c r="A1373" s="409"/>
      <c r="B1373" s="409"/>
      <c r="C1373" s="538"/>
      <c r="D1373" s="538"/>
      <c r="E1373" s="538"/>
      <c r="F1373" s="538"/>
      <c r="G1373" s="538"/>
    </row>
    <row r="1374" spans="1:7">
      <c r="A1374" s="409"/>
      <c r="B1374" s="409"/>
      <c r="C1374" s="538"/>
      <c r="D1374" s="538"/>
      <c r="E1374" s="538"/>
      <c r="F1374" s="538"/>
      <c r="G1374" s="538"/>
    </row>
    <row r="1375" spans="1:7">
      <c r="A1375" s="409"/>
      <c r="B1375" s="409"/>
      <c r="C1375" s="538"/>
      <c r="D1375" s="538"/>
      <c r="E1375" s="538"/>
      <c r="F1375" s="538"/>
      <c r="G1375" s="538"/>
    </row>
    <row r="1376" spans="1:7">
      <c r="A1376" s="409"/>
      <c r="B1376" s="409"/>
      <c r="C1376" s="538"/>
      <c r="D1376" s="538"/>
      <c r="E1376" s="538"/>
      <c r="F1376" s="538"/>
      <c r="G1376" s="538"/>
    </row>
    <row r="1377" spans="1:7">
      <c r="A1377" s="409"/>
      <c r="B1377" s="409"/>
      <c r="C1377" s="538"/>
      <c r="D1377" s="538"/>
      <c r="E1377" s="538"/>
      <c r="F1377" s="538"/>
      <c r="G1377" s="538"/>
    </row>
    <row r="1378" spans="1:7">
      <c r="A1378" s="409"/>
      <c r="B1378" s="409"/>
      <c r="C1378" s="538"/>
      <c r="D1378" s="538"/>
      <c r="E1378" s="538"/>
      <c r="F1378" s="538"/>
      <c r="G1378" s="538"/>
    </row>
    <row r="1379" spans="1:7">
      <c r="A1379" s="409"/>
      <c r="B1379" s="409"/>
      <c r="C1379" s="538"/>
      <c r="D1379" s="538"/>
      <c r="E1379" s="538"/>
      <c r="F1379" s="538"/>
      <c r="G1379" s="538"/>
    </row>
    <row r="1380" spans="1:7">
      <c r="A1380" s="409"/>
      <c r="B1380" s="409"/>
      <c r="C1380" s="538"/>
      <c r="D1380" s="538"/>
      <c r="E1380" s="538"/>
      <c r="F1380" s="538"/>
      <c r="G1380" s="538"/>
    </row>
    <row r="1381" spans="1:7">
      <c r="A1381" s="409"/>
      <c r="B1381" s="409"/>
      <c r="C1381" s="538"/>
      <c r="D1381" s="538"/>
      <c r="E1381" s="538"/>
      <c r="F1381" s="538"/>
      <c r="G1381" s="538"/>
    </row>
    <row r="1382" spans="1:7">
      <c r="A1382" s="409"/>
      <c r="B1382" s="409"/>
      <c r="C1382" s="538"/>
      <c r="D1382" s="538"/>
      <c r="E1382" s="538"/>
      <c r="F1382" s="538"/>
      <c r="G1382" s="538"/>
    </row>
    <row r="1383" spans="1:7">
      <c r="A1383" s="409"/>
      <c r="B1383" s="409"/>
      <c r="C1383" s="538"/>
      <c r="D1383" s="538"/>
      <c r="E1383" s="538"/>
      <c r="F1383" s="538"/>
      <c r="G1383" s="538"/>
    </row>
    <row r="1384" spans="1:7">
      <c r="A1384" s="409"/>
      <c r="B1384" s="409"/>
      <c r="C1384" s="538"/>
      <c r="D1384" s="538"/>
      <c r="E1384" s="538"/>
      <c r="F1384" s="538"/>
      <c r="G1384" s="538"/>
    </row>
    <row r="1385" spans="1:7">
      <c r="A1385" s="409"/>
      <c r="B1385" s="409"/>
      <c r="C1385" s="538"/>
      <c r="D1385" s="538"/>
      <c r="E1385" s="538"/>
      <c r="F1385" s="538"/>
      <c r="G1385" s="538"/>
    </row>
    <row r="1386" spans="1:7">
      <c r="A1386" s="409"/>
      <c r="B1386" s="409"/>
      <c r="C1386" s="538"/>
      <c r="D1386" s="538"/>
      <c r="E1386" s="538"/>
      <c r="F1386" s="538"/>
      <c r="G1386" s="538"/>
    </row>
    <row r="1387" spans="1:7">
      <c r="A1387" s="409"/>
      <c r="B1387" s="409"/>
      <c r="C1387" s="538"/>
      <c r="D1387" s="538"/>
      <c r="E1387" s="538"/>
      <c r="F1387" s="538"/>
      <c r="G1387" s="538"/>
    </row>
    <row r="1388" spans="1:7">
      <c r="A1388" s="409"/>
      <c r="B1388" s="409"/>
      <c r="C1388" s="538"/>
      <c r="D1388" s="538"/>
      <c r="E1388" s="538"/>
      <c r="F1388" s="538"/>
      <c r="G1388" s="538"/>
    </row>
    <row r="1389" spans="1:7">
      <c r="A1389" s="409"/>
      <c r="B1389" s="409"/>
      <c r="C1389" s="538"/>
      <c r="D1389" s="538"/>
      <c r="E1389" s="538"/>
      <c r="F1389" s="538"/>
      <c r="G1389" s="538"/>
    </row>
    <row r="1390" spans="1:7">
      <c r="A1390" s="409"/>
      <c r="B1390" s="409"/>
      <c r="C1390" s="538"/>
      <c r="D1390" s="538"/>
      <c r="E1390" s="538"/>
      <c r="F1390" s="538"/>
      <c r="G1390" s="538"/>
    </row>
    <row r="1391" spans="1:7">
      <c r="A1391" s="409"/>
      <c r="B1391" s="409"/>
      <c r="C1391" s="538"/>
      <c r="D1391" s="538"/>
      <c r="E1391" s="538"/>
      <c r="F1391" s="538"/>
      <c r="G1391" s="538"/>
    </row>
    <row r="1392" spans="1:7">
      <c r="A1392" s="409"/>
      <c r="B1392" s="409"/>
      <c r="C1392" s="538"/>
      <c r="D1392" s="538"/>
      <c r="E1392" s="538"/>
      <c r="F1392" s="538"/>
      <c r="G1392" s="538"/>
    </row>
    <row r="1393" spans="1:7">
      <c r="A1393" s="409"/>
      <c r="B1393" s="409"/>
      <c r="C1393" s="538"/>
      <c r="D1393" s="538"/>
      <c r="E1393" s="538"/>
      <c r="F1393" s="538"/>
      <c r="G1393" s="538"/>
    </row>
    <row r="1394" spans="1:7">
      <c r="A1394" s="409"/>
      <c r="B1394" s="409"/>
      <c r="C1394" s="538"/>
      <c r="D1394" s="538"/>
      <c r="E1394" s="538"/>
      <c r="F1394" s="538"/>
      <c r="G1394" s="538"/>
    </row>
    <row r="1395" spans="1:7">
      <c r="A1395" s="409"/>
      <c r="B1395" s="409"/>
      <c r="C1395" s="538"/>
      <c r="D1395" s="538"/>
      <c r="E1395" s="538"/>
      <c r="F1395" s="538"/>
      <c r="G1395" s="538"/>
    </row>
    <row r="1396" spans="1:7">
      <c r="A1396" s="409"/>
      <c r="B1396" s="409"/>
      <c r="C1396" s="538"/>
      <c r="D1396" s="538"/>
      <c r="E1396" s="538"/>
      <c r="F1396" s="538"/>
      <c r="G1396" s="538"/>
    </row>
    <row r="1397" spans="1:7">
      <c r="A1397" s="409"/>
      <c r="B1397" s="409"/>
      <c r="C1397" s="538"/>
      <c r="D1397" s="538"/>
      <c r="E1397" s="538"/>
      <c r="F1397" s="538"/>
      <c r="G1397" s="538"/>
    </row>
    <row r="1398" spans="1:7">
      <c r="A1398" s="409"/>
      <c r="B1398" s="409"/>
      <c r="C1398" s="538"/>
      <c r="D1398" s="538"/>
      <c r="E1398" s="538"/>
      <c r="F1398" s="538"/>
      <c r="G1398" s="538"/>
    </row>
    <row r="1399" spans="1:7">
      <c r="A1399" s="409"/>
      <c r="B1399" s="409"/>
      <c r="C1399" s="538"/>
      <c r="D1399" s="538"/>
      <c r="E1399" s="538"/>
      <c r="F1399" s="538"/>
      <c r="G1399" s="538"/>
    </row>
    <row r="1400" spans="1:7">
      <c r="A1400" s="409"/>
      <c r="B1400" s="409"/>
      <c r="C1400" s="538"/>
      <c r="D1400" s="538"/>
      <c r="E1400" s="538"/>
      <c r="F1400" s="538"/>
      <c r="G1400" s="538"/>
    </row>
    <row r="1401" spans="1:7">
      <c r="A1401" s="409"/>
      <c r="B1401" s="409"/>
      <c r="C1401" s="538"/>
      <c r="D1401" s="538"/>
      <c r="E1401" s="538"/>
      <c r="F1401" s="538"/>
      <c r="G1401" s="538"/>
    </row>
    <row r="1402" spans="1:7">
      <c r="A1402" s="409"/>
      <c r="B1402" s="409"/>
      <c r="C1402" s="538"/>
      <c r="D1402" s="538"/>
      <c r="E1402" s="538"/>
      <c r="F1402" s="538"/>
      <c r="G1402" s="538"/>
    </row>
    <row r="1403" spans="1:7">
      <c r="A1403" s="409"/>
      <c r="B1403" s="409"/>
      <c r="C1403" s="538"/>
      <c r="D1403" s="538"/>
      <c r="E1403" s="538"/>
      <c r="F1403" s="538"/>
      <c r="G1403" s="538"/>
    </row>
    <row r="1404" spans="1:7">
      <c r="A1404" s="409"/>
      <c r="B1404" s="409"/>
      <c r="C1404" s="538"/>
      <c r="D1404" s="538"/>
      <c r="E1404" s="538"/>
      <c r="F1404" s="538"/>
      <c r="G1404" s="538"/>
    </row>
    <row r="1405" spans="1:7">
      <c r="A1405" s="409"/>
      <c r="B1405" s="409"/>
      <c r="C1405" s="538"/>
      <c r="D1405" s="538"/>
      <c r="E1405" s="538"/>
      <c r="F1405" s="538"/>
      <c r="G1405" s="538"/>
    </row>
    <row r="1406" spans="1:7">
      <c r="A1406" s="409"/>
      <c r="B1406" s="409"/>
      <c r="C1406" s="538"/>
      <c r="D1406" s="538"/>
      <c r="E1406" s="538"/>
      <c r="F1406" s="538"/>
      <c r="G1406" s="538"/>
    </row>
    <row r="1407" spans="1:7">
      <c r="A1407" s="409"/>
      <c r="B1407" s="409"/>
      <c r="C1407" s="538"/>
      <c r="D1407" s="538"/>
      <c r="E1407" s="538"/>
      <c r="F1407" s="538"/>
      <c r="G1407" s="538"/>
    </row>
    <row r="1408" spans="1:7">
      <c r="A1408" s="409"/>
      <c r="B1408" s="409"/>
      <c r="C1408" s="538"/>
      <c r="D1408" s="538"/>
      <c r="E1408" s="538"/>
      <c r="F1408" s="538"/>
      <c r="G1408" s="538"/>
    </row>
    <row r="1409" spans="1:7">
      <c r="A1409" s="409"/>
      <c r="B1409" s="409"/>
      <c r="C1409" s="538"/>
      <c r="D1409" s="538"/>
      <c r="E1409" s="538"/>
      <c r="F1409" s="538"/>
      <c r="G1409" s="538"/>
    </row>
    <row r="1410" spans="1:7">
      <c r="A1410" s="409"/>
      <c r="B1410" s="409"/>
      <c r="C1410" s="538"/>
      <c r="D1410" s="538"/>
      <c r="E1410" s="538"/>
      <c r="F1410" s="538"/>
      <c r="G1410" s="538"/>
    </row>
    <row r="1411" spans="1:7">
      <c r="A1411" s="409"/>
      <c r="B1411" s="409"/>
      <c r="C1411" s="538"/>
      <c r="D1411" s="538"/>
      <c r="E1411" s="538"/>
      <c r="F1411" s="538"/>
      <c r="G1411" s="538"/>
    </row>
    <row r="1412" spans="1:7">
      <c r="A1412" s="409"/>
      <c r="B1412" s="409"/>
      <c r="C1412" s="538"/>
      <c r="D1412" s="538"/>
      <c r="E1412" s="538"/>
      <c r="F1412" s="538"/>
      <c r="G1412" s="538"/>
    </row>
    <row r="1413" spans="1:7">
      <c r="A1413" s="409"/>
      <c r="B1413" s="409"/>
      <c r="C1413" s="538"/>
      <c r="D1413" s="538"/>
      <c r="E1413" s="538"/>
      <c r="F1413" s="538"/>
      <c r="G1413" s="538"/>
    </row>
    <row r="1414" spans="1:7">
      <c r="A1414" s="409"/>
      <c r="B1414" s="409"/>
      <c r="C1414" s="538"/>
      <c r="D1414" s="538"/>
      <c r="E1414" s="538"/>
      <c r="F1414" s="538"/>
      <c r="G1414" s="538"/>
    </row>
    <row r="1415" spans="1:7">
      <c r="A1415" s="409"/>
      <c r="B1415" s="409"/>
      <c r="C1415" s="538"/>
      <c r="D1415" s="538"/>
      <c r="E1415" s="538"/>
      <c r="F1415" s="538"/>
      <c r="G1415" s="538"/>
    </row>
    <row r="1416" spans="1:7">
      <c r="A1416" s="409"/>
      <c r="B1416" s="409"/>
      <c r="C1416" s="538"/>
      <c r="D1416" s="538"/>
      <c r="E1416" s="538"/>
      <c r="F1416" s="538"/>
      <c r="G1416" s="538"/>
    </row>
    <row r="1417" spans="1:7">
      <c r="A1417" s="409"/>
      <c r="B1417" s="409"/>
      <c r="C1417" s="538"/>
      <c r="D1417" s="538"/>
      <c r="E1417" s="538"/>
      <c r="F1417" s="538"/>
      <c r="G1417" s="538"/>
    </row>
    <row r="1418" spans="1:7">
      <c r="A1418" s="409"/>
      <c r="B1418" s="409"/>
      <c r="C1418" s="538"/>
      <c r="D1418" s="538"/>
      <c r="E1418" s="538"/>
      <c r="F1418" s="538"/>
      <c r="G1418" s="538"/>
    </row>
    <row r="1419" spans="1:7">
      <c r="A1419" s="409"/>
      <c r="B1419" s="409"/>
      <c r="C1419" s="538"/>
      <c r="D1419" s="538"/>
      <c r="E1419" s="538"/>
      <c r="F1419" s="538"/>
      <c r="G1419" s="538"/>
    </row>
    <row r="1420" spans="1:7">
      <c r="A1420" s="409"/>
      <c r="B1420" s="409"/>
      <c r="C1420" s="538"/>
      <c r="D1420" s="538"/>
      <c r="E1420" s="538"/>
      <c r="F1420" s="538"/>
      <c r="G1420" s="538"/>
    </row>
    <row r="1421" spans="1:7">
      <c r="A1421" s="409"/>
      <c r="B1421" s="409"/>
      <c r="C1421" s="538"/>
      <c r="D1421" s="538"/>
      <c r="E1421" s="538"/>
      <c r="F1421" s="538"/>
      <c r="G1421" s="538"/>
    </row>
    <row r="1422" spans="1:7">
      <c r="A1422" s="409"/>
      <c r="B1422" s="409"/>
      <c r="C1422" s="538"/>
      <c r="D1422" s="538"/>
      <c r="E1422" s="538"/>
      <c r="F1422" s="538"/>
      <c r="G1422" s="538"/>
    </row>
    <row r="1423" spans="1:7">
      <c r="A1423" s="409"/>
      <c r="B1423" s="409"/>
      <c r="C1423" s="538"/>
      <c r="D1423" s="538"/>
      <c r="E1423" s="538"/>
      <c r="F1423" s="538"/>
      <c r="G1423" s="538"/>
    </row>
    <row r="1424" spans="1:7">
      <c r="A1424" s="409"/>
      <c r="B1424" s="409"/>
      <c r="C1424" s="538"/>
      <c r="D1424" s="538"/>
      <c r="E1424" s="538"/>
      <c r="F1424" s="538"/>
      <c r="G1424" s="538"/>
    </row>
    <row r="1425" spans="1:7">
      <c r="A1425" s="409"/>
      <c r="B1425" s="409"/>
      <c r="C1425" s="538"/>
      <c r="D1425" s="538"/>
      <c r="E1425" s="538"/>
      <c r="F1425" s="538"/>
      <c r="G1425" s="538"/>
    </row>
    <row r="1426" spans="1:7">
      <c r="A1426" s="409"/>
      <c r="B1426" s="409"/>
      <c r="C1426" s="538"/>
      <c r="D1426" s="538"/>
      <c r="E1426" s="538"/>
      <c r="F1426" s="538"/>
      <c r="G1426" s="538"/>
    </row>
    <row r="1427" spans="1:7">
      <c r="A1427" s="409"/>
      <c r="B1427" s="409"/>
      <c r="C1427" s="538"/>
      <c r="D1427" s="538"/>
      <c r="E1427" s="538"/>
      <c r="F1427" s="538"/>
      <c r="G1427" s="538"/>
    </row>
    <row r="1428" spans="1:7">
      <c r="A1428" s="409"/>
      <c r="B1428" s="409"/>
      <c r="C1428" s="538"/>
      <c r="D1428" s="538"/>
      <c r="E1428" s="538"/>
      <c r="F1428" s="538"/>
      <c r="G1428" s="538"/>
    </row>
    <row r="1429" spans="1:7">
      <c r="A1429" s="409"/>
      <c r="B1429" s="409"/>
      <c r="C1429" s="538"/>
      <c r="D1429" s="538"/>
      <c r="E1429" s="538"/>
      <c r="F1429" s="538"/>
      <c r="G1429" s="538"/>
    </row>
    <row r="1430" spans="1:7">
      <c r="A1430" s="409"/>
      <c r="B1430" s="409"/>
      <c r="C1430" s="538"/>
      <c r="D1430" s="538"/>
      <c r="E1430" s="538"/>
      <c r="F1430" s="538"/>
      <c r="G1430" s="538"/>
    </row>
    <row r="1431" spans="1:7">
      <c r="A1431" s="409"/>
      <c r="B1431" s="409"/>
      <c r="C1431" s="538"/>
      <c r="D1431" s="538"/>
      <c r="E1431" s="538"/>
      <c r="F1431" s="538"/>
      <c r="G1431" s="538"/>
    </row>
    <row r="1432" spans="1:7">
      <c r="A1432" s="409"/>
      <c r="B1432" s="409"/>
      <c r="C1432" s="538"/>
      <c r="D1432" s="538"/>
      <c r="E1432" s="538"/>
      <c r="F1432" s="538"/>
      <c r="G1432" s="538"/>
    </row>
    <row r="1433" spans="1:7">
      <c r="A1433" s="409"/>
      <c r="B1433" s="409"/>
      <c r="C1433" s="538"/>
      <c r="D1433" s="538"/>
      <c r="E1433" s="538"/>
      <c r="F1433" s="538"/>
      <c r="G1433" s="538"/>
    </row>
    <row r="1434" spans="1:7">
      <c r="A1434" s="409"/>
      <c r="B1434" s="409"/>
      <c r="C1434" s="538"/>
      <c r="D1434" s="538"/>
      <c r="E1434" s="538"/>
      <c r="F1434" s="538"/>
      <c r="G1434" s="538"/>
    </row>
    <row r="1435" spans="1:7">
      <c r="A1435" s="409"/>
      <c r="B1435" s="409"/>
      <c r="C1435" s="538"/>
      <c r="D1435" s="538"/>
      <c r="E1435" s="538"/>
      <c r="F1435" s="538"/>
      <c r="G1435" s="538"/>
    </row>
    <row r="1436" spans="1:7">
      <c r="A1436" s="409"/>
      <c r="B1436" s="409"/>
      <c r="C1436" s="538"/>
      <c r="D1436" s="538"/>
      <c r="E1436" s="538"/>
      <c r="F1436" s="538"/>
      <c r="G1436" s="538"/>
    </row>
    <row r="1437" spans="1:7">
      <c r="A1437" s="409"/>
      <c r="B1437" s="409"/>
      <c r="C1437" s="538"/>
      <c r="D1437" s="538"/>
      <c r="E1437" s="538"/>
      <c r="F1437" s="538"/>
      <c r="G1437" s="538"/>
    </row>
    <row r="1438" spans="1:7">
      <c r="A1438" s="409"/>
      <c r="B1438" s="409"/>
      <c r="C1438" s="538"/>
      <c r="D1438" s="538"/>
      <c r="E1438" s="538"/>
      <c r="F1438" s="538"/>
      <c r="G1438" s="538"/>
    </row>
    <row r="1439" spans="1:7">
      <c r="A1439" s="409"/>
      <c r="B1439" s="409"/>
      <c r="C1439" s="538"/>
      <c r="D1439" s="538"/>
      <c r="E1439" s="538"/>
      <c r="F1439" s="538"/>
      <c r="G1439" s="538"/>
    </row>
    <row r="1440" spans="1:7">
      <c r="A1440" s="409"/>
      <c r="B1440" s="409"/>
      <c r="C1440" s="538"/>
      <c r="D1440" s="538"/>
      <c r="E1440" s="538"/>
      <c r="F1440" s="538"/>
      <c r="G1440" s="538"/>
    </row>
    <row r="1441" spans="1:7">
      <c r="A1441" s="409"/>
      <c r="B1441" s="409"/>
      <c r="C1441" s="538"/>
      <c r="D1441" s="538"/>
      <c r="E1441" s="538"/>
      <c r="F1441" s="538"/>
      <c r="G1441" s="538"/>
    </row>
    <row r="1442" spans="1:7">
      <c r="A1442" s="409"/>
      <c r="B1442" s="409"/>
      <c r="C1442" s="538"/>
      <c r="D1442" s="538"/>
      <c r="E1442" s="538"/>
      <c r="F1442" s="538"/>
      <c r="G1442" s="538"/>
    </row>
    <row r="1443" spans="1:7">
      <c r="A1443" s="409"/>
      <c r="B1443" s="409"/>
      <c r="C1443" s="538"/>
      <c r="D1443" s="538"/>
      <c r="E1443" s="538"/>
      <c r="F1443" s="538"/>
      <c r="G1443" s="538"/>
    </row>
    <row r="1444" spans="1:7">
      <c r="A1444" s="409"/>
      <c r="B1444" s="409"/>
      <c r="C1444" s="538"/>
      <c r="D1444" s="538"/>
      <c r="E1444" s="538"/>
      <c r="F1444" s="538"/>
      <c r="G1444" s="538"/>
    </row>
    <row r="1445" spans="1:7">
      <c r="A1445" s="409"/>
      <c r="B1445" s="409"/>
      <c r="C1445" s="538"/>
      <c r="D1445" s="538"/>
      <c r="E1445" s="538"/>
      <c r="F1445" s="538"/>
      <c r="G1445" s="538"/>
    </row>
    <row r="1446" spans="1:7">
      <c r="A1446" s="409"/>
      <c r="B1446" s="409"/>
      <c r="C1446" s="538"/>
      <c r="D1446" s="538"/>
      <c r="E1446" s="538"/>
      <c r="F1446" s="538"/>
      <c r="G1446" s="538"/>
    </row>
    <row r="1447" spans="1:7">
      <c r="A1447" s="409"/>
      <c r="B1447" s="409"/>
      <c r="C1447" s="538"/>
      <c r="D1447" s="538"/>
      <c r="E1447" s="538"/>
      <c r="F1447" s="538"/>
      <c r="G1447" s="538"/>
    </row>
    <row r="1448" spans="1:7">
      <c r="A1448" s="409"/>
      <c r="B1448" s="409"/>
      <c r="C1448" s="538"/>
      <c r="D1448" s="538"/>
      <c r="E1448" s="538"/>
      <c r="F1448" s="538"/>
      <c r="G1448" s="538"/>
    </row>
    <row r="1449" spans="1:7">
      <c r="A1449" s="409"/>
      <c r="B1449" s="409"/>
      <c r="C1449" s="538"/>
      <c r="D1449" s="538"/>
      <c r="E1449" s="538"/>
      <c r="F1449" s="538"/>
      <c r="G1449" s="538"/>
    </row>
    <row r="1450" spans="1:7">
      <c r="A1450" s="409"/>
      <c r="B1450" s="409"/>
      <c r="C1450" s="538"/>
      <c r="D1450" s="538"/>
      <c r="E1450" s="538"/>
      <c r="F1450" s="538"/>
      <c r="G1450" s="538"/>
    </row>
    <row r="1451" spans="1:7">
      <c r="A1451" s="409"/>
      <c r="B1451" s="409"/>
      <c r="C1451" s="538"/>
      <c r="D1451" s="538"/>
      <c r="E1451" s="538"/>
      <c r="F1451" s="538"/>
      <c r="G1451" s="538"/>
    </row>
    <row r="1452" spans="1:7">
      <c r="A1452" s="409"/>
      <c r="B1452" s="409"/>
      <c r="C1452" s="538"/>
      <c r="D1452" s="538"/>
      <c r="E1452" s="538"/>
      <c r="F1452" s="538"/>
      <c r="G1452" s="538"/>
    </row>
    <row r="1453" spans="1:7">
      <c r="A1453" s="409"/>
      <c r="B1453" s="409"/>
      <c r="C1453" s="538"/>
      <c r="D1453" s="538"/>
      <c r="E1453" s="538"/>
      <c r="F1453" s="538"/>
      <c r="G1453" s="538"/>
    </row>
    <row r="1454" spans="1:7">
      <c r="A1454" s="409"/>
      <c r="B1454" s="409"/>
      <c r="C1454" s="538"/>
      <c r="D1454" s="538"/>
      <c r="E1454" s="538"/>
      <c r="F1454" s="538"/>
      <c r="G1454" s="538"/>
    </row>
    <row r="1455" spans="1:7">
      <c r="A1455" s="409"/>
      <c r="B1455" s="409"/>
      <c r="C1455" s="538"/>
      <c r="D1455" s="538"/>
      <c r="E1455" s="538"/>
      <c r="F1455" s="538"/>
      <c r="G1455" s="538"/>
    </row>
    <row r="1456" spans="1:7">
      <c r="A1456" s="409"/>
      <c r="B1456" s="409"/>
      <c r="C1456" s="538"/>
      <c r="D1456" s="538"/>
      <c r="E1456" s="538"/>
      <c r="F1456" s="538"/>
      <c r="G1456" s="538"/>
    </row>
    <row r="1457" spans="1:7">
      <c r="A1457" s="409"/>
      <c r="B1457" s="409"/>
      <c r="C1457" s="538"/>
      <c r="D1457" s="538"/>
      <c r="E1457" s="538"/>
      <c r="F1457" s="538"/>
      <c r="G1457" s="538"/>
    </row>
    <row r="1458" spans="1:7">
      <c r="A1458" s="409"/>
      <c r="B1458" s="409"/>
      <c r="C1458" s="538"/>
      <c r="D1458" s="538"/>
      <c r="E1458" s="538"/>
      <c r="F1458" s="538"/>
      <c r="G1458" s="538"/>
    </row>
    <row r="1459" spans="1:7">
      <c r="A1459" s="409"/>
      <c r="B1459" s="409"/>
      <c r="C1459" s="538"/>
      <c r="D1459" s="538"/>
      <c r="E1459" s="538"/>
      <c r="F1459" s="538"/>
      <c r="G1459" s="538"/>
    </row>
    <row r="1460" spans="1:7">
      <c r="A1460" s="409"/>
      <c r="B1460" s="409"/>
      <c r="C1460" s="538"/>
      <c r="D1460" s="538"/>
      <c r="E1460" s="538"/>
      <c r="F1460" s="538"/>
      <c r="G1460" s="538"/>
    </row>
    <row r="1461" spans="1:7">
      <c r="A1461" s="409"/>
      <c r="B1461" s="409"/>
      <c r="C1461" s="538"/>
      <c r="D1461" s="538"/>
      <c r="E1461" s="538"/>
      <c r="F1461" s="538"/>
      <c r="G1461" s="538"/>
    </row>
    <row r="1462" spans="1:7">
      <c r="A1462" s="409"/>
      <c r="B1462" s="409"/>
      <c r="C1462" s="538"/>
      <c r="D1462" s="538"/>
      <c r="E1462" s="538"/>
      <c r="F1462" s="538"/>
      <c r="G1462" s="538"/>
    </row>
    <row r="1463" spans="1:7">
      <c r="A1463" s="409"/>
      <c r="B1463" s="409"/>
      <c r="C1463" s="538"/>
      <c r="D1463" s="538"/>
      <c r="E1463" s="538"/>
      <c r="F1463" s="538"/>
      <c r="G1463" s="538"/>
    </row>
    <row r="1464" spans="1:7">
      <c r="A1464" s="409"/>
      <c r="B1464" s="409"/>
      <c r="C1464" s="538"/>
      <c r="D1464" s="538"/>
      <c r="E1464" s="538"/>
      <c r="F1464" s="538"/>
      <c r="G1464" s="538"/>
    </row>
    <row r="1465" spans="1:7">
      <c r="A1465" s="409"/>
      <c r="B1465" s="409"/>
      <c r="C1465" s="538"/>
      <c r="D1465" s="538"/>
      <c r="E1465" s="538"/>
      <c r="F1465" s="538"/>
      <c r="G1465" s="538"/>
    </row>
    <row r="1466" spans="1:7">
      <c r="A1466" s="409"/>
      <c r="B1466" s="409"/>
      <c r="C1466" s="538"/>
      <c r="D1466" s="538"/>
      <c r="E1466" s="538"/>
      <c r="F1466" s="538"/>
      <c r="G1466" s="538"/>
    </row>
    <row r="1467" spans="1:7">
      <c r="A1467" s="409"/>
      <c r="B1467" s="409"/>
      <c r="C1467" s="538"/>
      <c r="D1467" s="538"/>
      <c r="E1467" s="538"/>
      <c r="F1467" s="538"/>
      <c r="G1467" s="538"/>
    </row>
    <row r="1468" spans="1:7">
      <c r="A1468" s="409"/>
      <c r="B1468" s="409"/>
      <c r="C1468" s="538"/>
      <c r="D1468" s="538"/>
      <c r="E1468" s="538"/>
      <c r="F1468" s="538"/>
      <c r="G1468" s="538"/>
    </row>
    <row r="1469" spans="1:7">
      <c r="A1469" s="409"/>
      <c r="B1469" s="409"/>
      <c r="C1469" s="538"/>
      <c r="D1469" s="538"/>
      <c r="E1469" s="538"/>
      <c r="F1469" s="538"/>
      <c r="G1469" s="538"/>
    </row>
    <row r="1470" spans="1:7">
      <c r="A1470" s="409"/>
      <c r="B1470" s="409"/>
      <c r="C1470" s="538"/>
      <c r="D1470" s="538"/>
      <c r="E1470" s="538"/>
      <c r="F1470" s="538"/>
      <c r="G1470" s="538"/>
    </row>
    <row r="1471" spans="1:7">
      <c r="A1471" s="409"/>
      <c r="B1471" s="409"/>
      <c r="C1471" s="538"/>
      <c r="D1471" s="538"/>
      <c r="E1471" s="538"/>
      <c r="F1471" s="538"/>
      <c r="G1471" s="538"/>
    </row>
    <row r="1472" spans="1:7">
      <c r="A1472" s="409"/>
      <c r="B1472" s="409"/>
      <c r="C1472" s="538"/>
      <c r="D1472" s="538"/>
      <c r="E1472" s="538"/>
      <c r="F1472" s="538"/>
      <c r="G1472" s="538"/>
    </row>
    <row r="1473" spans="1:7">
      <c r="A1473" s="409"/>
      <c r="B1473" s="409"/>
      <c r="C1473" s="538"/>
      <c r="D1473" s="538"/>
      <c r="E1473" s="538"/>
      <c r="F1473" s="538"/>
      <c r="G1473" s="538"/>
    </row>
    <row r="1474" spans="1:7">
      <c r="A1474" s="409"/>
      <c r="B1474" s="409"/>
      <c r="C1474" s="538"/>
      <c r="D1474" s="538"/>
      <c r="E1474" s="538"/>
      <c r="F1474" s="538"/>
      <c r="G1474" s="538"/>
    </row>
    <row r="1475" spans="1:7">
      <c r="A1475" s="409"/>
      <c r="B1475" s="409"/>
      <c r="C1475" s="538"/>
      <c r="D1475" s="538"/>
      <c r="E1475" s="538"/>
      <c r="F1475" s="538"/>
      <c r="G1475" s="538"/>
    </row>
    <row r="1476" spans="1:7">
      <c r="A1476" s="409"/>
      <c r="B1476" s="409"/>
      <c r="C1476" s="538"/>
      <c r="D1476" s="538"/>
      <c r="E1476" s="538"/>
      <c r="F1476" s="538"/>
      <c r="G1476" s="538"/>
    </row>
    <row r="1477" spans="1:7">
      <c r="A1477" s="409"/>
      <c r="B1477" s="409"/>
      <c r="C1477" s="538"/>
      <c r="D1477" s="538"/>
      <c r="E1477" s="538"/>
      <c r="F1477" s="538"/>
      <c r="G1477" s="538"/>
    </row>
    <row r="1478" spans="1:7">
      <c r="A1478" s="409"/>
      <c r="B1478" s="409"/>
      <c r="C1478" s="538"/>
      <c r="D1478" s="538"/>
      <c r="E1478" s="538"/>
      <c r="F1478" s="538"/>
      <c r="G1478" s="538"/>
    </row>
    <row r="1479" spans="1:7">
      <c r="A1479" s="409"/>
      <c r="B1479" s="409"/>
      <c r="C1479" s="538"/>
      <c r="D1479" s="538"/>
      <c r="E1479" s="538"/>
      <c r="F1479" s="538"/>
      <c r="G1479" s="538"/>
    </row>
    <row r="1480" spans="1:7">
      <c r="A1480" s="409"/>
      <c r="B1480" s="409"/>
      <c r="C1480" s="538"/>
      <c r="D1480" s="538"/>
      <c r="E1480" s="538"/>
      <c r="F1480" s="538"/>
      <c r="G1480" s="538"/>
    </row>
    <row r="1481" spans="1:7">
      <c r="A1481" s="409"/>
      <c r="B1481" s="409"/>
      <c r="C1481" s="538"/>
      <c r="D1481" s="538"/>
      <c r="E1481" s="538"/>
      <c r="F1481" s="538"/>
      <c r="G1481" s="538"/>
    </row>
    <row r="1482" spans="1:7">
      <c r="A1482" s="409"/>
      <c r="B1482" s="409"/>
      <c r="C1482" s="538"/>
      <c r="D1482" s="538"/>
      <c r="E1482" s="538"/>
      <c r="F1482" s="538"/>
      <c r="G1482" s="538"/>
    </row>
    <row r="1483" spans="1:7">
      <c r="A1483" s="409"/>
      <c r="B1483" s="409"/>
      <c r="C1483" s="538"/>
      <c r="D1483" s="538"/>
      <c r="E1483" s="538"/>
      <c r="F1483" s="538"/>
      <c r="G1483" s="538"/>
    </row>
    <row r="1484" spans="1:7">
      <c r="A1484" s="409"/>
      <c r="B1484" s="409"/>
      <c r="C1484" s="538"/>
      <c r="D1484" s="538"/>
      <c r="E1484" s="538"/>
      <c r="F1484" s="538"/>
      <c r="G1484" s="538"/>
    </row>
    <row r="1485" spans="1:7">
      <c r="A1485" s="409"/>
      <c r="B1485" s="409"/>
      <c r="C1485" s="538"/>
      <c r="D1485" s="538"/>
      <c r="E1485" s="538"/>
      <c r="F1485" s="538"/>
      <c r="G1485" s="538"/>
    </row>
    <row r="1486" spans="1:7">
      <c r="A1486" s="409"/>
      <c r="B1486" s="409"/>
      <c r="C1486" s="538"/>
      <c r="D1486" s="538"/>
      <c r="E1486" s="538"/>
      <c r="F1486" s="538"/>
      <c r="G1486" s="538"/>
    </row>
    <row r="1487" spans="1:7">
      <c r="A1487" s="409"/>
      <c r="B1487" s="409"/>
      <c r="C1487" s="538"/>
      <c r="D1487" s="538"/>
      <c r="E1487" s="538"/>
      <c r="F1487" s="538"/>
      <c r="G1487" s="538"/>
    </row>
    <row r="1488" spans="1:7">
      <c r="A1488" s="409"/>
      <c r="B1488" s="409"/>
      <c r="C1488" s="538"/>
      <c r="D1488" s="538"/>
      <c r="E1488" s="538"/>
      <c r="F1488" s="538"/>
      <c r="G1488" s="538"/>
    </row>
    <row r="1489" spans="1:7">
      <c r="A1489" s="409"/>
      <c r="B1489" s="409"/>
      <c r="C1489" s="538"/>
      <c r="D1489" s="538"/>
      <c r="E1489" s="538"/>
      <c r="F1489" s="538"/>
      <c r="G1489" s="538"/>
    </row>
    <row r="1490" spans="1:7">
      <c r="A1490" s="409"/>
      <c r="B1490" s="409"/>
      <c r="C1490" s="538"/>
      <c r="D1490" s="538"/>
      <c r="E1490" s="538"/>
      <c r="F1490" s="538"/>
      <c r="G1490" s="538"/>
    </row>
    <row r="1491" spans="1:7">
      <c r="A1491" s="409"/>
      <c r="B1491" s="409"/>
      <c r="C1491" s="538"/>
      <c r="D1491" s="538"/>
      <c r="E1491" s="538"/>
      <c r="F1491" s="538"/>
      <c r="G1491" s="538"/>
    </row>
    <row r="1492" spans="1:7">
      <c r="A1492" s="409"/>
      <c r="B1492" s="409"/>
      <c r="C1492" s="538"/>
      <c r="D1492" s="538"/>
      <c r="E1492" s="538"/>
      <c r="F1492" s="538"/>
      <c r="G1492" s="538"/>
    </row>
    <row r="1493" spans="1:7">
      <c r="A1493" s="409"/>
      <c r="B1493" s="409"/>
      <c r="C1493" s="538"/>
      <c r="D1493" s="538"/>
      <c r="E1493" s="538"/>
      <c r="F1493" s="538"/>
      <c r="G1493" s="538"/>
    </row>
    <row r="1494" spans="1:7">
      <c r="A1494" s="409"/>
      <c r="B1494" s="409"/>
      <c r="C1494" s="538"/>
      <c r="D1494" s="538"/>
      <c r="E1494" s="538"/>
      <c r="F1494" s="538"/>
      <c r="G1494" s="538"/>
    </row>
    <row r="1495" spans="1:7">
      <c r="A1495" s="409"/>
      <c r="B1495" s="409"/>
      <c r="C1495" s="538"/>
      <c r="D1495" s="538"/>
      <c r="E1495" s="538"/>
      <c r="F1495" s="538"/>
      <c r="G1495" s="538"/>
    </row>
    <row r="1496" spans="1:7">
      <c r="A1496" s="409"/>
      <c r="B1496" s="409"/>
      <c r="C1496" s="538"/>
      <c r="D1496" s="538"/>
      <c r="E1496" s="538"/>
      <c r="F1496" s="538"/>
      <c r="G1496" s="538"/>
    </row>
    <row r="1497" spans="1:7">
      <c r="A1497" s="409"/>
      <c r="B1497" s="409"/>
      <c r="C1497" s="538"/>
      <c r="D1497" s="538"/>
      <c r="E1497" s="538"/>
      <c r="F1497" s="538"/>
      <c r="G1497" s="538"/>
    </row>
    <row r="1498" spans="1:7">
      <c r="A1498" s="409"/>
      <c r="B1498" s="409"/>
      <c r="C1498" s="538"/>
      <c r="D1498" s="538"/>
      <c r="E1498" s="538"/>
      <c r="F1498" s="538"/>
      <c r="G1498" s="538"/>
    </row>
    <row r="1499" spans="1:7">
      <c r="A1499" s="409"/>
      <c r="B1499" s="409"/>
      <c r="C1499" s="538"/>
      <c r="D1499" s="538"/>
      <c r="E1499" s="538"/>
      <c r="F1499" s="538"/>
      <c r="G1499" s="538"/>
    </row>
    <row r="1500" spans="1:7">
      <c r="A1500" s="409"/>
      <c r="B1500" s="409"/>
      <c r="C1500" s="538"/>
      <c r="D1500" s="538"/>
      <c r="E1500" s="538"/>
      <c r="F1500" s="538"/>
      <c r="G1500" s="538"/>
    </row>
    <row r="1501" spans="1:7">
      <c r="A1501" s="409"/>
      <c r="B1501" s="409"/>
      <c r="C1501" s="538"/>
      <c r="D1501" s="538"/>
      <c r="E1501" s="538"/>
      <c r="F1501" s="538"/>
      <c r="G1501" s="538"/>
    </row>
    <row r="1502" spans="1:7">
      <c r="A1502" s="409"/>
      <c r="B1502" s="409"/>
      <c r="C1502" s="538"/>
      <c r="D1502" s="538"/>
      <c r="E1502" s="538"/>
      <c r="F1502" s="538"/>
      <c r="G1502" s="538"/>
    </row>
    <row r="1503" spans="1:7">
      <c r="A1503" s="409"/>
      <c r="B1503" s="409"/>
      <c r="C1503" s="538"/>
      <c r="D1503" s="538"/>
      <c r="E1503" s="538"/>
      <c r="F1503" s="538"/>
      <c r="G1503" s="538"/>
    </row>
    <row r="1504" spans="1:7">
      <c r="A1504" s="409"/>
      <c r="B1504" s="409"/>
      <c r="C1504" s="538"/>
      <c r="D1504" s="538"/>
      <c r="E1504" s="538"/>
      <c r="F1504" s="538"/>
      <c r="G1504" s="538"/>
    </row>
    <row r="1505" spans="1:7">
      <c r="A1505" s="409"/>
      <c r="B1505" s="409"/>
      <c r="C1505" s="538"/>
      <c r="D1505" s="538"/>
      <c r="E1505" s="538"/>
      <c r="F1505" s="538"/>
      <c r="G1505" s="538"/>
    </row>
    <row r="1506" spans="1:7">
      <c r="A1506" s="409"/>
      <c r="B1506" s="409"/>
      <c r="C1506" s="538"/>
      <c r="D1506" s="538"/>
      <c r="E1506" s="538"/>
      <c r="F1506" s="538"/>
      <c r="G1506" s="538"/>
    </row>
    <row r="1507" spans="1:7">
      <c r="A1507" s="409"/>
      <c r="B1507" s="409"/>
      <c r="C1507" s="538"/>
      <c r="D1507" s="538"/>
      <c r="E1507" s="538"/>
      <c r="F1507" s="538"/>
      <c r="G1507" s="538"/>
    </row>
    <row r="1508" spans="1:7">
      <c r="A1508" s="409"/>
      <c r="B1508" s="409"/>
      <c r="C1508" s="538"/>
      <c r="D1508" s="538"/>
      <c r="E1508" s="538"/>
      <c r="F1508" s="538"/>
      <c r="G1508" s="538"/>
    </row>
    <row r="1509" spans="1:7">
      <c r="A1509" s="409"/>
      <c r="B1509" s="409"/>
      <c r="C1509" s="538"/>
      <c r="D1509" s="538"/>
      <c r="E1509" s="538"/>
      <c r="F1509" s="538"/>
      <c r="G1509" s="538"/>
    </row>
    <row r="1510" spans="1:7">
      <c r="A1510" s="409"/>
      <c r="B1510" s="409"/>
      <c r="C1510" s="538"/>
      <c r="D1510" s="538"/>
      <c r="E1510" s="538"/>
      <c r="F1510" s="538"/>
      <c r="G1510" s="538"/>
    </row>
    <row r="1511" spans="1:7">
      <c r="A1511" s="409"/>
      <c r="B1511" s="409"/>
      <c r="C1511" s="538"/>
      <c r="D1511" s="538"/>
      <c r="E1511" s="538"/>
      <c r="F1511" s="538"/>
      <c r="G1511" s="538"/>
    </row>
    <row r="1512" spans="1:7">
      <c r="A1512" s="409"/>
      <c r="B1512" s="409"/>
      <c r="C1512" s="538"/>
      <c r="D1512" s="538"/>
      <c r="E1512" s="538"/>
      <c r="F1512" s="538"/>
      <c r="G1512" s="538"/>
    </row>
    <row r="1513" spans="1:7">
      <c r="A1513" s="409"/>
      <c r="B1513" s="409"/>
      <c r="C1513" s="538"/>
      <c r="D1513" s="538"/>
      <c r="E1513" s="538"/>
      <c r="F1513" s="538"/>
      <c r="G1513" s="538"/>
    </row>
    <row r="1514" spans="1:7">
      <c r="A1514" s="409"/>
      <c r="B1514" s="409"/>
      <c r="C1514" s="538"/>
      <c r="D1514" s="538"/>
      <c r="E1514" s="538"/>
      <c r="F1514" s="538"/>
      <c r="G1514" s="538"/>
    </row>
    <row r="1515" spans="1:7">
      <c r="A1515" s="409"/>
      <c r="B1515" s="409"/>
      <c r="C1515" s="538"/>
      <c r="D1515" s="538"/>
      <c r="E1515" s="538"/>
      <c r="F1515" s="538"/>
      <c r="G1515" s="538"/>
    </row>
    <row r="1516" spans="1:7">
      <c r="A1516" s="409"/>
      <c r="B1516" s="409"/>
      <c r="C1516" s="538"/>
      <c r="D1516" s="538"/>
      <c r="E1516" s="538"/>
      <c r="F1516" s="538"/>
      <c r="G1516" s="538"/>
    </row>
    <row r="1517" spans="1:7">
      <c r="A1517" s="409"/>
      <c r="B1517" s="409"/>
      <c r="C1517" s="538"/>
      <c r="D1517" s="538"/>
      <c r="E1517" s="538"/>
      <c r="F1517" s="538"/>
      <c r="G1517" s="538"/>
    </row>
    <row r="1518" spans="1:7">
      <c r="A1518" s="409"/>
      <c r="B1518" s="409"/>
      <c r="C1518" s="538"/>
      <c r="D1518" s="538"/>
      <c r="E1518" s="538"/>
      <c r="F1518" s="538"/>
      <c r="G1518" s="538"/>
    </row>
    <row r="1519" spans="1:7">
      <c r="A1519" s="409"/>
      <c r="B1519" s="409"/>
      <c r="C1519" s="538"/>
      <c r="D1519" s="538"/>
      <c r="E1519" s="538"/>
      <c r="F1519" s="538"/>
      <c r="G1519" s="538"/>
    </row>
    <row r="1520" spans="1:7">
      <c r="A1520" s="409"/>
      <c r="B1520" s="409"/>
      <c r="C1520" s="538"/>
      <c r="D1520" s="538"/>
      <c r="E1520" s="538"/>
      <c r="F1520" s="538"/>
      <c r="G1520" s="538"/>
    </row>
    <row r="1521" spans="1:7">
      <c r="A1521" s="409"/>
      <c r="B1521" s="409"/>
      <c r="C1521" s="538"/>
      <c r="D1521" s="538"/>
      <c r="E1521" s="538"/>
      <c r="F1521" s="538"/>
      <c r="G1521" s="538"/>
    </row>
    <row r="1522" spans="1:7">
      <c r="A1522" s="409"/>
      <c r="B1522" s="409"/>
      <c r="C1522" s="538"/>
      <c r="D1522" s="538"/>
      <c r="E1522" s="538"/>
      <c r="F1522" s="538"/>
      <c r="G1522" s="538"/>
    </row>
    <row r="1523" spans="1:7">
      <c r="A1523" s="409"/>
      <c r="B1523" s="409"/>
      <c r="C1523" s="538"/>
      <c r="D1523" s="538"/>
      <c r="E1523" s="538"/>
      <c r="F1523" s="538"/>
      <c r="G1523" s="538"/>
    </row>
    <row r="1524" spans="1:7">
      <c r="A1524" s="409"/>
      <c r="B1524" s="409"/>
      <c r="C1524" s="538"/>
      <c r="D1524" s="538"/>
      <c r="E1524" s="538"/>
      <c r="F1524" s="538"/>
      <c r="G1524" s="538"/>
    </row>
    <row r="1525" spans="1:7">
      <c r="A1525" s="409"/>
      <c r="B1525" s="409"/>
      <c r="C1525" s="538"/>
      <c r="D1525" s="538"/>
      <c r="E1525" s="538"/>
      <c r="F1525" s="538"/>
      <c r="G1525" s="538"/>
    </row>
    <row r="1526" spans="1:7">
      <c r="A1526" s="409"/>
      <c r="B1526" s="409"/>
      <c r="C1526" s="538"/>
      <c r="D1526" s="538"/>
      <c r="E1526" s="538"/>
      <c r="F1526" s="538"/>
      <c r="G1526" s="538"/>
    </row>
    <row r="1527" spans="1:7">
      <c r="A1527" s="409"/>
      <c r="B1527" s="409"/>
      <c r="C1527" s="538"/>
      <c r="D1527" s="538"/>
      <c r="E1527" s="538"/>
      <c r="F1527" s="538"/>
      <c r="G1527" s="538"/>
    </row>
    <row r="1528" spans="1:7">
      <c r="A1528" s="409"/>
      <c r="B1528" s="409"/>
      <c r="C1528" s="538"/>
      <c r="D1528" s="538"/>
      <c r="E1528" s="538"/>
      <c r="F1528" s="538"/>
      <c r="G1528" s="538"/>
    </row>
    <row r="1529" spans="1:7">
      <c r="A1529" s="409"/>
      <c r="B1529" s="409"/>
      <c r="C1529" s="538"/>
      <c r="D1529" s="538"/>
      <c r="E1529" s="538"/>
      <c r="F1529" s="538"/>
      <c r="G1529" s="538"/>
    </row>
    <row r="1530" spans="1:7">
      <c r="A1530" s="409"/>
      <c r="B1530" s="409"/>
      <c r="C1530" s="538"/>
      <c r="D1530" s="538"/>
      <c r="E1530" s="538"/>
      <c r="F1530" s="538"/>
      <c r="G1530" s="538"/>
    </row>
    <row r="1531" spans="1:7">
      <c r="A1531" s="409"/>
      <c r="B1531" s="409"/>
      <c r="C1531" s="538"/>
      <c r="D1531" s="538"/>
      <c r="E1531" s="538"/>
      <c r="F1531" s="538"/>
      <c r="G1531" s="538"/>
    </row>
    <row r="1532" spans="1:7">
      <c r="A1532" s="409"/>
      <c r="B1532" s="409"/>
      <c r="C1532" s="538"/>
      <c r="D1532" s="538"/>
      <c r="E1532" s="538"/>
      <c r="F1532" s="538"/>
      <c r="G1532" s="538"/>
    </row>
    <row r="1533" spans="1:7">
      <c r="A1533" s="409"/>
      <c r="B1533" s="409"/>
      <c r="C1533" s="538"/>
      <c r="D1533" s="538"/>
      <c r="E1533" s="538"/>
      <c r="F1533" s="538"/>
      <c r="G1533" s="538"/>
    </row>
    <row r="1534" spans="1:7">
      <c r="A1534" s="409"/>
      <c r="B1534" s="409"/>
      <c r="C1534" s="538"/>
      <c r="D1534" s="538"/>
      <c r="E1534" s="538"/>
      <c r="F1534" s="538"/>
      <c r="G1534" s="538"/>
    </row>
    <row r="1535" spans="1:7">
      <c r="A1535" s="409"/>
      <c r="B1535" s="409"/>
      <c r="C1535" s="538"/>
      <c r="D1535" s="538"/>
      <c r="E1535" s="538"/>
      <c r="F1535" s="538"/>
      <c r="G1535" s="538"/>
    </row>
    <row r="1536" spans="1:7">
      <c r="A1536" s="409"/>
      <c r="B1536" s="409"/>
      <c r="C1536" s="538"/>
      <c r="D1536" s="538"/>
      <c r="E1536" s="538"/>
      <c r="F1536" s="538"/>
      <c r="G1536" s="538"/>
    </row>
    <row r="1537" spans="1:7">
      <c r="A1537" s="409"/>
      <c r="B1537" s="409"/>
      <c r="C1537" s="538"/>
      <c r="D1537" s="538"/>
      <c r="E1537" s="538"/>
      <c r="F1537" s="538"/>
      <c r="G1537" s="538"/>
    </row>
    <row r="1538" spans="1:7">
      <c r="A1538" s="409"/>
      <c r="B1538" s="409"/>
      <c r="C1538" s="538"/>
      <c r="D1538" s="538"/>
      <c r="E1538" s="538"/>
      <c r="F1538" s="538"/>
      <c r="G1538" s="538"/>
    </row>
    <row r="1539" spans="1:7">
      <c r="A1539" s="409"/>
      <c r="B1539" s="409"/>
      <c r="C1539" s="538"/>
      <c r="D1539" s="538"/>
      <c r="E1539" s="538"/>
      <c r="F1539" s="538"/>
      <c r="G1539" s="538"/>
    </row>
    <row r="1540" spans="1:7">
      <c r="A1540" s="409"/>
      <c r="B1540" s="409"/>
      <c r="C1540" s="538"/>
      <c r="D1540" s="538"/>
      <c r="E1540" s="538"/>
      <c r="F1540" s="538"/>
      <c r="G1540" s="538"/>
    </row>
    <row r="1541" spans="1:7">
      <c r="A1541" s="409"/>
      <c r="B1541" s="409"/>
      <c r="C1541" s="538"/>
      <c r="D1541" s="538"/>
      <c r="E1541" s="538"/>
      <c r="F1541" s="538"/>
      <c r="G1541" s="538"/>
    </row>
    <row r="1542" spans="1:7">
      <c r="A1542" s="409"/>
      <c r="B1542" s="409"/>
      <c r="C1542" s="538"/>
      <c r="D1542" s="538"/>
      <c r="E1542" s="538"/>
      <c r="F1542" s="538"/>
      <c r="G1542" s="538"/>
    </row>
    <row r="1543" spans="1:7">
      <c r="A1543" s="409"/>
      <c r="B1543" s="409"/>
      <c r="C1543" s="538"/>
      <c r="D1543" s="538"/>
      <c r="E1543" s="538"/>
      <c r="F1543" s="538"/>
      <c r="G1543" s="538"/>
    </row>
    <row r="1544" spans="1:7">
      <c r="A1544" s="409"/>
      <c r="B1544" s="409"/>
      <c r="C1544" s="538"/>
      <c r="D1544" s="538"/>
      <c r="E1544" s="538"/>
      <c r="F1544" s="538"/>
      <c r="G1544" s="538"/>
    </row>
    <row r="1545" spans="1:7">
      <c r="A1545" s="409"/>
      <c r="B1545" s="409"/>
      <c r="C1545" s="538"/>
      <c r="D1545" s="538"/>
      <c r="E1545" s="538"/>
      <c r="F1545" s="538"/>
      <c r="G1545" s="538"/>
    </row>
    <row r="1546" spans="1:7">
      <c r="A1546" s="409"/>
      <c r="B1546" s="409"/>
      <c r="C1546" s="538"/>
      <c r="D1546" s="538"/>
      <c r="E1546" s="538"/>
      <c r="F1546" s="538"/>
      <c r="G1546" s="538"/>
    </row>
    <row r="1547" spans="1:7">
      <c r="A1547" s="409"/>
      <c r="B1547" s="409"/>
      <c r="C1547" s="538"/>
      <c r="D1547" s="538"/>
      <c r="E1547" s="538"/>
      <c r="F1547" s="538"/>
      <c r="G1547" s="538"/>
    </row>
    <row r="1548" spans="1:7">
      <c r="A1548" s="409"/>
      <c r="B1548" s="409"/>
      <c r="C1548" s="538"/>
      <c r="D1548" s="538"/>
      <c r="E1548" s="538"/>
      <c r="F1548" s="538"/>
      <c r="G1548" s="538"/>
    </row>
    <row r="1549" spans="1:7">
      <c r="A1549" s="409"/>
      <c r="B1549" s="409"/>
      <c r="C1549" s="538"/>
      <c r="D1549" s="538"/>
      <c r="E1549" s="538"/>
      <c r="F1549" s="538"/>
      <c r="G1549" s="538"/>
    </row>
    <row r="1550" spans="1:7">
      <c r="A1550" s="409"/>
      <c r="B1550" s="409"/>
      <c r="C1550" s="538"/>
      <c r="D1550" s="538"/>
      <c r="E1550" s="538"/>
      <c r="F1550" s="538"/>
      <c r="G1550" s="538"/>
    </row>
  </sheetData>
  <mergeCells count="49">
    <mergeCell ref="A70:B70"/>
    <mergeCell ref="C72:J72"/>
    <mergeCell ref="K72:L72"/>
    <mergeCell ref="A83:B83"/>
    <mergeCell ref="C86:H86"/>
    <mergeCell ref="J86:K86"/>
    <mergeCell ref="L86:M86"/>
    <mergeCell ref="N86:O86"/>
    <mergeCell ref="P86:Q86"/>
    <mergeCell ref="R86:S86"/>
    <mergeCell ref="T86:U86"/>
    <mergeCell ref="C88:H88"/>
    <mergeCell ref="J88:K88"/>
    <mergeCell ref="L88:M88"/>
    <mergeCell ref="N88:O88"/>
    <mergeCell ref="P88:Q88"/>
    <mergeCell ref="R88:S88"/>
    <mergeCell ref="T88:U88"/>
    <mergeCell ref="I97:J97"/>
    <mergeCell ref="K97:L97"/>
    <mergeCell ref="M97:N97"/>
    <mergeCell ref="O97:P97"/>
    <mergeCell ref="Q97:R97"/>
    <mergeCell ref="S97:T97"/>
    <mergeCell ref="U97:V97"/>
    <mergeCell ref="H98:J98"/>
    <mergeCell ref="K98:L98"/>
    <mergeCell ref="M98:N98"/>
    <mergeCell ref="O98:P98"/>
    <mergeCell ref="Q98:R98"/>
    <mergeCell ref="S98:T98"/>
    <mergeCell ref="U98:V98"/>
    <mergeCell ref="K107:L107"/>
    <mergeCell ref="K110:L110"/>
    <mergeCell ref="K114:M114"/>
    <mergeCell ref="K121:M121"/>
    <mergeCell ref="A125:B125"/>
    <mergeCell ref="A62:A63"/>
    <mergeCell ref="A88:A89"/>
    <mergeCell ref="A98:A99"/>
    <mergeCell ref="B62:B63"/>
    <mergeCell ref="B88:B89"/>
    <mergeCell ref="B98:B99"/>
    <mergeCell ref="C62:C63"/>
    <mergeCell ref="C98:C99"/>
    <mergeCell ref="H62:H63"/>
    <mergeCell ref="I62:I63"/>
    <mergeCell ref="W88:W89"/>
    <mergeCell ref="W98:W99"/>
  </mergeCells>
  <pageMargins left="0.75" right="0.75" top="1" bottom="1" header="0.5" footer="0.5"/>
  <pageSetup paperSize="1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A59"/>
  <sheetViews>
    <sheetView showGridLines="0" zoomScale="80" zoomScaleNormal="80" workbookViewId="0">
      <pane xSplit="1" ySplit="2" topLeftCell="G3" activePane="bottomRight" state="frozen"/>
      <selection/>
      <selection pane="topRight"/>
      <selection pane="bottomLeft"/>
      <selection pane="bottomRight" activeCell="P20" sqref="P20"/>
    </sheetView>
  </sheetViews>
  <sheetFormatPr defaultColWidth="9" defaultRowHeight="14.4"/>
  <cols>
    <col min="1" max="1" width="13.4537037037037" customWidth="1"/>
    <col min="2" max="2" width="15.3611111111111" customWidth="1"/>
    <col min="3" max="3" width="12.3611111111111" customWidth="1"/>
    <col min="4" max="4" width="42.9074074074074" customWidth="1"/>
    <col min="5" max="5" width="15.3611111111111" customWidth="1"/>
    <col min="6" max="6" width="15.5462962962963" customWidth="1"/>
    <col min="7" max="7" width="15.3611111111111" customWidth="1"/>
    <col min="8" max="8" width="14.4537037037037" customWidth="1"/>
    <col min="9" max="9" width="12.4537037037037" customWidth="1"/>
    <col min="10" max="10" width="15.5462962962963" customWidth="1"/>
    <col min="11" max="11" width="18" customWidth="1"/>
    <col min="12" max="12" width="8.62962962962963" customWidth="1"/>
    <col min="13" max="13" width="18.3611111111111" customWidth="1"/>
    <col min="14" max="14" width="33.5462962962963" customWidth="1"/>
    <col min="15" max="15" width="25.6296296296296" customWidth="1"/>
    <col min="16" max="16" width="14.4537037037037" customWidth="1"/>
    <col min="17" max="17" width="12.5462962962963" customWidth="1"/>
    <col min="18" max="18" width="29.4537037037037" customWidth="1"/>
    <col min="19" max="19" width="15.4537037037037" customWidth="1"/>
    <col min="20" max="20" width="29.4537037037037" customWidth="1"/>
    <col min="21" max="21" width="15.4537037037037" customWidth="1"/>
    <col min="22" max="22" width="29.4537037037037" customWidth="1"/>
    <col min="23" max="23" width="15.4537037037037" customWidth="1"/>
    <col min="24" max="24" width="34.4537037037037" customWidth="1"/>
    <col min="25" max="25" width="20" customWidth="1"/>
    <col min="27" max="27" width="18" customWidth="1"/>
    <col min="29" max="29" width="20.6296296296296" customWidth="1"/>
  </cols>
  <sheetData>
    <row r="1" ht="59.25" customHeight="1" spans="18:20">
      <c r="R1" t="s">
        <v>218</v>
      </c>
      <c r="T1" t="s">
        <v>219</v>
      </c>
    </row>
    <row r="2" ht="15.75" customHeight="1" spans="1:27">
      <c r="A2" t="s">
        <v>4</v>
      </c>
      <c r="B2" t="s">
        <v>220</v>
      </c>
      <c r="C2" t="s">
        <v>221</v>
      </c>
      <c r="D2" t="s">
        <v>222</v>
      </c>
      <c r="E2" t="s">
        <v>223</v>
      </c>
      <c r="F2" t="s">
        <v>224</v>
      </c>
      <c r="G2" t="s">
        <v>225</v>
      </c>
      <c r="H2" s="236" t="s">
        <v>226</v>
      </c>
      <c r="I2" t="s">
        <v>227</v>
      </c>
      <c r="J2" t="s">
        <v>228</v>
      </c>
      <c r="K2" t="s">
        <v>229</v>
      </c>
      <c r="L2" t="s">
        <v>230</v>
      </c>
      <c r="M2" t="s">
        <v>231</v>
      </c>
      <c r="N2" t="s">
        <v>232</v>
      </c>
      <c r="O2" s="232" t="s">
        <v>233</v>
      </c>
      <c r="P2" t="s">
        <v>234</v>
      </c>
      <c r="Q2" t="s">
        <v>235</v>
      </c>
      <c r="T2" t="s">
        <v>236</v>
      </c>
      <c r="V2" t="s">
        <v>15</v>
      </c>
      <c r="X2" t="s">
        <v>11</v>
      </c>
      <c r="Z2" t="s">
        <v>237</v>
      </c>
      <c r="AA2" t="s">
        <v>238</v>
      </c>
    </row>
    <row r="3" spans="1:25">
      <c r="A3" t="s">
        <v>9</v>
      </c>
      <c r="B3" t="s">
        <v>15</v>
      </c>
      <c r="C3" t="s">
        <v>10</v>
      </c>
      <c r="D3" t="s">
        <v>239</v>
      </c>
      <c r="G3" t="s">
        <v>240</v>
      </c>
      <c r="H3" s="237">
        <v>0.5</v>
      </c>
      <c r="I3" s="277">
        <v>1</v>
      </c>
      <c r="J3" s="277">
        <v>1</v>
      </c>
      <c r="K3" s="278">
        <f t="shared" ref="K3:K7" si="0">J3*I3</f>
        <v>1</v>
      </c>
      <c r="M3" s="279">
        <v>2500</v>
      </c>
      <c r="N3" s="280">
        <f>Table16[[#This Row],[Equipment Cost]]*Table16[[#This Row],[Qty per line]]</f>
        <v>2500</v>
      </c>
      <c r="O3" s="281">
        <f>Table16[[#This Row],[Equipment Cost]]*Table16[[#This Row],[Extended Qty]]</f>
        <v>2500</v>
      </c>
      <c r="P3" s="282">
        <f>Table16[[#This Row],[Extended Cost for all lines]]/Table16[[#This Row],[Useful Life]]/SupplierBaseInput!$C$7</f>
        <v>0.0119617224880383</v>
      </c>
      <c r="S3" t="s">
        <v>241</v>
      </c>
      <c r="T3" t="s">
        <v>242</v>
      </c>
      <c r="U3" t="s">
        <v>243</v>
      </c>
      <c r="V3" t="s">
        <v>242</v>
      </c>
      <c r="W3" t="s">
        <v>243</v>
      </c>
      <c r="X3" t="s">
        <v>242</v>
      </c>
      <c r="Y3" t="s">
        <v>243</v>
      </c>
    </row>
    <row r="4" ht="15.75" customHeight="1" spans="1:27">
      <c r="A4" t="s">
        <v>9</v>
      </c>
      <c r="B4" t="s">
        <v>15</v>
      </c>
      <c r="C4" t="s">
        <v>14</v>
      </c>
      <c r="D4" t="s">
        <v>244</v>
      </c>
      <c r="G4" t="s">
        <v>240</v>
      </c>
      <c r="H4" s="237">
        <v>0.5</v>
      </c>
      <c r="I4" s="277">
        <v>1</v>
      </c>
      <c r="J4" s="277">
        <v>1</v>
      </c>
      <c r="K4" s="278">
        <f t="shared" si="0"/>
        <v>1</v>
      </c>
      <c r="M4" s="279">
        <v>1800</v>
      </c>
      <c r="N4" s="280">
        <f>Table16[[#This Row],[Equipment Cost]]*Table16[[#This Row],[Qty per line]]</f>
        <v>1800</v>
      </c>
      <c r="O4" s="281">
        <f>Table16[[#This Row],[Equipment Cost]]*Table16[[#This Row],[Extended Qty]]</f>
        <v>1800</v>
      </c>
      <c r="P4" s="283">
        <f>Table16[[#This Row],[Extended Cost for all lines]]/Table16[[#This Row],[Useful Life]]/SupplierBaseInput!$C$7</f>
        <v>0.00861244019138756</v>
      </c>
      <c r="S4" t="s">
        <v>18</v>
      </c>
      <c r="V4">
        <v>41193</v>
      </c>
      <c r="W4">
        <v>0.025644</v>
      </c>
      <c r="Z4">
        <v>41193</v>
      </c>
      <c r="AA4">
        <v>0.025644</v>
      </c>
    </row>
    <row r="5" ht="15.75" customHeight="1" spans="1:27">
      <c r="A5" t="s">
        <v>9</v>
      </c>
      <c r="B5" s="238" t="s">
        <v>15</v>
      </c>
      <c r="C5" s="238" t="s">
        <v>14</v>
      </c>
      <c r="D5" s="238" t="s">
        <v>245</v>
      </c>
      <c r="E5" s="238"/>
      <c r="G5" t="s">
        <v>240</v>
      </c>
      <c r="H5" s="237">
        <v>6</v>
      </c>
      <c r="I5" s="277">
        <v>1</v>
      </c>
      <c r="J5" s="277">
        <v>1</v>
      </c>
      <c r="K5" s="278">
        <f t="shared" si="0"/>
        <v>1</v>
      </c>
      <c r="M5" s="279">
        <v>4300</v>
      </c>
      <c r="N5" s="284">
        <f>Table16[[#This Row],[Equipment Cost]]*Table16[[#This Row],[Qty per line]]</f>
        <v>4300</v>
      </c>
      <c r="O5" s="281">
        <f>Table16[[#This Row],[Equipment Cost]]*Table16[[#This Row],[Extended Qty]]</f>
        <v>4300</v>
      </c>
      <c r="P5" s="282">
        <f>Table16[[#This Row],[Extended Cost for all lines]]/Table16[[#This Row],[Useful Life]]/SupplierBaseInput!$C$7</f>
        <v>0.00171451355661882</v>
      </c>
      <c r="S5" t="s">
        <v>21</v>
      </c>
      <c r="V5">
        <v>40692</v>
      </c>
      <c r="W5">
        <v>0.0106201</v>
      </c>
      <c r="X5">
        <v>5100</v>
      </c>
      <c r="Y5">
        <v>0.0017</v>
      </c>
      <c r="Z5">
        <v>45792</v>
      </c>
      <c r="AA5">
        <v>0.0123201</v>
      </c>
    </row>
    <row r="6" ht="15.75" customHeight="1" spans="1:27">
      <c r="A6" t="s">
        <v>9</v>
      </c>
      <c r="B6" t="s">
        <v>15</v>
      </c>
      <c r="C6" t="s">
        <v>10</v>
      </c>
      <c r="D6" t="s">
        <v>246</v>
      </c>
      <c r="G6" t="s">
        <v>240</v>
      </c>
      <c r="H6" s="237">
        <v>0.5</v>
      </c>
      <c r="I6" s="277">
        <v>1</v>
      </c>
      <c r="J6" s="277">
        <v>1</v>
      </c>
      <c r="K6" s="278">
        <f t="shared" si="0"/>
        <v>1</v>
      </c>
      <c r="M6" s="279">
        <v>600</v>
      </c>
      <c r="N6" s="280">
        <f>Table16[[#This Row],[Equipment Cost]]*Table16[[#This Row],[Qty per line]]</f>
        <v>600</v>
      </c>
      <c r="O6" s="281">
        <f>Table16[[#This Row],[Equipment Cost]]*Table16[[#This Row],[Extended Qty]]</f>
        <v>600</v>
      </c>
      <c r="P6" s="283">
        <f>Table16[[#This Row],[Extended Cost for all lines]]/Table16[[#This Row],[Useful Life]]/SupplierBaseInput!$C$7</f>
        <v>0.00287081339712919</v>
      </c>
      <c r="S6" t="s">
        <v>28</v>
      </c>
      <c r="V6">
        <v>295355</v>
      </c>
      <c r="W6">
        <v>0.1004273</v>
      </c>
      <c r="Z6">
        <v>295355</v>
      </c>
      <c r="AA6">
        <v>0.1004273</v>
      </c>
    </row>
    <row r="7" ht="15.75" customHeight="1" spans="1:27">
      <c r="A7" t="s">
        <v>9</v>
      </c>
      <c r="B7" t="s">
        <v>15</v>
      </c>
      <c r="C7" t="s">
        <v>10</v>
      </c>
      <c r="D7" s="239" t="s">
        <v>247</v>
      </c>
      <c r="E7" s="240"/>
      <c r="G7" t="s">
        <v>240</v>
      </c>
      <c r="H7" s="237">
        <v>0.5</v>
      </c>
      <c r="I7" s="277">
        <v>1</v>
      </c>
      <c r="J7" s="277">
        <v>1</v>
      </c>
      <c r="K7" s="278">
        <f t="shared" si="0"/>
        <v>1</v>
      </c>
      <c r="M7" s="279">
        <v>400</v>
      </c>
      <c r="N7" s="284">
        <f>Table16[[#This Row],[Equipment Cost]]*Table16[[#This Row],[Qty per line]]</f>
        <v>400</v>
      </c>
      <c r="O7" s="281">
        <f>Table16[[#This Row],[Equipment Cost]]*Table16[[#This Row],[Extended Qty]]</f>
        <v>400</v>
      </c>
      <c r="P7" s="283">
        <f>Table16[[#This Row],[Extended Cost for all lines]]/Table16[[#This Row],[Useful Life]]/SupplierBaseInput!$C$7</f>
        <v>0.00191387559808612</v>
      </c>
      <c r="Q7" s="316"/>
      <c r="S7" t="s">
        <v>9</v>
      </c>
      <c r="V7">
        <v>26547</v>
      </c>
      <c r="W7">
        <v>0.046007</v>
      </c>
      <c r="X7">
        <v>150877</v>
      </c>
      <c r="Y7">
        <v>0.0281316166666667</v>
      </c>
      <c r="Z7">
        <v>177424</v>
      </c>
      <c r="AA7">
        <v>0.0741386166666667</v>
      </c>
    </row>
    <row r="8" ht="15.75" customHeight="1" spans="1:27">
      <c r="A8" s="241" t="s">
        <v>9</v>
      </c>
      <c r="B8" s="242" t="s">
        <v>11</v>
      </c>
      <c r="C8" s="243" t="s">
        <v>14</v>
      </c>
      <c r="D8" s="244" t="s">
        <v>248</v>
      </c>
      <c r="E8" s="245"/>
      <c r="F8" s="245"/>
      <c r="G8" s="245" t="s">
        <v>240</v>
      </c>
      <c r="H8" s="237">
        <v>6</v>
      </c>
      <c r="I8" s="277">
        <v>1</v>
      </c>
      <c r="J8" s="277">
        <v>1</v>
      </c>
      <c r="K8" s="278">
        <f t="shared" ref="K8:K18" si="1">J8*I8</f>
        <v>1</v>
      </c>
      <c r="M8" s="279">
        <v>84000</v>
      </c>
      <c r="N8" s="284">
        <f>Table16[[#This Row],[Equipment Cost]]*Table16[[#This Row],[Qty per line]]</f>
        <v>84000</v>
      </c>
      <c r="O8" s="281">
        <f>Table16[[#This Row],[Equipment Cost]]*Table16[[#This Row],[Extended Qty]]</f>
        <v>84000</v>
      </c>
      <c r="P8" s="283">
        <f>Table16[[#This Row],[Extended Cost for all lines]]/Table16[[#This Row],[Useful Life]]/SupplierBaseInput!$C$7</f>
        <v>0.0334928229665072</v>
      </c>
      <c r="Q8" s="316"/>
      <c r="S8" t="s">
        <v>236</v>
      </c>
      <c r="T8">
        <v>0</v>
      </c>
      <c r="U8" t="e">
        <v>#DIV/0!</v>
      </c>
      <c r="Z8">
        <v>0</v>
      </c>
      <c r="AA8" t="e">
        <v>#DIV/0!</v>
      </c>
    </row>
    <row r="9" ht="15.75" customHeight="1" spans="1:27">
      <c r="A9" s="241" t="s">
        <v>9</v>
      </c>
      <c r="B9" s="242" t="s">
        <v>11</v>
      </c>
      <c r="C9" s="243" t="s">
        <v>14</v>
      </c>
      <c r="D9" s="244" t="s">
        <v>249</v>
      </c>
      <c r="E9" s="243"/>
      <c r="F9" s="245"/>
      <c r="G9" s="245" t="s">
        <v>240</v>
      </c>
      <c r="H9" s="237">
        <v>6</v>
      </c>
      <c r="I9" s="277">
        <v>1</v>
      </c>
      <c r="J9" s="277">
        <v>1</v>
      </c>
      <c r="K9" s="278">
        <f t="shared" si="1"/>
        <v>1</v>
      </c>
      <c r="M9" s="279">
        <f>420000/6.1</f>
        <v>68852.4590163934</v>
      </c>
      <c r="N9" s="284">
        <f>Table16[[#This Row],[Equipment Cost]]*Table16[[#This Row],[Qty per line]]</f>
        <v>68852.4590163934</v>
      </c>
      <c r="O9" s="281">
        <f>Table16[[#This Row],[Equipment Cost]]*Table16[[#This Row],[Extended Qty]]</f>
        <v>68852.4590163934</v>
      </c>
      <c r="P9" s="283">
        <f>Table16[[#This Row],[Extended Cost for all lines]]/Table16[[#This Row],[Useful Life]]/SupplierBaseInput!$C$7</f>
        <v>0.0274531335791042</v>
      </c>
      <c r="Q9" s="316"/>
      <c r="S9" t="s">
        <v>250</v>
      </c>
      <c r="T9">
        <v>0</v>
      </c>
      <c r="U9" t="e">
        <v>#DIV/0!</v>
      </c>
      <c r="V9">
        <v>403787</v>
      </c>
      <c r="W9">
        <v>0.1826984</v>
      </c>
      <c r="X9">
        <v>155977</v>
      </c>
      <c r="Y9">
        <v>0.0298316166666667</v>
      </c>
      <c r="Z9">
        <v>559764</v>
      </c>
      <c r="AA9" t="e">
        <v>#DIV/0!</v>
      </c>
    </row>
    <row r="10" ht="15.75" customHeight="1" spans="1:17">
      <c r="A10" s="241" t="s">
        <v>9</v>
      </c>
      <c r="B10" s="246" t="s">
        <v>11</v>
      </c>
      <c r="C10" s="243" t="s">
        <v>14</v>
      </c>
      <c r="D10" s="244" t="s">
        <v>251</v>
      </c>
      <c r="E10" s="243"/>
      <c r="F10" s="243"/>
      <c r="G10" s="245" t="s">
        <v>240</v>
      </c>
      <c r="H10" s="237">
        <v>6</v>
      </c>
      <c r="I10" s="277">
        <v>1</v>
      </c>
      <c r="J10" s="277">
        <v>1</v>
      </c>
      <c r="K10" s="278">
        <f t="shared" si="1"/>
        <v>1</v>
      </c>
      <c r="M10" s="279">
        <v>1013384</v>
      </c>
      <c r="N10" s="284">
        <f>Table16[[#This Row],[Equipment Cost]]*Table16[[#This Row],[Qty per line]]</f>
        <v>1013384</v>
      </c>
      <c r="O10" s="281">
        <f>Table16[[#This Row],[Equipment Cost]]*Table16[[#This Row],[Extended Qty]]</f>
        <v>1013384</v>
      </c>
      <c r="P10" s="283">
        <f>Table16[[#This Row],[Extended Cost for all lines]]/Table16[[#This Row],[Useful Life]]/SupplierBaseInput!$C$7</f>
        <v>0.404060606060606</v>
      </c>
      <c r="Q10" s="316"/>
    </row>
    <row r="11" ht="15.75" customHeight="1" spans="1:17">
      <c r="A11" s="241" t="s">
        <v>9</v>
      </c>
      <c r="B11" s="246" t="s">
        <v>11</v>
      </c>
      <c r="C11" s="243" t="s">
        <v>14</v>
      </c>
      <c r="D11" s="244" t="s">
        <v>252</v>
      </c>
      <c r="E11" s="247"/>
      <c r="F11" s="247"/>
      <c r="G11" s="248" t="s">
        <v>240</v>
      </c>
      <c r="H11" s="237">
        <v>6</v>
      </c>
      <c r="I11" s="277">
        <v>1</v>
      </c>
      <c r="J11" s="277">
        <v>1</v>
      </c>
      <c r="K11" s="278">
        <f t="shared" si="1"/>
        <v>1</v>
      </c>
      <c r="M11" s="279">
        <v>79333</v>
      </c>
      <c r="N11" s="284">
        <f>Table16[[#This Row],[Equipment Cost]]*Table16[[#This Row],[Qty per line]]</f>
        <v>79333</v>
      </c>
      <c r="O11" s="281">
        <f>Table16[[#This Row],[Equipment Cost]]*Table16[[#This Row],[Extended Qty]]</f>
        <v>79333</v>
      </c>
      <c r="P11" s="283">
        <f>Table16[[#This Row],[Extended Cost for all lines]]/Table16[[#This Row],[Useful Life]]/SupplierBaseInput!$C$7</f>
        <v>0.0316319776714514</v>
      </c>
      <c r="Q11" s="316"/>
    </row>
    <row r="12" ht="15.75" customHeight="1" spans="1:17">
      <c r="A12" s="241" t="s">
        <v>9</v>
      </c>
      <c r="B12" s="246" t="s">
        <v>11</v>
      </c>
      <c r="C12" s="243" t="s">
        <v>14</v>
      </c>
      <c r="D12" s="244" t="s">
        <v>253</v>
      </c>
      <c r="E12" s="247"/>
      <c r="F12" s="247"/>
      <c r="G12" s="248" t="s">
        <v>240</v>
      </c>
      <c r="H12" s="237">
        <v>6</v>
      </c>
      <c r="I12" s="277">
        <v>1</v>
      </c>
      <c r="J12" s="277">
        <v>1</v>
      </c>
      <c r="K12" s="278">
        <f t="shared" si="1"/>
        <v>1</v>
      </c>
      <c r="M12" s="279">
        <v>67297</v>
      </c>
      <c r="N12" s="284">
        <f>Table16[[#This Row],[Equipment Cost]]*Table16[[#This Row],[Qty per line]]</f>
        <v>67297</v>
      </c>
      <c r="O12" s="281">
        <f>Table16[[#This Row],[Equipment Cost]]*Table16[[#This Row],[Extended Qty]]</f>
        <v>67297</v>
      </c>
      <c r="P12" s="283">
        <f>Table16[[#This Row],[Extended Cost for all lines]]/Table16[[#This Row],[Useful Life]]/SupplierBaseInput!$C$7</f>
        <v>0.0268329346092504</v>
      </c>
      <c r="Q12" s="316"/>
    </row>
    <row r="13" ht="15.75" customHeight="1" spans="1:17">
      <c r="A13" t="s">
        <v>9</v>
      </c>
      <c r="B13" s="249" t="s">
        <v>11</v>
      </c>
      <c r="C13" s="240" t="s">
        <v>14</v>
      </c>
      <c r="D13" s="250" t="s">
        <v>254</v>
      </c>
      <c r="E13" s="251"/>
      <c r="F13" s="240"/>
      <c r="G13" t="s">
        <v>240</v>
      </c>
      <c r="H13" s="237">
        <v>6</v>
      </c>
      <c r="I13" s="277">
        <v>1</v>
      </c>
      <c r="J13" s="277">
        <v>1</v>
      </c>
      <c r="K13" s="278">
        <f t="shared" si="1"/>
        <v>1</v>
      </c>
      <c r="M13" s="279">
        <v>2333</v>
      </c>
      <c r="N13" s="284">
        <f>Table16[[#This Row],[Equipment Cost]]*Table16[[#This Row],[Qty per line]]</f>
        <v>2333</v>
      </c>
      <c r="O13" s="281">
        <f>Table16[[#This Row],[Equipment Cost]]*Table16[[#This Row],[Extended Qty]]</f>
        <v>2333</v>
      </c>
      <c r="P13" s="283">
        <f>Table16[[#This Row],[Extended Cost for all lines]]/Table16[[#This Row],[Useful Life]]/SupplierBaseInput!$C$7</f>
        <v>0.000930223285486443</v>
      </c>
      <c r="Q13" s="316"/>
    </row>
    <row r="14" ht="15.75" customHeight="1" spans="1:16">
      <c r="A14" t="s">
        <v>9</v>
      </c>
      <c r="B14" s="249" t="s">
        <v>11</v>
      </c>
      <c r="C14" s="240" t="s">
        <v>14</v>
      </c>
      <c r="D14" s="250" t="s">
        <v>255</v>
      </c>
      <c r="E14" s="251"/>
      <c r="F14" s="240"/>
      <c r="G14" t="s">
        <v>240</v>
      </c>
      <c r="H14" s="237">
        <v>6</v>
      </c>
      <c r="I14" s="277">
        <v>1</v>
      </c>
      <c r="J14" s="277">
        <v>1</v>
      </c>
      <c r="K14" s="278">
        <f t="shared" si="1"/>
        <v>1</v>
      </c>
      <c r="M14" s="279">
        <v>4083</v>
      </c>
      <c r="N14" s="284">
        <f>Table16[[#This Row],[Equipment Cost]]*Table16[[#This Row],[Qty per line]]</f>
        <v>4083</v>
      </c>
      <c r="O14" s="281">
        <f>Table16[[#This Row],[Equipment Cost]]*Table16[[#This Row],[Extended Qty]]</f>
        <v>4083</v>
      </c>
      <c r="P14" s="283">
        <f>Table16[[#This Row],[Extended Cost for all lines]]/Table16[[#This Row],[Useful Life]]/SupplierBaseInput!$C$7</f>
        <v>0.00162799043062201</v>
      </c>
    </row>
    <row r="15" ht="15.75" customHeight="1" spans="1:16">
      <c r="A15" t="s">
        <v>9</v>
      </c>
      <c r="B15" s="249" t="s">
        <v>11</v>
      </c>
      <c r="C15" s="240" t="s">
        <v>14</v>
      </c>
      <c r="D15" s="250" t="s">
        <v>256</v>
      </c>
      <c r="E15" s="251"/>
      <c r="F15" s="240"/>
      <c r="G15" t="s">
        <v>240</v>
      </c>
      <c r="H15" s="237">
        <v>6</v>
      </c>
      <c r="I15" s="277">
        <v>1</v>
      </c>
      <c r="J15" s="277">
        <v>1</v>
      </c>
      <c r="K15" s="278">
        <f t="shared" si="1"/>
        <v>1</v>
      </c>
      <c r="M15" s="279">
        <v>4083</v>
      </c>
      <c r="N15" s="285">
        <f>Table16[[#This Row],[Equipment Cost]]*Table16[[#This Row],[Qty per line]]</f>
        <v>4083</v>
      </c>
      <c r="O15" s="281">
        <f>Table16[[#This Row],[Equipment Cost]]*Table16[[#This Row],[Extended Qty]]</f>
        <v>4083</v>
      </c>
      <c r="P15" s="283">
        <f>Table16[[#This Row],[Extended Cost for all lines]]/Table16[[#This Row],[Useful Life]]/SupplierBaseInput!$C$7</f>
        <v>0.00162799043062201</v>
      </c>
    </row>
    <row r="16" ht="15.75" customHeight="1" spans="1:16">
      <c r="A16" t="s">
        <v>9</v>
      </c>
      <c r="B16" s="249" t="s">
        <v>11</v>
      </c>
      <c r="C16" s="240" t="s">
        <v>14</v>
      </c>
      <c r="D16" s="250" t="s">
        <v>257</v>
      </c>
      <c r="E16" s="251"/>
      <c r="F16" s="240"/>
      <c r="G16" t="s">
        <v>240</v>
      </c>
      <c r="H16" s="237">
        <v>6</v>
      </c>
      <c r="I16" s="277">
        <v>1</v>
      </c>
      <c r="J16" s="277">
        <v>1</v>
      </c>
      <c r="K16" s="278">
        <f t="shared" si="1"/>
        <v>1</v>
      </c>
      <c r="M16" s="279">
        <v>808</v>
      </c>
      <c r="N16" s="285">
        <f>Table16[[#This Row],[Equipment Cost]]*Table16[[#This Row],[Qty per line]]</f>
        <v>808</v>
      </c>
      <c r="O16" s="281">
        <f>Table16[[#This Row],[Equipment Cost]]*Table16[[#This Row],[Extended Qty]]</f>
        <v>808</v>
      </c>
      <c r="P16" s="283">
        <f>Table16[[#This Row],[Extended Cost for all lines]]/Table16[[#This Row],[Useful Life]]/SupplierBaseInput!$C$7</f>
        <v>0.000322169059011164</v>
      </c>
    </row>
    <row r="17" ht="15.75" customHeight="1" spans="1:17">
      <c r="A17" t="s">
        <v>9</v>
      </c>
      <c r="B17" s="238" t="s">
        <v>11</v>
      </c>
      <c r="C17" s="240" t="s">
        <v>14</v>
      </c>
      <c r="D17" s="238" t="s">
        <v>258</v>
      </c>
      <c r="E17" s="252"/>
      <c r="F17" s="238"/>
      <c r="G17" t="s">
        <v>240</v>
      </c>
      <c r="H17" s="237">
        <v>6</v>
      </c>
      <c r="I17" s="277">
        <v>1</v>
      </c>
      <c r="J17" s="277">
        <v>1</v>
      </c>
      <c r="K17" s="278">
        <f t="shared" si="1"/>
        <v>1</v>
      </c>
      <c r="M17" s="279">
        <v>143500</v>
      </c>
      <c r="N17" s="284">
        <f>Table16[[#This Row],[Equipment Cost]]*Table16[[#This Row],[Qty per line]]</f>
        <v>143500</v>
      </c>
      <c r="O17" s="281">
        <f>Table16[[#This Row],[Equipment Cost]]*Table16[[#This Row],[Extended Qty]]</f>
        <v>143500</v>
      </c>
      <c r="P17" s="283">
        <f>Table16[[#This Row],[Extended Cost for all lines]]/Table16[[#This Row],[Useful Life]]/SupplierBaseInput!$C$7</f>
        <v>0.0572169059011164</v>
      </c>
      <c r="Q17" s="316"/>
    </row>
    <row r="18" ht="15.75" customHeight="1" spans="1:17">
      <c r="A18" t="s">
        <v>9</v>
      </c>
      <c r="B18" s="238" t="s">
        <v>11</v>
      </c>
      <c r="C18" s="240" t="s">
        <v>14</v>
      </c>
      <c r="D18" s="239" t="s">
        <v>259</v>
      </c>
      <c r="E18" s="252"/>
      <c r="F18" s="238"/>
      <c r="G18" t="s">
        <v>240</v>
      </c>
      <c r="H18" s="237">
        <v>6</v>
      </c>
      <c r="I18" s="277">
        <v>1</v>
      </c>
      <c r="J18" s="277">
        <v>1</v>
      </c>
      <c r="K18" s="278">
        <f t="shared" si="1"/>
        <v>1</v>
      </c>
      <c r="M18" s="279">
        <v>56000</v>
      </c>
      <c r="N18" s="285">
        <f>Table16[[#This Row],[Equipment Cost]]*Table16[[#This Row],[Qty per line]]</f>
        <v>56000</v>
      </c>
      <c r="O18" s="281">
        <f>Table16[[#This Row],[Equipment Cost]]*Table16[[#This Row],[Extended Qty]]</f>
        <v>56000</v>
      </c>
      <c r="P18" s="283">
        <f>Table16[[#This Row],[Extended Cost for all lines]]/Table16[[#This Row],[Useful Life]]/SupplierBaseInput!$C$7</f>
        <v>0.0223285486443381</v>
      </c>
      <c r="Q18" s="317"/>
    </row>
    <row r="19" ht="15.75" customHeight="1" spans="1:17">
      <c r="A19" s="253" t="s">
        <v>9</v>
      </c>
      <c r="B19" s="254" t="s">
        <v>11</v>
      </c>
      <c r="C19" s="255" t="s">
        <v>14</v>
      </c>
      <c r="D19" s="256" t="s">
        <v>260</v>
      </c>
      <c r="E19" s="252"/>
      <c r="F19" s="238"/>
      <c r="G19" s="257" t="s">
        <v>240</v>
      </c>
      <c r="H19" s="258">
        <v>3</v>
      </c>
      <c r="I19" s="286">
        <v>1</v>
      </c>
      <c r="J19" s="287">
        <v>1</v>
      </c>
      <c r="K19" s="287">
        <f>J19*I19</f>
        <v>1</v>
      </c>
      <c r="L19" s="253"/>
      <c r="M19" s="288">
        <v>60000</v>
      </c>
      <c r="N19" s="285">
        <f>Table16[[#This Row],[Equipment Cost]]*Table16[[#This Row],[Qty per line]]</f>
        <v>60000</v>
      </c>
      <c r="O19" s="281">
        <f>Table16[[#This Row],[Equipment Cost]]*Table16[[#This Row],[Extended Qty]]</f>
        <v>60000</v>
      </c>
      <c r="P19" s="283">
        <f>Table16[[#This Row],[Extended Cost for all lines]]/Table16[[#This Row],[Useful Life]]/SupplierBaseInput!$C$7</f>
        <v>0.0478468899521531</v>
      </c>
      <c r="Q19" s="317"/>
    </row>
    <row r="20" ht="15.75" customHeight="1" spans="1:17">
      <c r="A20" s="259" t="s">
        <v>9</v>
      </c>
      <c r="B20" s="260" t="s">
        <v>11</v>
      </c>
      <c r="C20" s="261" t="s">
        <v>14</v>
      </c>
      <c r="D20" s="262" t="s">
        <v>261</v>
      </c>
      <c r="E20" s="263"/>
      <c r="F20" s="264"/>
      <c r="G20" s="265" t="s">
        <v>240</v>
      </c>
      <c r="H20" s="266">
        <v>1</v>
      </c>
      <c r="I20" s="289">
        <v>1</v>
      </c>
      <c r="J20" s="290">
        <v>1</v>
      </c>
      <c r="K20" s="290">
        <v>1</v>
      </c>
      <c r="L20" s="259"/>
      <c r="M20" s="291">
        <v>1390</v>
      </c>
      <c r="N20" s="285">
        <f>Table16[[#This Row],[Equipment Cost]]*Table16[[#This Row],[Qty per line]]</f>
        <v>1390</v>
      </c>
      <c r="O20" s="281">
        <f>Table16[[#This Row],[Equipment Cost]]*Table16[[#This Row],[Extended Qty]]</f>
        <v>1390</v>
      </c>
      <c r="P20" s="283">
        <f>Table16[[#This Row],[Extended Cost for all lines]]/Table16[[#This Row],[Useful Life]]/SupplierBaseInput!$C$7</f>
        <v>0.00332535885167464</v>
      </c>
      <c r="Q20" s="317"/>
    </row>
    <row r="21" ht="15.75" customHeight="1" spans="1:17">
      <c r="A21" s="253" t="s">
        <v>9</v>
      </c>
      <c r="B21" s="254" t="s">
        <v>11</v>
      </c>
      <c r="C21" s="255" t="s">
        <v>14</v>
      </c>
      <c r="D21" s="255" t="s">
        <v>262</v>
      </c>
      <c r="E21" s="252"/>
      <c r="F21" s="238"/>
      <c r="G21" s="257" t="s">
        <v>240</v>
      </c>
      <c r="H21" s="267">
        <v>0.25</v>
      </c>
      <c r="I21" s="286">
        <v>1</v>
      </c>
      <c r="J21" s="292">
        <v>2</v>
      </c>
      <c r="K21" s="293">
        <f t="shared" ref="K21:K33" si="2">J21*I21</f>
        <v>2</v>
      </c>
      <c r="M21" s="294">
        <v>500</v>
      </c>
      <c r="N21" s="285">
        <f>Table16[[#This Row],[Equipment Cost]]*Table16[[#This Row],[Extended Qty]]</f>
        <v>1000</v>
      </c>
      <c r="O21" s="281">
        <f>Table16[[#This Row],[Equipment Cost]]*Table16[[#This Row],[Extended Qty]]</f>
        <v>1000</v>
      </c>
      <c r="P21" s="283">
        <f>Table16[[#This Row],[Extended Cost for all lines]]/Table16[[#This Row],[Useful Life]]/SupplierBaseInput!$C$7</f>
        <v>0.00956937799043062</v>
      </c>
      <c r="Q21" s="317"/>
    </row>
    <row r="22" ht="15.75" customHeight="1" spans="1:17">
      <c r="A22" s="253" t="s">
        <v>9</v>
      </c>
      <c r="B22" s="254" t="s">
        <v>11</v>
      </c>
      <c r="C22" s="255" t="s">
        <v>14</v>
      </c>
      <c r="D22" s="255" t="s">
        <v>263</v>
      </c>
      <c r="E22" s="252"/>
      <c r="F22" s="238"/>
      <c r="G22" s="257" t="s">
        <v>240</v>
      </c>
      <c r="H22" s="267">
        <v>0.25</v>
      </c>
      <c r="I22" s="286">
        <v>1</v>
      </c>
      <c r="J22" s="292">
        <v>2</v>
      </c>
      <c r="K22" s="293">
        <f t="shared" si="2"/>
        <v>2</v>
      </c>
      <c r="M22" s="294">
        <v>500</v>
      </c>
      <c r="N22" s="285">
        <f>Table16[[#This Row],[Equipment Cost]]*Table16[[#This Row],[Extended Qty]]</f>
        <v>1000</v>
      </c>
      <c r="O22" s="281">
        <f>Table16[[#This Row],[Equipment Cost]]*Table16[[#This Row],[Extended Qty]]</f>
        <v>1000</v>
      </c>
      <c r="P22" s="283">
        <f>Table16[[#This Row],[Extended Cost for all lines]]/Table16[[#This Row],[Useful Life]]/SupplierBaseInput!$C$7</f>
        <v>0.00956937799043062</v>
      </c>
      <c r="Q22" s="317"/>
    </row>
    <row r="23" ht="15.75" customHeight="1" spans="1:17">
      <c r="A23" s="253" t="s">
        <v>9</v>
      </c>
      <c r="B23" s="254" t="s">
        <v>11</v>
      </c>
      <c r="C23" s="255" t="s">
        <v>14</v>
      </c>
      <c r="D23" s="255" t="s">
        <v>264</v>
      </c>
      <c r="E23" s="252"/>
      <c r="F23" s="238"/>
      <c r="G23" s="257" t="s">
        <v>240</v>
      </c>
      <c r="H23" s="267">
        <v>1</v>
      </c>
      <c r="I23" s="286">
        <v>1</v>
      </c>
      <c r="J23" s="292">
        <v>70</v>
      </c>
      <c r="K23" s="293">
        <f t="shared" si="2"/>
        <v>70</v>
      </c>
      <c r="M23" s="294">
        <v>150</v>
      </c>
      <c r="N23" s="285">
        <f>Table16[[#This Row],[Equipment Cost]]*Table16[[#This Row],[Extended Qty]]</f>
        <v>10500</v>
      </c>
      <c r="O23" s="281">
        <f>Table16[[#This Row],[Equipment Cost]]*Table16[[#This Row],[Extended Qty]]</f>
        <v>10500</v>
      </c>
      <c r="P23" s="283">
        <f>Table16[[#This Row],[Extended Cost for all lines]]/Table16[[#This Row],[Useful Life]]/SupplierBaseInput!$C$7</f>
        <v>0.0251196172248804</v>
      </c>
      <c r="Q23" s="317"/>
    </row>
    <row r="24" ht="15.75" customHeight="1" spans="1:17">
      <c r="A24" s="253" t="s">
        <v>9</v>
      </c>
      <c r="B24" s="254" t="s">
        <v>11</v>
      </c>
      <c r="C24" s="255" t="s">
        <v>14</v>
      </c>
      <c r="D24" s="255" t="s">
        <v>265</v>
      </c>
      <c r="E24" s="252"/>
      <c r="F24" s="238"/>
      <c r="G24" s="257" t="s">
        <v>240</v>
      </c>
      <c r="H24" s="267">
        <v>1</v>
      </c>
      <c r="I24" s="286">
        <v>1</v>
      </c>
      <c r="J24" s="292">
        <v>70</v>
      </c>
      <c r="K24" s="293">
        <f t="shared" si="2"/>
        <v>70</v>
      </c>
      <c r="M24" s="294">
        <v>150</v>
      </c>
      <c r="N24" s="285">
        <f>Table16[[#This Row],[Equipment Cost]]*Table16[[#This Row],[Extended Qty]]</f>
        <v>10500</v>
      </c>
      <c r="O24" s="281">
        <f>Table16[[#This Row],[Equipment Cost]]*Table16[[#This Row],[Extended Qty]]</f>
        <v>10500</v>
      </c>
      <c r="P24" s="283">
        <f>Table16[[#This Row],[Extended Cost for all lines]]/Table16[[#This Row],[Useful Life]]/SupplierBaseInput!$C$7</f>
        <v>0.0251196172248804</v>
      </c>
      <c r="Q24" s="317"/>
    </row>
    <row r="25" ht="15.75" customHeight="1" spans="1:17">
      <c r="A25" s="253" t="s">
        <v>9</v>
      </c>
      <c r="B25" s="254" t="s">
        <v>11</v>
      </c>
      <c r="C25" s="255" t="s">
        <v>14</v>
      </c>
      <c r="D25" s="255" t="s">
        <v>266</v>
      </c>
      <c r="E25" s="252"/>
      <c r="F25" s="238"/>
      <c r="G25" s="257" t="s">
        <v>240</v>
      </c>
      <c r="H25" s="267">
        <v>1</v>
      </c>
      <c r="I25" s="286">
        <v>1</v>
      </c>
      <c r="J25" s="292">
        <v>2</v>
      </c>
      <c r="K25" s="293">
        <f t="shared" si="2"/>
        <v>2</v>
      </c>
      <c r="M25" s="294">
        <v>350</v>
      </c>
      <c r="N25" s="285">
        <f>Table16[[#This Row],[Equipment Cost]]*Table16[[#This Row],[Extended Qty]]</f>
        <v>700</v>
      </c>
      <c r="O25" s="281">
        <f>Table16[[#This Row],[Equipment Cost]]*Table16[[#This Row],[Extended Qty]]</f>
        <v>700</v>
      </c>
      <c r="P25" s="283">
        <f>Table16[[#This Row],[Extended Cost for all lines]]/Table16[[#This Row],[Useful Life]]/SupplierBaseInput!$C$7</f>
        <v>0.00167464114832536</v>
      </c>
      <c r="Q25" s="317"/>
    </row>
    <row r="26" ht="15.75" customHeight="1" spans="1:17">
      <c r="A26" s="253" t="s">
        <v>9</v>
      </c>
      <c r="B26" s="254" t="s">
        <v>11</v>
      </c>
      <c r="C26" s="255" t="s">
        <v>14</v>
      </c>
      <c r="D26" s="255" t="s">
        <v>267</v>
      </c>
      <c r="E26" s="252"/>
      <c r="F26" s="238"/>
      <c r="G26" s="257" t="s">
        <v>240</v>
      </c>
      <c r="H26" s="267">
        <v>1</v>
      </c>
      <c r="I26" s="286">
        <v>1</v>
      </c>
      <c r="J26" s="292">
        <v>40</v>
      </c>
      <c r="K26" s="293">
        <f t="shared" si="2"/>
        <v>40</v>
      </c>
      <c r="M26" s="294">
        <v>100</v>
      </c>
      <c r="N26" s="285">
        <f>Table16[[#This Row],[Equipment Cost]]*Table16[[#This Row],[Extended Qty]]</f>
        <v>4000</v>
      </c>
      <c r="O26" s="281">
        <f>Table16[[#This Row],[Equipment Cost]]*Table16[[#This Row],[Extended Qty]]</f>
        <v>4000</v>
      </c>
      <c r="P26" s="283">
        <f>Table16[[#This Row],[Extended Cost for all lines]]/Table16[[#This Row],[Useful Life]]/SupplierBaseInput!$C$7</f>
        <v>0.00956937799043062</v>
      </c>
      <c r="Q26" s="317"/>
    </row>
    <row r="27" ht="15.75" customHeight="1" spans="1:17">
      <c r="A27" s="253" t="s">
        <v>9</v>
      </c>
      <c r="B27" s="254" t="s">
        <v>11</v>
      </c>
      <c r="C27" s="255" t="s">
        <v>14</v>
      </c>
      <c r="D27" s="255" t="s">
        <v>268</v>
      </c>
      <c r="E27" s="252"/>
      <c r="F27" s="238"/>
      <c r="G27" s="257" t="s">
        <v>240</v>
      </c>
      <c r="H27" s="267">
        <v>1</v>
      </c>
      <c r="I27" s="286">
        <v>1</v>
      </c>
      <c r="J27" s="292">
        <v>50</v>
      </c>
      <c r="K27" s="293">
        <f t="shared" si="2"/>
        <v>50</v>
      </c>
      <c r="M27" s="294">
        <v>160</v>
      </c>
      <c r="N27" s="285">
        <f>Table16[[#This Row],[Equipment Cost]]*Table16[[#This Row],[Extended Qty]]</f>
        <v>8000</v>
      </c>
      <c r="O27" s="281">
        <f>Table16[[#This Row],[Equipment Cost]]*Table16[[#This Row],[Extended Qty]]</f>
        <v>8000</v>
      </c>
      <c r="P27" s="283">
        <f>Table16[[#This Row],[Extended Cost for all lines]]/Table16[[#This Row],[Useful Life]]/SupplierBaseInput!$C$7</f>
        <v>0.0191387559808612</v>
      </c>
      <c r="Q27" s="317"/>
    </row>
    <row r="28" ht="15.75" customHeight="1" spans="1:17">
      <c r="A28" s="253" t="s">
        <v>9</v>
      </c>
      <c r="B28" s="254" t="s">
        <v>11</v>
      </c>
      <c r="C28" s="255" t="s">
        <v>14</v>
      </c>
      <c r="D28" s="255" t="s">
        <v>269</v>
      </c>
      <c r="E28" s="252"/>
      <c r="F28" s="238"/>
      <c r="G28" s="257" t="s">
        <v>240</v>
      </c>
      <c r="H28" s="267">
        <v>1</v>
      </c>
      <c r="I28" s="286">
        <v>1</v>
      </c>
      <c r="J28" s="292">
        <v>2</v>
      </c>
      <c r="K28" s="293">
        <f t="shared" si="2"/>
        <v>2</v>
      </c>
      <c r="M28" s="294">
        <v>150</v>
      </c>
      <c r="N28" s="285">
        <f>Table16[[#This Row],[Equipment Cost]]*Table16[[#This Row],[Extended Qty]]</f>
        <v>300</v>
      </c>
      <c r="O28" s="281">
        <f>Table16[[#This Row],[Equipment Cost]]*Table16[[#This Row],[Extended Qty]]</f>
        <v>300</v>
      </c>
      <c r="P28" s="283">
        <f>Table16[[#This Row],[Extended Cost for all lines]]/Table16[[#This Row],[Useful Life]]/SupplierBaseInput!$C$7</f>
        <v>0.000717703349282297</v>
      </c>
      <c r="Q28" s="317"/>
    </row>
    <row r="29" ht="15.75" customHeight="1" spans="1:17">
      <c r="A29" s="253" t="s">
        <v>9</v>
      </c>
      <c r="B29" s="254" t="s">
        <v>11</v>
      </c>
      <c r="C29" s="255" t="s">
        <v>14</v>
      </c>
      <c r="D29" s="255" t="s">
        <v>270</v>
      </c>
      <c r="E29" s="252"/>
      <c r="F29" s="238"/>
      <c r="G29" s="257" t="s">
        <v>240</v>
      </c>
      <c r="H29" s="267">
        <v>1</v>
      </c>
      <c r="I29" s="286">
        <v>1</v>
      </c>
      <c r="J29" s="292">
        <v>752</v>
      </c>
      <c r="K29" s="293">
        <f t="shared" si="2"/>
        <v>752</v>
      </c>
      <c r="M29" s="294">
        <v>5</v>
      </c>
      <c r="N29" s="285">
        <f>Table16[[#This Row],[Equipment Cost]]*Table16[[#This Row],[Extended Qty]]</f>
        <v>3760</v>
      </c>
      <c r="O29" s="281">
        <f>Table16[[#This Row],[Equipment Cost]]*Table16[[#This Row],[Extended Qty]]</f>
        <v>3760</v>
      </c>
      <c r="P29" s="283">
        <f>Table16[[#This Row],[Extended Cost for all lines]]/Table16[[#This Row],[Useful Life]]/SupplierBaseInput!$C$7</f>
        <v>0.00899521531100479</v>
      </c>
      <c r="Q29" s="317"/>
    </row>
    <row r="30" ht="15.75" customHeight="1" spans="1:17">
      <c r="A30" s="253" t="s">
        <v>9</v>
      </c>
      <c r="B30" s="254" t="s">
        <v>11</v>
      </c>
      <c r="C30" s="255" t="s">
        <v>14</v>
      </c>
      <c r="D30" s="255" t="s">
        <v>271</v>
      </c>
      <c r="E30" s="252"/>
      <c r="F30" s="238"/>
      <c r="G30" s="257" t="s">
        <v>240</v>
      </c>
      <c r="H30" s="267">
        <v>1</v>
      </c>
      <c r="I30" s="286">
        <v>1</v>
      </c>
      <c r="J30" s="292">
        <v>2</v>
      </c>
      <c r="K30" s="293">
        <f t="shared" si="2"/>
        <v>2</v>
      </c>
      <c r="M30" s="294">
        <v>350</v>
      </c>
      <c r="N30" s="285">
        <f>Table16[[#This Row],[Equipment Cost]]*Table16[[#This Row],[Extended Qty]]</f>
        <v>700</v>
      </c>
      <c r="O30" s="281">
        <f>Table16[[#This Row],[Equipment Cost]]*Table16[[#This Row],[Extended Qty]]</f>
        <v>700</v>
      </c>
      <c r="P30" s="283">
        <f>Table16[[#This Row],[Extended Cost for all lines]]/Table16[[#This Row],[Useful Life]]/SupplierBaseInput!$C$7</f>
        <v>0.00167464114832536</v>
      </c>
      <c r="Q30" s="317"/>
    </row>
    <row r="31" ht="15.75" customHeight="1" spans="1:17">
      <c r="A31" s="253" t="s">
        <v>9</v>
      </c>
      <c r="B31" s="254" t="s">
        <v>11</v>
      </c>
      <c r="C31" s="255" t="s">
        <v>14</v>
      </c>
      <c r="D31" s="255" t="s">
        <v>272</v>
      </c>
      <c r="E31" s="252"/>
      <c r="F31" s="238"/>
      <c r="G31" s="257" t="s">
        <v>240</v>
      </c>
      <c r="H31" s="267">
        <v>1</v>
      </c>
      <c r="I31" s="286">
        <v>1</v>
      </c>
      <c r="J31" s="292">
        <v>40</v>
      </c>
      <c r="K31" s="293">
        <f t="shared" si="2"/>
        <v>40</v>
      </c>
      <c r="M31" s="294">
        <v>100</v>
      </c>
      <c r="N31" s="285">
        <f>Table16[[#This Row],[Equipment Cost]]*Table16[[#This Row],[Extended Qty]]</f>
        <v>4000</v>
      </c>
      <c r="O31" s="281">
        <f>Table16[[#This Row],[Equipment Cost]]*Table16[[#This Row],[Extended Qty]]</f>
        <v>4000</v>
      </c>
      <c r="P31" s="283">
        <f>Table16[[#This Row],[Extended Cost for all lines]]/Table16[[#This Row],[Useful Life]]/SupplierBaseInput!$C$7</f>
        <v>0.00956937799043062</v>
      </c>
      <c r="Q31" s="317"/>
    </row>
    <row r="32" ht="15.75" customHeight="1" spans="1:17">
      <c r="A32" s="253" t="s">
        <v>9</v>
      </c>
      <c r="B32" s="254" t="s">
        <v>11</v>
      </c>
      <c r="C32" s="255" t="s">
        <v>14</v>
      </c>
      <c r="D32" s="255" t="s">
        <v>273</v>
      </c>
      <c r="E32" s="252"/>
      <c r="F32" s="238"/>
      <c r="G32" s="257" t="s">
        <v>240</v>
      </c>
      <c r="H32" s="267">
        <v>1</v>
      </c>
      <c r="I32" s="286">
        <v>1</v>
      </c>
      <c r="J32" s="292">
        <v>50</v>
      </c>
      <c r="K32" s="293">
        <f t="shared" si="2"/>
        <v>50</v>
      </c>
      <c r="M32" s="294">
        <v>160</v>
      </c>
      <c r="N32" s="285">
        <f>Table16[[#This Row],[Equipment Cost]]*Table16[[#This Row],[Extended Qty]]</f>
        <v>8000</v>
      </c>
      <c r="O32" s="281">
        <f>Table16[[#This Row],[Equipment Cost]]*Table16[[#This Row],[Extended Qty]]</f>
        <v>8000</v>
      </c>
      <c r="P32" s="283">
        <f>Table16[[#This Row],[Extended Cost for all lines]]/Table16[[#This Row],[Useful Life]]/SupplierBaseInput!$C$7</f>
        <v>0.0191387559808612</v>
      </c>
      <c r="Q32" s="317"/>
    </row>
    <row r="33" ht="15.75" customHeight="1" spans="1:17">
      <c r="A33" s="253" t="s">
        <v>9</v>
      </c>
      <c r="B33" s="254" t="s">
        <v>11</v>
      </c>
      <c r="C33" s="255" t="s">
        <v>14</v>
      </c>
      <c r="D33" s="255" t="s">
        <v>274</v>
      </c>
      <c r="E33" s="252"/>
      <c r="F33" s="238"/>
      <c r="G33" s="257" t="s">
        <v>240</v>
      </c>
      <c r="H33" s="267">
        <v>1</v>
      </c>
      <c r="I33" s="286">
        <v>1</v>
      </c>
      <c r="J33" s="277">
        <v>2</v>
      </c>
      <c r="K33" s="278">
        <f t="shared" si="2"/>
        <v>2</v>
      </c>
      <c r="M33" s="294">
        <v>150</v>
      </c>
      <c r="N33" s="285">
        <f>Table16[[#This Row],[Equipment Cost]]*Table16[[#This Row],[Extended Qty]]</f>
        <v>300</v>
      </c>
      <c r="O33" s="281">
        <f>Table16[[#This Row],[Equipment Cost]]*Table16[[#This Row],[Extended Qty]]</f>
        <v>300</v>
      </c>
      <c r="P33" s="283">
        <f>Table16[[#This Row],[Extended Cost for all lines]]/Table16[[#This Row],[Useful Life]]/SupplierBaseInput!$C$7</f>
        <v>0.000717703349282297</v>
      </c>
      <c r="Q33" s="317"/>
    </row>
    <row r="34" ht="15.75" customHeight="1" spans="1:17">
      <c r="A34" s="253" t="s">
        <v>9</v>
      </c>
      <c r="B34" s="254" t="s">
        <v>11</v>
      </c>
      <c r="C34" s="255" t="s">
        <v>14</v>
      </c>
      <c r="D34" s="255" t="s">
        <v>275</v>
      </c>
      <c r="E34" s="252"/>
      <c r="F34" s="238"/>
      <c r="G34" s="257" t="s">
        <v>240</v>
      </c>
      <c r="H34" s="237">
        <v>1</v>
      </c>
      <c r="I34" s="277">
        <v>1</v>
      </c>
      <c r="J34" s="277">
        <v>752</v>
      </c>
      <c r="K34" s="278">
        <v>752</v>
      </c>
      <c r="M34" s="294">
        <v>5</v>
      </c>
      <c r="N34" s="285">
        <f>Table16[[#This Row],[Equipment Cost]]*Table16[[#This Row],[Extended Qty]]</f>
        <v>3760</v>
      </c>
      <c r="O34" s="281">
        <f>Table16[[#This Row],[Equipment Cost]]*Table16[[#This Row],[Extended Qty]]</f>
        <v>3760</v>
      </c>
      <c r="P34" s="283">
        <f>Table16[[#This Row],[Extended Cost for all lines]]/Table16[[#This Row],[Useful Life]]/SupplierBaseInput!$C$7</f>
        <v>0.00899521531100479</v>
      </c>
      <c r="Q34" s="317"/>
    </row>
    <row r="35" ht="15.75" customHeight="1" spans="1:17">
      <c r="A35" t="s">
        <v>21</v>
      </c>
      <c r="B35" s="238" t="s">
        <v>15</v>
      </c>
      <c r="C35" s="240" t="s">
        <v>14</v>
      </c>
      <c r="D35" s="268" t="s">
        <v>276</v>
      </c>
      <c r="E35" s="268"/>
      <c r="F35" s="268"/>
      <c r="G35" t="s">
        <v>240</v>
      </c>
      <c r="H35" s="269">
        <v>6</v>
      </c>
      <c r="I35" s="269">
        <v>1</v>
      </c>
      <c r="J35" s="295">
        <v>2</v>
      </c>
      <c r="K35" s="296">
        <f>J35*I35</f>
        <v>2</v>
      </c>
      <c r="M35" s="297">
        <v>4078</v>
      </c>
      <c r="N35" s="285">
        <f>Table16[[#This Row],[Equipment Cost]]*Table16[[#This Row],[Qty per line]]</f>
        <v>8156</v>
      </c>
      <c r="O35" s="298">
        <f>Table16[[#This Row],[Equipment Cost]]*Table16[[#This Row],[Extended Qty]]</f>
        <v>8156</v>
      </c>
      <c r="P35" s="283">
        <f>Table16[[#This Row],[Extended Cost for all lines]]/Table16[[#This Row],[Useful Life]]/SupplierBaseInput!$C$7</f>
        <v>0.00325199362041467</v>
      </c>
      <c r="Q35" s="316"/>
    </row>
    <row r="36" ht="15.75" customHeight="1" spans="1:17">
      <c r="A36" t="s">
        <v>21</v>
      </c>
      <c r="B36" s="238" t="s">
        <v>15</v>
      </c>
      <c r="C36" s="240" t="s">
        <v>14</v>
      </c>
      <c r="D36" s="268" t="s">
        <v>277</v>
      </c>
      <c r="E36" s="268"/>
      <c r="F36" s="268"/>
      <c r="G36" t="s">
        <v>240</v>
      </c>
      <c r="H36" s="269">
        <v>1</v>
      </c>
      <c r="I36" s="269">
        <v>1</v>
      </c>
      <c r="J36" s="295">
        <v>2</v>
      </c>
      <c r="K36" s="296">
        <f>J36*I36</f>
        <v>2</v>
      </c>
      <c r="M36" s="299">
        <v>42.8</v>
      </c>
      <c r="N36" s="285">
        <f>Table16[[#This Row],[Equipment Cost]]*Table16[[#This Row],[Extended Qty]]</f>
        <v>85.6</v>
      </c>
      <c r="O36" s="298">
        <f>Table16[[#This Row],[Equipment Cost]]*Table16[[#This Row],[Extended Qty]]</f>
        <v>85.6</v>
      </c>
      <c r="P36" s="283">
        <f>Table16[[#This Row],[Extended Cost for all lines]]/Table16[[#This Row],[Useful Life]]/SupplierBaseInput!$C$7</f>
        <v>0.000204784688995215</v>
      </c>
      <c r="Q36" s="316"/>
    </row>
    <row r="37" ht="15.75" customHeight="1" spans="1:16">
      <c r="A37" t="s">
        <v>21</v>
      </c>
      <c r="B37" s="238" t="s">
        <v>11</v>
      </c>
      <c r="C37" s="240" t="s">
        <v>14</v>
      </c>
      <c r="D37" s="268" t="s">
        <v>278</v>
      </c>
      <c r="G37" t="s">
        <v>240</v>
      </c>
      <c r="H37" s="270">
        <v>3</v>
      </c>
      <c r="I37" s="269">
        <v>1</v>
      </c>
      <c r="J37" s="300">
        <v>9</v>
      </c>
      <c r="K37" s="296">
        <f>J37*I37</f>
        <v>9</v>
      </c>
      <c r="M37" s="301">
        <v>222.9</v>
      </c>
      <c r="N37" s="285">
        <f>Table16[[#This Row],[Equipment Cost]]*Table16[[#This Row],[Qty per line]]</f>
        <v>2006.1</v>
      </c>
      <c r="O37" s="298">
        <f>Table16[[#This Row],[Equipment Cost]]*Table16[[#This Row],[Extended Qty]]</f>
        <v>2006.1</v>
      </c>
      <c r="P37" s="283">
        <f>Table16[[#This Row],[Extended Cost for all lines]]/Table16[[#This Row],[Useful Life]]/SupplierBaseInput!$C$7</f>
        <v>0.00159976076555024</v>
      </c>
    </row>
    <row r="38" ht="15.75" customHeight="1" spans="1:16">
      <c r="A38" t="s">
        <v>21</v>
      </c>
      <c r="B38" s="238" t="s">
        <v>11</v>
      </c>
      <c r="C38" s="240" t="s">
        <v>14</v>
      </c>
      <c r="D38" s="268" t="s">
        <v>279</v>
      </c>
      <c r="G38" t="s">
        <v>240</v>
      </c>
      <c r="H38" s="270">
        <v>3</v>
      </c>
      <c r="I38" s="269">
        <v>1</v>
      </c>
      <c r="J38" s="300">
        <v>2</v>
      </c>
      <c r="K38" s="296">
        <f t="shared" ref="K38:K40" si="3">J38*I38</f>
        <v>2</v>
      </c>
      <c r="M38" s="302">
        <v>1710</v>
      </c>
      <c r="N38" s="285">
        <f>Table16[[#This Row],[Equipment Cost]]*Table16[[#This Row],[Extended Qty]]</f>
        <v>3420</v>
      </c>
      <c r="O38" s="298">
        <f>Table16[[#This Row],[Equipment Cost]]*Table16[[#This Row],[Extended Qty]]</f>
        <v>3420</v>
      </c>
      <c r="P38" s="283">
        <f>Table16[[#This Row],[Extended Cost for all lines]]/Table16[[#This Row],[Useful Life]]/SupplierBaseInput!$C$7</f>
        <v>0.00272727272727273</v>
      </c>
    </row>
    <row r="39" ht="15.75" customHeight="1" spans="1:16">
      <c r="A39" t="s">
        <v>21</v>
      </c>
      <c r="B39" s="238" t="s">
        <v>11</v>
      </c>
      <c r="C39" s="240" t="s">
        <v>14</v>
      </c>
      <c r="D39" s="268" t="s">
        <v>280</v>
      </c>
      <c r="G39" t="s">
        <v>240</v>
      </c>
      <c r="H39" s="270">
        <v>3</v>
      </c>
      <c r="I39" s="269">
        <v>1</v>
      </c>
      <c r="J39" s="300">
        <v>9</v>
      </c>
      <c r="K39" s="296">
        <f t="shared" si="3"/>
        <v>9</v>
      </c>
      <c r="M39" s="301">
        <v>918.3</v>
      </c>
      <c r="N39" s="285">
        <f>Table16[[#This Row],[Equipment Cost]]*Table16[[#This Row],[Extended Qty]]</f>
        <v>8264.7</v>
      </c>
      <c r="O39" s="298">
        <f>Table16[[#This Row],[Equipment Cost]]*Table16[[#This Row],[Extended Qty]]</f>
        <v>8264.7</v>
      </c>
      <c r="P39" s="283">
        <f>Table16[[#This Row],[Extended Cost for all lines]]/Table16[[#This Row],[Useful Life]]/SupplierBaseInput!$C$7</f>
        <v>0.00659066985645933</v>
      </c>
    </row>
    <row r="40" ht="16.4" customHeight="1" spans="1:17">
      <c r="A40" t="s">
        <v>21</v>
      </c>
      <c r="B40" s="238" t="s">
        <v>11</v>
      </c>
      <c r="C40" s="240" t="s">
        <v>14</v>
      </c>
      <c r="D40" s="219" t="s">
        <v>281</v>
      </c>
      <c r="E40" s="268"/>
      <c r="F40" s="268"/>
      <c r="G40" t="s">
        <v>240</v>
      </c>
      <c r="H40" s="270">
        <v>6</v>
      </c>
      <c r="I40" s="269">
        <v>1</v>
      </c>
      <c r="J40" s="295">
        <v>2</v>
      </c>
      <c r="K40" s="296">
        <f t="shared" si="3"/>
        <v>2</v>
      </c>
      <c r="M40" s="303">
        <v>2980</v>
      </c>
      <c r="N40" s="285">
        <f>Table16[[#This Row],[Equipment Cost]]*Table16[[#This Row],[Qty per line]]</f>
        <v>5960</v>
      </c>
      <c r="O40" s="298">
        <f>Table16[[#This Row],[Equipment Cost]]*Table16[[#This Row],[Extended Qty]]</f>
        <v>5960</v>
      </c>
      <c r="P40" s="283">
        <f>Table16[[#This Row],[Extended Cost for all lines]]/Table16[[#This Row],[Useful Life]]/SupplierBaseInput!$C$7</f>
        <v>0.00237639553429027</v>
      </c>
      <c r="Q40" s="316"/>
    </row>
    <row r="41" ht="16.4" customHeight="1" spans="1:17">
      <c r="A41" t="s">
        <v>21</v>
      </c>
      <c r="B41" s="238" t="s">
        <v>11</v>
      </c>
      <c r="C41" s="240" t="s">
        <v>14</v>
      </c>
      <c r="D41" s="219" t="s">
        <v>282</v>
      </c>
      <c r="E41" s="268"/>
      <c r="F41" s="268"/>
      <c r="G41" t="s">
        <v>240</v>
      </c>
      <c r="H41" s="270">
        <v>3</v>
      </c>
      <c r="I41" s="269">
        <v>1</v>
      </c>
      <c r="J41" s="295">
        <v>1</v>
      </c>
      <c r="K41" s="296">
        <f t="shared" ref="K41:K47" si="4">J41*I41</f>
        <v>1</v>
      </c>
      <c r="M41" s="303">
        <v>198</v>
      </c>
      <c r="N41" s="285">
        <f>Table16[[#This Row],[Equipment Cost]]*Table16[[#This Row],[Qty per line]]</f>
        <v>198</v>
      </c>
      <c r="O41" s="298">
        <f>Table16[[#This Row],[Equipment Cost]]*Table16[[#This Row],[Extended Qty]]</f>
        <v>198</v>
      </c>
      <c r="P41" s="283">
        <f>Table16[[#This Row],[Extended Cost for all lines]]/Table16[[#This Row],[Useful Life]]/SupplierBaseInput!$C$7</f>
        <v>0.000157894736842105</v>
      </c>
      <c r="Q41" s="316"/>
    </row>
    <row r="42" ht="16.4" customHeight="1" spans="1:17">
      <c r="A42" t="s">
        <v>21</v>
      </c>
      <c r="B42" s="238" t="s">
        <v>11</v>
      </c>
      <c r="C42" s="240" t="s">
        <v>14</v>
      </c>
      <c r="D42" s="219" t="s">
        <v>283</v>
      </c>
      <c r="E42" s="268"/>
      <c r="F42" s="268"/>
      <c r="G42" t="s">
        <v>240</v>
      </c>
      <c r="H42" s="270">
        <v>6</v>
      </c>
      <c r="I42" s="269">
        <v>1</v>
      </c>
      <c r="J42" s="295">
        <v>4</v>
      </c>
      <c r="K42" s="296">
        <f t="shared" si="4"/>
        <v>4</v>
      </c>
      <c r="M42" s="303">
        <v>952</v>
      </c>
      <c r="N42" s="285">
        <f>Table16[[#This Row],[Equipment Cost]]*Table16[[#This Row],[Qty per line]]</f>
        <v>3808</v>
      </c>
      <c r="O42" s="298">
        <f>Table16[[#This Row],[Equipment Cost]]*Table16[[#This Row],[Extended Qty]]</f>
        <v>3808</v>
      </c>
      <c r="P42" s="283">
        <f>Table16[[#This Row],[Extended Cost for all lines]]/Table16[[#This Row],[Useful Life]]/SupplierBaseInput!$C$7</f>
        <v>0.00151834130781499</v>
      </c>
      <c r="Q42" s="316"/>
    </row>
    <row r="43" ht="16.4" customHeight="1" spans="1:17">
      <c r="A43" t="s">
        <v>21</v>
      </c>
      <c r="B43" s="238" t="s">
        <v>11</v>
      </c>
      <c r="C43" s="240" t="s">
        <v>14</v>
      </c>
      <c r="D43" s="219" t="s">
        <v>284</v>
      </c>
      <c r="E43" s="268"/>
      <c r="F43" s="268"/>
      <c r="G43" t="s">
        <v>240</v>
      </c>
      <c r="H43" s="270">
        <v>1</v>
      </c>
      <c r="I43" s="269">
        <v>1</v>
      </c>
      <c r="J43" s="295">
        <v>1</v>
      </c>
      <c r="K43" s="296">
        <f t="shared" si="4"/>
        <v>1</v>
      </c>
      <c r="M43" s="304">
        <v>500</v>
      </c>
      <c r="N43" s="305">
        <f>Table16[[#This Row],[Equipment Cost]]*Table16[[#This Row],[Qty per line]]</f>
        <v>500</v>
      </c>
      <c r="O43" s="306">
        <f>Table16[[#This Row],[Equipment Cost]]*Table16[[#This Row],[Extended Qty]]</f>
        <v>500</v>
      </c>
      <c r="P43" s="307">
        <f>Table16[[#This Row],[Extended Cost for all lines]]/Table16[[#This Row],[Useful Life]]/SupplierBaseInput!$C$7</f>
        <v>0.00119617224880383</v>
      </c>
      <c r="Q43" s="318" t="s">
        <v>285</v>
      </c>
    </row>
    <row r="44" ht="16.4" customHeight="1" spans="1:17">
      <c r="A44" t="s">
        <v>21</v>
      </c>
      <c r="B44" s="238" t="s">
        <v>11</v>
      </c>
      <c r="C44" s="240" t="s">
        <v>14</v>
      </c>
      <c r="D44" s="219" t="s">
        <v>286</v>
      </c>
      <c r="E44" s="268"/>
      <c r="F44" s="268"/>
      <c r="G44" t="s">
        <v>240</v>
      </c>
      <c r="H44" s="270">
        <v>1</v>
      </c>
      <c r="I44" s="269">
        <v>1</v>
      </c>
      <c r="J44" s="295">
        <v>9</v>
      </c>
      <c r="K44" s="296">
        <f t="shared" si="4"/>
        <v>9</v>
      </c>
      <c r="M44" s="308">
        <v>11.4</v>
      </c>
      <c r="N44" s="285">
        <f>Table16[[#This Row],[Equipment Cost]]*Table16[[#This Row],[Extended Qty]]</f>
        <v>102.6</v>
      </c>
      <c r="O44" s="298">
        <f>Table16[[#This Row],[Equipment Cost]]*Table16[[#This Row],[Extended Qty]]</f>
        <v>102.6</v>
      </c>
      <c r="P44" s="283">
        <f>Table16[[#This Row],[Extended Cost for all lines]]/Table16[[#This Row],[Useful Life]]/SupplierBaseInput!$C$7</f>
        <v>0.000245454545454545</v>
      </c>
      <c r="Q44" s="316"/>
    </row>
    <row r="45" ht="16.4" customHeight="1" spans="1:17">
      <c r="A45" t="s">
        <v>21</v>
      </c>
      <c r="B45" s="238" t="s">
        <v>11</v>
      </c>
      <c r="C45" s="240" t="s">
        <v>14</v>
      </c>
      <c r="D45" s="219" t="s">
        <v>287</v>
      </c>
      <c r="E45" s="268"/>
      <c r="F45" s="268"/>
      <c r="G45" t="s">
        <v>240</v>
      </c>
      <c r="H45" s="270">
        <v>1</v>
      </c>
      <c r="I45" s="269">
        <v>1</v>
      </c>
      <c r="J45" s="295">
        <v>2</v>
      </c>
      <c r="K45" s="296">
        <f t="shared" si="4"/>
        <v>2</v>
      </c>
      <c r="M45" s="308">
        <v>11.4</v>
      </c>
      <c r="N45" s="285">
        <f>Table16[[#This Row],[Equipment Cost]]*Table16[[#This Row],[Extended Qty]]</f>
        <v>22.8</v>
      </c>
      <c r="O45" s="298">
        <f>Table16[[#This Row],[Equipment Cost]]*Table16[[#This Row],[Extended Qty]]</f>
        <v>22.8</v>
      </c>
      <c r="P45" s="283">
        <f>Table16[[#This Row],[Extended Cost for all lines]]/Table16[[#This Row],[Useful Life]]/SupplierBaseInput!$C$7</f>
        <v>5.45454545454545e-5</v>
      </c>
      <c r="Q45" s="316"/>
    </row>
    <row r="46" ht="16.4" customHeight="1" spans="1:17">
      <c r="A46" t="s">
        <v>21</v>
      </c>
      <c r="B46" s="238" t="s">
        <v>11</v>
      </c>
      <c r="C46" s="240" t="s">
        <v>14</v>
      </c>
      <c r="D46" s="219" t="s">
        <v>288</v>
      </c>
      <c r="E46" s="268"/>
      <c r="F46" s="268"/>
      <c r="G46" s="257" t="s">
        <v>289</v>
      </c>
      <c r="H46" s="270">
        <v>1</v>
      </c>
      <c r="I46" s="269">
        <v>1</v>
      </c>
      <c r="J46" s="295">
        <v>1</v>
      </c>
      <c r="K46" s="296">
        <f t="shared" si="4"/>
        <v>1</v>
      </c>
      <c r="M46" s="308">
        <v>9.2</v>
      </c>
      <c r="N46" s="309">
        <f>Table16[[#This Row],[Equipment Cost]]*Table16[[#This Row],[Extended Qty]]</f>
        <v>9.2</v>
      </c>
      <c r="O46" s="298">
        <f>Table16[[#This Row],[Equipment Cost]]*Table16[[#This Row],[Extended Qty]]</f>
        <v>9.2</v>
      </c>
      <c r="P46" s="283">
        <f>Table16[[#This Row],[Extended Cost for all lines]]/Table16[[#This Row],[Useful Life]]/SupplierBaseInput!$C$7</f>
        <v>2.20095693779904e-5</v>
      </c>
      <c r="Q46" s="316"/>
    </row>
    <row r="47" ht="16.4" customHeight="1" spans="1:17">
      <c r="A47" t="s">
        <v>21</v>
      </c>
      <c r="B47" s="238" t="s">
        <v>11</v>
      </c>
      <c r="C47" s="240" t="s">
        <v>14</v>
      </c>
      <c r="D47" s="219" t="s">
        <v>290</v>
      </c>
      <c r="E47" s="268"/>
      <c r="F47" s="268"/>
      <c r="G47" t="s">
        <v>240</v>
      </c>
      <c r="H47" s="270">
        <v>1</v>
      </c>
      <c r="I47" s="269">
        <v>1</v>
      </c>
      <c r="J47" s="295">
        <v>2</v>
      </c>
      <c r="K47" s="296">
        <f t="shared" si="4"/>
        <v>2</v>
      </c>
      <c r="M47" s="308">
        <v>11.4</v>
      </c>
      <c r="N47" s="285">
        <f>Table16[[#This Row],[Equipment Cost]]*Table16[[#This Row],[Extended Qty]]</f>
        <v>22.8</v>
      </c>
      <c r="O47" s="298">
        <f>Table16[[#This Row],[Equipment Cost]]*Table16[[#This Row],[Extended Qty]]</f>
        <v>22.8</v>
      </c>
      <c r="P47" s="283">
        <f>Table16[[#This Row],[Extended Cost for all lines]]/Table16[[#This Row],[Useful Life]]/SupplierBaseInput!$C$7</f>
        <v>5.45454545454545e-5</v>
      </c>
      <c r="Q47" s="316"/>
    </row>
    <row r="48" ht="15.75" customHeight="1" spans="1:17">
      <c r="A48" s="271" t="s">
        <v>291</v>
      </c>
      <c r="B48" s="272" t="s">
        <v>15</v>
      </c>
      <c r="C48" s="238" t="s">
        <v>10</v>
      </c>
      <c r="D48" s="273" t="s">
        <v>292</v>
      </c>
      <c r="E48" s="272"/>
      <c r="F48" s="272"/>
      <c r="G48" s="232" t="s">
        <v>240</v>
      </c>
      <c r="H48" s="270">
        <v>3</v>
      </c>
      <c r="I48" s="310">
        <v>1</v>
      </c>
      <c r="J48" s="300">
        <v>26</v>
      </c>
      <c r="K48" s="311">
        <f t="shared" ref="K48:K57" si="5">J48*I48</f>
        <v>26</v>
      </c>
      <c r="L48" s="312"/>
      <c r="M48" s="303">
        <v>8</v>
      </c>
      <c r="N48" s="285">
        <f>Table16[[#This Row],[Equipment Cost]]*Table16[[#This Row],[Qty per line]]</f>
        <v>208</v>
      </c>
      <c r="O48" s="298">
        <f>Table16[[#This Row],[Equipment Cost]]*Table16[[#This Row],[Extended Qty]]</f>
        <v>208</v>
      </c>
      <c r="P48" s="283">
        <f>Table16[[#This Row],[Extended Cost for all lines]]/Table16[[#This Row],[Useful Life]]/SupplierBaseInput!$C$7</f>
        <v>0.000165869218500797</v>
      </c>
      <c r="Q48" s="319"/>
    </row>
    <row r="49" ht="15.75" customHeight="1" spans="1:17">
      <c r="A49" s="271" t="s">
        <v>291</v>
      </c>
      <c r="B49" s="272" t="s">
        <v>15</v>
      </c>
      <c r="C49" s="238" t="s">
        <v>10</v>
      </c>
      <c r="D49" s="273" t="s">
        <v>293</v>
      </c>
      <c r="E49" s="272"/>
      <c r="F49" s="272"/>
      <c r="G49" s="232" t="s">
        <v>240</v>
      </c>
      <c r="H49" s="270">
        <v>3</v>
      </c>
      <c r="I49" s="310">
        <v>1</v>
      </c>
      <c r="J49" s="300">
        <v>26</v>
      </c>
      <c r="K49" s="311">
        <f t="shared" si="5"/>
        <v>26</v>
      </c>
      <c r="L49" s="312"/>
      <c r="M49" s="303">
        <v>120</v>
      </c>
      <c r="N49" s="285">
        <f>Table16[[#This Row],[Equipment Cost]]*Table16[[#This Row],[Qty per line]]</f>
        <v>3120</v>
      </c>
      <c r="O49" s="298">
        <f>Table16[[#This Row],[Equipment Cost]]*Table16[[#This Row],[Extended Qty]]</f>
        <v>3120</v>
      </c>
      <c r="P49" s="283">
        <f>Table16[[#This Row],[Extended Cost for all lines]]/Table16[[#This Row],[Useful Life]]/SupplierBaseInput!$C$7</f>
        <v>0.00248803827751196</v>
      </c>
      <c r="Q49" s="319"/>
    </row>
    <row r="50" ht="15.75" customHeight="1" spans="1:17">
      <c r="A50" s="271" t="s">
        <v>291</v>
      </c>
      <c r="B50" s="272" t="s">
        <v>15</v>
      </c>
      <c r="C50" s="238" t="s">
        <v>10</v>
      </c>
      <c r="D50" s="273" t="s">
        <v>294</v>
      </c>
      <c r="G50" s="232" t="s">
        <v>240</v>
      </c>
      <c r="H50" s="270">
        <v>3</v>
      </c>
      <c r="I50" s="310">
        <v>1</v>
      </c>
      <c r="J50" s="300">
        <v>1</v>
      </c>
      <c r="K50" s="313">
        <f t="shared" si="5"/>
        <v>1</v>
      </c>
      <c r="L50" s="312"/>
      <c r="M50" s="303">
        <v>3400</v>
      </c>
      <c r="N50" s="285">
        <f>Table16[[#This Row],[Equipment Cost]]*Table16[[#This Row],[Qty per line]]</f>
        <v>3400</v>
      </c>
      <c r="O50" s="298">
        <f>Table16[[#This Row],[Equipment Cost]]*Table16[[#This Row],[Extended Qty]]</f>
        <v>3400</v>
      </c>
      <c r="P50" s="283">
        <f>Table16[[#This Row],[Extended Cost for all lines]]/Table16[[#This Row],[Useful Life]]/SupplierBaseInput!$C$7</f>
        <v>0.00271132376395534</v>
      </c>
      <c r="Q50" s="319"/>
    </row>
    <row r="51" ht="15.75" customHeight="1" spans="1:17">
      <c r="A51" s="271" t="s">
        <v>291</v>
      </c>
      <c r="B51" s="238" t="s">
        <v>11</v>
      </c>
      <c r="C51" s="240" t="s">
        <v>14</v>
      </c>
      <c r="D51" s="238" t="s">
        <v>295</v>
      </c>
      <c r="G51" t="s">
        <v>240</v>
      </c>
      <c r="H51" s="274">
        <v>1</v>
      </c>
      <c r="I51" s="269">
        <v>1</v>
      </c>
      <c r="J51" s="295">
        <v>3</v>
      </c>
      <c r="K51" s="296">
        <f t="shared" ref="K51" si="6">J51*I51</f>
        <v>3</v>
      </c>
      <c r="L51" s="312"/>
      <c r="M51" s="304">
        <v>500</v>
      </c>
      <c r="N51" s="305">
        <f>Table16[[#This Row],[Equipment Cost]]*Table16[[#This Row],[Extended Qty]]</f>
        <v>1500</v>
      </c>
      <c r="O51" s="306">
        <f>Table16[[#This Row],[Equipment Cost]]*Table16[[#This Row],[Extended Qty]]</f>
        <v>1500</v>
      </c>
      <c r="P51" s="307">
        <f>Table16[[#This Row],[Extended Cost for all lines]]/Table16[[#This Row],[Useful Life]]/SupplierBaseInput!$C$7</f>
        <v>0.00358851674641148</v>
      </c>
      <c r="Q51" s="318" t="s">
        <v>285</v>
      </c>
    </row>
    <row r="52" ht="15.75" customHeight="1" spans="1:17">
      <c r="A52" s="271" t="s">
        <v>291</v>
      </c>
      <c r="B52" s="268" t="s">
        <v>11</v>
      </c>
      <c r="C52" s="238" t="s">
        <v>14</v>
      </c>
      <c r="D52" s="275" t="s">
        <v>296</v>
      </c>
      <c r="E52" s="272"/>
      <c r="F52" s="272"/>
      <c r="G52" s="232" t="s">
        <v>240</v>
      </c>
      <c r="H52" s="270">
        <v>2</v>
      </c>
      <c r="I52" s="274">
        <v>1</v>
      </c>
      <c r="J52" s="314">
        <v>2</v>
      </c>
      <c r="K52" s="311">
        <f t="shared" si="5"/>
        <v>2</v>
      </c>
      <c r="L52" s="315"/>
      <c r="M52" s="303">
        <v>200</v>
      </c>
      <c r="N52" s="285">
        <f>Table16[[#This Row],[Equipment Cost]]*Table16[[#This Row],[Qty per line]]</f>
        <v>400</v>
      </c>
      <c r="O52" s="298">
        <f>Table16[[#This Row],[Equipment Cost]]*Table16[[#This Row],[Extended Qty]]</f>
        <v>400</v>
      </c>
      <c r="P52" s="283">
        <f>Table16[[#This Row],[Extended Cost for all lines]]/Table16[[#This Row],[Useful Life]]/SupplierBaseInput!$C$7</f>
        <v>0.000478468899521531</v>
      </c>
      <c r="Q52" s="317"/>
    </row>
    <row r="53" ht="15.75" customHeight="1" spans="1:17">
      <c r="A53" s="271" t="s">
        <v>291</v>
      </c>
      <c r="B53" s="268" t="s">
        <v>11</v>
      </c>
      <c r="C53" s="238" t="s">
        <v>14</v>
      </c>
      <c r="D53" s="275" t="s">
        <v>297</v>
      </c>
      <c r="E53" s="272"/>
      <c r="F53" s="272"/>
      <c r="G53" s="232" t="s">
        <v>240</v>
      </c>
      <c r="H53" s="270">
        <v>2</v>
      </c>
      <c r="I53" s="274">
        <v>1</v>
      </c>
      <c r="J53" s="314">
        <v>2</v>
      </c>
      <c r="K53" s="311">
        <f t="shared" si="5"/>
        <v>2</v>
      </c>
      <c r="L53" s="315"/>
      <c r="M53" s="303">
        <v>150</v>
      </c>
      <c r="N53" s="285">
        <f>Table16[[#This Row],[Equipment Cost]]*Table16[[#This Row],[Qty per line]]</f>
        <v>300</v>
      </c>
      <c r="O53" s="298">
        <f>Table16[[#This Row],[Equipment Cost]]*Table16[[#This Row],[Extended Qty]]</f>
        <v>300</v>
      </c>
      <c r="P53" s="283">
        <f>Table16[[#This Row],[Extended Cost for all lines]]/Table16[[#This Row],[Useful Life]]/SupplierBaseInput!$C$7</f>
        <v>0.000358851674641148</v>
      </c>
      <c r="Q53" s="317"/>
    </row>
    <row r="54" ht="15.75" customHeight="1" spans="1:17">
      <c r="A54" s="271" t="s">
        <v>291</v>
      </c>
      <c r="B54" s="268" t="s">
        <v>11</v>
      </c>
      <c r="C54" s="238" t="s">
        <v>14</v>
      </c>
      <c r="D54" s="273" t="s">
        <v>298</v>
      </c>
      <c r="G54" s="232" t="s">
        <v>240</v>
      </c>
      <c r="H54" s="269">
        <v>3</v>
      </c>
      <c r="I54" s="310">
        <v>1</v>
      </c>
      <c r="J54" s="300">
        <v>1</v>
      </c>
      <c r="K54" s="313">
        <f t="shared" si="5"/>
        <v>1</v>
      </c>
      <c r="L54" s="312"/>
      <c r="M54" s="303">
        <v>320</v>
      </c>
      <c r="N54" s="285">
        <f>Table16[[#This Row],[Equipment Cost]]*Table16[[#This Row],[Qty per line]]</f>
        <v>320</v>
      </c>
      <c r="O54" s="298">
        <f>Table16[[#This Row],[Equipment Cost]]*Table16[[#This Row],[Extended Qty]]</f>
        <v>320</v>
      </c>
      <c r="P54" s="283">
        <f>Table16[[#This Row],[Extended Cost for all lines]]/Table16[[#This Row],[Useful Life]]/SupplierBaseInput!$C$7</f>
        <v>0.00025518341307815</v>
      </c>
      <c r="Q54" s="319"/>
    </row>
    <row r="55" ht="15.75" customHeight="1" spans="1:17">
      <c r="A55" t="s">
        <v>28</v>
      </c>
      <c r="B55" t="s">
        <v>15</v>
      </c>
      <c r="C55" s="238" t="s">
        <v>14</v>
      </c>
      <c r="D55" s="273" t="s">
        <v>299</v>
      </c>
      <c r="G55" t="s">
        <v>240</v>
      </c>
      <c r="H55" s="269">
        <v>4</v>
      </c>
      <c r="I55" s="310">
        <v>1</v>
      </c>
      <c r="J55" s="310">
        <v>2</v>
      </c>
      <c r="K55" s="310">
        <f t="shared" si="5"/>
        <v>2</v>
      </c>
      <c r="M55" s="303">
        <v>299</v>
      </c>
      <c r="N55" s="285">
        <f>Table16[[#This Row],[Equipment Cost]]*Table16[[#This Row],[Qty per line]]</f>
        <v>598</v>
      </c>
      <c r="O55" s="298">
        <f>Table16[[#This Row],[Equipment Cost]]*Table16[[#This Row],[Extended Qty]]</f>
        <v>598</v>
      </c>
      <c r="P55" s="283">
        <f>Table16[[#This Row],[Extended Cost for all lines]]/Table16[[#This Row],[Useful Life]]/SupplierBaseInput!$C$7</f>
        <v>0.000357655502392344</v>
      </c>
      <c r="Q55" s="316"/>
    </row>
    <row r="56" ht="15.75" customHeight="1" spans="1:17">
      <c r="A56" t="s">
        <v>28</v>
      </c>
      <c r="B56" t="s">
        <v>11</v>
      </c>
      <c r="C56" s="238" t="s">
        <v>14</v>
      </c>
      <c r="D56" s="273" t="s">
        <v>300</v>
      </c>
      <c r="G56" t="s">
        <v>240</v>
      </c>
      <c r="H56" s="269">
        <v>4</v>
      </c>
      <c r="I56" s="310">
        <v>1</v>
      </c>
      <c r="J56" s="310">
        <v>1</v>
      </c>
      <c r="K56" s="310">
        <f t="shared" si="5"/>
        <v>1</v>
      </c>
      <c r="M56" s="303">
        <v>1950</v>
      </c>
      <c r="N56" s="285">
        <f>Table16[[#This Row],[Equipment Cost]]*Table16[[#This Row],[Qty per line]]</f>
        <v>1950</v>
      </c>
      <c r="O56" s="298">
        <f>Table16[[#This Row],[Equipment Cost]]*Table16[[#This Row],[Extended Qty]]</f>
        <v>1950</v>
      </c>
      <c r="P56" s="283">
        <f>Table16[[#This Row],[Extended Cost for all lines]]/Table16[[#This Row],[Useful Life]]/SupplierBaseInput!$C$7</f>
        <v>0.00116626794258373</v>
      </c>
      <c r="Q56" s="316"/>
    </row>
    <row r="57" ht="15.75" customHeight="1" spans="1:16">
      <c r="A57" t="s">
        <v>28</v>
      </c>
      <c r="B57" t="s">
        <v>11</v>
      </c>
      <c r="C57" s="238" t="s">
        <v>14</v>
      </c>
      <c r="D57" s="273" t="s">
        <v>301</v>
      </c>
      <c r="G57" t="s">
        <v>240</v>
      </c>
      <c r="H57" s="269">
        <v>3</v>
      </c>
      <c r="I57" s="310">
        <v>1</v>
      </c>
      <c r="J57" s="310">
        <v>2</v>
      </c>
      <c r="K57" s="310">
        <f t="shared" si="5"/>
        <v>2</v>
      </c>
      <c r="M57" s="303">
        <v>955</v>
      </c>
      <c r="N57" s="285">
        <f>Table16[[#This Row],[Equipment Cost]]*Table16[[#This Row],[Extended Qty]]</f>
        <v>1910</v>
      </c>
      <c r="O57" s="298">
        <f>Table16[[#This Row],[Equipment Cost]]*Table16[[#This Row],[Extended Qty]]</f>
        <v>1910</v>
      </c>
      <c r="P57" s="283">
        <f>Table16[[#This Row],[Extended Cost for all lines]]/Table16[[#This Row],[Useful Life]]/SupplierBaseInput!$C$7</f>
        <v>0.00152312599681021</v>
      </c>
    </row>
    <row r="58" ht="15.75" customHeight="1" spans="1:17">
      <c r="A58" s="232"/>
      <c r="B58" s="232"/>
      <c r="C58" s="232"/>
      <c r="D58" s="232"/>
      <c r="E58" s="232"/>
      <c r="F58" s="232"/>
      <c r="G58" s="232"/>
      <c r="H58" s="276"/>
      <c r="I58" s="232"/>
      <c r="J58" s="232"/>
      <c r="K58" s="232"/>
      <c r="L58" s="232"/>
      <c r="M58" s="232"/>
      <c r="N58" s="232"/>
      <c r="O58" s="232">
        <f>SUM(O3:O57)</f>
        <v>1697445.25901639</v>
      </c>
      <c r="P58" s="283">
        <f>SUM(P3:P57)</f>
        <v>0.868433436609408</v>
      </c>
      <c r="Q58" s="232"/>
    </row>
    <row r="59" ht="15.75" customHeight="1"/>
  </sheetData>
  <dataValidations count="1">
    <dataValidation type="list" allowBlank="1" showInputMessage="1" showErrorMessage="1" sqref="B6:B16">
      <formula1>$AE$2:$AE$3</formula1>
    </dataValidation>
  </dataValidations>
  <pageMargins left="0.699305555555556" right="0.699305555555556" top="0.75" bottom="0.75" header="0.3" footer="0.3"/>
  <pageSetup paperSize="9" orientation="portrait"/>
  <headerFooter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L18"/>
  <sheetViews>
    <sheetView showGridLines="0"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N15" sqref="N15"/>
    </sheetView>
  </sheetViews>
  <sheetFormatPr defaultColWidth="9.36111111111111" defaultRowHeight="14.4"/>
  <cols>
    <col min="1" max="1" width="14.5462962962963" customWidth="1"/>
    <col min="2" max="2" width="32.5462962962963" customWidth="1"/>
    <col min="3" max="3" width="21.5462962962963" customWidth="1"/>
    <col min="4" max="4" width="12.6296296296296" customWidth="1"/>
    <col min="5" max="5" width="17.5462962962963" customWidth="1"/>
    <col min="6" max="8" width="19.3611111111111" customWidth="1"/>
    <col min="9" max="9" width="20.4537037037037" customWidth="1"/>
    <col min="10" max="10" width="18.3611111111111" customWidth="1"/>
    <col min="11" max="11" width="14.5462962962963" customWidth="1"/>
    <col min="12" max="12" width="14.3611111111111" customWidth="1"/>
  </cols>
  <sheetData>
    <row r="1" ht="15.6" spans="1:12">
      <c r="A1" s="205" t="s">
        <v>4</v>
      </c>
      <c r="B1" s="205" t="s">
        <v>302</v>
      </c>
      <c r="C1" s="205" t="s">
        <v>225</v>
      </c>
      <c r="D1" s="205" t="s">
        <v>303</v>
      </c>
      <c r="E1" s="205" t="s">
        <v>304</v>
      </c>
      <c r="F1" s="205" t="s">
        <v>305</v>
      </c>
      <c r="G1" s="205" t="s">
        <v>234</v>
      </c>
      <c r="H1" s="206" t="s">
        <v>306</v>
      </c>
      <c r="I1" s="206" t="s">
        <v>307</v>
      </c>
      <c r="J1" s="206" t="s">
        <v>308</v>
      </c>
      <c r="K1" s="213" t="s">
        <v>309</v>
      </c>
      <c r="L1" s="232" t="s">
        <v>310</v>
      </c>
    </row>
    <row r="2" ht="27" customHeight="1" spans="1:10">
      <c r="A2" s="205" t="s">
        <v>9</v>
      </c>
      <c r="B2" s="207" t="s">
        <v>311</v>
      </c>
      <c r="E2" s="208">
        <f>SupplierBaseInput!C7</f>
        <v>418000</v>
      </c>
      <c r="F2" s="209">
        <f>Table2[[#This Row],[Unit Cost]]*Table2[[#This Row],[Unit Usage]]</f>
        <v>0.0473</v>
      </c>
      <c r="G2" s="210">
        <v>0.11</v>
      </c>
      <c r="H2" s="211">
        <v>0.43</v>
      </c>
      <c r="I2" s="206">
        <f>Table2[[#This Row],[Est Q''ty]]*Table2[[#This Row],[Item Cost]]</f>
        <v>19771.4</v>
      </c>
      <c r="J2" s="233">
        <f>Table2[[#This Row],[Item Cost]]</f>
        <v>0.0473</v>
      </c>
    </row>
    <row r="3" ht="27" customHeight="1" spans="1:10">
      <c r="A3" s="205" t="s">
        <v>9</v>
      </c>
      <c r="B3" s="205" t="s">
        <v>312</v>
      </c>
      <c r="D3" s="205" t="s">
        <v>313</v>
      </c>
      <c r="E3" s="208">
        <f>SupplierBaseInput!C7</f>
        <v>418000</v>
      </c>
      <c r="F3" s="209">
        <f>Table2[[#This Row],[Unit Cost]]*Table2[[#This Row],[Unit Usage]]</f>
        <v>0.0171</v>
      </c>
      <c r="G3" s="210">
        <v>0.057</v>
      </c>
      <c r="H3" s="212">
        <v>0.3</v>
      </c>
      <c r="I3" s="206">
        <f>Table2[[#This Row],[Est Q''ty]]*Table2[[#This Row],[Item Cost]]</f>
        <v>7147.8</v>
      </c>
      <c r="J3" s="206">
        <f>Table2[[#This Row],[Item Cost]]</f>
        <v>0.0171</v>
      </c>
    </row>
    <row r="4" ht="27" customHeight="1" spans="1:11">
      <c r="A4" s="213" t="s">
        <v>9</v>
      </c>
      <c r="B4" s="214" t="s">
        <v>314</v>
      </c>
      <c r="D4" s="205"/>
      <c r="E4" s="208">
        <f>SupplierBaseInput!C7</f>
        <v>418000</v>
      </c>
      <c r="F4" s="209">
        <f>Table2[[#This Row],[Unit Cost]]*Table2[[#This Row],[Unit Usage]]</f>
        <v>0.2432</v>
      </c>
      <c r="G4" s="215">
        <v>0.064</v>
      </c>
      <c r="H4" s="216">
        <v>3.8</v>
      </c>
      <c r="I4" s="206">
        <f>Table2[[#This Row],[Est Q''ty]]*Table2[[#This Row],[Item Cost]]</f>
        <v>101657.6</v>
      </c>
      <c r="J4" s="206">
        <f>Table2[[#This Row],[Item Cost]]</f>
        <v>0.2432</v>
      </c>
      <c r="K4" s="214"/>
    </row>
    <row r="5" ht="27" customHeight="1" spans="1:11">
      <c r="A5" s="213" t="s">
        <v>9</v>
      </c>
      <c r="B5" s="214" t="s">
        <v>315</v>
      </c>
      <c r="D5" s="205"/>
      <c r="E5" s="208">
        <f>SupplierBaseInput!C7</f>
        <v>418000</v>
      </c>
      <c r="F5" s="209">
        <f>Table2[[#This Row],[Unit Cost]]*Table2[[#This Row],[Unit Usage]]</f>
        <v>0.0297</v>
      </c>
      <c r="G5" s="215">
        <v>0.0066</v>
      </c>
      <c r="H5" s="216">
        <v>4.5</v>
      </c>
      <c r="I5" s="206">
        <f>Table2[[#This Row],[Est Q''ty]]*Table2[[#This Row],[Item Cost]]</f>
        <v>12414.6</v>
      </c>
      <c r="J5" s="206">
        <f>Table2[[#This Row],[Item Cost]]</f>
        <v>0.0297</v>
      </c>
      <c r="K5" s="214"/>
    </row>
    <row r="6" ht="27" customHeight="1" spans="1:11">
      <c r="A6" s="213" t="s">
        <v>9</v>
      </c>
      <c r="B6" s="214" t="s">
        <v>316</v>
      </c>
      <c r="D6" s="205"/>
      <c r="E6" s="208">
        <f>SupplierBaseInput!C7</f>
        <v>418000</v>
      </c>
      <c r="F6" s="209">
        <f>Table2[[#This Row],[Unit Cost]]*Table2[[#This Row],[Unit Usage]]</f>
        <v>0.026</v>
      </c>
      <c r="G6" s="215">
        <v>0.004</v>
      </c>
      <c r="H6" s="216">
        <v>6.5</v>
      </c>
      <c r="I6" s="206">
        <f>Table2[[#This Row],[Est Q''ty]]*Table2[[#This Row],[Item Cost]]</f>
        <v>10868</v>
      </c>
      <c r="J6" s="206">
        <f>Table2[[#This Row],[Item Cost]]</f>
        <v>0.026</v>
      </c>
      <c r="K6" s="214"/>
    </row>
    <row r="7" ht="27" customHeight="1" spans="1:11">
      <c r="A7" s="213"/>
      <c r="B7" s="214"/>
      <c r="C7" s="217"/>
      <c r="E7" s="218"/>
      <c r="F7" s="209"/>
      <c r="G7" s="215"/>
      <c r="H7" s="216"/>
      <c r="I7" s="206"/>
      <c r="J7" s="206"/>
      <c r="K7" s="214"/>
    </row>
    <row r="8" ht="27" customHeight="1" spans="1:10">
      <c r="A8" s="205" t="s">
        <v>21</v>
      </c>
      <c r="B8" s="219" t="s">
        <v>286</v>
      </c>
      <c r="E8" s="208">
        <f>SupplierBaseInput!C7</f>
        <v>418000</v>
      </c>
      <c r="F8" s="209">
        <f>Table2[[#This Row],[Unit Cost]]*Table2[[#This Row],[Unit Usage]]</f>
        <v>0.012825</v>
      </c>
      <c r="G8" s="220">
        <f>11.4/8000</f>
        <v>0.001425</v>
      </c>
      <c r="H8" s="221">
        <v>9</v>
      </c>
      <c r="I8" s="206">
        <f>Table2[[#This Row],[Est Q''ty]]*Table2[[#This Row],[Item Cost]]</f>
        <v>5360.85</v>
      </c>
      <c r="J8" s="206">
        <f>Table2[[#This Row],[Item Cost]]</f>
        <v>0.012825</v>
      </c>
    </row>
    <row r="9" ht="27" customHeight="1" spans="1:10">
      <c r="A9" s="205"/>
      <c r="B9" s="219" t="s">
        <v>287</v>
      </c>
      <c r="E9" s="208">
        <f>SupplierBaseInput!C7</f>
        <v>418000</v>
      </c>
      <c r="F9" s="209">
        <f>Table2[[#This Row],[Unit Cost]]*Table2[[#This Row],[Unit Usage]]</f>
        <v>0.00285</v>
      </c>
      <c r="G9" s="220">
        <f>11.4/8000</f>
        <v>0.001425</v>
      </c>
      <c r="H9" s="221">
        <v>2</v>
      </c>
      <c r="I9" s="206">
        <f>Table2[[#This Row],[Est Q''ty]]*Table2[[#This Row],[Item Cost]]</f>
        <v>1191.3</v>
      </c>
      <c r="J9" s="206">
        <f>Table2[[#This Row],[Item Cost]]</f>
        <v>0.00285</v>
      </c>
    </row>
    <row r="10" ht="27" customHeight="1" spans="1:10">
      <c r="A10" s="205"/>
      <c r="B10" s="219" t="s">
        <v>290</v>
      </c>
      <c r="E10" s="208">
        <f>SupplierBaseInput!C7</f>
        <v>418000</v>
      </c>
      <c r="F10" s="209">
        <f>Table2[[#This Row],[Unit Cost]]*Table2[[#This Row],[Unit Usage]]</f>
        <v>0.00285</v>
      </c>
      <c r="G10" s="220">
        <f>11.4/8000</f>
        <v>0.001425</v>
      </c>
      <c r="H10" s="221">
        <v>2</v>
      </c>
      <c r="I10" s="206">
        <f>Table2[[#This Row],[Est Q''ty]]*Table2[[#This Row],[Item Cost]]</f>
        <v>1191.3</v>
      </c>
      <c r="J10" s="206">
        <f>Table2[[#This Row],[Item Cost]]</f>
        <v>0.00285</v>
      </c>
    </row>
    <row r="11" ht="27" customHeight="1" spans="1:10">
      <c r="A11" s="205"/>
      <c r="B11" s="219" t="s">
        <v>288</v>
      </c>
      <c r="E11" s="208">
        <f>SupplierBaseInput!C7</f>
        <v>418000</v>
      </c>
      <c r="F11" s="209">
        <f>Table2[[#This Row],[Unit Cost]]*Table2[[#This Row],[Unit Usage]]</f>
        <v>0.00115</v>
      </c>
      <c r="G11" s="220">
        <f>9.2/8000</f>
        <v>0.00115</v>
      </c>
      <c r="H11" s="221">
        <v>1</v>
      </c>
      <c r="I11" s="206">
        <f>Table2[[#This Row],[Est Q''ty]]*Table2[[#This Row],[Item Cost]]</f>
        <v>480.7</v>
      </c>
      <c r="J11" s="206">
        <f>Table2[[#This Row],[Item Cost]]</f>
        <v>0.00115</v>
      </c>
    </row>
    <row r="12" ht="27" customHeight="1" spans="1:10">
      <c r="A12" s="205"/>
      <c r="B12" s="222"/>
      <c r="E12" s="208"/>
      <c r="F12" s="209"/>
      <c r="G12" s="223"/>
      <c r="I12" s="206"/>
      <c r="J12" s="206"/>
    </row>
    <row r="13" ht="27" customHeight="1" spans="1:10">
      <c r="A13" s="205" t="s">
        <v>18</v>
      </c>
      <c r="E13" s="208"/>
      <c r="F13" s="209"/>
      <c r="G13" s="210"/>
      <c r="H13" s="212"/>
      <c r="I13" s="206"/>
      <c r="J13" s="206"/>
    </row>
    <row r="14" ht="27" customHeight="1" spans="1:11">
      <c r="A14" s="224"/>
      <c r="B14" s="224" t="s">
        <v>317</v>
      </c>
      <c r="C14" s="217"/>
      <c r="E14" s="208">
        <f>SupplierBaseInput!C7</f>
        <v>418000</v>
      </c>
      <c r="F14" s="225">
        <f>Table2[[#This Row],[Unit Cost]]*Table2[[#This Row],[Unit Usage]]</f>
        <v>0.004</v>
      </c>
      <c r="G14" s="226">
        <v>400</v>
      </c>
      <c r="H14" s="216">
        <v>1e-5</v>
      </c>
      <c r="I14" s="234">
        <f>Table2[[#This Row],[Est Q''ty]]*Table2[[#This Row],[Item Cost]]</f>
        <v>1672</v>
      </c>
      <c r="J14" s="235">
        <f>Table2[[#This Row],[Item Cost]]</f>
        <v>0.004</v>
      </c>
      <c r="K14" s="214"/>
    </row>
    <row r="15" ht="27" customHeight="1" spans="1:11">
      <c r="A15" s="224"/>
      <c r="B15" t="s">
        <v>318</v>
      </c>
      <c r="C15" s="217"/>
      <c r="E15" s="208">
        <f>SupplierBaseInput!C7</f>
        <v>418000</v>
      </c>
      <c r="F15" s="225">
        <f>Table2[[#This Row],[Unit Cost]]*Table2[[#This Row],[Unit Usage]]</f>
        <v>0.003</v>
      </c>
      <c r="G15" s="227">
        <v>300</v>
      </c>
      <c r="H15" s="212">
        <v>1e-5</v>
      </c>
      <c r="I15" s="234">
        <f>Table2[[#This Row],[Est Q''ty]]*Table2[[#This Row],[Item Cost]]</f>
        <v>1254</v>
      </c>
      <c r="J15" s="235">
        <f>Table2[[#This Row],[Item Cost]]</f>
        <v>0.003</v>
      </c>
      <c r="K15" s="214"/>
    </row>
    <row r="16" ht="33" customHeight="1" spans="2:10">
      <c r="B16" s="228" t="s">
        <v>319</v>
      </c>
      <c r="C16" s="229"/>
      <c r="D16" s="230" t="s">
        <v>320</v>
      </c>
      <c r="E16" s="208">
        <f>SupplierBaseInput!C7</f>
        <v>418000</v>
      </c>
      <c r="F16" s="209">
        <f>Table2[[#This Row],[Unit Cost]]*Table2[[#This Row],[Unit Usage]]</f>
        <v>0.0001851</v>
      </c>
      <c r="G16" s="210">
        <v>6.17</v>
      </c>
      <c r="H16" s="231">
        <v>3e-5</v>
      </c>
      <c r="I16" s="234">
        <f>Table2[[#This Row],[Est Q''ty]]*Table2[[#This Row],[Item Cost]]</f>
        <v>77.3718</v>
      </c>
      <c r="J16" s="206">
        <f>Table2[[#This Row],[Item Cost]]</f>
        <v>0.0001851</v>
      </c>
    </row>
    <row r="17" ht="31.2" spans="1:10">
      <c r="A17" s="224"/>
      <c r="B17" s="228" t="s">
        <v>321</v>
      </c>
      <c r="C17" s="229"/>
      <c r="D17" s="230" t="s">
        <v>322</v>
      </c>
      <c r="E17" s="208">
        <f>SupplierBaseInput!C7</f>
        <v>418000</v>
      </c>
      <c r="F17" s="209">
        <f>Table2[[#This Row],[Unit Cost]]*Table2[[#This Row],[Unit Usage]]</f>
        <v>0.0006942</v>
      </c>
      <c r="G17" s="205">
        <v>11.57</v>
      </c>
      <c r="H17" s="231">
        <v>6e-5</v>
      </c>
      <c r="I17" s="234">
        <f>Table2[[#This Row],[Est Q''ty]]*Table2[[#This Row],[Item Cost]]</f>
        <v>290.1756</v>
      </c>
      <c r="J17" s="206">
        <f>Table2[[#This Row],[Item Cost]]</f>
        <v>0.0006942</v>
      </c>
    </row>
    <row r="18" ht="24" customHeight="1"/>
  </sheetData>
  <pageMargins left="0.699305555555556" right="0.699305555555556" top="0.75" bottom="0.75" header="0.3" footer="0.3"/>
  <pageSetup paperSize="9" orientation="portrait" horizontalDpi="150" verticalDpi="150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8"/>
  <sheetViews>
    <sheetView zoomScale="57" zoomScaleNormal="57" workbookViewId="0">
      <selection activeCell="Q12" sqref="Q12"/>
    </sheetView>
  </sheetViews>
  <sheetFormatPr defaultColWidth="9.36111111111111" defaultRowHeight="14.4"/>
  <cols>
    <col min="1" max="1" width="4.5462962962963" customWidth="1"/>
    <col min="2" max="2" width="20.4537037037037" customWidth="1"/>
    <col min="3" max="3" width="34.3611111111111" customWidth="1"/>
    <col min="4" max="4" width="3.4537037037037" customWidth="1"/>
    <col min="5" max="6" width="12" customWidth="1"/>
    <col min="7" max="8" width="5.5462962962963" customWidth="1"/>
    <col min="9" max="9" width="20.4537037037037" customWidth="1"/>
    <col min="10" max="10" width="34.3611111111111" customWidth="1"/>
    <col min="11" max="11" width="3.4537037037037" customWidth="1"/>
    <col min="12" max="13" width="12" customWidth="1"/>
    <col min="14" max="15" width="5.5462962962963" customWidth="1"/>
    <col min="16" max="16" width="20.4537037037037" customWidth="1"/>
    <col min="17" max="17" width="34.3611111111111" customWidth="1"/>
    <col min="18" max="18" width="3.4537037037037" customWidth="1"/>
    <col min="19" max="20" width="12" customWidth="1"/>
    <col min="21" max="22" width="5.5462962962963" customWidth="1"/>
  </cols>
  <sheetData>
    <row r="1" ht="28.8" spans="2:10">
      <c r="B1" s="36" t="s">
        <v>323</v>
      </c>
      <c r="D1" s="37"/>
      <c r="H1" s="37"/>
      <c r="J1" s="37"/>
    </row>
    <row r="3" ht="33.75" customHeight="1" spans="1:10">
      <c r="A3" s="38"/>
      <c r="B3" s="39" t="s">
        <v>324</v>
      </c>
      <c r="C3" s="39"/>
      <c r="D3" s="39"/>
      <c r="E3" s="39"/>
      <c r="F3" s="39"/>
      <c r="G3" s="39"/>
      <c r="H3" s="39"/>
      <c r="I3" s="158">
        <f>E7</f>
        <v>8.64</v>
      </c>
      <c r="J3" s="39"/>
    </row>
    <row r="4" ht="33" customHeight="1" spans="1:6">
      <c r="A4" s="40"/>
      <c r="B4" s="41" t="s">
        <v>325</v>
      </c>
      <c r="C4" s="41"/>
      <c r="D4" s="41"/>
      <c r="E4" s="41"/>
      <c r="F4" s="41"/>
    </row>
    <row r="5" ht="21.75" customHeight="1" spans="1:20">
      <c r="A5" s="42"/>
      <c r="B5" s="43"/>
      <c r="C5" s="44"/>
      <c r="D5" s="45"/>
      <c r="E5" s="46" t="s">
        <v>326</v>
      </c>
      <c r="F5" s="47">
        <f>3600/E7</f>
        <v>416.666666666667</v>
      </c>
      <c r="H5" s="48"/>
      <c r="J5" s="48"/>
      <c r="P5" s="159"/>
      <c r="Q5" s="174"/>
      <c r="R5" s="175"/>
      <c r="S5" s="176"/>
      <c r="T5" s="177"/>
    </row>
    <row r="6" ht="41.25" customHeight="1" spans="1:20">
      <c r="A6" s="49"/>
      <c r="B6" s="50" t="s">
        <v>327</v>
      </c>
      <c r="C6" s="51" t="s">
        <v>328</v>
      </c>
      <c r="D6" s="45"/>
      <c r="E6" s="50" t="s">
        <v>329</v>
      </c>
      <c r="F6" s="52" t="s">
        <v>330</v>
      </c>
      <c r="H6" s="53"/>
      <c r="J6" s="53"/>
      <c r="P6" s="160"/>
      <c r="Q6" s="160"/>
      <c r="R6" s="178"/>
      <c r="S6" s="160"/>
      <c r="T6" s="160"/>
    </row>
    <row r="7" ht="51.75" customHeight="1" spans="1:20">
      <c r="A7" s="54"/>
      <c r="B7" s="55">
        <f>96*0.09</f>
        <v>8.64</v>
      </c>
      <c r="C7" s="56"/>
      <c r="D7" s="57"/>
      <c r="E7" s="58">
        <f>MAX(E8:E13)+MAX(E15:E22)</f>
        <v>8.64</v>
      </c>
      <c r="F7" s="59">
        <f>SUM(F8:F22)</f>
        <v>10</v>
      </c>
      <c r="H7" s="60"/>
      <c r="J7" s="60"/>
      <c r="P7" s="161"/>
      <c r="Q7" s="179"/>
      <c r="R7" s="179"/>
      <c r="S7" s="180"/>
      <c r="T7" s="181"/>
    </row>
    <row r="8" ht="60" customHeight="1" spans="1:20">
      <c r="A8" s="61"/>
      <c r="B8" s="62" t="s">
        <v>331</v>
      </c>
      <c r="C8" s="63"/>
      <c r="D8" s="64"/>
      <c r="E8" s="65">
        <v>4</v>
      </c>
      <c r="F8" s="66">
        <v>1</v>
      </c>
      <c r="H8" s="67"/>
      <c r="J8" s="162"/>
      <c r="P8" s="163"/>
      <c r="Q8" s="182"/>
      <c r="R8" s="183"/>
      <c r="S8" s="184"/>
      <c r="T8" s="165"/>
    </row>
    <row r="9" ht="51.75" customHeight="1" spans="1:20">
      <c r="A9" s="61"/>
      <c r="B9" s="68" t="s">
        <v>332</v>
      </c>
      <c r="C9" s="69"/>
      <c r="D9" s="45"/>
      <c r="E9" s="65">
        <v>4</v>
      </c>
      <c r="F9" s="70"/>
      <c r="H9" s="48"/>
      <c r="J9" s="48"/>
      <c r="P9" s="164"/>
      <c r="Q9" s="185"/>
      <c r="R9" s="186"/>
      <c r="S9" s="184"/>
      <c r="T9" s="165"/>
    </row>
    <row r="10" ht="51.75" customHeight="1" spans="1:20">
      <c r="A10" s="61"/>
      <c r="B10" s="68" t="s">
        <v>333</v>
      </c>
      <c r="C10" s="69"/>
      <c r="D10" s="45"/>
      <c r="E10" s="65">
        <v>4</v>
      </c>
      <c r="F10" s="66">
        <v>2</v>
      </c>
      <c r="H10" s="48"/>
      <c r="J10" s="48"/>
      <c r="P10" s="164"/>
      <c r="Q10" s="185"/>
      <c r="R10" s="186"/>
      <c r="S10" s="184"/>
      <c r="T10" s="165"/>
    </row>
    <row r="11" ht="60" customHeight="1" spans="1:20">
      <c r="A11" s="61"/>
      <c r="B11" s="68" t="s">
        <v>334</v>
      </c>
      <c r="C11" s="69"/>
      <c r="D11" s="45"/>
      <c r="E11" s="65">
        <v>4.04</v>
      </c>
      <c r="F11" s="66">
        <v>0</v>
      </c>
      <c r="H11" s="48"/>
      <c r="J11" s="48"/>
      <c r="P11" s="164"/>
      <c r="Q11" s="185"/>
      <c r="R11" s="186"/>
      <c r="S11" s="187"/>
      <c r="T11" s="165"/>
    </row>
    <row r="12" ht="60" customHeight="1" spans="1:20">
      <c r="A12" s="61"/>
      <c r="B12" s="68" t="s">
        <v>335</v>
      </c>
      <c r="C12" s="69"/>
      <c r="D12" s="45"/>
      <c r="E12" s="65">
        <v>4</v>
      </c>
      <c r="F12" s="66">
        <v>1</v>
      </c>
      <c r="H12" s="48"/>
      <c r="J12" s="48"/>
      <c r="P12" s="164"/>
      <c r="Q12" s="185"/>
      <c r="R12" s="186"/>
      <c r="S12" s="184"/>
      <c r="T12" s="165"/>
    </row>
    <row r="13" ht="60" customHeight="1" spans="1:20">
      <c r="A13" s="61"/>
      <c r="B13" s="68" t="s">
        <v>336</v>
      </c>
      <c r="C13" s="69"/>
      <c r="D13" s="45"/>
      <c r="E13" s="65">
        <v>4.1</v>
      </c>
      <c r="F13" s="66">
        <v>1</v>
      </c>
      <c r="H13" s="48"/>
      <c r="J13" s="48"/>
      <c r="P13" s="164"/>
      <c r="Q13" s="185"/>
      <c r="R13" s="186"/>
      <c r="S13" s="184"/>
      <c r="T13" s="165"/>
    </row>
    <row r="14" ht="60" customHeight="1" spans="1:20">
      <c r="A14" s="61"/>
      <c r="B14" s="71" t="s">
        <v>337</v>
      </c>
      <c r="C14" s="69"/>
      <c r="D14" s="45"/>
      <c r="E14" s="72"/>
      <c r="F14" s="73"/>
      <c r="H14" s="48"/>
      <c r="J14" s="48"/>
      <c r="P14" s="164"/>
      <c r="Q14" s="185"/>
      <c r="R14" s="186"/>
      <c r="S14" s="184"/>
      <c r="T14" s="165"/>
    </row>
    <row r="15" ht="60" customHeight="1" spans="1:20">
      <c r="A15" s="61"/>
      <c r="B15" s="62" t="s">
        <v>338</v>
      </c>
      <c r="C15" s="63"/>
      <c r="D15" s="64"/>
      <c r="E15" s="65">
        <v>4.2</v>
      </c>
      <c r="F15" s="66">
        <v>1</v>
      </c>
      <c r="H15" s="48"/>
      <c r="J15" s="48"/>
      <c r="P15" s="164"/>
      <c r="Q15" s="185"/>
      <c r="R15" s="186"/>
      <c r="S15" s="184"/>
      <c r="T15" s="165"/>
    </row>
    <row r="16" ht="60" customHeight="1" spans="2:22">
      <c r="B16" s="68" t="s">
        <v>332</v>
      </c>
      <c r="C16" s="69"/>
      <c r="D16" s="45"/>
      <c r="E16" s="65">
        <v>4</v>
      </c>
      <c r="F16" s="66"/>
      <c r="G16" s="48"/>
      <c r="H16" s="48"/>
      <c r="N16" s="48"/>
      <c r="O16" s="48"/>
      <c r="P16" s="165"/>
      <c r="Q16" s="165"/>
      <c r="R16" s="183"/>
      <c r="S16" s="188"/>
      <c r="T16" s="165"/>
      <c r="U16" s="48"/>
      <c r="V16" s="48"/>
    </row>
    <row r="17" ht="55.5" customHeight="1" spans="1:22">
      <c r="A17" s="61"/>
      <c r="B17" s="68" t="s">
        <v>333</v>
      </c>
      <c r="C17" s="69"/>
      <c r="D17" s="45"/>
      <c r="E17" s="65">
        <v>4.54</v>
      </c>
      <c r="F17" s="66">
        <v>2</v>
      </c>
      <c r="H17" s="74"/>
      <c r="O17" s="74"/>
      <c r="V17" s="74"/>
    </row>
    <row r="18" ht="55.5" customHeight="1" spans="2:6">
      <c r="B18" s="68" t="s">
        <v>334</v>
      </c>
      <c r="C18" s="69"/>
      <c r="D18" s="45"/>
      <c r="E18" s="65">
        <v>4.29</v>
      </c>
      <c r="F18" s="66">
        <v>0</v>
      </c>
    </row>
    <row r="19" ht="55.5" customHeight="1" spans="2:20">
      <c r="B19" s="68" t="s">
        <v>335</v>
      </c>
      <c r="C19" s="69"/>
      <c r="D19" s="45"/>
      <c r="E19" s="65">
        <v>4.2</v>
      </c>
      <c r="F19" s="66">
        <v>1</v>
      </c>
      <c r="P19" s="166"/>
      <c r="Q19" s="166"/>
      <c r="R19" s="166"/>
      <c r="S19" s="166"/>
      <c r="T19" s="166"/>
    </row>
    <row r="20" ht="55.5" customHeight="1" spans="2:20">
      <c r="B20" s="68" t="s">
        <v>336</v>
      </c>
      <c r="C20" s="69"/>
      <c r="D20" s="45"/>
      <c r="E20" s="65">
        <v>4</v>
      </c>
      <c r="F20" s="66">
        <v>1</v>
      </c>
      <c r="P20" s="167"/>
      <c r="Q20" s="167"/>
      <c r="R20" s="167"/>
      <c r="S20" s="167"/>
      <c r="T20" s="167"/>
    </row>
    <row r="21" ht="55.5" customHeight="1" spans="1:20">
      <c r="A21" s="38"/>
      <c r="B21" s="68" t="s">
        <v>337</v>
      </c>
      <c r="C21" s="69"/>
      <c r="D21" s="45"/>
      <c r="E21" s="75"/>
      <c r="F21" s="73"/>
      <c r="H21" s="76"/>
      <c r="P21" s="168"/>
      <c r="Q21" s="168"/>
      <c r="R21" s="168"/>
      <c r="S21" s="168"/>
      <c r="T21" s="168"/>
    </row>
    <row r="22" ht="55.5" customHeight="1" spans="1:20">
      <c r="A22" s="40"/>
      <c r="B22" s="77"/>
      <c r="C22" s="78"/>
      <c r="D22" s="64"/>
      <c r="E22" s="79"/>
      <c r="F22" s="66"/>
      <c r="I22" s="41"/>
      <c r="J22" s="41"/>
      <c r="K22" s="41"/>
      <c r="L22" s="41"/>
      <c r="M22" s="41"/>
      <c r="P22" s="169"/>
      <c r="Q22" s="189"/>
      <c r="R22" s="190"/>
      <c r="S22" s="191"/>
      <c r="T22" s="192"/>
    </row>
    <row r="23" ht="21.75" customHeight="1" spans="1:20">
      <c r="A23" s="42"/>
      <c r="O23" s="166"/>
      <c r="P23" s="170"/>
      <c r="Q23" s="170"/>
      <c r="R23" s="193"/>
      <c r="S23" s="170"/>
      <c r="T23" s="170"/>
    </row>
    <row r="24" ht="41.25" customHeight="1" spans="1:20">
      <c r="A24" s="49"/>
      <c r="B24" s="80" t="s">
        <v>339</v>
      </c>
      <c r="C24" s="80"/>
      <c r="D24" s="80"/>
      <c r="E24" s="80"/>
      <c r="F24" s="80"/>
      <c r="G24" s="81"/>
      <c r="H24" s="82" t="s">
        <v>340</v>
      </c>
      <c r="I24" s="140">
        <f>E28+L28</f>
        <v>12</v>
      </c>
      <c r="O24" s="166"/>
      <c r="P24" s="171"/>
      <c r="Q24" s="194"/>
      <c r="R24" s="195"/>
      <c r="S24" s="196"/>
      <c r="T24" s="197"/>
    </row>
    <row r="25" ht="51.75" customHeight="1" spans="1:20">
      <c r="A25" s="54"/>
      <c r="B25" s="83" t="s">
        <v>341</v>
      </c>
      <c r="C25" s="83"/>
      <c r="D25" s="83"/>
      <c r="E25" s="83"/>
      <c r="F25" s="83"/>
      <c r="I25" s="113" t="s">
        <v>342</v>
      </c>
      <c r="J25" s="113"/>
      <c r="K25" s="113"/>
      <c r="L25" s="113"/>
      <c r="M25" s="113"/>
      <c r="O25" s="166"/>
      <c r="P25" s="172"/>
      <c r="Q25" s="198"/>
      <c r="R25" s="198"/>
      <c r="S25" s="199"/>
      <c r="T25" s="200"/>
    </row>
    <row r="26" ht="60" customHeight="1" spans="1:20">
      <c r="A26" s="61"/>
      <c r="B26" s="84"/>
      <c r="C26" s="85"/>
      <c r="D26" s="86"/>
      <c r="E26" s="87" t="s">
        <v>326</v>
      </c>
      <c r="F26" s="88">
        <f>3600/E28</f>
        <v>514.285714285714</v>
      </c>
      <c r="I26" s="112"/>
      <c r="J26" s="112"/>
      <c r="K26" s="112"/>
      <c r="L26" s="87" t="s">
        <v>326</v>
      </c>
      <c r="M26" s="88">
        <f>3600/L28</f>
        <v>720</v>
      </c>
      <c r="O26" s="166"/>
      <c r="P26" s="172"/>
      <c r="Q26" s="198"/>
      <c r="R26" s="198"/>
      <c r="S26" s="199"/>
      <c r="T26" s="201"/>
    </row>
    <row r="27" ht="51.75" customHeight="1" spans="1:20">
      <c r="A27" s="61"/>
      <c r="B27" s="89"/>
      <c r="C27" s="89" t="s">
        <v>328</v>
      </c>
      <c r="D27" s="86"/>
      <c r="E27" s="89" t="s">
        <v>329</v>
      </c>
      <c r="F27" s="89" t="s">
        <v>330</v>
      </c>
      <c r="I27" s="89"/>
      <c r="J27" s="89" t="s">
        <v>328</v>
      </c>
      <c r="K27" s="86"/>
      <c r="L27" s="89" t="s">
        <v>329</v>
      </c>
      <c r="M27" s="89" t="s">
        <v>330</v>
      </c>
      <c r="O27" s="166"/>
      <c r="P27" s="172"/>
      <c r="Q27" s="198"/>
      <c r="R27" s="198"/>
      <c r="S27" s="199"/>
      <c r="T27" s="200"/>
    </row>
    <row r="28" ht="60" customHeight="1" spans="1:20">
      <c r="A28" s="61"/>
      <c r="B28" s="90"/>
      <c r="C28" s="91"/>
      <c r="D28" s="92"/>
      <c r="E28" s="93">
        <f>MAX(E29:E38)</f>
        <v>7</v>
      </c>
      <c r="F28" s="94">
        <f>SUM(F29:F38)</f>
        <v>18</v>
      </c>
      <c r="I28" s="90"/>
      <c r="J28" s="91"/>
      <c r="K28" s="92"/>
      <c r="L28" s="93">
        <f>MAX(L29:L38)</f>
        <v>5</v>
      </c>
      <c r="M28" s="94">
        <f>SUM(M29:M38)</f>
        <v>15</v>
      </c>
      <c r="O28" s="166"/>
      <c r="P28" s="172"/>
      <c r="Q28" s="198"/>
      <c r="R28" s="198"/>
      <c r="S28" s="202"/>
      <c r="T28" s="200"/>
    </row>
    <row r="29" ht="60" customHeight="1" spans="1:20">
      <c r="A29" s="61"/>
      <c r="B29" s="95" t="s">
        <v>343</v>
      </c>
      <c r="C29" s="96"/>
      <c r="D29" s="86"/>
      <c r="E29" s="97">
        <v>3.3</v>
      </c>
      <c r="F29" s="98">
        <v>1</v>
      </c>
      <c r="I29" s="95" t="s">
        <v>343</v>
      </c>
      <c r="J29" s="96"/>
      <c r="K29" s="86"/>
      <c r="L29" s="97">
        <v>3.3</v>
      </c>
      <c r="M29" s="98">
        <v>1</v>
      </c>
      <c r="O29" s="166"/>
      <c r="P29" s="172"/>
      <c r="Q29" s="198"/>
      <c r="R29" s="198"/>
      <c r="S29" s="199"/>
      <c r="T29" s="200"/>
    </row>
    <row r="30" ht="60" customHeight="1" spans="1:20">
      <c r="A30" s="61"/>
      <c r="B30" s="95" t="s">
        <v>344</v>
      </c>
      <c r="C30" s="96"/>
      <c r="D30" s="86"/>
      <c r="E30" s="97">
        <v>7</v>
      </c>
      <c r="F30" s="99">
        <v>7</v>
      </c>
      <c r="I30" s="95" t="s">
        <v>344</v>
      </c>
      <c r="J30" s="96"/>
      <c r="K30" s="86"/>
      <c r="L30" s="97">
        <v>5</v>
      </c>
      <c r="M30" s="99">
        <v>4</v>
      </c>
      <c r="O30" s="166"/>
      <c r="P30" s="172"/>
      <c r="Q30" s="198"/>
      <c r="R30" s="198"/>
      <c r="S30" s="199"/>
      <c r="T30" s="200"/>
    </row>
    <row r="31" ht="60" customHeight="1" spans="1:20">
      <c r="A31" s="61"/>
      <c r="B31" s="95" t="s">
        <v>345</v>
      </c>
      <c r="C31" s="96"/>
      <c r="D31" s="86"/>
      <c r="E31" s="97">
        <v>3.4</v>
      </c>
      <c r="F31" s="98">
        <v>1</v>
      </c>
      <c r="I31" s="95" t="s">
        <v>345</v>
      </c>
      <c r="J31" s="96"/>
      <c r="K31" s="86"/>
      <c r="L31" s="97">
        <v>3.4</v>
      </c>
      <c r="M31" s="98">
        <v>1</v>
      </c>
      <c r="O31" s="166"/>
      <c r="P31" s="173"/>
      <c r="Q31" s="198"/>
      <c r="R31" s="198"/>
      <c r="S31" s="203"/>
      <c r="T31" s="204"/>
    </row>
    <row r="32" ht="60" customHeight="1" spans="1:20">
      <c r="A32" s="61"/>
      <c r="B32" s="95" t="s">
        <v>346</v>
      </c>
      <c r="C32" s="96"/>
      <c r="D32" s="86"/>
      <c r="E32" s="100">
        <v>4.5</v>
      </c>
      <c r="F32" s="98"/>
      <c r="I32" s="95" t="s">
        <v>346</v>
      </c>
      <c r="J32" s="96"/>
      <c r="K32" s="86"/>
      <c r="L32" s="100">
        <v>4.5</v>
      </c>
      <c r="M32" s="98"/>
      <c r="O32" s="166"/>
      <c r="P32" s="172"/>
      <c r="Q32" s="198"/>
      <c r="R32" s="198"/>
      <c r="S32" s="203"/>
      <c r="T32" s="204"/>
    </row>
    <row r="33" ht="60" customHeight="1" spans="1:20">
      <c r="A33" s="61"/>
      <c r="B33" s="95" t="s">
        <v>347</v>
      </c>
      <c r="C33" s="96"/>
      <c r="D33" s="86"/>
      <c r="E33" s="97">
        <v>3</v>
      </c>
      <c r="F33" s="98">
        <v>1</v>
      </c>
      <c r="I33" s="95" t="s">
        <v>347</v>
      </c>
      <c r="J33" s="96"/>
      <c r="K33" s="86"/>
      <c r="L33" s="97">
        <v>3</v>
      </c>
      <c r="M33" s="98">
        <v>1</v>
      </c>
      <c r="O33" s="166"/>
      <c r="P33" s="173"/>
      <c r="Q33" s="198"/>
      <c r="R33" s="198"/>
      <c r="S33" s="200"/>
      <c r="T33" s="200"/>
    </row>
    <row r="34" ht="60" customHeight="1" spans="1:13">
      <c r="A34" s="61"/>
      <c r="B34" s="95" t="s">
        <v>348</v>
      </c>
      <c r="C34" s="96"/>
      <c r="D34" s="86"/>
      <c r="E34" s="97">
        <v>3.1</v>
      </c>
      <c r="F34" s="98">
        <v>2</v>
      </c>
      <c r="I34" s="95" t="s">
        <v>348</v>
      </c>
      <c r="J34" s="96"/>
      <c r="K34" s="86"/>
      <c r="L34" s="97">
        <v>3.1</v>
      </c>
      <c r="M34" s="98">
        <v>2</v>
      </c>
    </row>
    <row r="35" ht="60" customHeight="1" spans="1:13">
      <c r="A35" s="61"/>
      <c r="B35" s="101"/>
      <c r="C35" s="102"/>
      <c r="D35" s="86"/>
      <c r="E35" s="97"/>
      <c r="F35" s="98"/>
      <c r="I35" s="101"/>
      <c r="J35" s="102"/>
      <c r="K35" s="86"/>
      <c r="L35" s="97"/>
      <c r="M35" s="98"/>
    </row>
    <row r="36" ht="52.5" customHeight="1" spans="1:22">
      <c r="A36" s="61"/>
      <c r="B36" s="101" t="s">
        <v>337</v>
      </c>
      <c r="C36" s="102"/>
      <c r="D36" s="86"/>
      <c r="E36" s="103"/>
      <c r="F36" s="104"/>
      <c r="H36" s="74"/>
      <c r="I36" s="101" t="s">
        <v>337</v>
      </c>
      <c r="J36" s="102"/>
      <c r="K36" s="86"/>
      <c r="L36" s="103"/>
      <c r="M36" s="104"/>
      <c r="O36" s="74"/>
      <c r="V36" s="74"/>
    </row>
    <row r="37" ht="52.5" customHeight="1" spans="2:13">
      <c r="B37" s="95" t="s">
        <v>349</v>
      </c>
      <c r="C37" s="96"/>
      <c r="D37" s="86"/>
      <c r="E37" s="103">
        <v>3.4</v>
      </c>
      <c r="F37" s="104">
        <v>6</v>
      </c>
      <c r="I37" s="95" t="s">
        <v>349</v>
      </c>
      <c r="J37" s="96"/>
      <c r="K37" s="86"/>
      <c r="L37" s="103">
        <v>3.4</v>
      </c>
      <c r="M37" s="104">
        <v>6</v>
      </c>
    </row>
    <row r="38" ht="52.5" customHeight="1" spans="2:13">
      <c r="B38" s="105"/>
      <c r="C38" s="106"/>
      <c r="D38" s="86"/>
      <c r="E38" s="107"/>
      <c r="F38" s="107"/>
      <c r="I38" s="105"/>
      <c r="J38" s="106"/>
      <c r="K38" s="86"/>
      <c r="L38" s="107"/>
      <c r="M38" s="107"/>
    </row>
    <row r="39" ht="57" customHeight="1" spans="2:9">
      <c r="B39" s="108" t="s">
        <v>350</v>
      </c>
      <c r="C39" s="108"/>
      <c r="D39" s="108"/>
      <c r="E39" s="108"/>
      <c r="F39" s="108"/>
      <c r="G39" s="109"/>
      <c r="H39" s="82" t="s">
        <v>340</v>
      </c>
      <c r="I39" s="140">
        <f>E43+L43</f>
        <v>24</v>
      </c>
    </row>
    <row r="40" ht="57" customHeight="1" spans="2:12">
      <c r="B40" s="110" t="s">
        <v>351</v>
      </c>
      <c r="C40" s="111"/>
      <c r="D40" s="111"/>
      <c r="E40" s="111"/>
      <c r="F40" s="111"/>
      <c r="G40" s="112"/>
      <c r="H40" s="113" t="s">
        <v>352</v>
      </c>
      <c r="I40" s="113"/>
      <c r="J40" s="113"/>
      <c r="K40" s="113"/>
      <c r="L40" s="113"/>
    </row>
    <row r="41" ht="57" customHeight="1" spans="2:13">
      <c r="B41" s="114"/>
      <c r="C41" s="115"/>
      <c r="D41" s="116"/>
      <c r="E41" s="117" t="s">
        <v>326</v>
      </c>
      <c r="F41" s="118">
        <v>600</v>
      </c>
      <c r="I41" s="114"/>
      <c r="J41" s="115"/>
      <c r="K41" s="116"/>
      <c r="L41" s="117" t="s">
        <v>326</v>
      </c>
      <c r="M41" s="118">
        <v>600</v>
      </c>
    </row>
    <row r="42" ht="57" customHeight="1" spans="2:13">
      <c r="B42" s="119" t="s">
        <v>327</v>
      </c>
      <c r="C42" s="120" t="s">
        <v>328</v>
      </c>
      <c r="D42" s="121"/>
      <c r="E42" s="119" t="s">
        <v>329</v>
      </c>
      <c r="F42" s="119" t="s">
        <v>330</v>
      </c>
      <c r="I42" s="119" t="s">
        <v>327</v>
      </c>
      <c r="J42" s="120" t="s">
        <v>328</v>
      </c>
      <c r="K42" s="121"/>
      <c r="L42" s="119" t="s">
        <v>329</v>
      </c>
      <c r="M42" s="119" t="s">
        <v>330</v>
      </c>
    </row>
    <row r="43" ht="57" customHeight="1" spans="2:13">
      <c r="B43" s="122"/>
      <c r="C43" s="123"/>
      <c r="D43" s="124"/>
      <c r="E43" s="125">
        <f>MAX(E44:E48)</f>
        <v>12</v>
      </c>
      <c r="F43" s="126">
        <v>2</v>
      </c>
      <c r="I43" s="122"/>
      <c r="J43" s="123"/>
      <c r="K43" s="124"/>
      <c r="L43" s="125">
        <f>MAX(L44:L48)</f>
        <v>12</v>
      </c>
      <c r="M43" s="126">
        <v>2</v>
      </c>
    </row>
    <row r="44" ht="57" customHeight="1" spans="2:13">
      <c r="B44" s="127" t="s">
        <v>353</v>
      </c>
      <c r="C44" s="128"/>
      <c r="D44" s="129"/>
      <c r="E44" s="130">
        <v>12</v>
      </c>
      <c r="F44" s="131">
        <v>1</v>
      </c>
      <c r="I44" s="127" t="s">
        <v>353</v>
      </c>
      <c r="J44" s="128"/>
      <c r="K44" s="129"/>
      <c r="L44" s="130">
        <v>12</v>
      </c>
      <c r="M44" s="131">
        <v>1</v>
      </c>
    </row>
    <row r="45" ht="57" customHeight="1" spans="2:13">
      <c r="B45" s="132"/>
      <c r="C45" s="133"/>
      <c r="D45" s="134"/>
      <c r="E45" s="131"/>
      <c r="F45" s="131"/>
      <c r="I45" s="132"/>
      <c r="J45" s="133"/>
      <c r="K45" s="134"/>
      <c r="L45" s="131"/>
      <c r="M45" s="131"/>
    </row>
    <row r="46" ht="57" customHeight="1" spans="2:13">
      <c r="B46" s="132" t="s">
        <v>336</v>
      </c>
      <c r="C46" s="133"/>
      <c r="D46" s="134"/>
      <c r="E46" s="130">
        <v>5</v>
      </c>
      <c r="F46" s="131">
        <v>0.5</v>
      </c>
      <c r="I46" s="132" t="s">
        <v>336</v>
      </c>
      <c r="J46" s="133"/>
      <c r="K46" s="134"/>
      <c r="L46" s="130">
        <v>5</v>
      </c>
      <c r="M46" s="131">
        <v>0.5</v>
      </c>
    </row>
    <row r="47" ht="57" customHeight="1" spans="2:13">
      <c r="B47" s="135" t="s">
        <v>354</v>
      </c>
      <c r="C47" s="136"/>
      <c r="D47" s="134"/>
      <c r="E47" s="130">
        <v>5</v>
      </c>
      <c r="F47" s="131">
        <v>0.5</v>
      </c>
      <c r="I47" s="135" t="s">
        <v>354</v>
      </c>
      <c r="J47" s="136"/>
      <c r="K47" s="134"/>
      <c r="L47" s="130">
        <v>5</v>
      </c>
      <c r="M47" s="131">
        <v>0.5</v>
      </c>
    </row>
    <row r="48" ht="57" customHeight="1" spans="2:13">
      <c r="B48" s="137"/>
      <c r="C48" s="138"/>
      <c r="D48" s="134"/>
      <c r="E48" s="131"/>
      <c r="F48" s="131"/>
      <c r="I48" s="137"/>
      <c r="J48" s="138"/>
      <c r="K48" s="134"/>
      <c r="L48" s="131"/>
      <c r="M48" s="131"/>
    </row>
    <row r="49" ht="57" customHeight="1" spans="2:9">
      <c r="B49" s="139" t="s">
        <v>355</v>
      </c>
      <c r="C49" s="139"/>
      <c r="D49" s="139"/>
      <c r="E49" s="82"/>
      <c r="F49" s="140" t="s">
        <v>340</v>
      </c>
      <c r="G49" s="82"/>
      <c r="H49" s="141">
        <f>E53</f>
        <v>4</v>
      </c>
      <c r="I49" s="141"/>
    </row>
    <row r="50" ht="57" customHeight="1" spans="2:6">
      <c r="B50" s="142" t="s">
        <v>356</v>
      </c>
      <c r="C50" s="143"/>
      <c r="D50" s="143"/>
      <c r="E50" s="143"/>
      <c r="F50" s="143"/>
    </row>
    <row r="51" ht="57" customHeight="1" spans="2:6">
      <c r="B51" s="144"/>
      <c r="C51" s="145"/>
      <c r="D51" s="112"/>
      <c r="E51" s="146" t="s">
        <v>326</v>
      </c>
      <c r="F51" s="147">
        <f>3600/E53</f>
        <v>900</v>
      </c>
    </row>
    <row r="52" ht="57" customHeight="1" spans="2:6">
      <c r="B52" s="119" t="s">
        <v>327</v>
      </c>
      <c r="C52" s="120" t="s">
        <v>328</v>
      </c>
      <c r="D52" s="112"/>
      <c r="E52" s="119" t="s">
        <v>329</v>
      </c>
      <c r="F52" s="119" t="s">
        <v>330</v>
      </c>
    </row>
    <row r="53" ht="57" customHeight="1" spans="2:6">
      <c r="B53" s="148"/>
      <c r="C53" s="149"/>
      <c r="D53" s="112"/>
      <c r="E53" s="125">
        <f>SUM(MAX(E54:E58))</f>
        <v>4</v>
      </c>
      <c r="F53" s="126">
        <f>SUM(F54:F58)</f>
        <v>1</v>
      </c>
    </row>
    <row r="54" ht="57" customHeight="1" spans="2:6">
      <c r="B54" s="150" t="s">
        <v>357</v>
      </c>
      <c r="C54" s="151"/>
      <c r="D54" s="112"/>
      <c r="E54" s="130">
        <v>1.5</v>
      </c>
      <c r="F54" s="131">
        <v>0.5</v>
      </c>
    </row>
    <row r="55" ht="57" customHeight="1" spans="2:6">
      <c r="B55" s="152"/>
      <c r="C55" s="153"/>
      <c r="D55" s="112"/>
      <c r="E55" s="131"/>
      <c r="F55" s="131"/>
    </row>
    <row r="56" ht="57" customHeight="1" spans="2:6">
      <c r="B56" s="152" t="s">
        <v>358</v>
      </c>
      <c r="C56" s="153"/>
      <c r="D56" s="112"/>
      <c r="E56" s="130">
        <v>4</v>
      </c>
      <c r="F56" s="131"/>
    </row>
    <row r="57" ht="57" customHeight="1" spans="2:6">
      <c r="B57" s="154" t="s">
        <v>359</v>
      </c>
      <c r="C57" s="155"/>
      <c r="D57" s="112"/>
      <c r="E57" s="130">
        <v>1.5</v>
      </c>
      <c r="F57" s="131">
        <v>0.5</v>
      </c>
    </row>
    <row r="58" ht="60" customHeight="1" spans="2:6">
      <c r="B58" s="156"/>
      <c r="C58" s="157"/>
      <c r="D58" s="112"/>
      <c r="E58" s="131"/>
      <c r="F58" s="131"/>
    </row>
  </sheetData>
  <mergeCells count="9">
    <mergeCell ref="B4:F4"/>
    <mergeCell ref="P21:T21"/>
    <mergeCell ref="I22:M22"/>
    <mergeCell ref="B25:F25"/>
    <mergeCell ref="I25:M25"/>
    <mergeCell ref="B40:F40"/>
    <mergeCell ref="H40:L40"/>
    <mergeCell ref="H49:I49"/>
    <mergeCell ref="B50:F50"/>
  </mergeCell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zoomScale="90" zoomScaleNormal="90" workbookViewId="0">
      <pane xSplit="1" ySplit="3" topLeftCell="B34" activePane="bottomRight" state="frozen"/>
      <selection/>
      <selection pane="topRight"/>
      <selection pane="bottomLeft"/>
      <selection pane="bottomRight" activeCell="J18" sqref="J18"/>
    </sheetView>
  </sheetViews>
  <sheetFormatPr defaultColWidth="9.4537037037037" defaultRowHeight="14.4"/>
  <cols>
    <col min="1" max="1" width="11.4537037037037" customWidth="1"/>
    <col min="2" max="8" width="10.4537037037037" customWidth="1"/>
    <col min="9" max="9" width="38.5462962962963" customWidth="1"/>
    <col min="10" max="11" width="9.5462962962963" customWidth="1"/>
    <col min="12" max="12" width="30.5462962962963" customWidth="1"/>
    <col min="13" max="13" width="11.4537037037037" customWidth="1"/>
    <col min="14" max="14" width="13.4537037037037" customWidth="1"/>
  </cols>
  <sheetData>
    <row r="1" ht="33" customHeight="1" spans="1:13">
      <c r="A1" s="1" t="s">
        <v>360</v>
      </c>
      <c r="B1" s="1"/>
      <c r="C1" s="1"/>
      <c r="D1" s="1"/>
      <c r="E1" s="1"/>
      <c r="F1" s="1"/>
      <c r="G1" s="1"/>
      <c r="H1" s="1"/>
      <c r="I1" s="1"/>
      <c r="J1" s="1"/>
      <c r="K1" s="1"/>
      <c r="L1" s="13"/>
      <c r="M1" s="13"/>
    </row>
    <row r="2" ht="33" customHeight="1" spans="1:13">
      <c r="A2" s="2" t="s">
        <v>309</v>
      </c>
      <c r="B2" s="3" t="s">
        <v>327</v>
      </c>
      <c r="C2" s="4"/>
      <c r="D2" s="4"/>
      <c r="E2" s="4"/>
      <c r="F2" s="4"/>
      <c r="G2" s="4"/>
      <c r="H2" s="5"/>
      <c r="I2" s="14" t="s">
        <v>361</v>
      </c>
      <c r="J2" s="15" t="s">
        <v>330</v>
      </c>
      <c r="K2" s="16" t="s">
        <v>362</v>
      </c>
      <c r="L2" s="17" t="s">
        <v>363</v>
      </c>
      <c r="M2" s="18">
        <f>SUM(J4:J37)-M3</f>
        <v>22.5</v>
      </c>
    </row>
    <row r="3" ht="33" customHeight="1" spans="1:13">
      <c r="A3" s="6"/>
      <c r="B3" s="7" t="s">
        <v>364</v>
      </c>
      <c r="C3" s="7"/>
      <c r="D3" s="7"/>
      <c r="E3" s="7"/>
      <c r="F3" s="7"/>
      <c r="G3" s="7"/>
      <c r="H3" s="7"/>
      <c r="I3" s="19"/>
      <c r="J3" s="20">
        <f>SUM(J4:J37)</f>
        <v>28.5</v>
      </c>
      <c r="K3" s="21">
        <f>MAX(K4:K37)</f>
        <v>19</v>
      </c>
      <c r="L3" s="22" t="s">
        <v>365</v>
      </c>
      <c r="M3" s="23">
        <f>J9+J21+J22+J23</f>
        <v>6</v>
      </c>
    </row>
    <row r="4" ht="48" customHeight="1" spans="1:13">
      <c r="A4" s="8" t="s">
        <v>366</v>
      </c>
      <c r="B4" s="9" t="s">
        <v>367</v>
      </c>
      <c r="C4" s="9"/>
      <c r="D4" s="9"/>
      <c r="E4" s="9"/>
      <c r="F4" s="9"/>
      <c r="G4" s="9"/>
      <c r="H4" s="9"/>
      <c r="I4" s="24"/>
      <c r="J4" s="25">
        <v>0.5</v>
      </c>
      <c r="K4" s="26">
        <v>19</v>
      </c>
      <c r="L4" s="27" t="s">
        <v>368</v>
      </c>
      <c r="M4" s="28"/>
    </row>
    <row r="5" ht="48" customHeight="1" spans="1:13">
      <c r="A5" s="10"/>
      <c r="B5" s="9" t="s">
        <v>369</v>
      </c>
      <c r="C5" s="9"/>
      <c r="D5" s="9"/>
      <c r="E5" s="9"/>
      <c r="F5" s="9"/>
      <c r="G5" s="9"/>
      <c r="H5" s="9"/>
      <c r="I5" s="24"/>
      <c r="J5" s="25">
        <v>0.5</v>
      </c>
      <c r="K5" s="26">
        <v>19</v>
      </c>
      <c r="L5" s="27" t="s">
        <v>368</v>
      </c>
      <c r="M5" s="28"/>
    </row>
    <row r="6" ht="48" customHeight="1" spans="1:13">
      <c r="A6" s="10"/>
      <c r="B6" s="9" t="s">
        <v>370</v>
      </c>
      <c r="C6" s="9"/>
      <c r="D6" s="9"/>
      <c r="E6" s="9"/>
      <c r="F6" s="9"/>
      <c r="G6" s="9"/>
      <c r="H6" s="9"/>
      <c r="I6" s="24"/>
      <c r="J6" s="25">
        <v>0.5</v>
      </c>
      <c r="K6" s="26">
        <v>19</v>
      </c>
      <c r="L6" s="27" t="s">
        <v>368</v>
      </c>
      <c r="M6" s="28"/>
    </row>
    <row r="7" ht="48" customHeight="1" spans="1:13">
      <c r="A7" s="10"/>
      <c r="B7" s="9" t="s">
        <v>371</v>
      </c>
      <c r="C7" s="9"/>
      <c r="D7" s="9"/>
      <c r="E7" s="9"/>
      <c r="F7" s="9"/>
      <c r="G7" s="9"/>
      <c r="H7" s="9"/>
      <c r="I7" s="24"/>
      <c r="J7" s="25">
        <v>0.5</v>
      </c>
      <c r="K7" s="26">
        <v>19</v>
      </c>
      <c r="L7" s="27" t="s">
        <v>368</v>
      </c>
      <c r="M7" s="28"/>
    </row>
    <row r="8" ht="48" customHeight="1" spans="1:13">
      <c r="A8" s="10"/>
      <c r="B8" s="9" t="s">
        <v>372</v>
      </c>
      <c r="C8" s="9"/>
      <c r="D8" s="9"/>
      <c r="E8" s="9"/>
      <c r="F8" s="9"/>
      <c r="G8" s="9"/>
      <c r="H8" s="9"/>
      <c r="I8" s="24"/>
      <c r="J8" s="25">
        <v>0.5</v>
      </c>
      <c r="K8" s="26">
        <v>19</v>
      </c>
      <c r="L8" s="27" t="s">
        <v>368</v>
      </c>
      <c r="M8" s="28"/>
    </row>
    <row r="9" ht="48" customHeight="1" spans="1:13">
      <c r="A9" s="10"/>
      <c r="B9" s="9" t="s">
        <v>373</v>
      </c>
      <c r="C9" s="9"/>
      <c r="D9" s="9"/>
      <c r="E9" s="9"/>
      <c r="F9" s="9"/>
      <c r="G9" s="9"/>
      <c r="H9" s="9"/>
      <c r="I9" s="24"/>
      <c r="J9" s="25">
        <v>1</v>
      </c>
      <c r="K9" s="26">
        <v>19</v>
      </c>
      <c r="L9" s="27" t="s">
        <v>374</v>
      </c>
      <c r="M9" s="28"/>
    </row>
    <row r="10" ht="48" customHeight="1" spans="1:13">
      <c r="A10" s="10"/>
      <c r="B10" s="9" t="s">
        <v>375</v>
      </c>
      <c r="C10" s="9"/>
      <c r="D10" s="9"/>
      <c r="E10" s="9"/>
      <c r="F10" s="9"/>
      <c r="G10" s="9"/>
      <c r="H10" s="9"/>
      <c r="I10" s="24"/>
      <c r="J10" s="29">
        <v>1</v>
      </c>
      <c r="K10" s="26">
        <v>19</v>
      </c>
      <c r="L10" s="30"/>
      <c r="M10" s="28"/>
    </row>
    <row r="11" ht="48" customHeight="1" spans="1:13">
      <c r="A11" s="10"/>
      <c r="B11" s="9" t="s">
        <v>376</v>
      </c>
      <c r="C11" s="9"/>
      <c r="D11" s="9"/>
      <c r="E11" s="9"/>
      <c r="F11" s="9"/>
      <c r="G11" s="9"/>
      <c r="H11" s="9"/>
      <c r="I11" s="24"/>
      <c r="J11" s="29">
        <v>1</v>
      </c>
      <c r="K11" s="26">
        <v>19</v>
      </c>
      <c r="L11" s="30"/>
      <c r="M11" s="28"/>
    </row>
    <row r="12" ht="48" customHeight="1" spans="1:13">
      <c r="A12" s="10"/>
      <c r="B12" s="9" t="s">
        <v>377</v>
      </c>
      <c r="C12" s="9"/>
      <c r="D12" s="9"/>
      <c r="E12" s="9"/>
      <c r="F12" s="9"/>
      <c r="G12" s="9"/>
      <c r="H12" s="9"/>
      <c r="I12" s="24"/>
      <c r="J12" s="29">
        <v>1</v>
      </c>
      <c r="K12" s="26">
        <v>19</v>
      </c>
      <c r="L12" s="30"/>
      <c r="M12" s="28"/>
    </row>
    <row r="13" ht="48" customHeight="1" spans="1:13">
      <c r="A13" s="10"/>
      <c r="B13" s="9" t="s">
        <v>378</v>
      </c>
      <c r="C13" s="9"/>
      <c r="D13" s="9"/>
      <c r="E13" s="9"/>
      <c r="F13" s="9"/>
      <c r="G13" s="9"/>
      <c r="H13" s="9"/>
      <c r="I13" s="24"/>
      <c r="J13" s="29">
        <v>0</v>
      </c>
      <c r="K13" s="26">
        <v>19</v>
      </c>
      <c r="L13" s="31" t="s">
        <v>379</v>
      </c>
      <c r="M13" s="28"/>
    </row>
    <row r="14" ht="48" customHeight="1" spans="1:13">
      <c r="A14" s="10"/>
      <c r="B14" s="9" t="s">
        <v>380</v>
      </c>
      <c r="C14" s="9"/>
      <c r="D14" s="9"/>
      <c r="E14" s="9"/>
      <c r="F14" s="9"/>
      <c r="G14" s="9"/>
      <c r="H14" s="9"/>
      <c r="I14" s="24"/>
      <c r="J14" s="29">
        <v>1</v>
      </c>
      <c r="K14" s="26">
        <v>19</v>
      </c>
      <c r="L14" s="32"/>
      <c r="M14" s="28"/>
    </row>
    <row r="15" ht="48" customHeight="1" spans="1:13">
      <c r="A15" s="10"/>
      <c r="B15" s="9" t="s">
        <v>381</v>
      </c>
      <c r="C15" s="9"/>
      <c r="D15" s="9"/>
      <c r="E15" s="9"/>
      <c r="F15" s="9"/>
      <c r="G15" s="9"/>
      <c r="H15" s="9"/>
      <c r="I15" s="24"/>
      <c r="J15" s="25">
        <v>1</v>
      </c>
      <c r="K15" s="26">
        <v>19</v>
      </c>
      <c r="L15" s="32"/>
      <c r="M15" s="28"/>
    </row>
    <row r="16" ht="56.25" customHeight="1" spans="1:13">
      <c r="A16" s="10"/>
      <c r="B16" s="9" t="s">
        <v>382</v>
      </c>
      <c r="C16" s="9"/>
      <c r="D16" s="9"/>
      <c r="E16" s="9"/>
      <c r="F16" s="9"/>
      <c r="G16" s="9"/>
      <c r="H16" s="9"/>
      <c r="I16" s="24"/>
      <c r="J16" s="29">
        <v>0</v>
      </c>
      <c r="K16" s="26">
        <v>19</v>
      </c>
      <c r="L16" s="31" t="s">
        <v>379</v>
      </c>
      <c r="M16" s="28"/>
    </row>
    <row r="17" ht="48" customHeight="1" spans="1:13">
      <c r="A17" s="10"/>
      <c r="B17" s="9" t="s">
        <v>383</v>
      </c>
      <c r="C17" s="9"/>
      <c r="D17" s="9"/>
      <c r="E17" s="9"/>
      <c r="F17" s="9"/>
      <c r="G17" s="9"/>
      <c r="H17" s="9"/>
      <c r="I17" s="24"/>
      <c r="J17" s="29">
        <v>1</v>
      </c>
      <c r="K17" s="26">
        <v>19</v>
      </c>
      <c r="L17" s="28"/>
      <c r="M17" s="28"/>
    </row>
    <row r="18" ht="48" customHeight="1" spans="1:13">
      <c r="A18" s="10"/>
      <c r="B18" s="9" t="s">
        <v>384</v>
      </c>
      <c r="C18" s="9"/>
      <c r="D18" s="9"/>
      <c r="E18" s="9"/>
      <c r="F18" s="9"/>
      <c r="G18" s="9"/>
      <c r="H18" s="9"/>
      <c r="I18" s="24"/>
      <c r="J18" s="29">
        <v>0</v>
      </c>
      <c r="K18" s="26">
        <v>19</v>
      </c>
      <c r="L18" s="31" t="s">
        <v>379</v>
      </c>
      <c r="M18" s="28"/>
    </row>
    <row r="19" ht="48" customHeight="1" spans="1:13">
      <c r="A19" s="10"/>
      <c r="B19" s="9" t="s">
        <v>385</v>
      </c>
      <c r="C19" s="9"/>
      <c r="D19" s="9"/>
      <c r="E19" s="9"/>
      <c r="F19" s="9"/>
      <c r="G19" s="9"/>
      <c r="H19" s="9"/>
      <c r="I19" s="24"/>
      <c r="J19" s="29">
        <v>1</v>
      </c>
      <c r="K19" s="26">
        <v>19</v>
      </c>
      <c r="L19" s="28"/>
      <c r="M19" s="28"/>
    </row>
    <row r="20" ht="48" customHeight="1" spans="1:13">
      <c r="A20" s="10"/>
      <c r="B20" s="9" t="s">
        <v>386</v>
      </c>
      <c r="C20" s="9"/>
      <c r="D20" s="9"/>
      <c r="E20" s="9"/>
      <c r="F20" s="9"/>
      <c r="G20" s="9"/>
      <c r="H20" s="9"/>
      <c r="I20" s="24"/>
      <c r="J20" s="29">
        <v>1</v>
      </c>
      <c r="K20" s="26">
        <v>19</v>
      </c>
      <c r="L20" s="28"/>
      <c r="M20" s="28"/>
    </row>
    <row r="21" ht="48" customHeight="1" spans="1:11">
      <c r="A21" s="10"/>
      <c r="B21" s="9" t="s">
        <v>387</v>
      </c>
      <c r="C21" s="9"/>
      <c r="D21" s="9"/>
      <c r="E21" s="9"/>
      <c r="F21" s="9"/>
      <c r="G21" s="9"/>
      <c r="H21" s="9"/>
      <c r="I21" s="24"/>
      <c r="J21" s="29">
        <v>2</v>
      </c>
      <c r="K21" s="26">
        <v>19</v>
      </c>
    </row>
    <row r="22" ht="48" customHeight="1" spans="1:11">
      <c r="A22" s="10"/>
      <c r="B22" s="9" t="s">
        <v>388</v>
      </c>
      <c r="C22" s="9"/>
      <c r="D22" s="9"/>
      <c r="E22" s="9"/>
      <c r="F22" s="9"/>
      <c r="G22" s="9"/>
      <c r="H22" s="9"/>
      <c r="I22" s="33"/>
      <c r="J22" s="29">
        <v>1</v>
      </c>
      <c r="K22" s="26">
        <v>19</v>
      </c>
    </row>
    <row r="23" ht="48" customHeight="1" spans="1:11">
      <c r="A23" s="10"/>
      <c r="B23" s="9" t="s">
        <v>389</v>
      </c>
      <c r="C23" s="9"/>
      <c r="D23" s="9"/>
      <c r="E23" s="9"/>
      <c r="F23" s="9"/>
      <c r="G23" s="9"/>
      <c r="H23" s="9"/>
      <c r="I23" s="33"/>
      <c r="J23" s="29">
        <v>2</v>
      </c>
      <c r="K23" s="26">
        <v>19</v>
      </c>
    </row>
    <row r="24" ht="48" customHeight="1" spans="1:11">
      <c r="A24" s="10"/>
      <c r="B24" s="9" t="s">
        <v>390</v>
      </c>
      <c r="C24" s="9"/>
      <c r="D24" s="9"/>
      <c r="E24" s="9"/>
      <c r="F24" s="9"/>
      <c r="G24" s="9"/>
      <c r="H24" s="9"/>
      <c r="I24" s="33"/>
      <c r="J24" s="29">
        <v>1</v>
      </c>
      <c r="K24" s="26">
        <v>19</v>
      </c>
    </row>
    <row r="25" ht="48" customHeight="1" spans="1:11">
      <c r="A25" s="10"/>
      <c r="B25" s="9" t="s">
        <v>391</v>
      </c>
      <c r="C25" s="9"/>
      <c r="D25" s="9"/>
      <c r="E25" s="9"/>
      <c r="F25" s="9"/>
      <c r="G25" s="9"/>
      <c r="H25" s="9"/>
      <c r="I25" s="33"/>
      <c r="J25" s="29">
        <v>1</v>
      </c>
      <c r="K25" s="26">
        <v>19</v>
      </c>
    </row>
    <row r="26" ht="48" customHeight="1" spans="1:11">
      <c r="A26" s="10"/>
      <c r="B26" s="9" t="s">
        <v>392</v>
      </c>
      <c r="C26" s="9"/>
      <c r="D26" s="9"/>
      <c r="E26" s="9"/>
      <c r="F26" s="9"/>
      <c r="G26" s="9"/>
      <c r="H26" s="9"/>
      <c r="I26" s="33"/>
      <c r="J26" s="29">
        <v>1</v>
      </c>
      <c r="K26" s="26">
        <v>19</v>
      </c>
    </row>
    <row r="27" ht="38.25" customHeight="1" spans="1:11">
      <c r="A27" s="11" t="s">
        <v>393</v>
      </c>
      <c r="B27" s="7" t="s">
        <v>393</v>
      </c>
      <c r="C27" s="7"/>
      <c r="D27" s="7"/>
      <c r="E27" s="7"/>
      <c r="F27" s="7"/>
      <c r="G27" s="7"/>
      <c r="H27" s="7"/>
      <c r="I27" s="19"/>
      <c r="J27" s="34"/>
      <c r="K27" s="26"/>
    </row>
    <row r="28" ht="54" customHeight="1" spans="1:11">
      <c r="A28" s="11"/>
      <c r="B28" s="12" t="s">
        <v>394</v>
      </c>
      <c r="C28" s="9"/>
      <c r="D28" s="9"/>
      <c r="E28" s="9"/>
      <c r="F28" s="9"/>
      <c r="G28" s="9"/>
      <c r="H28" s="9"/>
      <c r="I28" s="24"/>
      <c r="J28" s="34">
        <v>1</v>
      </c>
      <c r="K28" s="26">
        <v>19</v>
      </c>
    </row>
    <row r="29" ht="54" customHeight="1" spans="1:11">
      <c r="A29" s="11"/>
      <c r="B29" s="12" t="s">
        <v>395</v>
      </c>
      <c r="C29" s="9"/>
      <c r="D29" s="9"/>
      <c r="E29" s="9"/>
      <c r="F29" s="9"/>
      <c r="G29" s="9"/>
      <c r="H29" s="9"/>
      <c r="I29" s="24"/>
      <c r="J29" s="34">
        <v>1</v>
      </c>
      <c r="K29" s="26">
        <v>19</v>
      </c>
    </row>
    <row r="30" ht="54" customHeight="1" spans="1:11">
      <c r="A30" s="11"/>
      <c r="B30" s="12" t="s">
        <v>396</v>
      </c>
      <c r="C30" s="9"/>
      <c r="D30" s="9"/>
      <c r="E30" s="9"/>
      <c r="F30" s="9"/>
      <c r="G30" s="9"/>
      <c r="H30" s="9"/>
      <c r="I30" s="24"/>
      <c r="J30" s="34">
        <v>1</v>
      </c>
      <c r="K30" s="26">
        <v>19</v>
      </c>
    </row>
    <row r="31" ht="54" customHeight="1" spans="1:11">
      <c r="A31" s="11"/>
      <c r="B31" s="12" t="s">
        <v>397</v>
      </c>
      <c r="C31" s="9"/>
      <c r="D31" s="9"/>
      <c r="E31" s="9"/>
      <c r="F31" s="9"/>
      <c r="G31" s="9"/>
      <c r="H31" s="9"/>
      <c r="I31" s="24"/>
      <c r="J31" s="34">
        <v>1</v>
      </c>
      <c r="K31" s="26">
        <v>19</v>
      </c>
    </row>
    <row r="32" ht="54" customHeight="1" spans="1:11">
      <c r="A32" s="11"/>
      <c r="B32" s="12" t="s">
        <v>398</v>
      </c>
      <c r="C32" s="9"/>
      <c r="D32" s="9"/>
      <c r="E32" s="9"/>
      <c r="F32" s="9"/>
      <c r="G32" s="9"/>
      <c r="H32" s="9"/>
      <c r="I32" s="24"/>
      <c r="J32" s="34">
        <v>1</v>
      </c>
      <c r="K32" s="26">
        <v>19</v>
      </c>
    </row>
    <row r="33" ht="54" customHeight="1" spans="1:11">
      <c r="A33" s="11"/>
      <c r="B33" s="12" t="s">
        <v>399</v>
      </c>
      <c r="C33" s="9"/>
      <c r="D33" s="9"/>
      <c r="E33" s="9"/>
      <c r="F33" s="9"/>
      <c r="G33" s="9"/>
      <c r="H33" s="9"/>
      <c r="I33" s="24"/>
      <c r="J33" s="34">
        <v>1</v>
      </c>
      <c r="K33" s="26">
        <v>19</v>
      </c>
    </row>
    <row r="34" ht="54" customHeight="1" spans="1:11">
      <c r="A34" s="11"/>
      <c r="B34" s="12" t="s">
        <v>400</v>
      </c>
      <c r="C34" s="9"/>
      <c r="D34" s="9"/>
      <c r="E34" s="9"/>
      <c r="F34" s="9"/>
      <c r="G34" s="9"/>
      <c r="H34" s="9"/>
      <c r="I34" s="24"/>
      <c r="J34" s="34">
        <v>1</v>
      </c>
      <c r="K34" s="26">
        <v>19</v>
      </c>
    </row>
    <row r="35" ht="54" customHeight="1" spans="1:11">
      <c r="A35" s="11"/>
      <c r="B35" s="12" t="s">
        <v>400</v>
      </c>
      <c r="C35" s="9"/>
      <c r="D35" s="9"/>
      <c r="E35" s="9"/>
      <c r="F35" s="9"/>
      <c r="G35" s="9"/>
      <c r="H35" s="9"/>
      <c r="I35" s="24"/>
      <c r="J35" s="34">
        <v>1</v>
      </c>
      <c r="K35" s="26">
        <v>19</v>
      </c>
    </row>
    <row r="36" ht="54" customHeight="1" spans="1:11">
      <c r="A36" s="11"/>
      <c r="B36" s="12" t="s">
        <v>401</v>
      </c>
      <c r="C36" s="9"/>
      <c r="D36" s="9"/>
      <c r="E36" s="9"/>
      <c r="F36" s="9"/>
      <c r="G36" s="9"/>
      <c r="H36" s="9"/>
      <c r="I36" s="24"/>
      <c r="J36" s="34">
        <v>1</v>
      </c>
      <c r="K36" s="26">
        <v>19</v>
      </c>
    </row>
    <row r="37" ht="54" customHeight="1" spans="1:11">
      <c r="A37" s="11"/>
      <c r="B37" s="9"/>
      <c r="C37" s="9"/>
      <c r="D37" s="9"/>
      <c r="E37" s="9"/>
      <c r="F37" s="9"/>
      <c r="G37" s="9"/>
      <c r="H37" s="9"/>
      <c r="I37" s="35"/>
      <c r="J37" s="34"/>
      <c r="K37" s="26"/>
    </row>
    <row r="38" ht="34.5" customHeight="1"/>
  </sheetData>
  <mergeCells count="39">
    <mergeCell ref="A1:M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A4:A26"/>
    <mergeCell ref="A27:A37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79A8FBA-187A-4B7E-A654-85E6F7B3F5CF}">
  <ds:schemaRefs/>
</ds:datastoreItem>
</file>

<file path=customXml/itemProps2.xml><?xml version="1.0" encoding="utf-8"?>
<ds:datastoreItem xmlns:ds="http://schemas.openxmlformats.org/officeDocument/2006/customXml" ds:itemID="{8C45D8FC-3754-4502-AB01-EBE9B6F21880}">
  <ds:schemaRefs/>
</ds:datastoreItem>
</file>

<file path=customXml/itemProps3.xml><?xml version="1.0" encoding="utf-8"?>
<ds:datastoreItem xmlns:ds="http://schemas.openxmlformats.org/officeDocument/2006/customXml" ds:itemID="{FCF69981-659D-4ACD-BC62-864FA463CA00}">
  <ds:schemaRefs/>
</ds:datastoreItem>
</file>

<file path=customXml/itemProps4.xml><?xml version="1.0" encoding="utf-8"?>
<ds:datastoreItem xmlns:ds="http://schemas.openxmlformats.org/officeDocument/2006/customXml" ds:itemID="{F7CF1925-4882-44E6-805B-3B2B14A2B1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Instructions</vt:lpstr>
      <vt:lpstr>SupplierBaseInput</vt:lpstr>
      <vt:lpstr>Price Summary</vt:lpstr>
      <vt:lpstr>Cleansheet</vt:lpstr>
      <vt:lpstr>Equipment List</vt:lpstr>
      <vt:lpstr>Consumables</vt:lpstr>
      <vt:lpstr>SMT Process Flow</vt:lpstr>
      <vt:lpstr>BB Process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hyepak</dc:creator>
  <cp:lastModifiedBy>nally_chen</cp:lastModifiedBy>
  <dcterms:created xsi:type="dcterms:W3CDTF">2008-12-11T17:29:00Z</dcterms:created>
  <cp:lastPrinted>2011-02-09T19:21:00Z</cp:lastPrinted>
  <dcterms:modified xsi:type="dcterms:W3CDTF">2024-10-11T02:13:54Z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6b4c6afd-7bb5-49c0-9d29-8535e45b8f11</vt:lpwstr>
  </property>
  <property fmtid="{D5CDD505-2E9C-101B-9397-08002B2CF9AE}" pid="3" name="ContentTypeId">
    <vt:lpwstr>0x010100B8F41DB789B0C54D8CA25BE89FE7D70D</vt:lpwstr>
  </property>
  <property fmtid="{D5CDD505-2E9C-101B-9397-08002B2CF9AE}" pid="4" name="KSOProductBuildVer">
    <vt:lpwstr>1028-11.8.2.8372</vt:lpwstr>
  </property>
</Properties>
</file>